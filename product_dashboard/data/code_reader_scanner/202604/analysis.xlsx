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worksheets/sheet2.xml" ContentType="application/vnd.openxmlformats-officedocument.spreadsheetml.worksheet+xml"/>
  <Override PartName="/xl/drawings/drawing2.xml" ContentType="application/vnd.openxmlformats-officedocument.drawing+xml"/>
  <Override PartName="/xl/tables/table3.xml" ContentType="application/vnd.openxmlformats-officedocument.spreadsheetml.table+xml"/>
  <Override PartName="/xl/tables/table4.xml" ContentType="application/vnd.openxmlformats-officedocument.spreadsheetml.table+xml"/>
  <Override PartName="/xl/worksheets/sheet3.xml" ContentType="application/vnd.openxmlformats-officedocument.spreadsheetml.worksheet+xml"/>
  <Override PartName="/xl/drawings/drawing3.xml" ContentType="application/vnd.openxmlformats-officedocument.drawing+xml"/>
  <Override PartName="/xl/tables/table5.xml" ContentType="application/vnd.openxmlformats-officedocument.spreadsheetml.table+xml"/>
  <Override PartName="/xl/tables/table6.xml" ContentType="application/vnd.openxmlformats-officedocument.spreadsheetml.table+xml"/>
  <Override PartName="/xl/worksheets/sheet4.xml" ContentType="application/vnd.openxmlformats-officedocument.spreadsheetml.worksheet+xml"/>
  <Override PartName="/xl/drawings/drawing4.xml" ContentType="application/vnd.openxmlformats-officedocument.drawing+xml"/>
  <Override PartName="/xl/tables/table7.xml" ContentType="application/vnd.openxmlformats-officedocument.spreadsheetml.table+xml"/>
  <Override PartName="/xl/tables/table8.xml" ContentType="application/vnd.openxmlformats-officedocument.spreadsheetml.table+xml"/>
  <Override PartName="/xl/worksheets/sheet5.xml" ContentType="application/vnd.openxmlformats-officedocument.spreadsheetml.worksheet+xml"/>
  <Override PartName="/xl/drawings/drawing5.xml" ContentType="application/vnd.openxmlformats-officedocument.drawing+xml"/>
  <Override PartName="/xl/tables/table9.xml" ContentType="application/vnd.openxmlformats-officedocument.spreadsheetml.table+xml"/>
  <Override PartName="/xl/tables/table10.xml" ContentType="application/vnd.openxmlformats-officedocument.spreadsheetml.table+xml"/>
  <Override PartName="/xl/worksheets/sheet6.xml" ContentType="application/vnd.openxmlformats-officedocument.spreadsheetml.worksheet+xml"/>
  <Override PartName="/xl/drawings/drawing6.xml" ContentType="application/vnd.openxmlformats-officedocument.drawing+xml"/>
  <Override PartName="/xl/tables/table11.xml" ContentType="application/vnd.openxmlformats-officedocument.spreadsheetml.table+xml"/>
  <Override PartName="/xl/tables/table12.xml" ContentType="application/vnd.openxmlformats-officedocument.spreadsheetml.table+xml"/>
  <Override PartName="/xl/worksheets/sheet7.xml" ContentType="application/vnd.openxmlformats-officedocument.spreadsheetml.worksheet+xml"/>
  <Override PartName="/xl/drawings/drawing7.xml" ContentType="application/vnd.openxmlformats-officedocument.drawing+xml"/>
  <Override PartName="/xl/tables/table13.xml" ContentType="application/vnd.openxmlformats-officedocument.spreadsheetml.table+xml"/>
  <Override PartName="/xl/tables/table14.xml" ContentType="application/vnd.openxmlformats-officedocument.spreadsheetml.table+xml"/>
  <Override PartName="/xl/worksheets/sheet8.xml" ContentType="application/vnd.openxmlformats-officedocument.spreadsheetml.worksheet+xml"/>
  <Override PartName="/xl/drawings/drawing8.xml" ContentType="application/vnd.openxmlformats-officedocument.drawing+xml"/>
  <Override PartName="/xl/tables/table15.xml" ContentType="application/vnd.openxmlformats-officedocument.spreadsheetml.table+xml"/>
  <Override PartName="/xl/tables/table16.xml" ContentType="application/vnd.openxmlformats-officedocument.spreadsheetml.table+xml"/>
  <Override PartName="/xl/worksheets/sheet9.xml" ContentType="application/vnd.openxmlformats-officedocument.spreadsheetml.worksheet+xml"/>
  <Override PartName="/xl/drawings/drawing9.xml" ContentType="application/vnd.openxmlformats-officedocument.drawing+xml"/>
  <Override PartName="/xl/tables/table17.xml" ContentType="application/vnd.openxmlformats-officedocument.spreadsheetml.table+xml"/>
  <Override PartName="/xl/tables/table18.xml" ContentType="application/vnd.openxmlformats-officedocument.spreadsheetml.table+xml"/>
  <Override PartName="/xl/worksheets/sheet10.xml" ContentType="application/vnd.openxmlformats-officedocument.spreadsheetml.worksheet+xml"/>
  <Override PartName="/xl/drawings/drawing10.xml" ContentType="application/vnd.openxmlformats-officedocument.drawing+xml"/>
  <Override PartName="/xl/tables/table19.xml" ContentType="application/vnd.openxmlformats-officedocument.spreadsheetml.table+xml"/>
  <Override PartName="/xl/tables/table20.xml" ContentType="application/vnd.openxmlformats-officedocument.spreadsheetml.table+xml"/>
  <Override PartName="/xl/worksheets/sheet11.xml" ContentType="application/vnd.openxmlformats-officedocument.spreadsheetml.worksheet+xml"/>
  <Override PartName="/xl/drawings/drawing11.xml" ContentType="application/vnd.openxmlformats-officedocument.drawing+xml"/>
  <Override PartName="/xl/tables/table21.xml" ContentType="application/vnd.openxmlformats-officedocument.spreadsheetml.table+xml"/>
  <Override PartName="/xl/tables/table22.xml" ContentType="application/vnd.openxmlformats-officedocument.spreadsheetml.table+xml"/>
  <Override PartName="/xl/worksheets/sheet12.xml" ContentType="application/vnd.openxmlformats-officedocument.spreadsheetml.worksheet+xml"/>
  <Override PartName="/xl/drawings/drawing12.xml" ContentType="application/vnd.openxmlformats-officedocument.drawing+xml"/>
  <Override PartName="/xl/tables/table23.xml" ContentType="application/vnd.openxmlformats-officedocument.spreadsheetml.table+xml"/>
  <Override PartName="/xl/worksheets/sheet13.xml" ContentType="application/vnd.openxmlformats-officedocument.spreadsheetml.worksheet+xml"/>
  <Override PartName="/xl/drawings/drawing13.xml" ContentType="application/vnd.openxmlformats-officedocument.drawing+xml"/>
  <Override PartName="/xl/tables/table24.xml" ContentType="application/vnd.openxmlformats-officedocument.spreadsheetml.table+xml"/>
  <Override PartName="/xl/tables/table25.xml" ContentType="application/vnd.openxmlformats-officedocument.spreadsheetml.table+xml"/>
  <Override PartName="/xl/worksheets/sheet14.xml" ContentType="application/vnd.openxmlformats-officedocument.spreadsheetml.worksheet+xml"/>
  <Override PartName="/xl/drawings/drawing14.xml" ContentType="application/vnd.openxmlformats-officedocument.drawing+xml"/>
  <Override PartName="/xl/tables/table26.xml" ContentType="application/vnd.openxmlformats-officedocument.spreadsheetml.table+xml"/>
  <Override PartName="/xl/worksheets/sheet15.xml" ContentType="application/vnd.openxmlformats-officedocument.spreadsheetml.worksheet+xml"/>
  <Override PartName="/xl/drawings/drawing15.xml" ContentType="application/vnd.openxmlformats-officedocument.drawing+xml"/>
  <Override PartName="/xl/tables/table27.xml" ContentType="application/vnd.openxmlformats-officedocument.spreadsheetml.table+xml"/>
  <Override PartName="/xl/worksheets/sheet16.xml" ContentType="application/vnd.openxmlformats-officedocument.spreadsheetml.worksheet+xml"/>
  <Override PartName="/xl/drawings/drawing16.xml" ContentType="application/vnd.openxmlformats-officedocument.drawing+xml"/>
  <Override PartName="/xl/tables/table28.xml" ContentType="application/vnd.openxmlformats-officedocument.spreadsheetml.table+xml"/>
  <Override PartName="/xl/worksheets/sheet17.xml" ContentType="application/vnd.openxmlformats-officedocument.spreadsheetml.worksheet+xml"/>
  <Override PartName="/xl/drawings/drawing17.xml" ContentType="application/vnd.openxmlformats-officedocument.drawing+xml"/>
  <Override PartName="/xl/tables/table29.xml" ContentType="application/vnd.openxmlformats-officedocument.spreadsheetml.table+xml"/>
  <Override PartName="/xl/tables/table30.xml" ContentType="application/vnd.openxmlformats-officedocument.spreadsheetml.table+xml"/>
  <Override PartName="/xl/worksheets/sheet18.xml" ContentType="application/vnd.openxmlformats-officedocument.spreadsheetml.worksheet+xml"/>
  <Override PartName="/xl/drawings/drawing18.xml" ContentType="application/vnd.openxmlformats-officedocument.drawing+xml"/>
  <Override PartName="/xl/tables/table31.xml" ContentType="application/vnd.openxmlformats-officedocument.spreadsheetml.table+xml"/>
  <Override PartName="/xl/worksheets/sheet19.xml" ContentType="application/vnd.openxmlformats-officedocument.spreadsheetml.worksheet+xml"/>
  <Override PartName="/xl/drawings/drawing19.xml" ContentType="application/vnd.openxmlformats-officedocument.drawing+xml"/>
  <Override PartName="/xl/tables/table32.xml" ContentType="application/vnd.openxmlformats-officedocument.spreadsheetml.table+xml"/>
  <Override PartName="/xl/tables/table33.xml" ContentType="application/vnd.openxmlformats-officedocument.spreadsheetml.table+xml"/>
  <Override PartName="/xl/worksheets/sheet20.xml" ContentType="application/vnd.openxmlformats-officedocument.spreadsheetml.worksheet+xml"/>
  <Override PartName="/xl/drawings/drawing20.xml" ContentType="application/vnd.openxmlformats-officedocument.drawing+xml"/>
  <Override PartName="/xl/tables/table34.xml" ContentType="application/vnd.openxmlformats-officedocument.spreadsheetml.table+xml"/>
  <Override PartName="/xl/tables/table35.xml" ContentType="application/vnd.openxmlformats-officedocument.spreadsheetml.table+xml"/>
  <Override PartName="/xl/worksheets/sheet21.xml" ContentType="application/vnd.openxmlformats-officedocument.spreadsheetml.worksheet+xml"/>
  <Override PartName="/xl/drawings/drawing21.xml" ContentType="application/vnd.openxmlformats-officedocument.drawing+xml"/>
  <Override PartName="/xl/tables/table36.xml" ContentType="application/vnd.openxmlformats-officedocument.spreadsheetml.table+xml"/>
  <Override PartName="/xl/tables/table37.xml" ContentType="application/vnd.openxmlformats-officedocument.spreadsheetml.table+xml"/>
  <Override PartName="/xl/worksheets/sheet22.xml" ContentType="application/vnd.openxmlformats-officedocument.spreadsheetml.worksheet+xml"/>
  <Override PartName="/xl/drawings/drawing22.xml" ContentType="application/vnd.openxmlformats-officedocument.drawing+xml"/>
  <Override PartName="/xl/tables/table38.xml" ContentType="application/vnd.openxmlformats-officedocument.spreadsheetml.table+xml"/>
  <Override PartName="/xl/tables/table39.xml" ContentType="application/vnd.openxmlformats-officedocument.spreadsheetml.table+xml"/>
  <Override PartName="/xl/worksheets/sheet23.xml" ContentType="application/vnd.openxmlformats-officedocument.spreadsheetml.worksheet+xml"/>
  <Override PartName="/xl/drawings/drawing23.xml" ContentType="application/vnd.openxmlformats-officedocument.drawing+xml"/>
  <Override PartName="/xl/tables/table40.xml" ContentType="application/vnd.openxmlformats-officedocument.spreadsheetml.table+xml"/>
  <Override PartName="/xl/tables/table41.xml" ContentType="application/vnd.openxmlformats-officedocument.spreadsheetml.table+xml"/>
  <Override PartName="/xl/worksheets/sheet24.xml" ContentType="application/vnd.openxmlformats-officedocument.spreadsheetml.worksheet+xml"/>
  <Override PartName="/xl/drawings/drawing24.xml" ContentType="application/vnd.openxmlformats-officedocument.drawing+xml"/>
  <Override PartName="/xl/tables/table42.xml" ContentType="application/vnd.openxmlformats-officedocument.spreadsheetml.table+xml"/>
  <Override PartName="/xl/tables/table43.xml" ContentType="application/vnd.openxmlformats-officedocument.spreadsheetml.table+xml"/>
  <Override PartName="/xl/worksheets/sheet25.xml" ContentType="application/vnd.openxmlformats-officedocument.spreadsheetml.worksheet+xml"/>
  <Override PartName="/xl/drawings/drawing25.xml" ContentType="application/vnd.openxmlformats-officedocument.drawing+xml"/>
  <Override PartName="/xl/tables/table44.xml" ContentType="application/vnd.openxmlformats-officedocument.spreadsheetml.table+xml"/>
  <Override PartName="/xl/tables/table45.xml" ContentType="application/vnd.openxmlformats-officedocument.spreadsheetml.table+xml"/>
  <Override PartName="/xl/worksheets/sheet26.xml" ContentType="application/vnd.openxmlformats-officedocument.spreadsheetml.worksheet+xml"/>
  <Override PartName="/xl/drawings/drawing26.xml" ContentType="application/vnd.openxmlformats-officedocument.drawing+xml"/>
  <Override PartName="/xl/tables/table46.xml" ContentType="application/vnd.openxmlformats-officedocument.spreadsheetml.table+xml"/>
  <Override PartName="/xl/tables/table47.xml" ContentType="application/vnd.openxmlformats-officedocument.spreadsheetml.table+xml"/>
  <Override PartName="/xl/worksheets/sheet27.xml" ContentType="application/vnd.openxmlformats-officedocument.spreadsheetml.worksheet+xml"/>
  <Override PartName="/xl/drawings/drawing27.xml" ContentType="application/vnd.openxmlformats-officedocument.drawing+xml"/>
  <Override PartName="/xl/tables/table48.xml" ContentType="application/vnd.openxmlformats-officedocument.spreadsheetml.table+xml"/>
  <Override PartName="/xl/tables/table49.xml" ContentType="application/vnd.openxmlformats-officedocument.spreadsheetml.table+xml"/>
  <Override PartName="/xl/worksheets/sheet28.xml" ContentType="application/vnd.openxmlformats-officedocument.spreadsheetml.worksheet+xml"/>
  <Override PartName="/xl/drawings/drawing28.xml" ContentType="application/vnd.openxmlformats-officedocument.drawing+xml"/>
  <Override PartName="/xl/tables/table50.xml" ContentType="application/vnd.openxmlformats-officedocument.spreadsheetml.table+xml"/>
  <Override PartName="/xl/worksheets/sheet29.xml" ContentType="application/vnd.openxmlformats-officedocument.spreadsheetml.worksheet+xml"/>
  <Override PartName="/xl/drawings/drawing29.xml" ContentType="application/vnd.openxmlformats-officedocument.drawing+xml"/>
  <Override PartName="/xl/tables/table51.xml" ContentType="application/vnd.openxmlformats-officedocument.spreadsheetml.table+xml"/>
  <Override PartName="/xl/tables/table52.xml" ContentType="application/vnd.openxmlformats-officedocument.spreadsheetml.table+xml"/>
  <Override PartName="/xl/worksheets/sheet30.xml" ContentType="application/vnd.openxmlformats-officedocument.spreadsheetml.worksheet+xml"/>
  <Override PartName="/xl/drawings/drawing30.xml" ContentType="application/vnd.openxmlformats-officedocument.drawing+xml"/>
  <Override PartName="/xl/tables/table53.xml" ContentType="application/vnd.openxmlformats-officedocument.spreadsheetml.table+xml"/>
  <Override PartName="/xl/tables/table54.xml" ContentType="application/vnd.openxmlformats-officedocument.spreadsheetml.table+xml"/>
  <Override PartName="/xl/worksheets/sheet31.xml" ContentType="application/vnd.openxmlformats-officedocument.spreadsheetml.worksheet+xml"/>
  <Override PartName="/xl/drawings/drawing31.xml" ContentType="application/vnd.openxmlformats-officedocument.drawing+xml"/>
  <Override PartName="/xl/tables/table55.xml" ContentType="application/vnd.openxmlformats-officedocument.spreadsheetml.table+xml"/>
  <Override PartName="/xl/tables/table56.xml" ContentType="application/vnd.openxmlformats-officedocument.spreadsheetml.table+xml"/>
  <Override PartName="/xl/worksheets/sheet32.xml" ContentType="application/vnd.openxmlformats-officedocument.spreadsheetml.worksheet+xml"/>
  <Override PartName="/xl/drawings/drawing32.xml" ContentType="application/vnd.openxmlformats-officedocument.drawing+xml"/>
  <Override PartName="/xl/tables/table57.xml" ContentType="application/vnd.openxmlformats-officedocument.spreadsheetml.table+xml"/>
  <Override PartName="/xl/tables/table58.xml" ContentType="application/vnd.openxmlformats-officedocument.spreadsheetml.table+xml"/>
  <Override PartName="/xl/worksheets/sheet33.xml" ContentType="application/vnd.openxmlformats-officedocument.spreadsheetml.worksheet+xml"/>
  <Override PartName="/xl/drawings/drawing33.xml" ContentType="application/vnd.openxmlformats-officedocument.drawing+xml"/>
  <Override PartName="/xl/tables/table59.xml" ContentType="application/vnd.openxmlformats-officedocument.spreadsheetml.table+xml"/>
  <Override PartName="/xl/tables/table60.xml" ContentType="application/vnd.openxmlformats-officedocument.spreadsheetml.table+xml"/>
  <Override PartName="/xl/worksheets/sheet34.xml" ContentType="application/vnd.openxmlformats-officedocument.spreadsheetml.worksheet+xml"/>
  <Override PartName="/xl/drawings/drawing34.xml" ContentType="application/vnd.openxmlformats-officedocument.drawing+xml"/>
  <Override PartName="/xl/tables/table61.xml" ContentType="application/vnd.openxmlformats-officedocument.spreadsheetml.table+xml"/>
  <Override PartName="/xl/tables/table62.xml" ContentType="application/vnd.openxmlformats-officedocument.spreadsheetml.table+xml"/>
  <Override PartName="/xl/worksheets/sheet35.xml" ContentType="application/vnd.openxmlformats-officedocument.spreadsheetml.worksheet+xml"/>
  <Override PartName="/xl/drawings/drawing35.xml" ContentType="application/vnd.openxmlformats-officedocument.drawing+xml"/>
  <Override PartName="/xl/tables/table63.xml" ContentType="application/vnd.openxmlformats-officedocument.spreadsheetml.table+xml"/>
  <Override PartName="/xl/tables/table64.xml" ContentType="application/vnd.openxmlformats-officedocument.spreadsheetml.table+xml"/>
  <Override PartName="/xl/worksheets/sheet36.xml" ContentType="application/vnd.openxmlformats-officedocument.spreadsheetml.worksheet+xml"/>
  <Override PartName="/xl/drawings/drawing36.xml" ContentType="application/vnd.openxmlformats-officedocument.drawing+xml"/>
  <Override PartName="/xl/tables/table65.xml" ContentType="application/vnd.openxmlformats-officedocument.spreadsheetml.table+xml"/>
  <Override PartName="/xl/tables/table66.xml" ContentType="application/vnd.openxmlformats-officedocument.spreadsheetml.table+xml"/>
  <Override PartName="/xl/worksheets/sheet37.xml" ContentType="application/vnd.openxmlformats-officedocument.spreadsheetml.worksheet+xml"/>
  <Override PartName="/xl/drawings/drawing37.xml" ContentType="application/vnd.openxmlformats-officedocument.drawing+xml"/>
  <Override PartName="/xl/tables/table67.xml" ContentType="application/vnd.openxmlformats-officedocument.spreadsheetml.table+xml"/>
  <Override PartName="/xl/tables/table68.xml" ContentType="application/vnd.openxmlformats-officedocument.spreadsheetml.table+xml"/>
  <Override PartName="/xl/worksheets/sheet38.xml" ContentType="application/vnd.openxmlformats-officedocument.spreadsheetml.worksheet+xml"/>
  <Override PartName="/xl/drawings/drawing38.xml" ContentType="application/vnd.openxmlformats-officedocument.drawing+xml"/>
  <Override PartName="/xl/tables/table69.xml" ContentType="application/vnd.openxmlformats-officedocument.spreadsheetml.table+xml"/>
  <Override PartName="/xl/tables/table70.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88.xml" ContentType="application/vnd.openxmlformats-officedocument.drawingml.chart+xml"/>
  <Override PartName="/xl/charts/chart89.xml" ContentType="application/vnd.openxmlformats-officedocument.drawingml.chart+xml"/>
  <Override PartName="/xl/charts/chart90.xml" ContentType="application/vnd.openxmlformats-officedocument.drawingml.chart+xml"/>
  <Override PartName="/xl/charts/chart91.xml" ContentType="application/vnd.openxmlformats-officedocument.drawingml.chart+xml"/>
  <Override PartName="/xl/charts/chart92.xml" ContentType="application/vnd.openxmlformats-officedocument.drawingml.chart+xml"/>
  <Override PartName="/xl/charts/chart93.xml" ContentType="application/vnd.openxmlformats-officedocument.drawingml.chart+xml"/>
  <Override PartName="/xl/charts/chart94.xml" ContentType="application/vnd.openxmlformats-officedocument.drawingml.chart+xml"/>
  <Override PartName="/xl/charts/chart95.xml" ContentType="application/vnd.openxmlformats-officedocument.drawingml.chart+xml"/>
  <Override PartName="/xl/charts/chart96.xml" ContentType="application/vnd.openxmlformats-officedocument.drawingml.chart+xml"/>
  <Override PartName="/xl/charts/chart97.xml" ContentType="application/vnd.openxmlformats-officedocument.drawingml.chart+xml"/>
  <Override PartName="/xl/charts/chart98.xml" ContentType="application/vnd.openxmlformats-officedocument.drawingml.chart+xml"/>
  <Override PartName="/xl/charts/chart99.xml" ContentType="application/vnd.openxmlformats-officedocument.drawingml.chart+xml"/>
  <Override PartName="/xl/charts/chart100.xml" ContentType="application/vnd.openxmlformats-officedocument.drawingml.chart+xml"/>
  <Override PartName="/xl/charts/chart101.xml" ContentType="application/vnd.openxmlformats-officedocument.drawingml.chart+xml"/>
  <Override PartName="/xl/charts/chart102.xml" ContentType="application/vnd.openxmlformats-officedocument.drawingml.chart+xml"/>
  <Override PartName="/xl/charts/chart103.xml" ContentType="application/vnd.openxmlformats-officedocument.drawingml.chart+xml"/>
  <Override PartName="/xl/charts/chart104.xml" ContentType="application/vnd.openxmlformats-officedocument.drawingml.chart+xml"/>
  <Override PartName="/xl/charts/chart105.xml" ContentType="application/vnd.openxmlformats-officedocument.drawingml.chart+xml"/>
  <Override PartName="/xl/charts/chart106.xml" ContentType="application/vnd.openxmlformats-officedocument.drawingml.chart+xml"/>
  <Override PartName="/xl/charts/chart107.xml" ContentType="application/vnd.openxmlformats-officedocument.drawingml.chart+xml"/>
  <Override PartName="/xl/charts/chart108.xml" ContentType="application/vnd.openxmlformats-officedocument.drawingml.chart+xml"/>
  <Override PartName="/xl/charts/chart109.xml" ContentType="application/vnd.openxmlformats-officedocument.drawingml.chart+xml"/>
  <Override PartName="/xl/charts/chart110.xml" ContentType="application/vnd.openxmlformats-officedocument.drawingml.chart+xml"/>
  <Override PartName="/xl/charts/chart111.xml" ContentType="application/vnd.openxmlformats-officedocument.drawingml.chart+xml"/>
  <Override PartName="/xl/charts/chart112.xml" ContentType="application/vnd.openxmlformats-officedocument.drawingml.chart+xml"/>
  <Override PartName="/xl/charts/chart113.xml" ContentType="application/vnd.openxmlformats-officedocument.drawingml.chart+xml"/>
  <Override PartName="/xl/charts/chart114.xml" ContentType="application/vnd.openxmlformats-officedocument.drawingml.chart+xml"/>
  <Override PartName="/xl/charts/chart115.xml" ContentType="application/vnd.openxmlformats-officedocument.drawingml.chart+xml"/>
  <Override PartName="/xl/charts/chart116.xml" ContentType="application/vnd.openxmlformats-officedocument.drawingml.chart+xml"/>
  <Override PartName="/xl/charts/chart117.xml" ContentType="application/vnd.openxmlformats-officedocument.drawingml.chart+xml"/>
  <Override PartName="/xl/charts/chart118.xml" ContentType="application/vnd.openxmlformats-officedocument.drawingml.chart+xml"/>
  <Override PartName="/xl/charts/chart119.xml" ContentType="application/vnd.openxmlformats-officedocument.drawingml.chart+xml"/>
  <Override PartName="/xl/charts/chart120.xml" ContentType="application/vnd.openxmlformats-officedocument.drawingml.chart+xml"/>
  <Override PartName="/xl/charts/chart121.xml" ContentType="application/vnd.openxmlformats-officedocument.drawingml.chart+xml"/>
  <Override PartName="/xl/charts/chart122.xml" ContentType="application/vnd.openxmlformats-officedocument.drawingml.chart+xml"/>
  <Override PartName="/xl/charts/chart123.xml" ContentType="application/vnd.openxmlformats-officedocument.drawingml.chart+xml"/>
  <Override PartName="/xl/charts/chart124.xml" ContentType="application/vnd.openxmlformats-officedocument.drawingml.chart+xml"/>
  <Override PartName="/xl/charts/chart125.xml" ContentType="application/vnd.openxmlformats-officedocument.drawingml.chart+xml"/>
  <Override PartName="/xl/charts/chart126.xml" ContentType="application/vnd.openxmlformats-officedocument.drawingml.chart+xml"/>
  <Override PartName="/xl/charts/chart127.xml" ContentType="application/vnd.openxmlformats-officedocument.drawingml.chart+xml"/>
  <Override PartName="/xl/charts/chart128.xml" ContentType="application/vnd.openxmlformats-officedocument.drawingml.chart+xml"/>
  <Override PartName="/xl/charts/chart129.xml" ContentType="application/vnd.openxmlformats-officedocument.drawingml.chart+xml"/>
  <Override PartName="/xl/charts/chart130.xml" ContentType="application/vnd.openxmlformats-officedocument.drawingml.chart+xml"/>
  <Override PartName="/xl/charts/chart131.xml" ContentType="application/vnd.openxmlformats-officedocument.drawingml.chart+xml"/>
  <Override PartName="/xl/charts/chart132.xml" ContentType="application/vnd.openxmlformats-officedocument.drawingml.chart+xml"/>
  <Override PartName="/xl/charts/chart133.xml" ContentType="application/vnd.openxmlformats-officedocument.drawingml.chart+xml"/>
  <Override PartName="/xl/charts/chart134.xml" ContentType="application/vnd.openxmlformats-officedocument.drawingml.chart+xml"/>
  <Override PartName="/xl/charts/chart135.xml" ContentType="application/vnd.openxmlformats-officedocument.drawingml.chart+xml"/>
  <Override PartName="/xl/charts/chart136.xml" ContentType="application/vnd.openxmlformats-officedocument.drawingml.chart+xml"/>
  <Override PartName="/xl/charts/chart137.xml" ContentType="application/vnd.openxmlformats-officedocument.drawingml.chart+xml"/>
  <Override PartName="/xl/charts/chart138.xml" ContentType="application/vnd.openxmlformats-officedocument.drawingml.chart+xml"/>
  <Override PartName="/xl/charts/chart139.xml" ContentType="application/vnd.openxmlformats-officedocument.drawingml.chart+xml"/>
  <Override PartName="/xl/charts/chart140.xml" ContentType="application/vnd.openxmlformats-officedocument.drawingml.chart+xml"/>
  <Override PartName="/xl/charts/chart141.xml" ContentType="application/vnd.openxmlformats-officedocument.drawingml.chart+xml"/>
  <Override PartName="/xl/charts/chart142.xml" ContentType="application/vnd.openxmlformats-officedocument.drawingml.chart+xml"/>
  <Override PartName="/xl/charts/chart143.xml" ContentType="application/vnd.openxmlformats-officedocument.drawingml.chart+xml"/>
  <Override PartName="/xl/charts/chart144.xml" ContentType="application/vnd.openxmlformats-officedocument.drawingml.chart+xml"/>
  <Override PartName="/xl/charts/chart145.xml" ContentType="application/vnd.openxmlformats-officedocument.drawingml.chart+xml"/>
  <Override PartName="/xl/charts/chart146.xml" ContentType="application/vnd.openxmlformats-officedocument.drawingml.chart+xml"/>
  <Override PartName="/xl/charts/chart147.xml" ContentType="application/vnd.openxmlformats-officedocument.drawingml.chart+xml"/>
  <Override PartName="/xl/charts/chart148.xml" ContentType="application/vnd.openxmlformats-officedocument.drawingml.chart+xml"/>
  <Override PartName="/xl/charts/chart149.xml" ContentType="application/vnd.openxmlformats-officedocument.drawingml.chart+xml"/>
  <Override PartName="/xl/charts/chart150.xml" ContentType="application/vnd.openxmlformats-officedocument.drawingml.chart+xml"/>
  <Override PartName="/xl/charts/chart151.xml" ContentType="application/vnd.openxmlformats-officedocument.drawingml.chart+xml"/>
  <Override PartName="/xl/charts/chart152.xml" ContentType="application/vnd.openxmlformats-officedocument.drawingml.chart+xml"/>
  <Override PartName="/xl/charts/chart153.xml" ContentType="application/vnd.openxmlformats-officedocument.drawingml.chart+xml"/>
  <Override PartName="/xl/charts/chart154.xml" ContentType="application/vnd.openxmlformats-officedocument.drawingml.chart+xml"/>
  <Override PartName="/xl/charts/chart155.xml" ContentType="application/vnd.openxmlformats-officedocument.drawingml.chart+xml"/>
  <Override PartName="/xl/charts/chart156.xml" ContentType="application/vnd.openxmlformats-officedocument.drawingml.chart+xml"/>
  <Override PartName="/xl/charts/chart157.xml" ContentType="application/vnd.openxmlformats-officedocument.drawingml.chart+xml"/>
  <Override PartName="/xl/charts/chart158.xml" ContentType="application/vnd.openxmlformats-officedocument.drawingml.chart+xml"/>
  <Override PartName="/xl/charts/chart159.xml" ContentType="application/vnd.openxmlformats-officedocument.drawingml.chart+xml"/>
  <Override PartName="/xl/charts/chart160.xml" ContentType="application/vnd.openxmlformats-officedocument.drawingml.chart+xml"/>
  <Override PartName="/xl/charts/chart161.xml" ContentType="application/vnd.openxmlformats-officedocument.drawingml.chart+xml"/>
  <Override PartName="/xl/charts/chart162.xml" ContentType="application/vnd.openxmlformats-officedocument.drawingml.chart+xml"/>
  <Override PartName="/xl/charts/chart163.xml" ContentType="application/vnd.openxmlformats-officedocument.drawingml.chart+xml"/>
  <Override PartName="/xl/charts/chart164.xml" ContentType="application/vnd.openxmlformats-officedocument.drawingml.chart+xml"/>
  <Override PartName="/xl/charts/chart165.xml" ContentType="application/vnd.openxmlformats-officedocument.drawingml.chart+xml"/>
  <Override PartName="/xl/charts/chart166.xml" ContentType="application/vnd.openxmlformats-officedocument.drawingml.chart+xml"/>
  <Override PartName="/xl/charts/chart167.xml" ContentType="application/vnd.openxmlformats-officedocument.drawingml.chart+xml"/>
  <Override PartName="/xl/charts/chart168.xml" ContentType="application/vnd.openxmlformats-officedocument.drawingml.chart+xml"/>
  <Override PartName="/xl/charts/chart169.xml" ContentType="application/vnd.openxmlformats-officedocument.drawingml.chart+xml"/>
  <Override PartName="/xl/charts/chart170.xml" ContentType="application/vnd.openxmlformats-officedocument.drawingml.chart+xml"/>
  <Override PartName="/xl/charts/chart171.xml" ContentType="application/vnd.openxmlformats-officedocument.drawingml.chart+xml"/>
  <Override PartName="/xl/charts/chart172.xml" ContentType="application/vnd.openxmlformats-officedocument.drawingml.chart+xml"/>
  <Override PartName="/xl/charts/chart173.xml" ContentType="application/vnd.openxmlformats-officedocument.drawingml.chart+xml"/>
  <Override PartName="/xl/charts/chart174.xml" ContentType="application/vnd.openxmlformats-officedocument.drawingml.chart+xml"/>
  <Override PartName="/xl/charts/chart175.xml" ContentType="application/vnd.openxmlformats-officedocument.drawingml.chart+xml"/>
  <Override PartName="/xl/charts/chart176.xml" ContentType="application/vnd.openxmlformats-officedocument.drawingml.chart+xml"/>
  <Override PartName="/xl/charts/chart177.xml" ContentType="application/vnd.openxmlformats-officedocument.drawingml.chart+xml"/>
  <Override PartName="/xl/charts/chart178.xml" ContentType="application/vnd.openxmlformats-officedocument.drawingml.chart+xml"/>
  <Override PartName="/xl/charts/chart179.xml" ContentType="application/vnd.openxmlformats-officedocument.drawingml.chart+xml"/>
  <Override PartName="/xl/charts/chart180.xml" ContentType="application/vnd.openxmlformats-officedocument.drawingml.chart+xml"/>
  <Override PartName="/xl/charts/chart181.xml" ContentType="application/vnd.openxmlformats-officedocument.drawingml.chart+xml"/>
  <Override PartName="/xl/charts/chart182.xml" ContentType="application/vnd.openxmlformats-officedocument.drawingml.chart+xml"/>
  <Override PartName="/xl/charts/chart183.xml" ContentType="application/vnd.openxmlformats-officedocument.drawingml.chart+xml"/>
  <Override PartName="/xl/charts/chart184.xml" ContentType="application/vnd.openxmlformats-officedocument.drawingml.chart+xml"/>
  <Override PartName="/xl/charts/chart185.xml" ContentType="application/vnd.openxmlformats-officedocument.drawingml.chart+xml"/>
  <Override PartName="/xl/charts/chart186.xml" ContentType="application/vnd.openxmlformats-officedocument.drawingml.chart+xml"/>
  <Override PartName="/xl/charts/chart187.xml" ContentType="application/vnd.openxmlformats-officedocument.drawingml.chart+xml"/>
  <Override PartName="/xl/charts/chart188.xml" ContentType="application/vnd.openxmlformats-officedocument.drawingml.chart+xml"/>
  <Override PartName="/xl/charts/chart189.xml" ContentType="application/vnd.openxmlformats-officedocument.drawingml.chart+xml"/>
  <Override PartName="/xl/charts/chart190.xml" ContentType="application/vnd.openxmlformats-officedocument.drawingml.chart+xml"/>
  <Override PartName="/xl/charts/chart191.xml" ContentType="application/vnd.openxmlformats-officedocument.drawingml.chart+xml"/>
  <Override PartName="/xl/charts/chart192.xml" ContentType="application/vnd.openxmlformats-officedocument.drawingml.chart+xml"/>
  <Override PartName="/xl/charts/chart193.xml" ContentType="application/vnd.openxmlformats-officedocument.drawingml.chart+xml"/>
  <Override PartName="/xl/charts/chart194.xml" ContentType="application/vnd.openxmlformats-officedocument.drawingml.chart+xml"/>
  <Override PartName="/xl/charts/chart195.xml" ContentType="application/vnd.openxmlformats-officedocument.drawingml.chart+xml"/>
  <Override PartName="/xl/charts/chart196.xml" ContentType="application/vnd.openxmlformats-officedocument.drawingml.chart+xml"/>
  <Override PartName="/xl/charts/chart197.xml" ContentType="application/vnd.openxmlformats-officedocument.drawingml.chart+xml"/>
  <Override PartName="/xl/charts/chart198.xml" ContentType="application/vnd.openxmlformats-officedocument.drawingml.chart+xml"/>
  <Override PartName="/xl/charts/chart199.xml" ContentType="application/vnd.openxmlformats-officedocument.drawingml.chart+xml"/>
  <Override PartName="/xl/charts/chart200.xml" ContentType="application/vnd.openxmlformats-officedocument.drawingml.chart+xml"/>
  <Override PartName="/xl/charts/chart201.xml" ContentType="application/vnd.openxmlformats-officedocument.drawingml.chart+xml"/>
  <Override PartName="/xl/charts/chart202.xml" ContentType="application/vnd.openxmlformats-officedocument.drawingml.chart+xml"/>
  <Override PartName="/xl/charts/chart203.xml" ContentType="application/vnd.openxmlformats-officedocument.drawingml.chart+xml"/>
  <Override PartName="/xl/charts/chart204.xml" ContentType="application/vnd.openxmlformats-officedocument.drawingml.chart+xml"/>
  <Override PartName="/xl/charts/chart205.xml" ContentType="application/vnd.openxmlformats-officedocument.drawingml.chart+xml"/>
  <Override PartName="/xl/charts/chart206.xml" ContentType="application/vnd.openxmlformats-officedocument.drawingml.chart+xml"/>
  <Override PartName="/xl/charts/chart207.xml" ContentType="application/vnd.openxmlformats-officedocument.drawingml.chart+xml"/>
  <Override PartName="/xl/charts/chart208.xml" ContentType="application/vnd.openxmlformats-officedocument.drawingml.chart+xml"/>
  <Override PartName="/xl/charts/chart209.xml" ContentType="application/vnd.openxmlformats-officedocument.drawingml.chart+xml"/>
  <Override PartName="/xl/charts/chart210.xml" ContentType="application/vnd.openxmlformats-officedocument.drawingml.chart+xml"/>
  <Override PartName="/xl/charts/chart211.xml" ContentType="application/vnd.openxmlformats-officedocument.drawingml.chart+xml"/>
  <Override PartName="/xl/charts/chart212.xml" ContentType="application/vnd.openxmlformats-officedocument.drawingml.chart+xml"/>
  <Override PartName="/xl/charts/chart213.xml" ContentType="application/vnd.openxmlformats-officedocument.drawingml.chart+xml"/>
  <Override PartName="/xl/charts/chart214.xml" ContentType="application/vnd.openxmlformats-officedocument.drawingml.chart+xml"/>
  <Override PartName="/xl/charts/chart215.xml" ContentType="application/vnd.openxmlformats-officedocument.drawingml.chart+xml"/>
  <Override PartName="/xl/charts/chart216.xml" ContentType="application/vnd.openxmlformats-officedocument.drawingml.chart+xml"/>
  <Override PartName="/xl/charts/chart217.xml" ContentType="application/vnd.openxmlformats-officedocument.drawingml.chart+xml"/>
  <Override PartName="/xl/charts/chart218.xml" ContentType="application/vnd.openxmlformats-officedocument.drawingml.chart+xml"/>
  <Override PartName="/xl/charts/chart219.xml" ContentType="application/vnd.openxmlformats-officedocument.drawingml.chart+xml"/>
  <Override PartName="/xl/charts/chart220.xml" ContentType="application/vnd.openxmlformats-officedocument.drawingml.chart+xml"/>
  <Override PartName="/xl/charts/chart221.xml" ContentType="application/vnd.openxmlformats-officedocument.drawingml.chart+xml"/>
  <Override PartName="/xl/charts/chart222.xml" ContentType="application/vnd.openxmlformats-officedocument.drawingml.chart+xml"/>
  <Override PartName="/xl/charts/chart223.xml" ContentType="application/vnd.openxmlformats-officedocument.drawingml.chart+xml"/>
  <Override PartName="/xl/charts/chart224.xml" ContentType="application/vnd.openxmlformats-officedocument.drawingml.chart+xml"/>
  <Override PartName="/xl/charts/chart225.xml" ContentType="application/vnd.openxmlformats-officedocument.drawingml.chart+xml"/>
  <Override PartName="/xl/charts/chart226.xml" ContentType="application/vnd.openxmlformats-officedocument.drawingml.chart+xml"/>
  <Override PartName="/xl/charts/chart227.xml" ContentType="application/vnd.openxmlformats-officedocument.drawingml.chart+xml"/>
  <Override PartName="/xl/charts/chart228.xml" ContentType="application/vnd.openxmlformats-officedocument.drawingml.chart+xml"/>
  <Override PartName="/xl/workbook.xml" ContentType="application/vnd.openxmlformats-officedocument.spreadsheetml.sheet.main+xml"/>
</Types>
</file>

<file path=_rels/.rels><?xml version="1.0" encoding="UTF-8" standalone="yes"?>
<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620" yWindow="1100" windowWidth="30600" windowHeight="20280" tabRatio="600" firstSheet="0" activeTab="0" autoFilterDateGrouping="1"/>
  </bookViews>
  <sheets>
    <sheet name="Summary" sheetId="1" state="visible" r:id="rId1"/>
    <sheet name="Top 50" sheetId="2" state="visible" r:id="rId2"/>
    <sheet name="Tablet Total" sheetId="3" state="visible" r:id="rId3"/>
    <sheet name="Tablet $800+" sheetId="4" state="visible" r:id="rId4"/>
    <sheet name="Tablet $400-$800" sheetId="5" state="visible" r:id="rId5"/>
    <sheet name="Tablet $400-" sheetId="6" state="visible" r:id="rId6"/>
    <sheet name="Handheld Total" sheetId="7" state="visible" r:id="rId7"/>
    <sheet name="Handheld $75+" sheetId="8" state="visible" r:id="rId8"/>
    <sheet name="Handheld $75-" sheetId="9" state="visible" r:id="rId9"/>
    <sheet name="Dongle" sheetId="10" state="visible" r:id="rId10"/>
    <sheet name="Other Tools" sheetId="11" state="visible" r:id="rId11"/>
    <sheet name="Ancel" sheetId="12" state="visible" r:id="rId12"/>
    <sheet name="AUTEL" sheetId="13" state="visible" r:id="rId13"/>
    <sheet name="Foxwell" sheetId="14" state="visible" r:id="rId14"/>
    <sheet name="iCarsoft" sheetId="15" state="visible" r:id="rId15"/>
    <sheet name="LAUNCH" sheetId="16" state="visible" r:id="rId16"/>
    <sheet name="TOPDON" sheetId="17" state="visible" r:id="rId17"/>
    <sheet name="Thinkcar" sheetId="18" state="visible" r:id="rId18"/>
    <sheet name="XTOOL" sheetId="19" state="visible" r:id="rId19"/>
    <sheet name="Innova" sheetId="20" state="visible" r:id="rId20"/>
    <sheet name="Innova 1p" sheetId="21" state="visible" r:id="rId21"/>
    <sheet name="Innova 3p" sheetId="22" state="visible" r:id="rId22"/>
    <sheet name="BLCKTEC" sheetId="23" state="visible" r:id="rId23"/>
    <sheet name="Bluedriver" sheetId="24" state="visible" r:id="rId24"/>
    <sheet name="Diesel Laptops" sheetId="25" state="visible" r:id="rId25"/>
    <sheet name="Edge" sheetId="26" state="visible" r:id="rId26"/>
    <sheet name="FIXD" sheetId="27" state="visible" r:id="rId27"/>
    <sheet name="Generic" sheetId="28" state="visible" r:id="rId28"/>
    <sheet name="Innovative Products Of America" sheetId="29" state="visible" r:id="rId29"/>
    <sheet name="KINGBOLEN" sheetId="30" state="visible" r:id="rId30"/>
    <sheet name="Motopower" sheetId="31" state="visible" r:id="rId31"/>
    <sheet name="Mucar" sheetId="32" state="visible" r:id="rId32"/>
    <sheet name="OBDeleven" sheetId="33" state="visible" r:id="rId33"/>
    <sheet name="OBDLink" sheetId="34" state="visible" r:id="rId34"/>
    <sheet name="OPUS | IVS" sheetId="35" state="visible" r:id="rId35"/>
    <sheet name="Veepeak" sheetId="36" state="visible" r:id="rId36"/>
    <sheet name="Vgate" sheetId="37" state="visible" r:id="rId37"/>
    <sheet name="Z Automotive" sheetId="38" state="visible" r:id="rId38"/>
  </sheets>
  <definedNames/>
  <calcPr calcId="191029" fullCalcOnLoad="1"/>
</workbook>
</file>

<file path=xl/styles.xml><?xml version="1.0" encoding="utf-8"?>
<styleSheet xmlns="http://schemas.openxmlformats.org/spreadsheetml/2006/main">
  <numFmts count="6">
    <numFmt numFmtId="164" formatCode="&quot;$&quot;#,##0"/>
    <numFmt numFmtId="165" formatCode="#,##0.0"/>
    <numFmt numFmtId="166" formatCode="&quot;$&quot;#,##0.00"/>
    <numFmt numFmtId="167" formatCode="0.0"/>
    <numFmt numFmtId="168" formatCode="_(* #,##0_);_(* \(#,##0\);_(* &quot;-&quot;??_);_(@_)"/>
    <numFmt numFmtId="169" formatCode="\$#,##0.00"/>
  </numFmts>
  <fonts count="35">
    <font>
      <name val="Calibri"/>
      <family val="2"/>
      <color theme="1"/>
      <sz val="12"/>
      <scheme val="minor"/>
    </font>
    <font>
      <name val="Calibri"/>
      <family val="2"/>
      <b val="1"/>
      <color theme="1"/>
      <sz val="12"/>
      <scheme val="minor"/>
    </font>
    <font>
      <name val="Arial"/>
      <family val="2"/>
      <b val="1"/>
      <color theme="1"/>
      <sz val="21"/>
    </font>
    <font>
      <name val="Arial"/>
      <family val="2"/>
      <b val="1"/>
      <color theme="1"/>
      <sz val="10"/>
    </font>
    <font>
      <name val="Calibri"/>
      <family val="2"/>
      <b val="1"/>
      <color rgb="FF000000"/>
      <sz val="10"/>
    </font>
    <font>
      <name val="Calibri"/>
      <family val="2"/>
      <color rgb="FF000000"/>
      <sz val="10"/>
    </font>
    <font>
      <name val="Calibri"/>
      <family val="2"/>
      <color theme="1"/>
      <sz val="10"/>
      <scheme val="minor"/>
    </font>
    <font>
      <name val="Calibri"/>
      <family val="2"/>
      <b val="1"/>
      <color theme="1"/>
      <sz val="10"/>
      <scheme val="minor"/>
    </font>
    <font>
      <name val="Arial"/>
      <family val="2"/>
      <color theme="1"/>
      <sz val="10"/>
    </font>
    <font>
      <name val="Calibri"/>
      <family val="2"/>
      <b val="1"/>
      <color theme="1"/>
      <sz val="12"/>
    </font>
    <font>
      <name val="Calibri"/>
      <family val="2"/>
      <b val="1"/>
      <color theme="1"/>
      <sz val="11"/>
    </font>
    <font>
      <name val="Calibri"/>
      <family val="2"/>
      <color theme="10"/>
      <sz val="12"/>
      <u val="single"/>
      <scheme val="minor"/>
    </font>
    <font>
      <name val="Calibri"/>
      <family val="2"/>
      <sz val="10"/>
    </font>
    <font>
      <name val="Calibri"/>
      <family val="2"/>
      <color rgb="FFFF0000"/>
      <sz val="12"/>
      <scheme val="minor"/>
    </font>
    <font>
      <name val="Calibri"/>
      <family val="2"/>
      <b val="1"/>
      <sz val="12"/>
    </font>
    <font>
      <name val="Arial"/>
      <family val="2"/>
      <sz val="10"/>
    </font>
    <font>
      <name val="Arial"/>
      <family val="2"/>
      <b val="1"/>
      <sz val="10"/>
    </font>
    <font>
      <name val="Calibri"/>
      <family val="2"/>
      <color theme="1"/>
      <sz val="12"/>
      <scheme val="minor"/>
    </font>
    <font>
      <name val="Calibri"/>
      <family val="2"/>
      <color theme="1"/>
      <sz val="11"/>
    </font>
    <font>
      <name val="Calibri"/>
      <family val="2"/>
      <b val="1"/>
      <color theme="1"/>
      <sz val="16"/>
      <scheme val="minor"/>
    </font>
    <font>
      <name val="Arial"/>
      <family val="2"/>
      <color rgb="FFFF0000"/>
      <sz val="10"/>
    </font>
    <font>
      <name val="Calibri"/>
      <family val="2"/>
      <color rgb="FFFF0000"/>
      <sz val="10"/>
      <scheme val="minor"/>
    </font>
    <font>
      <name val="Calibri"/>
      <family val="2"/>
      <color rgb="FFFF0000"/>
      <sz val="12"/>
      <u val="single"/>
      <scheme val="minor"/>
    </font>
    <font>
      <name val="Calibri"/>
      <family val="2"/>
      <color rgb="FF0070C0"/>
      <sz val="12"/>
      <u val="single"/>
      <scheme val="minor"/>
    </font>
    <font>
      <name val="Calibri"/>
      <family val="2"/>
      <b val="1"/>
      <color theme="10"/>
      <sz val="12"/>
      <u val="single"/>
      <scheme val="minor"/>
    </font>
    <font>
      <name val="Calibri (Body)"/>
      <color rgb="FFFF0000"/>
      <sz val="10"/>
    </font>
    <font>
      <name val="Calibri (Body)"/>
      <color rgb="FFFF0000"/>
      <sz val="12"/>
    </font>
    <font>
      <name val="Calibri (Body)"/>
      <color theme="1"/>
      <sz val="10"/>
    </font>
    <font>
      <name val="Calibri (Body)"/>
      <color theme="1"/>
      <sz val="12"/>
    </font>
    <font>
      <name val="Calibri"/>
      <family val="2"/>
      <color theme="4"/>
      <sz val="10"/>
      <scheme val="minor"/>
    </font>
    <font>
      <name val="Calibri"/>
      <family val="2"/>
      <color theme="4"/>
      <sz val="12"/>
      <scheme val="minor"/>
    </font>
    <font>
      <name val="Calibri"/>
      <family val="2"/>
      <color theme="4"/>
      <sz val="12"/>
      <u val="single"/>
      <scheme val="minor"/>
    </font>
    <font>
      <name val="Arial"/>
      <family val="2"/>
      <color theme="4"/>
      <sz val="10"/>
    </font>
    <font>
      <name val="Calibri (Body)"/>
      <color theme="4"/>
      <sz val="10"/>
    </font>
    <font>
      <name val="Calibri (Body)"/>
      <color theme="4"/>
      <sz val="12"/>
    </font>
  </fonts>
  <fills count="10">
    <fill>
      <patternFill/>
    </fill>
    <fill>
      <patternFill patternType="gray125"/>
    </fill>
    <fill>
      <patternFill patternType="solid">
        <fgColor rgb="FFB4A7D6"/>
        <bgColor rgb="FFB4A7D6"/>
      </patternFill>
    </fill>
    <fill>
      <patternFill patternType="solid">
        <fgColor rgb="FFD9D2E9"/>
        <bgColor rgb="FFD9D2E9"/>
      </patternFill>
    </fill>
    <fill>
      <patternFill patternType="solid">
        <fgColor rgb="FFDAD2E9"/>
        <bgColor indexed="64"/>
      </patternFill>
    </fill>
    <fill>
      <patternFill patternType="solid">
        <fgColor rgb="FFDAD2E9"/>
        <bgColor rgb="FFD9D2E9"/>
      </patternFill>
    </fill>
    <fill>
      <patternFill patternType="solid">
        <fgColor theme="0" tint="-0.0499893185216834"/>
        <bgColor indexed="64"/>
      </patternFill>
    </fill>
    <fill>
      <patternFill patternType="solid">
        <fgColor rgb="FFB5A7D7"/>
        <bgColor indexed="64"/>
      </patternFill>
    </fill>
    <fill>
      <patternFill patternType="solid">
        <fgColor theme="0"/>
        <bgColor indexed="64"/>
      </patternFill>
    </fill>
    <fill>
      <patternFill patternType="solid">
        <fgColor theme="0" tint="-0.249977111117893"/>
        <bgColor indexed="64"/>
      </patternFill>
    </fill>
  </fills>
  <borders count="45">
    <border>
      <left/>
      <right/>
      <top/>
      <bottom/>
      <diagonal/>
    </border>
    <border>
      <left/>
      <right/>
      <top style="double">
        <color rgb="FF000000"/>
      </top>
      <bottom/>
      <diagonal/>
    </border>
    <border>
      <left style="thin">
        <color indexed="64"/>
      </left>
      <right style="thin">
        <color theme="2" tint="-0.249977111117893"/>
      </right>
      <top style="thin">
        <color indexed="64"/>
      </top>
      <bottom style="thin">
        <color theme="2" tint="-0.249977111117893"/>
      </bottom>
      <diagonal/>
    </border>
    <border>
      <left style="thin">
        <color theme="2" tint="-0.249977111117893"/>
      </left>
      <right style="thin">
        <color indexed="64"/>
      </right>
      <top style="thin">
        <color indexed="64"/>
      </top>
      <bottom style="thin">
        <color theme="2" tint="-0.249977111117893"/>
      </bottom>
      <diagonal/>
    </border>
    <border>
      <left style="thin">
        <color indexed="64"/>
      </left>
      <right style="thin">
        <color theme="2" tint="-0.249977111117893"/>
      </right>
      <top style="thin">
        <color theme="2" tint="-0.249977111117893"/>
      </top>
      <bottom style="thin">
        <color theme="2" tint="-0.249977111117893"/>
      </bottom>
      <diagonal/>
    </border>
    <border>
      <left style="thin">
        <color theme="2" tint="-0.249977111117893"/>
      </left>
      <right style="thin">
        <color indexed="64"/>
      </right>
      <top style="thin">
        <color theme="2" tint="-0.249977111117893"/>
      </top>
      <bottom style="thin">
        <color theme="2" tint="-0.249977111117893"/>
      </bottom>
      <diagonal/>
    </border>
    <border>
      <left style="thin">
        <color indexed="64"/>
      </left>
      <right style="thin">
        <color theme="2" tint="-0.249977111117893"/>
      </right>
      <top style="thin">
        <color theme="2" tint="-0.249977111117893"/>
      </top>
      <bottom style="thin">
        <color indexed="64"/>
      </bottom>
      <diagonal/>
    </border>
    <border>
      <left style="thin">
        <color theme="2" tint="-0.249977111117893"/>
      </left>
      <right style="thin">
        <color indexed="64"/>
      </right>
      <top style="thin">
        <color theme="2" tint="-0.249977111117893"/>
      </top>
      <bottom style="thin">
        <color indexed="64"/>
      </bottom>
      <diagonal/>
    </border>
    <border>
      <left style="thin">
        <color indexed="64"/>
      </left>
      <right style="thin">
        <color theme="2" tint="-0.249977111117893"/>
      </right>
      <top style="thin">
        <color indexed="64"/>
      </top>
      <bottom style="thin">
        <color indexed="64"/>
      </bottom>
      <diagonal/>
    </border>
    <border>
      <left style="thin">
        <color theme="2" tint="-0.249977111117893"/>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style="thin">
        <color theme="2" tint="-0.249977111117893"/>
      </right>
      <top style="thin">
        <color indexed="64"/>
      </top>
      <bottom style="thin">
        <color theme="2" tint="-0.249977111117893"/>
      </bottom>
      <diagonal/>
    </border>
    <border>
      <left/>
      <right style="thin">
        <color theme="2" tint="-0.249977111117893"/>
      </right>
      <top style="thin">
        <color theme="2" tint="-0.249977111117893"/>
      </top>
      <bottom style="thin">
        <color theme="2" tint="-0.249977111117893"/>
      </bottom>
      <diagonal/>
    </border>
    <border>
      <left/>
      <right style="thin">
        <color theme="2" tint="-0.249977111117893"/>
      </right>
      <top style="thin">
        <color theme="2" tint="-0.249977111117893"/>
      </top>
      <bottom style="thin">
        <color indexed="64"/>
      </bottom>
      <diagonal/>
    </border>
    <border>
      <left style="thin">
        <color indexed="64"/>
      </left>
      <right/>
      <top style="thin">
        <color indexed="64"/>
      </top>
      <bottom style="thin">
        <color theme="2" tint="-0.249977111117893"/>
      </bottom>
      <diagonal/>
    </border>
    <border>
      <left style="thin">
        <color indexed="64"/>
      </left>
      <right/>
      <top style="thin">
        <color theme="2" tint="-0.249977111117893"/>
      </top>
      <bottom style="thin">
        <color theme="2" tint="-0.249977111117893"/>
      </bottom>
      <diagonal/>
    </border>
    <border>
      <left style="thin">
        <color indexed="64"/>
      </left>
      <right/>
      <top style="thin">
        <color theme="2" tint="-0.249977111117893"/>
      </top>
      <bottom style="thin">
        <color indexed="64"/>
      </bottom>
      <diagonal/>
    </border>
    <border>
      <left style="thin">
        <color indexed="64"/>
      </left>
      <right/>
      <top style="thin">
        <color indexed="64"/>
      </top>
      <bottom style="thin">
        <color indexed="64"/>
      </bottom>
      <diagonal/>
    </border>
    <border>
      <left/>
      <right style="thin">
        <color theme="2" tint="-0.249977111117893"/>
      </right>
      <top style="thin">
        <color indexed="64"/>
      </top>
      <bottom style="thin">
        <color indexed="64"/>
      </bottom>
      <diagonal/>
    </border>
    <border>
      <left style="thin">
        <color indexed="64"/>
      </left>
      <right/>
      <top/>
      <bottom style="thin">
        <color theme="2" tint="-0.249977111117893"/>
      </bottom>
      <diagonal/>
    </border>
    <border>
      <left style="thin">
        <color indexed="64"/>
      </left>
      <right style="thin">
        <color theme="2" tint="-0.249977111117893"/>
      </right>
      <top/>
      <bottom style="thin">
        <color theme="2" tint="-0.249977111117893"/>
      </bottom>
      <diagonal/>
    </border>
    <border>
      <left style="thin">
        <color theme="2" tint="-0.249977111117893"/>
      </left>
      <right style="thin">
        <color indexed="64"/>
      </right>
      <top/>
      <bottom style="thin">
        <color theme="2" tint="-0.249977111117893"/>
      </bottom>
      <diagonal/>
    </border>
    <border>
      <left/>
      <right style="thin">
        <color theme="2" tint="-0.249977111117893"/>
      </right>
      <top/>
      <bottom style="thin">
        <color theme="2" tint="-0.249977111117893"/>
      </bottom>
      <diagonal/>
    </border>
    <border>
      <left style="thin">
        <color theme="2" tint="-0.249977111117893"/>
      </left>
      <right style="thin">
        <color indexed="64"/>
      </right>
      <top style="thin">
        <color indexed="64"/>
      </top>
      <bottom/>
      <diagonal/>
    </border>
    <border>
      <left style="thin">
        <color indexed="64"/>
      </left>
      <right/>
      <top/>
      <bottom/>
      <diagonal/>
    </border>
    <border>
      <left style="thin">
        <color indexed="64"/>
      </left>
      <right/>
      <top/>
      <bottom style="thin">
        <color indexed="64"/>
      </bottom>
      <diagonal/>
    </border>
    <border>
      <left style="thin">
        <color theme="2" tint="-0.249977111117893"/>
      </left>
      <right style="thin">
        <color indexed="64"/>
      </right>
      <top style="thin">
        <color theme="0" tint="-0.3499862666707358"/>
      </top>
      <bottom style="thin">
        <color theme="2" tint="-0.249977111117893"/>
      </bottom>
      <diagonal/>
    </border>
    <border>
      <left style="thin">
        <color theme="2" tint="-0.249977111117893"/>
      </left>
      <right style="thin">
        <color indexed="64"/>
      </right>
      <top style="thin">
        <color theme="0" tint="-0.3499862666707358"/>
      </top>
      <bottom/>
      <diagonal/>
    </border>
    <border>
      <left style="thin">
        <color theme="2" tint="-0.249977111117893"/>
      </left>
      <right style="thin">
        <color theme="0" tint="-0.3499862666707358"/>
      </right>
      <top style="thin">
        <color indexed="64"/>
      </top>
      <bottom style="thin">
        <color indexed="64"/>
      </bottom>
      <diagonal/>
    </border>
    <border>
      <left/>
      <right style="thin">
        <color indexed="64"/>
      </right>
      <top style="thin">
        <color indexed="64"/>
      </top>
      <bottom style="thin">
        <color indexed="64"/>
      </bottom>
      <diagonal/>
    </border>
    <border>
      <left style="thin">
        <color theme="2" tint="-0.249977111117893"/>
      </left>
      <right style="thin">
        <color theme="0" tint="-0.3499862666707358"/>
      </right>
      <top style="thin">
        <color theme="2" tint="-0.249977111117893"/>
      </top>
      <bottom style="thin">
        <color theme="2" tint="-0.249977111117893"/>
      </bottom>
      <diagonal/>
    </border>
    <border>
      <left style="thin">
        <color theme="2" tint="-0.249977111117893"/>
      </left>
      <right style="thin">
        <color theme="0" tint="-0.3499862666707358"/>
      </right>
      <top/>
      <bottom style="thin">
        <color theme="2" tint="-0.249977111117893"/>
      </bottom>
      <diagonal/>
    </border>
    <border>
      <left style="thin">
        <color theme="2" tint="-0.249977111117893"/>
      </left>
      <right style="thin">
        <color theme="0" tint="-0.3499862666707358"/>
      </right>
      <top style="thin">
        <color theme="2" tint="-0.249977111117893"/>
      </top>
      <bottom style="thin">
        <color indexed="64"/>
      </bottom>
      <diagonal/>
    </border>
    <border>
      <left/>
      <right/>
      <top style="thin">
        <color indexed="64"/>
      </top>
      <bottom style="thin">
        <color indexed="64"/>
      </bottom>
      <diagonal/>
    </border>
    <border>
      <left/>
      <right/>
      <top/>
      <bottom style="thin">
        <color theme="2" tint="-0.249977111117893"/>
      </bottom>
      <diagonal/>
    </border>
    <border>
      <left/>
      <right/>
      <top style="thin">
        <color theme="2" tint="-0.249977111117893"/>
      </top>
      <bottom style="thin">
        <color indexed="64"/>
      </bottom>
      <diagonal/>
    </border>
    <border>
      <left/>
      <right/>
      <top style="thin">
        <color theme="2" tint="-0.249977111117893"/>
      </top>
      <bottom style="thin">
        <color theme="2" tint="-0.249977111117893"/>
      </bottom>
      <diagonal/>
    </border>
    <border>
      <left/>
      <right/>
      <top/>
      <bottom style="thin">
        <color indexed="64"/>
      </bottom>
      <diagonal/>
    </border>
    <border>
      <left style="thin">
        <color indexed="64"/>
      </left>
      <right style="thin">
        <color theme="2" tint="-0.249977111117893"/>
      </right>
      <top/>
      <bottom/>
      <diagonal/>
    </border>
    <border>
      <left/>
      <right style="thin">
        <color theme="2" tint="-0.249977111117893"/>
      </right>
      <top/>
      <bottom/>
      <diagonal/>
    </border>
    <border>
      <left style="thin">
        <color theme="2" tint="-0.249977111117893"/>
      </left>
      <right style="thin">
        <color indexed="64"/>
      </right>
      <top/>
      <bottom/>
      <diagonal/>
    </border>
    <border>
      <left style="thin">
        <color theme="2" tint="-0.249977111117893"/>
      </left>
      <right style="thin">
        <color theme="0" tint="-0.3499862666707358"/>
      </right>
      <top/>
      <bottom/>
      <diagonal/>
    </border>
    <border>
      <left style="thin">
        <color indexed="64"/>
      </left>
      <right style="thin">
        <color theme="2" tint="-0.249977111117893"/>
      </right>
      <top/>
      <bottom style="thin">
        <color indexed="64"/>
      </bottom>
      <diagonal/>
    </border>
    <border>
      <left/>
      <right style="thin">
        <color theme="2" tint="-0.249977111117893"/>
      </right>
      <top/>
      <bottom style="thin">
        <color indexed="64"/>
      </bottom>
      <diagonal/>
    </border>
    <border>
      <left style="thin">
        <color theme="2" tint="-0.249977111117893"/>
      </left>
      <right style="thin">
        <color indexed="64"/>
      </right>
      <top/>
      <bottom style="thin">
        <color indexed="64"/>
      </bottom>
      <diagonal/>
    </border>
  </borders>
  <cellStyleXfs count="5">
    <xf numFmtId="0" fontId="17" fillId="0" borderId="0"/>
    <xf numFmtId="0" fontId="11" fillId="0" borderId="0"/>
    <xf numFmtId="43" fontId="17" fillId="0" borderId="0"/>
    <xf numFmtId="9" fontId="17" fillId="0" borderId="0"/>
    <xf numFmtId="44" fontId="17" fillId="0" borderId="0"/>
  </cellStyleXfs>
  <cellXfs count="330">
    <xf numFmtId="0" fontId="0" fillId="0" borderId="0" pivotButton="0" quotePrefix="0" xfId="0"/>
    <xf numFmtId="0" fontId="3" fillId="3" borderId="0" applyAlignment="1" pivotButton="0" quotePrefix="0" xfId="0">
      <alignment horizontal="center"/>
    </xf>
    <xf numFmtId="0" fontId="4" fillId="3" borderId="0" applyAlignment="1" pivotButton="0" quotePrefix="0" xfId="0">
      <alignment horizontal="center"/>
    </xf>
    <xf numFmtId="164" fontId="4" fillId="3" borderId="0" applyAlignment="1" pivotButton="0" quotePrefix="0" xfId="0">
      <alignment horizontal="center"/>
    </xf>
    <xf numFmtId="165" fontId="4" fillId="3" borderId="0" applyAlignment="1" pivotButton="0" quotePrefix="0" xfId="0">
      <alignment horizontal="center"/>
    </xf>
    <xf numFmtId="0" fontId="6" fillId="0" borderId="0" pivotButton="0" quotePrefix="0" xfId="0"/>
    <xf numFmtId="164" fontId="6" fillId="0" borderId="0" pivotButton="0" quotePrefix="0" xfId="0"/>
    <xf numFmtId="10" fontId="6" fillId="0" borderId="0" pivotButton="0" quotePrefix="0" xfId="0"/>
    <xf numFmtId="165" fontId="6" fillId="0" borderId="0" pivotButton="0" quotePrefix="0" xfId="0"/>
    <xf numFmtId="0" fontId="4" fillId="0" borderId="1" applyAlignment="1" pivotButton="0" quotePrefix="0" xfId="0">
      <alignment horizontal="center"/>
    </xf>
    <xf numFmtId="0" fontId="7" fillId="0" borderId="1" pivotButton="0" quotePrefix="0" xfId="0"/>
    <xf numFmtId="164" fontId="7" fillId="0" borderId="1" pivotButton="0" quotePrefix="0" xfId="0"/>
    <xf numFmtId="10" fontId="7" fillId="0" borderId="1" pivotButton="0" quotePrefix="0" xfId="0"/>
    <xf numFmtId="3" fontId="7" fillId="0" borderId="1" pivotButton="0" quotePrefix="0" xfId="0"/>
    <xf numFmtId="165" fontId="7" fillId="0" borderId="1" pivotButton="0" quotePrefix="0" xfId="0"/>
    <xf numFmtId="0" fontId="8" fillId="0" borderId="0" applyAlignment="1" pivotButton="0" quotePrefix="0" xfId="0">
      <alignment horizontal="right"/>
    </xf>
    <xf numFmtId="49" fontId="6" fillId="0" borderId="0" pivotButton="0" quotePrefix="0" xfId="0"/>
    <xf numFmtId="3" fontId="6" fillId="0" borderId="0" pivotButton="0" quotePrefix="0" xfId="0"/>
    <xf numFmtId="166" fontId="6" fillId="0" borderId="0" pivotButton="0" quotePrefix="0" xfId="0"/>
    <xf numFmtId="164" fontId="4" fillId="4" borderId="0" applyAlignment="1" pivotButton="0" quotePrefix="0" xfId="0">
      <alignment horizontal="center"/>
    </xf>
    <xf numFmtId="164" fontId="6" fillId="4" borderId="0" pivotButton="0" quotePrefix="0" xfId="0"/>
    <xf numFmtId="164" fontId="7" fillId="4" borderId="1" pivotButton="0" quotePrefix="0" xfId="0"/>
    <xf numFmtId="3" fontId="0" fillId="0" borderId="0" pivotButton="0" quotePrefix="0" xfId="0"/>
    <xf numFmtId="164" fontId="4" fillId="5" borderId="0" applyAlignment="1" pivotButton="0" quotePrefix="0" xfId="0">
      <alignment horizontal="center"/>
    </xf>
    <xf numFmtId="3" fontId="4" fillId="3" borderId="0" applyAlignment="1" pivotButton="0" quotePrefix="0" xfId="0">
      <alignment horizontal="center"/>
    </xf>
    <xf numFmtId="0" fontId="11" fillId="0" borderId="0" pivotButton="0" quotePrefix="0" xfId="1"/>
    <xf numFmtId="0" fontId="13" fillId="0" borderId="0" pivotButton="0" quotePrefix="0" xfId="0"/>
    <xf numFmtId="164" fontId="13" fillId="0" borderId="0" pivotButton="0" quotePrefix="0" xfId="0"/>
    <xf numFmtId="166" fontId="7" fillId="0" borderId="1" pivotButton="0" quotePrefix="0" xfId="0"/>
    <xf numFmtId="0" fontId="10" fillId="0" borderId="0" applyAlignment="1" pivotButton="0" quotePrefix="0" xfId="0">
      <alignment horizontal="left" vertical="center" wrapText="1"/>
    </xf>
    <xf numFmtId="0" fontId="6" fillId="0" borderId="0" applyAlignment="1" pivotButton="0" quotePrefix="0" xfId="0">
      <alignment horizontal="left" vertical="center" wrapText="1"/>
    </xf>
    <xf numFmtId="0" fontId="0" fillId="0" borderId="0" applyAlignment="1" pivotButton="0" quotePrefix="0" xfId="0">
      <alignment vertical="center" wrapText="1"/>
    </xf>
    <xf numFmtId="0" fontId="1" fillId="0" borderId="0" applyAlignment="1" pivotButton="0" quotePrefix="0" xfId="0">
      <alignment vertical="center" wrapText="1"/>
    </xf>
    <xf numFmtId="0" fontId="1" fillId="0" borderId="0" applyAlignment="1" pivotButton="0" quotePrefix="0" xfId="0">
      <alignment horizontal="left" vertical="center" wrapText="1"/>
    </xf>
    <xf numFmtId="0" fontId="11" fillId="0" borderId="0" applyAlignment="1" pivotButton="0" quotePrefix="0" xfId="1">
      <alignment vertical="center" wrapText="1"/>
    </xf>
    <xf numFmtId="0" fontId="0" fillId="0" borderId="0" applyAlignment="1" pivotButton="0" quotePrefix="0" xfId="0">
      <alignment horizontal="left" vertical="center" wrapText="1"/>
    </xf>
    <xf numFmtId="3" fontId="1" fillId="0" borderId="0" applyAlignment="1" pivotButton="0" quotePrefix="0" xfId="0">
      <alignment vertical="center" wrapText="1"/>
    </xf>
    <xf numFmtId="2" fontId="0" fillId="0" borderId="0" applyAlignment="1" pivotButton="0" quotePrefix="0" xfId="0">
      <alignment vertical="center" wrapText="1"/>
    </xf>
    <xf numFmtId="1" fontId="14" fillId="3" borderId="0" applyAlignment="1" pivotButton="0" quotePrefix="0" xfId="0">
      <alignment horizontal="left" vertical="center" wrapText="1"/>
    </xf>
    <xf numFmtId="0" fontId="14" fillId="3" borderId="0" applyAlignment="1" pivotButton="0" quotePrefix="0" xfId="0">
      <alignment horizontal="left" vertical="center" wrapText="1"/>
    </xf>
    <xf numFmtId="166" fontId="14" fillId="3" borderId="0" applyAlignment="1" pivotButton="0" quotePrefix="0" xfId="0">
      <alignment horizontal="left" vertical="center" wrapText="1"/>
    </xf>
    <xf numFmtId="164" fontId="14" fillId="3" borderId="0" applyAlignment="1" pivotButton="0" quotePrefix="0" xfId="0">
      <alignment horizontal="left" vertical="center" wrapText="1"/>
    </xf>
    <xf numFmtId="3" fontId="14" fillId="3" borderId="0" applyAlignment="1" pivotButton="0" quotePrefix="0" xfId="0">
      <alignment horizontal="left" vertical="center" wrapText="1"/>
    </xf>
    <xf numFmtId="2" fontId="14" fillId="3" borderId="0" applyAlignment="1" pivotButton="0" quotePrefix="0" xfId="0">
      <alignment horizontal="left" vertical="center" wrapText="1"/>
    </xf>
    <xf numFmtId="167" fontId="14" fillId="3" borderId="0" applyAlignment="1" pivotButton="0" quotePrefix="0" xfId="0">
      <alignment horizontal="left" vertical="center" wrapText="1"/>
    </xf>
    <xf numFmtId="3" fontId="14" fillId="5" borderId="0" applyAlignment="1" pivotButton="0" quotePrefix="0" xfId="0">
      <alignment horizontal="left" vertical="center" wrapText="1"/>
    </xf>
    <xf numFmtId="166" fontId="10" fillId="0" borderId="0" applyAlignment="1" pivotButton="0" quotePrefix="0" xfId="0">
      <alignment horizontal="left" vertical="center" wrapText="1"/>
    </xf>
    <xf numFmtId="164" fontId="10" fillId="0" borderId="0" applyAlignment="1" pivotButton="0" quotePrefix="0" xfId="0">
      <alignment horizontal="left" vertical="center" wrapText="1"/>
    </xf>
    <xf numFmtId="3" fontId="10" fillId="0" borderId="0" applyAlignment="1" pivotButton="0" quotePrefix="0" xfId="0">
      <alignment horizontal="left" vertical="center" wrapText="1"/>
    </xf>
    <xf numFmtId="2" fontId="10" fillId="0" borderId="0" applyAlignment="1" pivotButton="0" quotePrefix="0" xfId="0">
      <alignment horizontal="left" vertical="center" wrapText="1"/>
    </xf>
    <xf numFmtId="9" fontId="10" fillId="0" borderId="0" applyAlignment="1" pivotButton="0" quotePrefix="0" xfId="0">
      <alignment horizontal="left" vertical="center" wrapText="1"/>
    </xf>
    <xf numFmtId="164" fontId="0" fillId="0" borderId="0" applyAlignment="1" pivotButton="0" quotePrefix="0" xfId="0">
      <alignment vertical="center" wrapText="1"/>
    </xf>
    <xf numFmtId="166" fontId="6" fillId="0" borderId="0" applyAlignment="1" pivotButton="0" quotePrefix="0" xfId="0">
      <alignment horizontal="right" vertical="center" wrapText="1"/>
    </xf>
    <xf numFmtId="164" fontId="6" fillId="0" borderId="0" applyAlignment="1" pivotButton="0" quotePrefix="0" xfId="0">
      <alignment horizontal="right" vertical="center" wrapText="1"/>
    </xf>
    <xf numFmtId="164" fontId="6" fillId="4" borderId="0" applyAlignment="1" pivotButton="0" quotePrefix="0" xfId="0">
      <alignment horizontal="right" vertical="center" wrapText="1"/>
    </xf>
    <xf numFmtId="3" fontId="6" fillId="0" borderId="0" applyAlignment="1" pivotButton="0" quotePrefix="0" xfId="0">
      <alignment horizontal="right" vertical="center" wrapText="1"/>
    </xf>
    <xf numFmtId="2" fontId="6" fillId="0" borderId="0" applyAlignment="1" pivotButton="0" quotePrefix="0" xfId="0">
      <alignment horizontal="right" vertical="center" wrapText="1"/>
    </xf>
    <xf numFmtId="3" fontId="6" fillId="4" borderId="0" applyAlignment="1" pivotButton="0" quotePrefix="0" xfId="0">
      <alignment horizontal="right" vertical="center" wrapText="1"/>
    </xf>
    <xf numFmtId="166" fontId="1" fillId="0" borderId="0" applyAlignment="1" pivotButton="0" quotePrefix="0" xfId="0">
      <alignment vertical="center" wrapText="1"/>
    </xf>
    <xf numFmtId="164" fontId="1" fillId="0" borderId="0" applyAlignment="1" pivotButton="0" quotePrefix="0" xfId="0">
      <alignment vertical="center" wrapText="1"/>
    </xf>
    <xf numFmtId="3" fontId="0" fillId="0" borderId="0" applyAlignment="1" pivotButton="0" quotePrefix="0" xfId="0">
      <alignment vertical="center" wrapText="1"/>
    </xf>
    <xf numFmtId="166" fontId="0" fillId="0" borderId="0" applyAlignment="1" pivotButton="0" quotePrefix="0" xfId="0">
      <alignment vertical="center" wrapText="1"/>
    </xf>
    <xf numFmtId="0" fontId="15" fillId="3" borderId="0" pivotButton="0" quotePrefix="0" xfId="0"/>
    <xf numFmtId="0" fontId="16" fillId="3" borderId="0" applyAlignment="1" pivotButton="0" quotePrefix="0" xfId="0">
      <alignment horizontal="left"/>
    </xf>
    <xf numFmtId="164" fontId="16" fillId="3" borderId="0" applyAlignment="1" pivotButton="0" quotePrefix="0" xfId="0">
      <alignment horizontal="left"/>
    </xf>
    <xf numFmtId="164" fontId="16" fillId="3" borderId="0" applyAlignment="1" pivotButton="0" quotePrefix="0" xfId="0">
      <alignment horizontal="left" wrapText="1"/>
    </xf>
    <xf numFmtId="3" fontId="16" fillId="3" borderId="0" applyAlignment="1" pivotButton="0" quotePrefix="0" xfId="0">
      <alignment horizontal="left" wrapText="1"/>
    </xf>
    <xf numFmtId="3" fontId="16" fillId="3" borderId="0" applyAlignment="1" pivotButton="0" quotePrefix="0" xfId="0">
      <alignment horizontal="left"/>
    </xf>
    <xf numFmtId="167" fontId="16" fillId="3" borderId="0" applyAlignment="1" pivotButton="0" quotePrefix="0" xfId="0">
      <alignment horizontal="left"/>
    </xf>
    <xf numFmtId="166" fontId="6" fillId="4" borderId="0" applyAlignment="1" pivotButton="0" quotePrefix="0" xfId="0">
      <alignment horizontal="right" vertical="center" wrapText="1"/>
    </xf>
    <xf numFmtId="0" fontId="11" fillId="0" borderId="0" applyAlignment="1" pivotButton="0" quotePrefix="0" xfId="1">
      <alignment horizontal="left" vertical="center" wrapText="1"/>
    </xf>
    <xf numFmtId="166" fontId="1" fillId="0" borderId="0" applyAlignment="1" pivotButton="0" quotePrefix="0" xfId="0">
      <alignment horizontal="right" vertical="center" wrapText="1"/>
    </xf>
    <xf numFmtId="164" fontId="1" fillId="0" borderId="0" applyAlignment="1" pivotButton="0" quotePrefix="0" xfId="0">
      <alignment horizontal="right" vertical="center" wrapText="1"/>
    </xf>
    <xf numFmtId="3" fontId="1" fillId="0" borderId="0" applyAlignment="1" pivotButton="0" quotePrefix="0" xfId="0">
      <alignment horizontal="right" vertical="center" wrapText="1"/>
    </xf>
    <xf numFmtId="2" fontId="1" fillId="0" borderId="0" applyAlignment="1" pivotButton="0" quotePrefix="0" xfId="0">
      <alignment horizontal="right" vertical="center" wrapText="1"/>
    </xf>
    <xf numFmtId="0" fontId="1" fillId="0" borderId="0" applyAlignment="1" pivotButton="0" quotePrefix="0" xfId="0">
      <alignment horizontal="right" vertical="center" wrapText="1"/>
    </xf>
    <xf numFmtId="164" fontId="10" fillId="6" borderId="8" applyAlignment="1" pivotButton="0" quotePrefix="0" xfId="4">
      <alignment vertical="center" wrapText="1"/>
    </xf>
    <xf numFmtId="0" fontId="10" fillId="6" borderId="16" applyAlignment="1" pivotButton="0" quotePrefix="0" xfId="0">
      <alignment horizontal="left" vertical="center" wrapText="1"/>
    </xf>
    <xf numFmtId="0" fontId="10" fillId="6" borderId="17" applyAlignment="1" pivotButton="0" quotePrefix="0" xfId="0">
      <alignment horizontal="left" vertical="center" wrapText="1"/>
    </xf>
    <xf numFmtId="166" fontId="10" fillId="6" borderId="6" applyAlignment="1" pivotButton="0" quotePrefix="0" xfId="0">
      <alignment vertical="center" wrapText="1"/>
    </xf>
    <xf numFmtId="0" fontId="10" fillId="4" borderId="10" applyAlignment="1" pivotButton="0" quotePrefix="0" xfId="0">
      <alignment horizontal="left" vertical="center" wrapText="1"/>
    </xf>
    <xf numFmtId="0" fontId="10" fillId="4" borderId="18" applyAlignment="1" pivotButton="0" quotePrefix="0" xfId="0">
      <alignment horizontal="center" vertical="center" wrapText="1"/>
    </xf>
    <xf numFmtId="0" fontId="10" fillId="4" borderId="9" applyAlignment="1" pivotButton="0" quotePrefix="0" xfId="0">
      <alignment horizontal="center" vertical="center" wrapText="1"/>
    </xf>
    <xf numFmtId="166" fontId="10" fillId="4" borderId="18" applyAlignment="1" pivotButton="0" quotePrefix="0" xfId="0">
      <alignment horizontal="center" vertical="center" wrapText="1"/>
    </xf>
    <xf numFmtId="164" fontId="10" fillId="4" borderId="18" applyAlignment="1" pivotButton="0" quotePrefix="0" xfId="0">
      <alignment horizontal="center" vertical="center" wrapText="1"/>
    </xf>
    <xf numFmtId="164" fontId="10" fillId="7" borderId="8" applyAlignment="1" pivotButton="0" quotePrefix="0" xfId="4">
      <alignment vertical="center" wrapText="1"/>
    </xf>
    <xf numFmtId="0" fontId="10" fillId="7" borderId="17" applyAlignment="1" pivotButton="0" quotePrefix="0" xfId="0">
      <alignment horizontal="left" vertical="center" wrapText="1"/>
    </xf>
    <xf numFmtId="166" fontId="10" fillId="7" borderId="8" applyAlignment="1" pivotButton="0" quotePrefix="0" xfId="4">
      <alignment vertical="center" wrapText="1"/>
    </xf>
    <xf numFmtId="0" fontId="10" fillId="8" borderId="16" applyAlignment="1" pivotButton="0" quotePrefix="0" xfId="0">
      <alignment horizontal="left" vertical="center" wrapText="1"/>
    </xf>
    <xf numFmtId="0" fontId="10" fillId="8" borderId="17" applyAlignment="1" pivotButton="0" quotePrefix="0" xfId="0">
      <alignment horizontal="left" vertical="center" wrapText="1"/>
    </xf>
    <xf numFmtId="0" fontId="18" fillId="0" borderId="14" applyAlignment="1" pivotButton="0" quotePrefix="0" xfId="0">
      <alignment horizontal="left" vertical="center" wrapText="1"/>
    </xf>
    <xf numFmtId="166" fontId="18" fillId="0" borderId="2" applyAlignment="1" pivotButton="0" quotePrefix="0" xfId="0">
      <alignment vertical="center" wrapText="1"/>
    </xf>
    <xf numFmtId="164" fontId="18" fillId="0" borderId="2" applyAlignment="1" pivotButton="0" quotePrefix="0" xfId="0">
      <alignment vertical="center" wrapText="1"/>
    </xf>
    <xf numFmtId="0" fontId="18" fillId="0" borderId="19" applyAlignment="1" pivotButton="0" quotePrefix="0" xfId="0">
      <alignment horizontal="left" vertical="center" wrapText="1"/>
    </xf>
    <xf numFmtId="166" fontId="18" fillId="0" borderId="20" applyAlignment="1" pivotButton="0" quotePrefix="0" xfId="0">
      <alignment vertical="center" wrapText="1"/>
    </xf>
    <xf numFmtId="164" fontId="18" fillId="0" borderId="20" applyAlignment="1" pivotButton="0" quotePrefix="0" xfId="0">
      <alignment vertical="center" wrapText="1"/>
    </xf>
    <xf numFmtId="0" fontId="18" fillId="0" borderId="15" applyAlignment="1" pivotButton="0" quotePrefix="0" xfId="0">
      <alignment horizontal="left" vertical="center" wrapText="1"/>
    </xf>
    <xf numFmtId="166" fontId="18" fillId="0" borderId="4" applyAlignment="1" pivotButton="0" quotePrefix="0" xfId="0">
      <alignment vertical="center" wrapText="1"/>
    </xf>
    <xf numFmtId="164" fontId="18" fillId="0" borderId="4" applyAlignment="1" pivotButton="0" quotePrefix="0" xfId="0">
      <alignment vertical="center" wrapText="1"/>
    </xf>
    <xf numFmtId="168" fontId="10" fillId="6" borderId="8" applyAlignment="1" pivotButton="0" quotePrefix="0" xfId="2">
      <alignment vertical="center" wrapText="1"/>
    </xf>
    <xf numFmtId="168" fontId="10" fillId="7" borderId="8" applyAlignment="1" pivotButton="0" quotePrefix="0" xfId="2">
      <alignment vertical="center" wrapText="1"/>
    </xf>
    <xf numFmtId="0" fontId="10" fillId="9" borderId="16" applyAlignment="1" pivotButton="0" quotePrefix="0" xfId="0">
      <alignment horizontal="left" vertical="center" wrapText="1"/>
    </xf>
    <xf numFmtId="166" fontId="10" fillId="9" borderId="6" applyAlignment="1" pivotButton="0" quotePrefix="0" xfId="0">
      <alignment vertical="center" wrapText="1"/>
    </xf>
    <xf numFmtId="164" fontId="10" fillId="9" borderId="6" applyAlignment="1" pivotButton="0" quotePrefix="0" xfId="4">
      <alignment vertical="center" wrapText="1"/>
    </xf>
    <xf numFmtId="9" fontId="10" fillId="9" borderId="7" applyAlignment="1" pivotButton="0" quotePrefix="0" xfId="3">
      <alignment vertical="center" wrapText="1"/>
    </xf>
    <xf numFmtId="9" fontId="18" fillId="0" borderId="21" applyAlignment="1" pivotButton="0" quotePrefix="0" xfId="3">
      <alignment vertical="center" wrapText="1"/>
    </xf>
    <xf numFmtId="9" fontId="18" fillId="0" borderId="5" applyAlignment="1" pivotButton="0" quotePrefix="0" xfId="3">
      <alignment vertical="center" wrapText="1"/>
    </xf>
    <xf numFmtId="9" fontId="10" fillId="6" borderId="7" applyAlignment="1" pivotButton="0" quotePrefix="0" xfId="3">
      <alignment vertical="center" wrapText="1"/>
    </xf>
    <xf numFmtId="9" fontId="10" fillId="7" borderId="9" applyAlignment="1" pivotButton="0" quotePrefix="0" xfId="3">
      <alignment vertical="center" wrapText="1"/>
    </xf>
    <xf numFmtId="9" fontId="10" fillId="7" borderId="18" applyAlignment="1" pivotButton="0" quotePrefix="0" xfId="3">
      <alignment vertical="center" wrapText="1"/>
    </xf>
    <xf numFmtId="9" fontId="18" fillId="0" borderId="22" applyAlignment="1" pivotButton="0" quotePrefix="0" xfId="3">
      <alignment vertical="center" wrapText="1"/>
    </xf>
    <xf numFmtId="9" fontId="18" fillId="0" borderId="12" applyAlignment="1" pivotButton="0" quotePrefix="0" xfId="3">
      <alignment vertical="center" wrapText="1"/>
    </xf>
    <xf numFmtId="9" fontId="10" fillId="9" borderId="13" applyAlignment="1" pivotButton="0" quotePrefix="0" xfId="3">
      <alignment vertical="center" wrapText="1"/>
    </xf>
    <xf numFmtId="9" fontId="10" fillId="6" borderId="13" applyAlignment="1" pivotButton="0" quotePrefix="0" xfId="3">
      <alignment vertical="center" wrapText="1"/>
    </xf>
    <xf numFmtId="168" fontId="18" fillId="0" borderId="20" applyAlignment="1" pivotButton="0" quotePrefix="0" xfId="2">
      <alignment vertical="center" wrapText="1"/>
    </xf>
    <xf numFmtId="168" fontId="18" fillId="0" borderId="4" applyAlignment="1" pivotButton="0" quotePrefix="0" xfId="2">
      <alignment vertical="center" wrapText="1"/>
    </xf>
    <xf numFmtId="168" fontId="10" fillId="9" borderId="6" applyAlignment="1" pivotButton="0" quotePrefix="0" xfId="2">
      <alignment vertical="center" wrapText="1"/>
    </xf>
    <xf numFmtId="166" fontId="10" fillId="7" borderId="6" applyAlignment="1" pivotButton="0" quotePrefix="0" xfId="0">
      <alignment vertical="center" wrapText="1"/>
    </xf>
    <xf numFmtId="9" fontId="10" fillId="7" borderId="7" applyAlignment="1" pivotButton="0" quotePrefix="0" xfId="3">
      <alignment vertical="center" wrapText="1"/>
    </xf>
    <xf numFmtId="9" fontId="10" fillId="7" borderId="13" applyAlignment="1" pivotButton="0" quotePrefix="0" xfId="3">
      <alignment vertical="center" wrapText="1"/>
    </xf>
    <xf numFmtId="166" fontId="10" fillId="0" borderId="6" applyAlignment="1" pivotButton="0" quotePrefix="0" xfId="0">
      <alignment vertical="center" wrapText="1"/>
    </xf>
    <xf numFmtId="9" fontId="10" fillId="0" borderId="7" applyAlignment="1" pivotButton="0" quotePrefix="0" xfId="3">
      <alignment vertical="center" wrapText="1"/>
    </xf>
    <xf numFmtId="168" fontId="10" fillId="0" borderId="8" applyAlignment="1" pivotButton="0" quotePrefix="0" xfId="2">
      <alignment vertical="center" wrapText="1"/>
    </xf>
    <xf numFmtId="9" fontId="10" fillId="0" borderId="13" applyAlignment="1" pivotButton="0" quotePrefix="0" xfId="3">
      <alignment vertical="center" wrapText="1"/>
    </xf>
    <xf numFmtId="164" fontId="10" fillId="0" borderId="8" applyAlignment="1" pivotButton="0" quotePrefix="0" xfId="4">
      <alignment vertical="center" wrapText="1"/>
    </xf>
    <xf numFmtId="166" fontId="10" fillId="4" borderId="29" applyAlignment="1" pivotButton="0" quotePrefix="0" xfId="0">
      <alignment horizontal="center" vertical="center" wrapText="1"/>
    </xf>
    <xf numFmtId="3" fontId="10" fillId="4" borderId="28" applyAlignment="1" pivotButton="0" quotePrefix="0" xfId="0">
      <alignment horizontal="center" vertical="center" wrapText="1"/>
    </xf>
    <xf numFmtId="9" fontId="18" fillId="0" borderId="30" applyAlignment="1" pivotButton="0" quotePrefix="0" xfId="3">
      <alignment vertical="center" wrapText="1"/>
    </xf>
    <xf numFmtId="9" fontId="18" fillId="0" borderId="31" applyAlignment="1" pivotButton="0" quotePrefix="0" xfId="3">
      <alignment vertical="center" wrapText="1"/>
    </xf>
    <xf numFmtId="9" fontId="10" fillId="9" borderId="32" applyAlignment="1" pivotButton="0" quotePrefix="0" xfId="3">
      <alignment vertical="center" wrapText="1"/>
    </xf>
    <xf numFmtId="9" fontId="10" fillId="6" borderId="32" applyAlignment="1" pivotButton="0" quotePrefix="0" xfId="3">
      <alignment vertical="center" wrapText="1"/>
    </xf>
    <xf numFmtId="9" fontId="10" fillId="0" borderId="32" applyAlignment="1" pivotButton="0" quotePrefix="0" xfId="3">
      <alignment vertical="center" wrapText="1"/>
    </xf>
    <xf numFmtId="9" fontId="10" fillId="7" borderId="32" applyAlignment="1" pivotButton="0" quotePrefix="0" xfId="3">
      <alignment vertical="center" wrapText="1"/>
    </xf>
    <xf numFmtId="0" fontId="18" fillId="8" borderId="16" applyAlignment="1" pivotButton="0" quotePrefix="0" xfId="0">
      <alignment horizontal="left" vertical="center" wrapText="1"/>
    </xf>
    <xf numFmtId="166" fontId="18" fillId="8" borderId="6" applyAlignment="1" pivotButton="0" quotePrefix="0" xfId="0">
      <alignment vertical="center" wrapText="1"/>
    </xf>
    <xf numFmtId="9" fontId="18" fillId="8" borderId="7" applyAlignment="1" pivotButton="0" quotePrefix="0" xfId="3">
      <alignment vertical="center" wrapText="1"/>
    </xf>
    <xf numFmtId="168" fontId="18" fillId="8" borderId="8" applyAlignment="1" pivotButton="0" quotePrefix="0" xfId="2">
      <alignment vertical="center" wrapText="1"/>
    </xf>
    <xf numFmtId="9" fontId="18" fillId="8" borderId="13" applyAlignment="1" pivotButton="0" quotePrefix="0" xfId="3">
      <alignment vertical="center" wrapText="1"/>
    </xf>
    <xf numFmtId="164" fontId="18" fillId="8" borderId="8" applyAlignment="1" pivotButton="0" quotePrefix="0" xfId="4">
      <alignment vertical="center" wrapText="1"/>
    </xf>
    <xf numFmtId="9" fontId="18" fillId="8" borderId="32" applyAlignment="1" pivotButton="0" quotePrefix="0" xfId="3">
      <alignment vertical="center" wrapText="1"/>
    </xf>
    <xf numFmtId="0" fontId="18" fillId="6" borderId="16" applyAlignment="1" pivotButton="0" quotePrefix="0" xfId="0">
      <alignment horizontal="left" vertical="center" wrapText="1"/>
    </xf>
    <xf numFmtId="166" fontId="18" fillId="6" borderId="6" applyAlignment="1" pivotButton="0" quotePrefix="0" xfId="0">
      <alignment vertical="center" wrapText="1"/>
    </xf>
    <xf numFmtId="9" fontId="18" fillId="6" borderId="7" applyAlignment="1" pivotButton="0" quotePrefix="0" xfId="3">
      <alignment vertical="center" wrapText="1"/>
    </xf>
    <xf numFmtId="168" fontId="18" fillId="6" borderId="8" applyAlignment="1" pivotButton="0" quotePrefix="0" xfId="2">
      <alignment vertical="center" wrapText="1"/>
    </xf>
    <xf numFmtId="9" fontId="18" fillId="6" borderId="13" applyAlignment="1" pivotButton="0" quotePrefix="0" xfId="3">
      <alignment vertical="center" wrapText="1"/>
    </xf>
    <xf numFmtId="164" fontId="18" fillId="6" borderId="8" applyAlignment="1" pivotButton="0" quotePrefix="0" xfId="4">
      <alignment vertical="center" wrapText="1"/>
    </xf>
    <xf numFmtId="9" fontId="18" fillId="6" borderId="32" applyAlignment="1" pivotButton="0" quotePrefix="0" xfId="3">
      <alignment vertical="center" wrapText="1"/>
    </xf>
    <xf numFmtId="0" fontId="20" fillId="0" borderId="0" applyAlignment="1" pivotButton="0" quotePrefix="0" xfId="0">
      <alignment horizontal="right"/>
    </xf>
    <xf numFmtId="49" fontId="21" fillId="0" borderId="0" pivotButton="0" quotePrefix="0" xfId="0"/>
    <xf numFmtId="0" fontId="21" fillId="0" borderId="0" pivotButton="0" quotePrefix="0" xfId="0"/>
    <xf numFmtId="164" fontId="21" fillId="0" borderId="0" pivotButton="0" quotePrefix="0" xfId="0"/>
    <xf numFmtId="3" fontId="21" fillId="0" borderId="0" pivotButton="0" quotePrefix="0" xfId="0"/>
    <xf numFmtId="0" fontId="22" fillId="0" borderId="0" applyAlignment="1" pivotButton="0" quotePrefix="0" xfId="1">
      <alignment vertical="center" wrapText="1"/>
    </xf>
    <xf numFmtId="0" fontId="23" fillId="0" borderId="0" applyAlignment="1" pivotButton="0" quotePrefix="0" xfId="1">
      <alignment vertical="center" wrapText="1"/>
    </xf>
    <xf numFmtId="166" fontId="21" fillId="0" borderId="0" pivotButton="0" quotePrefix="0" xfId="0"/>
    <xf numFmtId="0" fontId="5" fillId="0" borderId="0" applyAlignment="1" pivotButton="0" quotePrefix="0" xfId="0">
      <alignment horizontal="center" vertical="center" wrapText="1"/>
    </xf>
    <xf numFmtId="0" fontId="0" fillId="0" borderId="0" applyAlignment="1" pivotButton="0" quotePrefix="0" xfId="0">
      <alignment vertical="center"/>
    </xf>
    <xf numFmtId="0" fontId="6" fillId="0" borderId="0" applyAlignment="1" pivotButton="0" quotePrefix="0" xfId="0">
      <alignment vertical="center" wrapText="1"/>
    </xf>
    <xf numFmtId="164" fontId="6" fillId="0" borderId="0" applyAlignment="1" pivotButton="0" quotePrefix="0" xfId="0">
      <alignment vertical="center" wrapText="1"/>
    </xf>
    <xf numFmtId="164" fontId="6" fillId="4" borderId="0" applyAlignment="1" pivotButton="0" quotePrefix="0" xfId="0">
      <alignment vertical="center" wrapText="1"/>
    </xf>
    <xf numFmtId="3" fontId="6" fillId="0" borderId="0" applyAlignment="1" pivotButton="0" quotePrefix="0" xfId="0">
      <alignment vertical="center" wrapText="1"/>
    </xf>
    <xf numFmtId="10" fontId="6" fillId="0" borderId="0" applyAlignment="1" pivotButton="0" quotePrefix="0" xfId="3">
      <alignment vertical="center" wrapText="1"/>
    </xf>
    <xf numFmtId="166" fontId="6" fillId="0" borderId="0" applyAlignment="1" pivotButton="0" quotePrefix="0" xfId="0">
      <alignment vertical="center" wrapText="1"/>
    </xf>
    <xf numFmtId="165" fontId="6" fillId="0" borderId="0" applyAlignment="1" pivotButton="0" quotePrefix="0" xfId="0">
      <alignment vertical="center" wrapText="1"/>
    </xf>
    <xf numFmtId="169" fontId="6" fillId="0" borderId="0" pivotButton="0" quotePrefix="0" xfId="0"/>
    <xf numFmtId="169" fontId="21" fillId="0" borderId="0" pivotButton="0" quotePrefix="0" xfId="0"/>
    <xf numFmtId="0" fontId="12" fillId="0" borderId="0" applyAlignment="1" pivotButton="0" quotePrefix="0" xfId="0">
      <alignment horizontal="center" vertical="center" wrapText="1"/>
    </xf>
    <xf numFmtId="2" fontId="1" fillId="0" borderId="0" applyAlignment="1" pivotButton="0" quotePrefix="0" xfId="0">
      <alignment vertical="center" wrapText="1"/>
    </xf>
    <xf numFmtId="0" fontId="24" fillId="0" borderId="0" applyAlignment="1" pivotButton="0" quotePrefix="0" xfId="1">
      <alignment vertical="center" wrapText="1"/>
    </xf>
    <xf numFmtId="9" fontId="18" fillId="0" borderId="34" applyAlignment="1" pivotButton="0" quotePrefix="0" xfId="3">
      <alignment vertical="center" wrapText="1"/>
    </xf>
    <xf numFmtId="9" fontId="10" fillId="9" borderId="35" applyAlignment="1" pivotButton="0" quotePrefix="0" xfId="3">
      <alignment vertical="center" wrapText="1"/>
    </xf>
    <xf numFmtId="9" fontId="18" fillId="0" borderId="36" applyAlignment="1" pivotButton="0" quotePrefix="0" xfId="3">
      <alignment vertical="center" wrapText="1"/>
    </xf>
    <xf numFmtId="9" fontId="10" fillId="7" borderId="33" applyAlignment="1" pivotButton="0" quotePrefix="0" xfId="3">
      <alignment vertical="center" wrapText="1"/>
    </xf>
    <xf numFmtId="3" fontId="10" fillId="4" borderId="33" applyAlignment="1" pivotButton="0" quotePrefix="0" xfId="0">
      <alignment horizontal="center" vertical="center" wrapText="1"/>
    </xf>
    <xf numFmtId="9" fontId="10" fillId="6" borderId="35" applyAlignment="1" pivotButton="0" quotePrefix="0" xfId="3">
      <alignment vertical="center" wrapText="1"/>
    </xf>
    <xf numFmtId="9" fontId="10" fillId="7" borderId="35" applyAlignment="1" pivotButton="0" quotePrefix="0" xfId="3">
      <alignment vertical="center" wrapText="1"/>
    </xf>
    <xf numFmtId="9" fontId="18" fillId="0" borderId="2" applyAlignment="1" pivotButton="0" quotePrefix="0" xfId="3">
      <alignment vertical="center" wrapText="1"/>
    </xf>
    <xf numFmtId="9" fontId="18" fillId="0" borderId="20" applyAlignment="1" pivotButton="0" quotePrefix="0" xfId="3">
      <alignment vertical="center" wrapText="1"/>
    </xf>
    <xf numFmtId="9" fontId="18" fillId="0" borderId="4" applyAlignment="1" pivotButton="0" quotePrefix="0" xfId="3">
      <alignment vertical="center" wrapText="1"/>
    </xf>
    <xf numFmtId="9" fontId="10" fillId="9" borderId="6" applyAlignment="1" pivotButton="0" quotePrefix="0" xfId="3">
      <alignment vertical="center" wrapText="1"/>
    </xf>
    <xf numFmtId="9" fontId="10" fillId="6" borderId="6" applyAlignment="1" pivotButton="0" quotePrefix="0" xfId="3">
      <alignment vertical="center" wrapText="1"/>
    </xf>
    <xf numFmtId="9" fontId="10" fillId="7" borderId="8" applyAlignment="1" pivotButton="0" quotePrefix="0" xfId="3">
      <alignment vertical="center" wrapText="1"/>
    </xf>
    <xf numFmtId="9" fontId="10" fillId="0" borderId="6" applyAlignment="1" pivotButton="0" quotePrefix="0" xfId="3">
      <alignment vertical="center" wrapText="1"/>
    </xf>
    <xf numFmtId="9" fontId="10" fillId="7" borderId="6" applyAlignment="1" pivotButton="0" quotePrefix="0" xfId="3">
      <alignment vertical="center" wrapText="1"/>
    </xf>
    <xf numFmtId="9" fontId="18" fillId="8" borderId="35" applyAlignment="1" pivotButton="0" quotePrefix="0" xfId="3">
      <alignment vertical="center" wrapText="1"/>
    </xf>
    <xf numFmtId="9" fontId="18" fillId="6" borderId="35" applyAlignment="1" pivotButton="0" quotePrefix="0" xfId="3">
      <alignment vertical="center" wrapText="1"/>
    </xf>
    <xf numFmtId="9" fontId="18" fillId="8" borderId="6" applyAlignment="1" pivotButton="0" quotePrefix="0" xfId="3">
      <alignment vertical="center" wrapText="1"/>
    </xf>
    <xf numFmtId="9" fontId="18" fillId="6" borderId="6" applyAlignment="1" pivotButton="0" quotePrefix="0" xfId="3">
      <alignment vertical="center" wrapText="1"/>
    </xf>
    <xf numFmtId="3" fontId="0" fillId="6" borderId="0" applyAlignment="1" pivotButton="0" quotePrefix="0" xfId="0">
      <alignment vertical="center" wrapText="1"/>
    </xf>
    <xf numFmtId="2" fontId="10" fillId="6" borderId="0" applyAlignment="1" pivotButton="0" quotePrefix="0" xfId="0">
      <alignment horizontal="left" vertical="center" wrapText="1"/>
    </xf>
    <xf numFmtId="9" fontId="10" fillId="6" borderId="0" applyAlignment="1" pivotButton="0" quotePrefix="0" xfId="0">
      <alignment horizontal="left" vertical="center" wrapText="1"/>
    </xf>
    <xf numFmtId="0" fontId="0" fillId="6" borderId="0" applyAlignment="1" pivotButton="0" quotePrefix="0" xfId="0">
      <alignment vertical="center" wrapText="1"/>
    </xf>
    <xf numFmtId="0" fontId="25" fillId="0" borderId="0" applyAlignment="1" pivotButton="0" quotePrefix="0" xfId="0">
      <alignment horizontal="center" vertical="center" wrapText="1"/>
    </xf>
    <xf numFmtId="0" fontId="25" fillId="0" borderId="0" applyAlignment="1" pivotButton="0" quotePrefix="0" xfId="0">
      <alignment vertical="center" wrapText="1"/>
    </xf>
    <xf numFmtId="164" fontId="25" fillId="0" borderId="0" applyAlignment="1" pivotButton="0" quotePrefix="0" xfId="0">
      <alignment vertical="center" wrapText="1"/>
    </xf>
    <xf numFmtId="3" fontId="25" fillId="0" borderId="0" applyAlignment="1" pivotButton="0" quotePrefix="0" xfId="0">
      <alignment vertical="center" wrapText="1"/>
    </xf>
    <xf numFmtId="10" fontId="25" fillId="0" borderId="0" applyAlignment="1" pivotButton="0" quotePrefix="0" xfId="3">
      <alignment vertical="center" wrapText="1"/>
    </xf>
    <xf numFmtId="166" fontId="25" fillId="0" borderId="0" applyAlignment="1" pivotButton="0" quotePrefix="0" xfId="0">
      <alignment vertical="center" wrapText="1"/>
    </xf>
    <xf numFmtId="165" fontId="25" fillId="0" borderId="0" applyAlignment="1" pivotButton="0" quotePrefix="0" xfId="0">
      <alignment vertical="center" wrapText="1"/>
    </xf>
    <xf numFmtId="0" fontId="26" fillId="0" borderId="0" pivotButton="0" quotePrefix="0" xfId="0"/>
    <xf numFmtId="0" fontId="27" fillId="0" borderId="0" applyAlignment="1" pivotButton="0" quotePrefix="0" xfId="0">
      <alignment horizontal="center" vertical="center" wrapText="1"/>
    </xf>
    <xf numFmtId="0" fontId="27" fillId="0" borderId="0" applyAlignment="1" pivotButton="0" quotePrefix="0" xfId="0">
      <alignment vertical="center" wrapText="1"/>
    </xf>
    <xf numFmtId="164" fontId="27" fillId="0" borderId="0" applyAlignment="1" pivotButton="0" quotePrefix="0" xfId="0">
      <alignment vertical="center" wrapText="1"/>
    </xf>
    <xf numFmtId="164" fontId="27" fillId="4" borderId="0" applyAlignment="1" pivotButton="0" quotePrefix="0" xfId="0">
      <alignment vertical="center" wrapText="1"/>
    </xf>
    <xf numFmtId="3" fontId="27" fillId="0" borderId="0" applyAlignment="1" pivotButton="0" quotePrefix="0" xfId="0">
      <alignment vertical="center" wrapText="1"/>
    </xf>
    <xf numFmtId="10" fontId="27" fillId="0" borderId="0" applyAlignment="1" pivotButton="0" quotePrefix="0" xfId="3">
      <alignment vertical="center" wrapText="1"/>
    </xf>
    <xf numFmtId="166" fontId="27" fillId="0" borderId="0" applyAlignment="1" pivotButton="0" quotePrefix="0" xfId="0">
      <alignment vertical="center" wrapText="1"/>
    </xf>
    <xf numFmtId="165" fontId="27" fillId="0" borderId="0" applyAlignment="1" pivotButton="0" quotePrefix="0" xfId="0">
      <alignment vertical="center" wrapText="1"/>
    </xf>
    <xf numFmtId="0" fontId="28" fillId="0" borderId="0" pivotButton="0" quotePrefix="0" xfId="0"/>
    <xf numFmtId="0" fontId="6" fillId="0" borderId="0" applyAlignment="1" pivotButton="0" quotePrefix="0" xfId="0">
      <alignment horizontal="center" vertical="center" wrapText="1"/>
    </xf>
    <xf numFmtId="0" fontId="30" fillId="0" borderId="0" pivotButton="0" quotePrefix="0" xfId="0"/>
    <xf numFmtId="0" fontId="31" fillId="0" borderId="0" applyAlignment="1" pivotButton="0" quotePrefix="0" xfId="1">
      <alignment vertical="center" wrapText="1"/>
    </xf>
    <xf numFmtId="0" fontId="32" fillId="0" borderId="0" applyAlignment="1" pivotButton="0" quotePrefix="0" xfId="0">
      <alignment horizontal="right"/>
    </xf>
    <xf numFmtId="0" fontId="29" fillId="0" borderId="0" pivotButton="0" quotePrefix="0" xfId="0"/>
    <xf numFmtId="169" fontId="29" fillId="0" borderId="0" pivotButton="0" quotePrefix="0" xfId="0"/>
    <xf numFmtId="166" fontId="29" fillId="0" borderId="0" pivotButton="0" quotePrefix="0" xfId="0"/>
    <xf numFmtId="164" fontId="29" fillId="0" borderId="0" pivotButton="0" quotePrefix="0" xfId="0"/>
    <xf numFmtId="3" fontId="29" fillId="0" borderId="0" pivotButton="0" quotePrefix="0" xfId="0"/>
    <xf numFmtId="49" fontId="29" fillId="0" borderId="0" pivotButton="0" quotePrefix="0" xfId="0"/>
    <xf numFmtId="0" fontId="21" fillId="0" borderId="0" applyAlignment="1" pivotButton="0" quotePrefix="0" xfId="0">
      <alignment horizontal="center" vertical="center" wrapText="1"/>
    </xf>
    <xf numFmtId="0" fontId="21" fillId="0" borderId="0" applyAlignment="1" pivotButton="0" quotePrefix="0" xfId="0">
      <alignment vertical="center" wrapText="1"/>
    </xf>
    <xf numFmtId="164" fontId="21" fillId="4" borderId="0" applyAlignment="1" pivotButton="0" quotePrefix="0" xfId="0">
      <alignment vertical="center" wrapText="1"/>
    </xf>
    <xf numFmtId="3" fontId="21" fillId="0" borderId="0" applyAlignment="1" pivotButton="0" quotePrefix="0" xfId="0">
      <alignment vertical="center" wrapText="1"/>
    </xf>
    <xf numFmtId="10" fontId="21" fillId="0" borderId="0" applyAlignment="1" pivotButton="0" quotePrefix="0" xfId="3">
      <alignment vertical="center" wrapText="1"/>
    </xf>
    <xf numFmtId="166" fontId="21" fillId="0" borderId="0" applyAlignment="1" pivotButton="0" quotePrefix="0" xfId="0">
      <alignment vertical="center" wrapText="1"/>
    </xf>
    <xf numFmtId="165" fontId="21" fillId="0" borderId="0" applyAlignment="1" pivotButton="0" quotePrefix="0" xfId="0">
      <alignment vertical="center" wrapText="1"/>
    </xf>
    <xf numFmtId="164" fontId="21" fillId="0" borderId="0" applyAlignment="1" pivotButton="0" quotePrefix="0" xfId="0">
      <alignment vertical="center" wrapText="1"/>
    </xf>
    <xf numFmtId="3" fontId="6" fillId="4" borderId="0" applyAlignment="1" pivotButton="0" quotePrefix="0" xfId="0">
      <alignment vertical="center" wrapText="1"/>
    </xf>
    <xf numFmtId="3" fontId="25" fillId="4" borderId="0" applyAlignment="1" pivotButton="0" quotePrefix="0" xfId="0">
      <alignment vertical="center" wrapText="1"/>
    </xf>
    <xf numFmtId="3" fontId="27" fillId="4" borderId="0" applyAlignment="1" pivotButton="0" quotePrefix="0" xfId="0">
      <alignment vertical="center" wrapText="1"/>
    </xf>
    <xf numFmtId="3" fontId="0" fillId="4" borderId="0" pivotButton="0" quotePrefix="0" xfId="0"/>
    <xf numFmtId="3" fontId="7" fillId="4" borderId="1" pivotButton="0" quotePrefix="0" xfId="0"/>
    <xf numFmtId="168" fontId="7" fillId="0" borderId="1" pivotButton="0" quotePrefix="0" xfId="2"/>
    <xf numFmtId="3" fontId="6" fillId="4" borderId="0" pivotButton="0" quotePrefix="0" xfId="0"/>
    <xf numFmtId="3" fontId="21" fillId="4" borderId="0" pivotButton="0" quotePrefix="0" xfId="0"/>
    <xf numFmtId="3" fontId="29" fillId="4" borderId="0" pivotButton="0" quotePrefix="0" xfId="0"/>
    <xf numFmtId="164" fontId="21" fillId="4" borderId="0" pivotButton="0" quotePrefix="0" xfId="0"/>
    <xf numFmtId="164" fontId="29" fillId="4" borderId="0" pivotButton="0" quotePrefix="0" xfId="0"/>
    <xf numFmtId="0" fontId="18" fillId="0" borderId="24" applyAlignment="1" pivotButton="0" quotePrefix="0" xfId="0">
      <alignment horizontal="left" vertical="center" wrapText="1"/>
    </xf>
    <xf numFmtId="166" fontId="18" fillId="0" borderId="38" applyAlignment="1" pivotButton="0" quotePrefix="0" xfId="0">
      <alignment vertical="center" wrapText="1"/>
    </xf>
    <xf numFmtId="9" fontId="18" fillId="0" borderId="39" applyAlignment="1" pivotButton="0" quotePrefix="0" xfId="3">
      <alignment vertical="center" wrapText="1"/>
    </xf>
    <xf numFmtId="9" fontId="18" fillId="0" borderId="40" applyAlignment="1" pivotButton="0" quotePrefix="0" xfId="3">
      <alignment vertical="center" wrapText="1"/>
    </xf>
    <xf numFmtId="168" fontId="18" fillId="0" borderId="38" applyAlignment="1" pivotButton="0" quotePrefix="0" xfId="2">
      <alignment vertical="center" wrapText="1"/>
    </xf>
    <xf numFmtId="164" fontId="18" fillId="0" borderId="38" applyAlignment="1" pivotButton="0" quotePrefix="0" xfId="0">
      <alignment vertical="center" wrapText="1"/>
    </xf>
    <xf numFmtId="9" fontId="18" fillId="0" borderId="41" applyAlignment="1" pivotButton="0" quotePrefix="0" xfId="3">
      <alignment vertical="center" wrapText="1"/>
    </xf>
    <xf numFmtId="9" fontId="18" fillId="0" borderId="0" applyAlignment="1" pivotButton="0" quotePrefix="0" xfId="3">
      <alignment vertical="center" wrapText="1"/>
    </xf>
    <xf numFmtId="166" fontId="10" fillId="6" borderId="42" applyAlignment="1" pivotButton="0" quotePrefix="0" xfId="0">
      <alignment vertical="center" wrapText="1"/>
    </xf>
    <xf numFmtId="9" fontId="10" fillId="6" borderId="43" applyAlignment="1" pivotButton="0" quotePrefix="0" xfId="3">
      <alignment vertical="center" wrapText="1"/>
    </xf>
    <xf numFmtId="9" fontId="10" fillId="6" borderId="44" applyAlignment="1" pivotButton="0" quotePrefix="0" xfId="3">
      <alignment vertical="center" wrapText="1"/>
    </xf>
    <xf numFmtId="9" fontId="10" fillId="6" borderId="37" applyAlignment="1" pivotButton="0" quotePrefix="0" xfId="3">
      <alignment vertical="center" wrapText="1"/>
    </xf>
    <xf numFmtId="0" fontId="33" fillId="0" borderId="0" applyAlignment="1" pivotButton="0" quotePrefix="0" xfId="0">
      <alignment horizontal="center" vertical="center" wrapText="1"/>
    </xf>
    <xf numFmtId="0" fontId="33" fillId="0" borderId="0" applyAlignment="1" pivotButton="0" quotePrefix="0" xfId="0">
      <alignment vertical="center" wrapText="1"/>
    </xf>
    <xf numFmtId="164" fontId="33" fillId="4" borderId="0" applyAlignment="1" pivotButton="0" quotePrefix="0" xfId="0">
      <alignment vertical="center" wrapText="1"/>
    </xf>
    <xf numFmtId="164" fontId="33" fillId="0" borderId="0" applyAlignment="1" pivotButton="0" quotePrefix="0" xfId="0">
      <alignment vertical="center" wrapText="1"/>
    </xf>
    <xf numFmtId="3" fontId="33" fillId="0" borderId="0" applyAlignment="1" pivotButton="0" quotePrefix="0" xfId="0">
      <alignment vertical="center" wrapText="1"/>
    </xf>
    <xf numFmtId="10" fontId="33" fillId="0" borderId="0" applyAlignment="1" pivotButton="0" quotePrefix="0" xfId="3">
      <alignment vertical="center" wrapText="1"/>
    </xf>
    <xf numFmtId="166" fontId="33" fillId="0" borderId="0" applyAlignment="1" pivotButton="0" quotePrefix="0" xfId="0">
      <alignment vertical="center" wrapText="1"/>
    </xf>
    <xf numFmtId="165" fontId="33" fillId="0" borderId="0" applyAlignment="1" pivotButton="0" quotePrefix="0" xfId="0">
      <alignment vertical="center" wrapText="1"/>
    </xf>
    <xf numFmtId="0" fontId="34" fillId="0" borderId="0" pivotButton="0" quotePrefix="0" xfId="0"/>
    <xf numFmtId="168" fontId="6" fillId="0" borderId="0" applyAlignment="1" pivotButton="0" quotePrefix="0" xfId="2">
      <alignment vertical="center" wrapText="1"/>
    </xf>
    <xf numFmtId="168" fontId="25" fillId="0" borderId="0" applyAlignment="1" pivotButton="0" quotePrefix="0" xfId="2">
      <alignment vertical="center" wrapText="1"/>
    </xf>
    <xf numFmtId="168" fontId="27" fillId="0" borderId="0" applyAlignment="1" pivotButton="0" quotePrefix="0" xfId="2">
      <alignment vertical="center" wrapText="1"/>
    </xf>
    <xf numFmtId="168" fontId="33" fillId="0" borderId="0" applyAlignment="1" pivotButton="0" quotePrefix="0" xfId="2">
      <alignment vertical="center" wrapText="1"/>
    </xf>
    <xf numFmtId="3" fontId="33" fillId="4" borderId="0" applyAlignment="1" pivotButton="0" quotePrefix="0" xfId="0">
      <alignment vertical="center" wrapText="1"/>
    </xf>
    <xf numFmtId="9" fontId="18" fillId="0" borderId="23" applyAlignment="1" pivotButton="0" quotePrefix="0" xfId="3">
      <alignment vertical="center" wrapText="1"/>
    </xf>
    <xf numFmtId="168" fontId="18" fillId="0" borderId="2" applyAlignment="1" pivotButton="0" quotePrefix="0" xfId="2">
      <alignment vertical="center" wrapText="1"/>
    </xf>
    <xf numFmtId="9" fontId="18" fillId="0" borderId="11" applyAlignment="1" pivotButton="0" quotePrefix="0" xfId="3">
      <alignment vertical="center" wrapText="1"/>
    </xf>
    <xf numFmtId="9" fontId="18" fillId="0" borderId="3" applyAlignment="1" pivotButton="0" quotePrefix="0" xfId="3">
      <alignment vertical="center" wrapText="1"/>
    </xf>
    <xf numFmtId="9" fontId="18" fillId="0" borderId="27" applyAlignment="1" pivotButton="0" quotePrefix="0" xfId="3">
      <alignment vertical="center" wrapText="1"/>
    </xf>
    <xf numFmtId="168" fontId="18" fillId="0" borderId="20" applyAlignment="1" pivotButton="0" quotePrefix="0" xfId="2">
      <alignment vertical="center" wrapText="1"/>
    </xf>
    <xf numFmtId="9" fontId="18" fillId="0" borderId="22" applyAlignment="1" pivotButton="0" quotePrefix="0" xfId="3">
      <alignment vertical="center" wrapText="1"/>
    </xf>
    <xf numFmtId="9" fontId="18" fillId="0" borderId="21" applyAlignment="1" pivotButton="0" quotePrefix="0" xfId="3">
      <alignment vertical="center" wrapText="1"/>
    </xf>
    <xf numFmtId="9" fontId="18" fillId="0" borderId="26" applyAlignment="1" pivotButton="0" quotePrefix="0" xfId="3">
      <alignment vertical="center" wrapText="1"/>
    </xf>
    <xf numFmtId="168" fontId="18" fillId="0" borderId="4" applyAlignment="1" pivotButton="0" quotePrefix="0" xfId="2">
      <alignment vertical="center" wrapText="1"/>
    </xf>
    <xf numFmtId="9" fontId="18" fillId="0" borderId="12" applyAlignment="1" pivotButton="0" quotePrefix="0" xfId="3">
      <alignment vertical="center" wrapText="1"/>
    </xf>
    <xf numFmtId="9" fontId="18" fillId="0" borderId="5" applyAlignment="1" pivotButton="0" quotePrefix="0" xfId="3">
      <alignment vertical="center" wrapText="1"/>
    </xf>
    <xf numFmtId="9" fontId="10" fillId="0" borderId="7" applyAlignment="1" pivotButton="0" quotePrefix="0" xfId="3">
      <alignment vertical="center" wrapText="1"/>
    </xf>
    <xf numFmtId="168" fontId="10" fillId="0" borderId="8" applyAlignment="1" pivotButton="0" quotePrefix="0" xfId="2">
      <alignment vertical="center" wrapText="1"/>
    </xf>
    <xf numFmtId="9" fontId="10" fillId="0" borderId="13" applyAlignment="1" pivotButton="0" quotePrefix="0" xfId="3">
      <alignment vertical="center" wrapText="1"/>
    </xf>
    <xf numFmtId="164" fontId="10" fillId="0" borderId="8" applyAlignment="1" pivotButton="0" quotePrefix="0" xfId="4">
      <alignment vertical="center" wrapText="1"/>
    </xf>
    <xf numFmtId="9" fontId="10" fillId="0" borderId="32" applyAlignment="1" pivotButton="0" quotePrefix="0" xfId="3">
      <alignment vertical="center" wrapText="1"/>
    </xf>
    <xf numFmtId="9" fontId="10" fillId="0" borderId="35" applyAlignment="1" pivotButton="0" quotePrefix="0" xfId="3">
      <alignment vertical="center" wrapText="1"/>
    </xf>
    <xf numFmtId="0" fontId="10" fillId="2" borderId="0" applyAlignment="1" pivotButton="0" quotePrefix="0" xfId="0">
      <alignment horizontal="center" vertical="center" wrapText="1"/>
    </xf>
    <xf numFmtId="164" fontId="9" fillId="2" borderId="0" applyAlignment="1" pivotButton="0" quotePrefix="0" xfId="0">
      <alignment horizontal="center" vertical="center" wrapText="1"/>
    </xf>
    <xf numFmtId="0" fontId="0" fillId="0" borderId="0" applyAlignment="1" pivotButton="0" quotePrefix="0" xfId="0">
      <alignment vertical="center" wrapText="1"/>
    </xf>
    <xf numFmtId="166" fontId="0" fillId="0" borderId="0" applyAlignment="1" pivotButton="0" quotePrefix="0" xfId="0">
      <alignment vertical="center" wrapText="1"/>
    </xf>
    <xf numFmtId="3" fontId="0" fillId="0" borderId="0" applyAlignment="1" pivotButton="0" quotePrefix="0" xfId="0">
      <alignment vertical="center" wrapText="1"/>
    </xf>
    <xf numFmtId="2" fontId="0" fillId="0" borderId="0" applyAlignment="1" pivotButton="0" quotePrefix="0" xfId="0">
      <alignment vertical="center" wrapText="1"/>
    </xf>
    <xf numFmtId="0" fontId="0" fillId="0" borderId="0" applyAlignment="1" pivotButton="0" quotePrefix="0" xfId="0">
      <alignment horizontal="left" vertical="center" wrapText="1"/>
    </xf>
    <xf numFmtId="0" fontId="2" fillId="2" borderId="0" applyAlignment="1" pivotButton="0" quotePrefix="0" xfId="0">
      <alignment horizontal="center"/>
    </xf>
    <xf numFmtId="0" fontId="0" fillId="0" borderId="0" pivotButton="0" quotePrefix="0" xfId="0"/>
    <xf numFmtId="3" fontId="0" fillId="0" borderId="0" pivotButton="0" quotePrefix="0" xfId="0"/>
    <xf numFmtId="0" fontId="19" fillId="7" borderId="24" applyAlignment="1" pivotButton="0" quotePrefix="0" xfId="0">
      <alignment horizontal="center" vertical="center"/>
    </xf>
    <xf numFmtId="0" fontId="19" fillId="7" borderId="0" applyAlignment="1" pivotButton="0" quotePrefix="0" xfId="0">
      <alignment horizontal="center" vertical="center"/>
    </xf>
    <xf numFmtId="0" fontId="19" fillId="7" borderId="25" applyAlignment="1" pivotButton="0" quotePrefix="0" xfId="0">
      <alignment horizontal="center" vertical="center"/>
    </xf>
    <xf numFmtId="0" fontId="19" fillId="7" borderId="37" applyAlignment="1" pivotButton="0" quotePrefix="0" xfId="0">
      <alignment horizontal="center" vertical="center"/>
    </xf>
    <xf numFmtId="164" fontId="0" fillId="0" borderId="0" applyAlignment="1" pivotButton="0" quotePrefix="0" xfId="0">
      <alignment vertical="center" wrapText="1"/>
    </xf>
    <xf numFmtId="166" fontId="18" fillId="0" borderId="2" applyAlignment="1" pivotButton="0" quotePrefix="0" xfId="0">
      <alignment vertical="center" wrapText="1"/>
    </xf>
    <xf numFmtId="166" fontId="18" fillId="0" borderId="20" applyAlignment="1" pivotButton="0" quotePrefix="0" xfId="0">
      <alignment vertical="center" wrapText="1"/>
    </xf>
    <xf numFmtId="166" fontId="18" fillId="0" borderId="4" applyAlignment="1" pivotButton="0" quotePrefix="0" xfId="0">
      <alignment vertical="center" wrapText="1"/>
    </xf>
    <xf numFmtId="166" fontId="10" fillId="9" borderId="6" applyAlignment="1" pivotButton="0" quotePrefix="0" xfId="0">
      <alignment vertical="center" wrapText="1"/>
    </xf>
    <xf numFmtId="166" fontId="10" fillId="6" borderId="6" applyAlignment="1" pivotButton="0" quotePrefix="0" xfId="0">
      <alignment vertical="center" wrapText="1"/>
    </xf>
    <xf numFmtId="166" fontId="10" fillId="7" borderId="8" applyAlignment="1" pivotButton="0" quotePrefix="0" xfId="4">
      <alignment vertical="center" wrapText="1"/>
    </xf>
    <xf numFmtId="166" fontId="6" fillId="0" borderId="0" applyAlignment="1" pivotButton="0" quotePrefix="0" xfId="0">
      <alignment vertical="center" wrapText="1"/>
    </xf>
    <xf numFmtId="166" fontId="21" fillId="0" borderId="0" applyAlignment="1" pivotButton="0" quotePrefix="0" xfId="0">
      <alignment vertical="center" wrapText="1"/>
    </xf>
    <xf numFmtId="166" fontId="27" fillId="0" borderId="0" applyAlignment="1" pivotButton="0" quotePrefix="0" xfId="0">
      <alignment vertical="center" wrapText="1"/>
    </xf>
    <xf numFmtId="166" fontId="33" fillId="0" borderId="0" applyAlignment="1" pivotButton="0" quotePrefix="0" xfId="0">
      <alignment vertical="center" wrapText="1"/>
    </xf>
    <xf numFmtId="166" fontId="7" fillId="0" borderId="1" pivotButton="0" quotePrefix="0" xfId="0"/>
    <xf numFmtId="166" fontId="25" fillId="0" borderId="0" applyAlignment="1" pivotButton="0" quotePrefix="0" xfId="0">
      <alignment vertical="center" wrapText="1"/>
    </xf>
    <xf numFmtId="166" fontId="10" fillId="4" borderId="18" applyAlignment="1" pivotButton="0" quotePrefix="0" xfId="0">
      <alignment horizontal="center" vertical="center" wrapText="1"/>
    </xf>
    <xf numFmtId="166" fontId="10" fillId="4" borderId="29" applyAlignment="1" pivotButton="0" quotePrefix="0" xfId="0">
      <alignment horizontal="center" vertical="center" wrapText="1"/>
    </xf>
    <xf numFmtId="166" fontId="10" fillId="0" borderId="6" applyAlignment="1" pivotButton="0" quotePrefix="0" xfId="0">
      <alignment vertical="center" wrapText="1"/>
    </xf>
    <xf numFmtId="166" fontId="10" fillId="7" borderId="6" applyAlignment="1" pivotButton="0" quotePrefix="0" xfId="0">
      <alignment vertical="center" wrapText="1"/>
    </xf>
    <xf numFmtId="167" fontId="16" fillId="3" borderId="0" applyAlignment="1" pivotButton="0" quotePrefix="0" xfId="0">
      <alignment horizontal="left"/>
    </xf>
    <xf numFmtId="166" fontId="6" fillId="0" borderId="0" pivotButton="0" quotePrefix="0" xfId="0"/>
    <xf numFmtId="166" fontId="21" fillId="0" borderId="0" pivotButton="0" quotePrefix="0" xfId="0"/>
    <xf numFmtId="166" fontId="29" fillId="0" borderId="0" pivotButton="0" quotePrefix="0" xfId="0"/>
    <xf numFmtId="0" fontId="0" fillId="0" borderId="37" pivotButton="0" quotePrefix="0" xfId="0"/>
    <xf numFmtId="166" fontId="18" fillId="8" borderId="6" applyAlignment="1" pivotButton="0" quotePrefix="0" xfId="0">
      <alignment vertical="center" wrapText="1"/>
    </xf>
    <xf numFmtId="166" fontId="18" fillId="6" borderId="6" applyAlignment="1" pivotButton="0" quotePrefix="0" xfId="0">
      <alignment vertical="center" wrapText="1"/>
    </xf>
    <xf numFmtId="166" fontId="0" fillId="0" borderId="0" applyAlignment="1" pivotButton="0" quotePrefix="0" xfId="0">
      <alignment vertical="center" wrapText="1"/>
    </xf>
    <xf numFmtId="166" fontId="10" fillId="0" borderId="0" applyAlignment="1" pivotButton="0" quotePrefix="0" xfId="0">
      <alignment horizontal="left" vertical="center" wrapText="1"/>
    </xf>
    <xf numFmtId="166" fontId="14" fillId="3" borderId="0" applyAlignment="1" pivotButton="0" quotePrefix="0" xfId="0">
      <alignment horizontal="left" vertical="center" wrapText="1"/>
    </xf>
    <xf numFmtId="167" fontId="14" fillId="3" borderId="0" applyAlignment="1" pivotButton="0" quotePrefix="0" xfId="0">
      <alignment horizontal="left" vertical="center" wrapText="1"/>
    </xf>
    <xf numFmtId="166" fontId="6" fillId="0" borderId="0" applyAlignment="1" pivotButton="0" quotePrefix="0" xfId="0">
      <alignment horizontal="right" vertical="center" wrapText="1"/>
    </xf>
    <xf numFmtId="166" fontId="1" fillId="0" borderId="0" applyAlignment="1" pivotButton="0" quotePrefix="0" xfId="0">
      <alignment vertical="center" wrapText="1"/>
    </xf>
    <xf numFmtId="166" fontId="6" fillId="4" borderId="0" applyAlignment="1" pivotButton="0" quotePrefix="0" xfId="0">
      <alignment horizontal="right" vertical="center" wrapText="1"/>
    </xf>
    <xf numFmtId="166" fontId="1" fillId="0" borderId="0" applyAlignment="1" pivotButton="0" quotePrefix="0" xfId="0">
      <alignment horizontal="right" vertical="center" wrapText="1"/>
    </xf>
    <xf numFmtId="166" fontId="18" fillId="0" borderId="38" applyAlignment="1" pivotButton="0" quotePrefix="0" xfId="0">
      <alignment vertical="center" wrapText="1"/>
    </xf>
    <xf numFmtId="166" fontId="10" fillId="6" borderId="42" applyAlignment="1" pivotButton="0" quotePrefix="0" xfId="0">
      <alignment vertical="center" wrapText="1"/>
    </xf>
  </cellXfs>
  <cellStyles count="5">
    <cellStyle name="Normal" xfId="0" builtinId="0"/>
    <cellStyle name="Hyperlink" xfId="1" builtinId="8"/>
    <cellStyle name="Comma" xfId="2" builtinId="3"/>
    <cellStyle name="Percent" xfId="3" builtinId="5"/>
    <cellStyle name="Currency" xfId="4" builtinId="4"/>
  </cellStyles>
  <dxfs count="533">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7"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bottom style="medium">
          <color theme="6"/>
        </bottom>
      </border>
    </dxf>
    <dxf>
      <border outline="0">
        <top style="thin">
          <color theme="6"/>
        </top>
      </border>
    </dxf>
    <dxf>
      <font>
        <name val="Calibri"/>
        <family val="2"/>
        <strike val="0"/>
        <outline val="0"/>
        <shadow val="0"/>
        <condense val="0"/>
        <color theme="1"/>
        <extend val="0"/>
        <sz val="10"/>
        <vertAlign val="baseline"/>
        <scheme val="minor"/>
      </font>
      <alignment horizontal="right" vertical="center" wrapText="1"/>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7"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bottom style="medium">
          <color theme="6"/>
        </bottom>
      </border>
    </dxf>
    <dxf>
      <border outline="0">
        <top style="thin">
          <color theme="6"/>
        </top>
      </border>
    </dxf>
    <dxf>
      <font>
        <name val="Calibri"/>
        <family val="2"/>
        <strike val="0"/>
        <outline val="0"/>
        <shadow val="0"/>
        <condense val="0"/>
        <color theme="1"/>
        <extend val="0"/>
        <sz val="10"/>
        <vertAlign val="baseline"/>
        <scheme val="minor"/>
      </font>
      <alignment horizontal="right" vertical="center" wrapText="1"/>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7"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bottom style="medium">
          <color theme="6"/>
        </bottom>
      </border>
    </dxf>
    <dxf>
      <border outline="0">
        <top style="thin">
          <color theme="6"/>
        </top>
      </border>
    </dxf>
    <dxf>
      <font>
        <name val="Calibri"/>
        <family val="2"/>
        <strike val="0"/>
        <outline val="0"/>
        <shadow val="0"/>
        <condense val="0"/>
        <color theme="1"/>
        <extend val="0"/>
        <sz val="10"/>
        <vertAlign val="baseline"/>
        <scheme val="minor"/>
      </font>
      <numFmt numFmtId="3" formatCode="#,##0"/>
      <alignment horizontal="right" vertical="center" wrapText="1"/>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7"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bottom style="medium">
          <color theme="6"/>
        </bottom>
      </border>
    </dxf>
    <dxf>
      <border outline="0">
        <top style="thin">
          <color theme="6"/>
        </top>
      </border>
    </dxf>
    <dxf>
      <font>
        <name val="Calibri"/>
        <family val="2"/>
        <strike val="0"/>
        <outline val="0"/>
        <shadow val="0"/>
        <condense val="0"/>
        <color theme="1"/>
        <extend val="0"/>
        <sz val="10"/>
        <vertAlign val="baseline"/>
        <scheme val="minor"/>
      </font>
      <numFmt numFmtId="3" formatCode="#,##0"/>
      <alignment horizontal="right" vertical="center" wrapText="1"/>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7"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bottom style="medium">
          <color theme="6"/>
        </bottom>
      </border>
    </dxf>
    <dxf>
      <border outline="0">
        <top style="thin">
          <color theme="6"/>
        </top>
      </border>
    </dxf>
    <dxf>
      <font>
        <name val="Calibri"/>
        <family val="2"/>
        <strike val="0"/>
        <outline val="0"/>
        <shadow val="0"/>
        <condense val="0"/>
        <color theme="1"/>
        <extend val="0"/>
        <sz val="10"/>
        <vertAlign val="baseline"/>
        <scheme val="minor"/>
      </font>
      <numFmt numFmtId="3" formatCode="#,##0"/>
      <alignment horizontal="right" vertical="center" wrapText="1"/>
    </dxf>
    <dxf>
      <numFmt numFmtId="0" formatCode="General"/>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7"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bottom style="medium">
          <color theme="6"/>
        </bottom>
      </border>
    </dxf>
    <dxf>
      <border outline="0">
        <top style="thin">
          <color theme="6"/>
        </top>
      </border>
    </dxf>
    <dxf>
      <font>
        <name val="Calibri"/>
        <family val="2"/>
        <strike val="0"/>
        <outline val="0"/>
        <shadow val="0"/>
        <condense val="0"/>
        <color theme="1"/>
        <extend val="0"/>
        <sz val="10"/>
        <vertAlign val="baseline"/>
        <scheme val="minor"/>
      </font>
      <numFmt numFmtId="3" formatCode="#,##0"/>
      <alignment horizontal="right" vertical="center" wrapText="1"/>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7"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bottom style="medium">
          <color theme="6"/>
        </bottom>
      </border>
    </dxf>
    <dxf>
      <border outline="0">
        <top style="thin">
          <color theme="6"/>
        </top>
      </border>
    </dxf>
    <dxf>
      <font>
        <name val="Calibri"/>
        <family val="2"/>
        <strike val="0"/>
        <outline val="0"/>
        <shadow val="0"/>
        <condense val="0"/>
        <color theme="1"/>
        <extend val="0"/>
        <sz val="10"/>
        <vertAlign val="baseline"/>
        <scheme val="minor"/>
      </font>
      <numFmt numFmtId="3" formatCode="#,##0"/>
      <alignment horizontal="right" vertical="center" wrapText="1"/>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7"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bottom style="medium">
          <color theme="6"/>
        </bottom>
      </border>
    </dxf>
    <dxf>
      <border outline="0">
        <top style="thin">
          <color theme="6"/>
        </top>
      </border>
    </dxf>
    <dxf>
      <font>
        <name val="Calibri"/>
        <family val="2"/>
        <strike val="0"/>
        <outline val="0"/>
        <shadow val="0"/>
        <condense val="0"/>
        <color theme="1"/>
        <extend val="0"/>
        <sz val="10"/>
        <vertAlign val="baseline"/>
        <scheme val="minor"/>
      </font>
      <numFmt numFmtId="3" formatCode="#,##0"/>
      <alignment horizontal="right" vertical="center" wrapText="1"/>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7"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bottom style="medium">
          <color theme="6"/>
        </bottom>
      </border>
    </dxf>
    <dxf>
      <border outline="0">
        <top style="thin">
          <color theme="6"/>
        </top>
      </border>
    </dxf>
    <dxf>
      <font>
        <name val="Calibri"/>
        <family val="2"/>
        <strike val="0"/>
        <outline val="0"/>
        <shadow val="0"/>
        <condense val="0"/>
        <color theme="1"/>
        <extend val="0"/>
        <sz val="10"/>
        <vertAlign val="baseline"/>
        <scheme val="minor"/>
      </font>
      <numFmt numFmtId="3" formatCode="#,##0"/>
      <alignment horizontal="right" vertical="center" wrapText="1"/>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7"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bottom style="medium">
          <color theme="6"/>
        </bottom>
      </border>
    </dxf>
    <dxf>
      <border outline="0">
        <top style="thin">
          <color theme="6"/>
        </top>
      </border>
    </dxf>
    <dxf>
      <font>
        <name val="Calibri"/>
        <family val="2"/>
        <strike val="0"/>
        <outline val="0"/>
        <shadow val="0"/>
        <condense val="0"/>
        <color theme="1"/>
        <extend val="0"/>
        <sz val="10"/>
        <vertAlign val="baseline"/>
        <scheme val="minor"/>
      </font>
      <numFmt numFmtId="3" formatCode="#,##0"/>
      <alignment horizontal="right" vertical="center" wrapText="1"/>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7"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bottom style="medium">
          <color theme="6"/>
        </bottom>
      </border>
    </dxf>
    <dxf>
      <border outline="0">
        <top style="thin">
          <color theme="6"/>
        </top>
      </border>
    </dxf>
    <dxf>
      <font>
        <name val="Calibri"/>
        <family val="2"/>
        <strike val="0"/>
        <outline val="0"/>
        <shadow val="0"/>
        <condense val="0"/>
        <color theme="1"/>
        <extend val="0"/>
        <sz val="10"/>
        <vertAlign val="baseline"/>
        <scheme val="minor"/>
      </font>
      <numFmt numFmtId="3" formatCode="#,##0"/>
      <alignment horizontal="right" vertical="center" wrapText="1"/>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7"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bottom style="medium">
          <color theme="6"/>
        </bottom>
      </border>
    </dxf>
    <dxf>
      <border outline="0">
        <top style="thin">
          <color theme="6"/>
        </top>
      </border>
    </dxf>
    <dxf>
      <font>
        <name val="Calibri"/>
        <family val="2"/>
        <strike val="0"/>
        <outline val="0"/>
        <shadow val="0"/>
        <condense val="0"/>
        <color theme="1"/>
        <extend val="0"/>
        <sz val="10"/>
        <vertAlign val="baseline"/>
        <scheme val="minor"/>
      </font>
      <numFmt numFmtId="3" formatCode="#,##0"/>
      <alignment horizontal="right" vertical="center" wrapText="1"/>
    </dxf>
    <dxf>
      <alignment horizontal="general"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7"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right" vertical="center" wrapText="1"/>
    </dxf>
    <dxf>
      <alignment horizontal="general"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7"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right" vertical="center" wrapText="1"/>
    </dxf>
    <dxf>
      <alignment horizontal="general" vertical="center" wrapText="1"/>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numFmt numFmtId="3" formatCode="#,##0"/>
    </dxf>
    <dxf>
      <font>
        <name val="Calibri"/>
        <family val="2"/>
        <strike val="0"/>
        <outline val="0"/>
        <shadow val="0"/>
        <condense val="0"/>
        <color theme="1"/>
        <extend val="0"/>
        <sz val="10"/>
        <vertAlign val="baseline"/>
        <scheme val="minor"/>
      </font>
      <numFmt numFmtId="3" formatCode="#,##0"/>
    </dxf>
    <dxf>
      <font>
        <name val="Calibri"/>
        <family val="2"/>
        <strike val="0"/>
        <outline val="0"/>
        <shadow val="0"/>
        <condense val="0"/>
        <color theme="1"/>
        <extend val="0"/>
        <sz val="10"/>
        <vertAlign val="baseline"/>
        <scheme val="minor"/>
      </font>
      <numFmt numFmtId="164" formatCode="&quot;$&quot;#,##0"/>
    </dxf>
    <dxf>
      <font>
        <name val="Calibri"/>
        <family val="2"/>
        <strike val="0"/>
        <outline val="0"/>
        <shadow val="0"/>
        <condense val="0"/>
        <color theme="1"/>
        <extend val="0"/>
        <sz val="10"/>
        <vertAlign val="baseline"/>
        <scheme val="minor"/>
      </font>
      <numFmt numFmtId="164" formatCode="&quot;$&quot;#,##0"/>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Arial"/>
        <family val="2"/>
        <strike val="0"/>
        <outline val="0"/>
        <shadow val="0"/>
        <condense val="0"/>
        <color theme="1"/>
        <extend val="0"/>
        <sz val="10"/>
        <vertAlign val="baseline"/>
      </font>
      <alignment horizontal="right" vertical="bottom"/>
    </dxf>
    <dxf>
      <font>
        <name val="Arial"/>
        <family val="2"/>
        <strike val="0"/>
        <outline val="0"/>
        <shadow val="0"/>
        <color auto="1"/>
        <sz val="10"/>
        <vertAlign val="baseline"/>
      </font>
    </dxf>
    <dxf>
      <alignment horizontal="general" vertical="center" wrapText="1"/>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numFmt numFmtId="3" formatCode="#,##0"/>
    </dxf>
    <dxf>
      <font>
        <name val="Calibri"/>
        <family val="2"/>
        <strike val="0"/>
        <outline val="0"/>
        <shadow val="0"/>
        <condense val="0"/>
        <color theme="1"/>
        <extend val="0"/>
        <sz val="10"/>
        <vertAlign val="baseline"/>
        <scheme val="minor"/>
      </font>
      <numFmt numFmtId="3" formatCode="#,##0"/>
    </dxf>
    <dxf>
      <font>
        <name val="Calibri"/>
        <family val="2"/>
        <strike val="0"/>
        <outline val="0"/>
        <shadow val="0"/>
        <condense val="0"/>
        <color theme="1"/>
        <extend val="0"/>
        <sz val="10"/>
        <vertAlign val="baseline"/>
        <scheme val="minor"/>
      </font>
      <numFmt numFmtId="164" formatCode="&quot;$&quot;#,##0"/>
    </dxf>
    <dxf>
      <font>
        <name val="Calibri"/>
        <family val="2"/>
        <strike val="0"/>
        <outline val="0"/>
        <shadow val="0"/>
        <condense val="0"/>
        <color theme="1"/>
        <extend val="0"/>
        <sz val="10"/>
        <vertAlign val="baseline"/>
        <scheme val="minor"/>
      </font>
      <numFmt numFmtId="164" formatCode="&quot;$&quot;#,##0"/>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Arial"/>
        <family val="2"/>
        <strike val="0"/>
        <outline val="0"/>
        <shadow val="0"/>
        <condense val="0"/>
        <color theme="1"/>
        <extend val="0"/>
        <sz val="10"/>
        <vertAlign val="baseline"/>
      </font>
      <alignment horizontal="right" vertical="bottom"/>
    </dxf>
    <dxf>
      <font>
        <name val="Arial"/>
        <family val="2"/>
        <strike val="0"/>
        <outline val="0"/>
        <shadow val="0"/>
        <color auto="1"/>
        <sz val="10"/>
        <vertAlign val="baseline"/>
      </font>
    </dxf>
    <dxf>
      <alignment horizontal="general" vertical="center" wrapText="1"/>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numFmt numFmtId="3" formatCode="#,##0"/>
    </dxf>
    <dxf>
      <font>
        <name val="Calibri"/>
        <family val="2"/>
        <strike val="0"/>
        <outline val="0"/>
        <shadow val="0"/>
        <condense val="0"/>
        <color theme="1"/>
        <extend val="0"/>
        <sz val="10"/>
        <vertAlign val="baseline"/>
        <scheme val="minor"/>
      </font>
      <numFmt numFmtId="3" formatCode="#,##0"/>
    </dxf>
    <dxf>
      <font>
        <name val="Calibri"/>
        <family val="2"/>
        <strike val="0"/>
        <outline val="0"/>
        <shadow val="0"/>
        <condense val="0"/>
        <color theme="1"/>
        <extend val="0"/>
        <sz val="10"/>
        <vertAlign val="baseline"/>
        <scheme val="minor"/>
      </font>
      <numFmt numFmtId="164" formatCode="&quot;$&quot;#,##0"/>
    </dxf>
    <dxf>
      <font>
        <name val="Calibri"/>
        <family val="2"/>
        <strike val="0"/>
        <outline val="0"/>
        <shadow val="0"/>
        <condense val="0"/>
        <color theme="1"/>
        <extend val="0"/>
        <sz val="10"/>
        <vertAlign val="baseline"/>
        <scheme val="minor"/>
      </font>
      <numFmt numFmtId="164" formatCode="&quot;$&quot;#,##0"/>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Arial"/>
        <family val="2"/>
        <strike val="0"/>
        <outline val="0"/>
        <shadow val="0"/>
        <condense val="0"/>
        <color theme="1"/>
        <extend val="0"/>
        <sz val="10"/>
        <vertAlign val="baseline"/>
      </font>
      <alignment horizontal="right" vertical="bottom"/>
    </dxf>
    <dxf>
      <font>
        <name val="Arial"/>
        <family val="2"/>
        <strike val="0"/>
        <outline val="0"/>
        <shadow val="0"/>
        <color auto="1"/>
        <sz val="10"/>
        <vertAlign val="baseline"/>
      </font>
    </dxf>
    <dxf>
      <alignment horizontal="general" vertical="center" wrapText="1"/>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numFmt numFmtId="3" formatCode="#,##0"/>
    </dxf>
    <dxf>
      <font>
        <name val="Calibri"/>
        <family val="2"/>
        <strike val="0"/>
        <outline val="0"/>
        <shadow val="0"/>
        <condense val="0"/>
        <color theme="1"/>
        <extend val="0"/>
        <sz val="10"/>
        <vertAlign val="baseline"/>
        <scheme val="minor"/>
      </font>
      <numFmt numFmtId="3" formatCode="#,##0"/>
    </dxf>
    <dxf>
      <font>
        <name val="Calibri"/>
        <family val="2"/>
        <strike val="0"/>
        <outline val="0"/>
        <shadow val="0"/>
        <condense val="0"/>
        <color theme="1"/>
        <extend val="0"/>
        <sz val="10"/>
        <vertAlign val="baseline"/>
        <scheme val="minor"/>
      </font>
      <numFmt numFmtId="164" formatCode="&quot;$&quot;#,##0"/>
    </dxf>
    <dxf>
      <font>
        <name val="Calibri"/>
        <family val="2"/>
        <strike val="0"/>
        <outline val="0"/>
        <shadow val="0"/>
        <condense val="0"/>
        <color theme="1"/>
        <extend val="0"/>
        <sz val="10"/>
        <vertAlign val="baseline"/>
        <scheme val="minor"/>
      </font>
      <numFmt numFmtId="164" formatCode="&quot;$&quot;#,##0"/>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Arial"/>
        <family val="2"/>
        <strike val="0"/>
        <outline val="0"/>
        <shadow val="0"/>
        <condense val="0"/>
        <color theme="1"/>
        <extend val="0"/>
        <sz val="10"/>
        <vertAlign val="baseline"/>
      </font>
      <alignment horizontal="right" vertical="bottom"/>
    </dxf>
    <dxf>
      <font>
        <name val="Arial"/>
        <family val="2"/>
        <strike val="0"/>
        <outline val="0"/>
        <shadow val="0"/>
        <color auto="1"/>
        <sz val="10"/>
        <vertAlign val="baseline"/>
      </font>
    </dxf>
    <dxf>
      <alignment horizontal="general" vertical="center" wrapText="1"/>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numFmt numFmtId="3" formatCode="#,##0"/>
    </dxf>
    <dxf>
      <font>
        <name val="Calibri"/>
        <family val="2"/>
        <strike val="0"/>
        <outline val="0"/>
        <shadow val="0"/>
        <condense val="0"/>
        <color theme="1"/>
        <extend val="0"/>
        <sz val="10"/>
        <vertAlign val="baseline"/>
        <scheme val="minor"/>
      </font>
      <numFmt numFmtId="3" formatCode="#,##0"/>
    </dxf>
    <dxf>
      <font>
        <name val="Calibri"/>
        <family val="2"/>
        <strike val="0"/>
        <outline val="0"/>
        <shadow val="0"/>
        <condense val="0"/>
        <color theme="1"/>
        <extend val="0"/>
        <sz val="10"/>
        <vertAlign val="baseline"/>
        <scheme val="minor"/>
      </font>
      <numFmt numFmtId="164" formatCode="&quot;$&quot;#,##0"/>
    </dxf>
    <dxf>
      <font>
        <name val="Calibri"/>
        <family val="2"/>
        <strike val="0"/>
        <outline val="0"/>
        <shadow val="0"/>
        <condense val="0"/>
        <color theme="1"/>
        <extend val="0"/>
        <sz val="10"/>
        <vertAlign val="baseline"/>
        <scheme val="minor"/>
      </font>
      <numFmt numFmtId="164" formatCode="&quot;$&quot;#,##0"/>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Arial"/>
        <family val="2"/>
        <strike val="0"/>
        <outline val="0"/>
        <shadow val="0"/>
        <condense val="0"/>
        <color theme="1"/>
        <extend val="0"/>
        <sz val="10"/>
        <vertAlign val="baseline"/>
      </font>
      <alignment horizontal="right" vertical="bottom"/>
    </dxf>
    <dxf>
      <font>
        <name val="Arial"/>
        <family val="2"/>
        <strike val="0"/>
        <outline val="0"/>
        <shadow val="0"/>
        <color auto="1"/>
        <sz val="10"/>
        <vertAlign val="baseline"/>
      </font>
    </dxf>
    <dxf>
      <alignment horizontal="general" vertical="center" wrapText="1"/>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numFmt numFmtId="3" formatCode="#,##0"/>
    </dxf>
    <dxf>
      <font>
        <name val="Calibri"/>
        <family val="2"/>
        <strike val="0"/>
        <outline val="0"/>
        <shadow val="0"/>
        <condense val="0"/>
        <color theme="1"/>
        <extend val="0"/>
        <sz val="10"/>
        <vertAlign val="baseline"/>
        <scheme val="minor"/>
      </font>
      <numFmt numFmtId="3" formatCode="#,##0"/>
    </dxf>
    <dxf>
      <font>
        <name val="Calibri"/>
        <family val="2"/>
        <strike val="0"/>
        <outline val="0"/>
        <shadow val="0"/>
        <condense val="0"/>
        <color theme="1"/>
        <extend val="0"/>
        <sz val="10"/>
        <vertAlign val="baseline"/>
        <scheme val="minor"/>
      </font>
      <numFmt numFmtId="164" formatCode="&quot;$&quot;#,##0"/>
    </dxf>
    <dxf>
      <font>
        <name val="Calibri"/>
        <family val="2"/>
        <strike val="0"/>
        <outline val="0"/>
        <shadow val="0"/>
        <condense val="0"/>
        <color theme="1"/>
        <extend val="0"/>
        <sz val="10"/>
        <vertAlign val="baseline"/>
        <scheme val="minor"/>
      </font>
      <numFmt numFmtId="164" formatCode="&quot;$&quot;#,##0"/>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Arial"/>
        <family val="2"/>
        <strike val="0"/>
        <outline val="0"/>
        <shadow val="0"/>
        <condense val="0"/>
        <color theme="1"/>
        <extend val="0"/>
        <sz val="10"/>
        <vertAlign val="baseline"/>
      </font>
      <alignment horizontal="right" vertical="bottom"/>
    </dxf>
    <dxf>
      <font>
        <name val="Arial"/>
        <family val="2"/>
        <strike val="0"/>
        <outline val="0"/>
        <shadow val="0"/>
        <color auto="1"/>
        <sz val="10"/>
        <vertAlign val="baseline"/>
      </font>
    </dxf>
    <dxf>
      <alignment horizontal="general" vertical="center" wrapText="1"/>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numFmt numFmtId="3" formatCode="#,##0"/>
    </dxf>
    <dxf>
      <font>
        <name val="Calibri"/>
        <family val="2"/>
        <strike val="0"/>
        <outline val="0"/>
        <shadow val="0"/>
        <condense val="0"/>
        <color theme="1"/>
        <extend val="0"/>
        <sz val="10"/>
        <vertAlign val="baseline"/>
        <scheme val="minor"/>
      </font>
      <numFmt numFmtId="3" formatCode="#,##0"/>
    </dxf>
    <dxf>
      <font>
        <name val="Calibri"/>
        <family val="2"/>
        <strike val="0"/>
        <outline val="0"/>
        <shadow val="0"/>
        <condense val="0"/>
        <color theme="1"/>
        <extend val="0"/>
        <sz val="10"/>
        <vertAlign val="baseline"/>
        <scheme val="minor"/>
      </font>
      <numFmt numFmtId="164" formatCode="&quot;$&quot;#,##0"/>
    </dxf>
    <dxf>
      <font>
        <name val="Calibri"/>
        <family val="2"/>
        <strike val="0"/>
        <outline val="0"/>
        <shadow val="0"/>
        <condense val="0"/>
        <color theme="1"/>
        <extend val="0"/>
        <sz val="10"/>
        <vertAlign val="baseline"/>
        <scheme val="minor"/>
      </font>
      <numFmt numFmtId="164" formatCode="&quot;$&quot;#,##0"/>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Arial"/>
        <family val="2"/>
        <strike val="0"/>
        <outline val="0"/>
        <shadow val="0"/>
        <condense val="0"/>
        <color theme="1"/>
        <extend val="0"/>
        <sz val="10"/>
        <vertAlign val="baseline"/>
      </font>
      <alignment horizontal="right" vertical="bottom"/>
    </dxf>
    <dxf>
      <font>
        <name val="Arial"/>
        <family val="2"/>
        <strike val="0"/>
        <outline val="0"/>
        <shadow val="0"/>
        <color auto="1"/>
        <sz val="10"/>
        <vertAlign val="baseline"/>
      </font>
    </dxf>
    <dxf>
      <alignment horizontal="general" vertical="center" wrapText="1"/>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numFmt numFmtId="3" formatCode="#,##0"/>
    </dxf>
    <dxf>
      <font>
        <name val="Calibri"/>
        <family val="2"/>
        <strike val="0"/>
        <outline val="0"/>
        <shadow val="0"/>
        <condense val="0"/>
        <color theme="1"/>
        <extend val="0"/>
        <sz val="10"/>
        <vertAlign val="baseline"/>
        <scheme val="minor"/>
      </font>
      <numFmt numFmtId="3" formatCode="#,##0"/>
    </dxf>
    <dxf>
      <font>
        <name val="Calibri"/>
        <family val="2"/>
        <strike val="0"/>
        <outline val="0"/>
        <shadow val="0"/>
        <condense val="0"/>
        <color theme="1"/>
        <extend val="0"/>
        <sz val="10"/>
        <vertAlign val="baseline"/>
        <scheme val="minor"/>
      </font>
      <numFmt numFmtId="164" formatCode="&quot;$&quot;#,##0"/>
    </dxf>
    <dxf>
      <font>
        <name val="Calibri"/>
        <family val="2"/>
        <strike val="0"/>
        <outline val="0"/>
        <shadow val="0"/>
        <condense val="0"/>
        <color theme="1"/>
        <extend val="0"/>
        <sz val="10"/>
        <vertAlign val="baseline"/>
        <scheme val="minor"/>
      </font>
      <numFmt numFmtId="164" formatCode="&quot;$&quot;#,##0"/>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Arial"/>
        <family val="2"/>
        <strike val="0"/>
        <outline val="0"/>
        <shadow val="0"/>
        <condense val="0"/>
        <color theme="1"/>
        <extend val="0"/>
        <sz val="10"/>
        <vertAlign val="baseline"/>
      </font>
      <alignment horizontal="right" vertical="bottom"/>
    </dxf>
    <dxf>
      <font>
        <name val="Arial"/>
        <family val="2"/>
        <strike val="0"/>
        <outline val="0"/>
        <shadow val="0"/>
        <color auto="1"/>
        <sz val="10"/>
        <vertAlign val="baseline"/>
      </font>
    </dxf>
    <dxf>
      <alignment horizontal="general" vertical="center" wrapText="1"/>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numFmt numFmtId="3" formatCode="#,##0"/>
    </dxf>
    <dxf>
      <font>
        <name val="Calibri"/>
        <family val="2"/>
        <strike val="0"/>
        <outline val="0"/>
        <shadow val="0"/>
        <condense val="0"/>
        <color theme="1"/>
        <extend val="0"/>
        <sz val="10"/>
        <vertAlign val="baseline"/>
        <scheme val="minor"/>
      </font>
      <numFmt numFmtId="3" formatCode="#,##0"/>
    </dxf>
    <dxf>
      <font>
        <name val="Calibri"/>
        <family val="2"/>
        <strike val="0"/>
        <outline val="0"/>
        <shadow val="0"/>
        <condense val="0"/>
        <color theme="1"/>
        <extend val="0"/>
        <sz val="10"/>
        <vertAlign val="baseline"/>
        <scheme val="minor"/>
      </font>
      <numFmt numFmtId="164" formatCode="&quot;$&quot;#,##0"/>
    </dxf>
    <dxf>
      <font>
        <name val="Calibri"/>
        <family val="2"/>
        <strike val="0"/>
        <outline val="0"/>
        <shadow val="0"/>
        <condense val="0"/>
        <color theme="1"/>
        <extend val="0"/>
        <sz val="10"/>
        <vertAlign val="baseline"/>
        <scheme val="minor"/>
      </font>
      <numFmt numFmtId="164" formatCode="&quot;$&quot;#,##0"/>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Arial"/>
        <family val="2"/>
        <strike val="0"/>
        <outline val="0"/>
        <shadow val="0"/>
        <condense val="0"/>
        <color theme="1"/>
        <extend val="0"/>
        <sz val="10"/>
        <vertAlign val="baseline"/>
      </font>
      <alignment horizontal="right" vertical="bottom"/>
    </dxf>
    <dxf>
      <font>
        <name val="Arial"/>
        <family val="2"/>
        <strike val="0"/>
        <outline val="0"/>
        <shadow val="0"/>
        <color auto="1"/>
        <sz val="10"/>
        <vertAlign val="baseline"/>
      </font>
    </dxf>
    <dxf>
      <alignment horizontal="general" vertical="center" wrapText="1"/>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numFmt numFmtId="3" formatCode="#,##0"/>
    </dxf>
    <dxf>
      <font>
        <name val="Calibri"/>
        <family val="2"/>
        <strike val="0"/>
        <outline val="0"/>
        <shadow val="0"/>
        <condense val="0"/>
        <color theme="1"/>
        <extend val="0"/>
        <sz val="10"/>
        <vertAlign val="baseline"/>
        <scheme val="minor"/>
      </font>
      <numFmt numFmtId="3" formatCode="#,##0"/>
    </dxf>
    <dxf>
      <font>
        <name val="Calibri"/>
        <family val="2"/>
        <strike val="0"/>
        <outline val="0"/>
        <shadow val="0"/>
        <condense val="0"/>
        <color theme="1"/>
        <extend val="0"/>
        <sz val="10"/>
        <vertAlign val="baseline"/>
        <scheme val="minor"/>
      </font>
      <numFmt numFmtId="164" formatCode="&quot;$&quot;#,##0"/>
    </dxf>
    <dxf>
      <font>
        <name val="Calibri"/>
        <family val="2"/>
        <strike val="0"/>
        <outline val="0"/>
        <shadow val="0"/>
        <condense val="0"/>
        <color theme="1"/>
        <extend val="0"/>
        <sz val="10"/>
        <vertAlign val="baseline"/>
        <scheme val="minor"/>
      </font>
      <numFmt numFmtId="164" formatCode="&quot;$&quot;#,##0"/>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Arial"/>
        <family val="2"/>
        <strike val="0"/>
        <outline val="0"/>
        <shadow val="0"/>
        <condense val="0"/>
        <color theme="1"/>
        <extend val="0"/>
        <sz val="10"/>
        <vertAlign val="baseline"/>
      </font>
      <alignment horizontal="right" vertical="bottom"/>
    </dxf>
    <dxf>
      <font>
        <name val="Arial"/>
        <family val="2"/>
        <strike val="0"/>
        <outline val="0"/>
        <shadow val="0"/>
        <color auto="1"/>
        <sz val="10"/>
        <vertAlign val="baseline"/>
      </font>
    </dxf>
    <dxf>
      <alignment horizontal="general" vertical="center" wrapText="1"/>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numFmt numFmtId="3" formatCode="#,##0"/>
    </dxf>
    <dxf>
      <font>
        <name val="Calibri"/>
        <family val="2"/>
        <strike val="0"/>
        <outline val="0"/>
        <shadow val="0"/>
        <condense val="0"/>
        <color theme="1"/>
        <extend val="0"/>
        <sz val="10"/>
        <vertAlign val="baseline"/>
        <scheme val="minor"/>
      </font>
      <numFmt numFmtId="3" formatCode="#,##0"/>
    </dxf>
    <dxf>
      <font>
        <name val="Calibri"/>
        <family val="2"/>
        <strike val="0"/>
        <outline val="0"/>
        <shadow val="0"/>
        <condense val="0"/>
        <color theme="1"/>
        <extend val="0"/>
        <sz val="10"/>
        <vertAlign val="baseline"/>
        <scheme val="minor"/>
      </font>
      <numFmt numFmtId="164" formatCode="&quot;$&quot;#,##0"/>
    </dxf>
    <dxf>
      <font>
        <name val="Calibri"/>
        <family val="2"/>
        <strike val="0"/>
        <outline val="0"/>
        <shadow val="0"/>
        <condense val="0"/>
        <color theme="1"/>
        <extend val="0"/>
        <sz val="10"/>
        <vertAlign val="baseline"/>
        <scheme val="minor"/>
      </font>
      <numFmt numFmtId="164" formatCode="&quot;$&quot;#,##0"/>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Arial"/>
        <family val="2"/>
        <strike val="0"/>
        <outline val="0"/>
        <shadow val="0"/>
        <condense val="0"/>
        <color theme="1"/>
        <extend val="0"/>
        <sz val="10"/>
        <vertAlign val="baseline"/>
      </font>
      <alignment horizontal="right" vertical="bottom"/>
    </dxf>
    <dxf>
      <font>
        <name val="Arial"/>
        <family val="2"/>
        <strike val="0"/>
        <outline val="0"/>
        <shadow val="0"/>
        <color auto="1"/>
        <sz val="10"/>
        <vertAlign val="baseline"/>
      </font>
    </dxf>
    <dxf>
      <alignment horizontal="general" vertical="center" wrapText="1"/>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numFmt numFmtId="3" formatCode="#,##0"/>
    </dxf>
    <dxf>
      <font>
        <name val="Calibri"/>
        <family val="2"/>
        <strike val="0"/>
        <outline val="0"/>
        <shadow val="0"/>
        <condense val="0"/>
        <color theme="1"/>
        <extend val="0"/>
        <sz val="10"/>
        <vertAlign val="baseline"/>
        <scheme val="minor"/>
      </font>
      <numFmt numFmtId="3" formatCode="#,##0"/>
    </dxf>
    <dxf>
      <font>
        <name val="Calibri"/>
        <family val="2"/>
        <strike val="0"/>
        <outline val="0"/>
        <shadow val="0"/>
        <condense val="0"/>
        <color theme="1"/>
        <extend val="0"/>
        <sz val="10"/>
        <vertAlign val="baseline"/>
        <scheme val="minor"/>
      </font>
      <numFmt numFmtId="164" formatCode="&quot;$&quot;#,##0"/>
    </dxf>
    <dxf>
      <font>
        <name val="Calibri"/>
        <family val="2"/>
        <strike val="0"/>
        <outline val="0"/>
        <shadow val="0"/>
        <condense val="0"/>
        <color theme="1"/>
        <extend val="0"/>
        <sz val="10"/>
        <vertAlign val="baseline"/>
        <scheme val="minor"/>
      </font>
      <numFmt numFmtId="164" formatCode="&quot;$&quot;#,##0"/>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Arial"/>
        <family val="2"/>
        <strike val="0"/>
        <outline val="0"/>
        <shadow val="0"/>
        <condense val="0"/>
        <color theme="1"/>
        <extend val="0"/>
        <sz val="10"/>
        <vertAlign val="baseline"/>
      </font>
      <alignment horizontal="right" vertical="bottom"/>
    </dxf>
    <dxf>
      <font>
        <name val="Arial"/>
        <family val="2"/>
        <strike val="0"/>
        <outline val="0"/>
        <shadow val="0"/>
        <color auto="1"/>
        <sz val="10"/>
        <vertAlign val="baseline"/>
      </font>
    </dxf>
    <dxf>
      <alignment horizontal="general" vertical="center" wrapText="1"/>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numFmt numFmtId="3" formatCode="#,##0"/>
    </dxf>
    <dxf>
      <font>
        <name val="Calibri"/>
        <family val="2"/>
        <strike val="0"/>
        <outline val="0"/>
        <shadow val="0"/>
        <condense val="0"/>
        <color theme="1"/>
        <extend val="0"/>
        <sz val="10"/>
        <vertAlign val="baseline"/>
        <scheme val="minor"/>
      </font>
      <numFmt numFmtId="3" formatCode="#,##0"/>
    </dxf>
    <dxf>
      <font>
        <name val="Calibri"/>
        <family val="2"/>
        <strike val="0"/>
        <outline val="0"/>
        <shadow val="0"/>
        <condense val="0"/>
        <color theme="1"/>
        <extend val="0"/>
        <sz val="10"/>
        <vertAlign val="baseline"/>
        <scheme val="minor"/>
      </font>
      <numFmt numFmtId="164" formatCode="&quot;$&quot;#,##0"/>
    </dxf>
    <dxf>
      <font>
        <name val="Calibri"/>
        <family val="2"/>
        <strike val="0"/>
        <outline val="0"/>
        <shadow val="0"/>
        <condense val="0"/>
        <color theme="1"/>
        <extend val="0"/>
        <sz val="10"/>
        <vertAlign val="baseline"/>
        <scheme val="minor"/>
      </font>
      <numFmt numFmtId="164" formatCode="&quot;$&quot;#,##0"/>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Arial"/>
        <family val="2"/>
        <strike val="0"/>
        <outline val="0"/>
        <shadow val="0"/>
        <condense val="0"/>
        <color theme="1"/>
        <extend val="0"/>
        <sz val="10"/>
        <vertAlign val="baseline"/>
      </font>
      <alignment horizontal="right" vertical="bottom"/>
    </dxf>
    <dxf>
      <font>
        <name val="Arial"/>
        <family val="2"/>
        <strike val="0"/>
        <outline val="0"/>
        <shadow val="0"/>
        <color auto="1"/>
        <sz val="10"/>
        <vertAlign val="baseline"/>
      </font>
    </dxf>
    <dxf>
      <alignment horizontal="general" vertical="center" wrapText="1"/>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numFmt numFmtId="3" formatCode="#,##0"/>
    </dxf>
    <dxf>
      <font>
        <name val="Calibri"/>
        <family val="2"/>
        <strike val="0"/>
        <outline val="0"/>
        <shadow val="0"/>
        <condense val="0"/>
        <color theme="1"/>
        <extend val="0"/>
        <sz val="10"/>
        <vertAlign val="baseline"/>
        <scheme val="minor"/>
      </font>
      <numFmt numFmtId="3" formatCode="#,##0"/>
    </dxf>
    <dxf>
      <font>
        <name val="Calibri"/>
        <family val="2"/>
        <strike val="0"/>
        <outline val="0"/>
        <shadow val="0"/>
        <condense val="0"/>
        <color theme="1"/>
        <extend val="0"/>
        <sz val="10"/>
        <vertAlign val="baseline"/>
        <scheme val="minor"/>
      </font>
      <numFmt numFmtId="164" formatCode="&quot;$&quot;#,##0"/>
    </dxf>
    <dxf>
      <font>
        <name val="Calibri"/>
        <family val="2"/>
        <strike val="0"/>
        <outline val="0"/>
        <shadow val="0"/>
        <condense val="0"/>
        <color theme="1"/>
        <extend val="0"/>
        <sz val="10"/>
        <vertAlign val="baseline"/>
        <scheme val="minor"/>
      </font>
      <numFmt numFmtId="164" formatCode="&quot;$&quot;#,##0"/>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Arial"/>
        <family val="2"/>
        <strike val="0"/>
        <outline val="0"/>
        <shadow val="0"/>
        <condense val="0"/>
        <color theme="1"/>
        <extend val="0"/>
        <sz val="10"/>
        <vertAlign val="baseline"/>
      </font>
      <alignment horizontal="right" vertical="bottom"/>
    </dxf>
    <dxf>
      <font>
        <name val="Arial"/>
        <family val="2"/>
        <strike val="0"/>
        <outline val="0"/>
        <shadow val="0"/>
        <color auto="1"/>
        <sz val="10"/>
        <vertAlign val="baseline"/>
      </font>
    </dxf>
    <dxf>
      <alignment horizontal="general" vertical="center" wrapText="1"/>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numFmt numFmtId="3" formatCode="#,##0"/>
    </dxf>
    <dxf>
      <font>
        <name val="Calibri"/>
        <family val="2"/>
        <strike val="0"/>
        <outline val="0"/>
        <shadow val="0"/>
        <condense val="0"/>
        <color theme="1"/>
        <extend val="0"/>
        <sz val="10"/>
        <vertAlign val="baseline"/>
        <scheme val="minor"/>
      </font>
      <numFmt numFmtId="3" formatCode="#,##0"/>
    </dxf>
    <dxf>
      <font>
        <name val="Calibri"/>
        <family val="2"/>
        <strike val="0"/>
        <outline val="0"/>
        <shadow val="0"/>
        <condense val="0"/>
        <color theme="1"/>
        <extend val="0"/>
        <sz val="10"/>
        <vertAlign val="baseline"/>
        <scheme val="minor"/>
      </font>
      <numFmt numFmtId="164" formatCode="&quot;$&quot;#,##0"/>
    </dxf>
    <dxf>
      <font>
        <name val="Calibri"/>
        <family val="2"/>
        <strike val="0"/>
        <outline val="0"/>
        <shadow val="0"/>
        <condense val="0"/>
        <color theme="1"/>
        <extend val="0"/>
        <sz val="10"/>
        <vertAlign val="baseline"/>
        <scheme val="minor"/>
      </font>
      <numFmt numFmtId="164" formatCode="&quot;$&quot;#,##0"/>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Arial"/>
        <family val="2"/>
        <strike val="0"/>
        <outline val="0"/>
        <shadow val="0"/>
        <condense val="0"/>
        <color theme="1"/>
        <extend val="0"/>
        <sz val="10"/>
        <vertAlign val="baseline"/>
      </font>
      <alignment horizontal="right" vertical="bottom"/>
    </dxf>
    <dxf>
      <font>
        <name val="Arial"/>
        <family val="2"/>
        <strike val="0"/>
        <outline val="0"/>
        <shadow val="0"/>
        <color auto="1"/>
        <sz val="10"/>
        <vertAlign val="baseline"/>
      </font>
    </dxf>
    <dxf>
      <alignment horizontal="general" vertical="center" wrapText="1"/>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numFmt numFmtId="3" formatCode="#,##0"/>
    </dxf>
    <dxf>
      <font>
        <name val="Calibri"/>
        <family val="2"/>
        <strike val="0"/>
        <outline val="0"/>
        <shadow val="0"/>
        <condense val="0"/>
        <color theme="1"/>
        <extend val="0"/>
        <sz val="10"/>
        <vertAlign val="baseline"/>
        <scheme val="minor"/>
      </font>
      <numFmt numFmtId="3" formatCode="#,##0"/>
    </dxf>
    <dxf>
      <font>
        <name val="Calibri"/>
        <family val="2"/>
        <strike val="0"/>
        <outline val="0"/>
        <shadow val="0"/>
        <condense val="0"/>
        <color theme="1"/>
        <extend val="0"/>
        <sz val="10"/>
        <vertAlign val="baseline"/>
        <scheme val="minor"/>
      </font>
      <numFmt numFmtId="164" formatCode="&quot;$&quot;#,##0"/>
    </dxf>
    <dxf>
      <font>
        <name val="Calibri"/>
        <family val="2"/>
        <strike val="0"/>
        <outline val="0"/>
        <shadow val="0"/>
        <condense val="0"/>
        <color theme="1"/>
        <extend val="0"/>
        <sz val="10"/>
        <vertAlign val="baseline"/>
        <scheme val="minor"/>
      </font>
      <numFmt numFmtId="164" formatCode="&quot;$&quot;#,##0"/>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Arial"/>
        <family val="2"/>
        <strike val="0"/>
        <outline val="0"/>
        <shadow val="0"/>
        <condense val="0"/>
        <color theme="1"/>
        <extend val="0"/>
        <sz val="10"/>
        <vertAlign val="baseline"/>
      </font>
      <alignment horizontal="right" vertical="bottom"/>
    </dxf>
    <dxf>
      <font>
        <name val="Arial"/>
        <family val="2"/>
        <strike val="0"/>
        <outline val="0"/>
        <shadow val="0"/>
        <color auto="1"/>
        <sz val="10"/>
        <vertAlign val="baseline"/>
      </font>
    </dxf>
    <dxf>
      <alignment horizontal="general" vertical="center" wrapText="1"/>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numFmt numFmtId="3" formatCode="#,##0"/>
    </dxf>
    <dxf>
      <font>
        <name val="Calibri"/>
        <family val="2"/>
        <strike val="0"/>
        <outline val="0"/>
        <shadow val="0"/>
        <condense val="0"/>
        <color theme="1"/>
        <extend val="0"/>
        <sz val="10"/>
        <vertAlign val="baseline"/>
        <scheme val="minor"/>
      </font>
      <numFmt numFmtId="3" formatCode="#,##0"/>
    </dxf>
    <dxf>
      <font>
        <name val="Calibri"/>
        <family val="2"/>
        <strike val="0"/>
        <outline val="0"/>
        <shadow val="0"/>
        <condense val="0"/>
        <color theme="1"/>
        <extend val="0"/>
        <sz val="10"/>
        <vertAlign val="baseline"/>
        <scheme val="minor"/>
      </font>
      <numFmt numFmtId="164" formatCode="&quot;$&quot;#,##0"/>
    </dxf>
    <dxf>
      <font>
        <name val="Calibri"/>
        <family val="2"/>
        <strike val="0"/>
        <outline val="0"/>
        <shadow val="0"/>
        <condense val="0"/>
        <color theme="1"/>
        <extend val="0"/>
        <sz val="10"/>
        <vertAlign val="baseline"/>
        <scheme val="minor"/>
      </font>
      <numFmt numFmtId="164" formatCode="&quot;$&quot;#,##0"/>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Arial"/>
        <family val="2"/>
        <strike val="0"/>
        <outline val="0"/>
        <shadow val="0"/>
        <condense val="0"/>
        <color theme="1"/>
        <extend val="0"/>
        <sz val="10"/>
        <vertAlign val="baseline"/>
      </font>
      <alignment horizontal="right" vertical="bottom"/>
    </dxf>
    <dxf>
      <font>
        <name val="Arial"/>
        <family val="2"/>
        <strike val="0"/>
        <outline val="0"/>
        <shadow val="0"/>
        <color auto="1"/>
        <sz val="10"/>
        <vertAlign val="baseline"/>
      </font>
    </dxf>
    <dxf>
      <alignment horizontal="general" vertical="center" wrapText="1"/>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numFmt numFmtId="3" formatCode="#,##0"/>
    </dxf>
    <dxf>
      <font>
        <name val="Calibri"/>
        <family val="2"/>
        <strike val="0"/>
        <outline val="0"/>
        <shadow val="0"/>
        <condense val="0"/>
        <color theme="1"/>
        <extend val="0"/>
        <sz val="10"/>
        <vertAlign val="baseline"/>
        <scheme val="minor"/>
      </font>
      <numFmt numFmtId="3" formatCode="#,##0"/>
    </dxf>
    <dxf>
      <font>
        <name val="Calibri"/>
        <family val="2"/>
        <strike val="0"/>
        <outline val="0"/>
        <shadow val="0"/>
        <condense val="0"/>
        <color theme="1"/>
        <extend val="0"/>
        <sz val="10"/>
        <vertAlign val="baseline"/>
        <scheme val="minor"/>
      </font>
      <numFmt numFmtId="164" formatCode="&quot;$&quot;#,##0"/>
    </dxf>
    <dxf>
      <font>
        <name val="Calibri"/>
        <family val="2"/>
        <strike val="0"/>
        <outline val="0"/>
        <shadow val="0"/>
        <condense val="0"/>
        <color theme="1"/>
        <extend val="0"/>
        <sz val="10"/>
        <vertAlign val="baseline"/>
        <scheme val="minor"/>
      </font>
      <numFmt numFmtId="164" formatCode="&quot;$&quot;#,##0"/>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Arial"/>
        <family val="2"/>
        <strike val="0"/>
        <outline val="0"/>
        <shadow val="0"/>
        <condense val="0"/>
        <color theme="1"/>
        <extend val="0"/>
        <sz val="10"/>
        <vertAlign val="baseline"/>
      </font>
      <alignment horizontal="right" vertical="bottom"/>
    </dxf>
    <dxf>
      <font>
        <name val="Arial"/>
        <family val="2"/>
        <strike val="0"/>
        <outline val="0"/>
        <shadow val="0"/>
        <color auto="1"/>
        <sz val="10"/>
        <vertAlign val="baseline"/>
      </font>
    </dxf>
    <dxf>
      <alignment horizontal="general" vertical="center" wrapText="1"/>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numFmt numFmtId="3" formatCode="#,##0"/>
    </dxf>
    <dxf>
      <font>
        <name val="Calibri"/>
        <family val="2"/>
        <strike val="0"/>
        <outline val="0"/>
        <shadow val="0"/>
        <condense val="0"/>
        <color theme="1"/>
        <extend val="0"/>
        <sz val="10"/>
        <vertAlign val="baseline"/>
        <scheme val="minor"/>
      </font>
      <numFmt numFmtId="3" formatCode="#,##0"/>
      <fill>
        <patternFill patternType="solid">
          <fgColor indexed="64"/>
          <bgColor rgb="FFDAD2E9"/>
        </patternFill>
      </fill>
    </dxf>
    <dxf>
      <font>
        <name val="Calibri"/>
        <family val="2"/>
        <strike val="0"/>
        <outline val="0"/>
        <shadow val="0"/>
        <condense val="0"/>
        <color theme="1"/>
        <extend val="0"/>
        <sz val="10"/>
        <vertAlign val="baseline"/>
        <scheme val="minor"/>
      </font>
      <numFmt numFmtId="164" formatCode="&quot;$&quot;#,##0"/>
    </dxf>
    <dxf>
      <font>
        <name val="Calibri"/>
        <family val="2"/>
        <strike val="0"/>
        <outline val="0"/>
        <shadow val="0"/>
        <condense val="0"/>
        <color theme="1"/>
        <extend val="0"/>
        <sz val="10"/>
        <vertAlign val="baseline"/>
        <scheme val="minor"/>
      </font>
      <numFmt numFmtId="164" formatCode="&quot;$&quot;#,##0"/>
    </dxf>
    <dxf>
      <font>
        <name val="Calibri"/>
        <family val="2"/>
        <strike val="0"/>
        <outline val="0"/>
        <shadow val="0"/>
        <condense val="0"/>
        <color theme="1"/>
        <extend val="0"/>
        <sz val="10"/>
        <vertAlign val="baseline"/>
        <scheme val="minor"/>
      </font>
      <numFmt numFmtId="167" formatCode="&quot;$&quot;#,##0.00"/>
    </dxf>
    <dxf>
      <font>
        <name val="Calibri"/>
        <family val="2"/>
        <strike val="0"/>
        <outline val="0"/>
        <shadow val="0"/>
        <condense val="0"/>
        <color theme="1"/>
        <extend val="0"/>
        <sz val="10"/>
        <vertAlign val="baseline"/>
        <scheme val="minor"/>
      </font>
      <numFmt numFmtId="167" formatCode="&quot;$&quot;#,##0.00"/>
    </dxf>
    <dxf>
      <font>
        <name val="Calibri"/>
        <family val="2"/>
        <strike val="0"/>
        <outline val="0"/>
        <shadow val="0"/>
        <condense val="0"/>
        <color theme="1"/>
        <extend val="0"/>
        <sz val="10"/>
        <vertAlign val="baseline"/>
        <scheme val="minor"/>
      </font>
      <numFmt numFmtId="169" formatCode="\$#,##0.00"/>
    </dxf>
    <dxf>
      <font>
        <name val="Calibri"/>
        <family val="2"/>
        <strike val="0"/>
        <outline val="0"/>
        <shadow val="0"/>
        <condense val="0"/>
        <color theme="1"/>
        <extend val="0"/>
        <sz val="10"/>
        <vertAlign val="baseline"/>
        <scheme val="minor"/>
      </font>
    </dxf>
    <dxf>
      <font>
        <name val="Arial"/>
        <family val="2"/>
        <strike val="0"/>
        <outline val="0"/>
        <shadow val="0"/>
        <condense val="0"/>
        <color theme="1"/>
        <extend val="0"/>
        <sz val="10"/>
        <vertAlign val="baseline"/>
      </font>
      <alignment horizontal="right" vertical="bottom"/>
    </dxf>
    <dxf>
      <font>
        <name val="Arial"/>
        <family val="2"/>
        <strike val="0"/>
        <outline val="0"/>
        <shadow val="0"/>
        <color auto="1"/>
        <sz val="10"/>
        <vertAlign val="baseline"/>
      </font>
    </dxf>
    <dxf>
      <alignment horizontal="general" vertical="center" wrapText="1"/>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numFmt numFmtId="3" formatCode="#,##0"/>
    </dxf>
    <dxf>
      <font>
        <name val="Calibri"/>
        <family val="2"/>
        <strike val="0"/>
        <outline val="0"/>
        <shadow val="0"/>
        <condense val="0"/>
        <color theme="1"/>
        <extend val="0"/>
        <sz val="10"/>
        <vertAlign val="baseline"/>
        <scheme val="minor"/>
      </font>
      <numFmt numFmtId="3" formatCode="#,##0"/>
    </dxf>
    <dxf>
      <font>
        <name val="Calibri"/>
        <family val="2"/>
        <strike val="0"/>
        <outline val="0"/>
        <shadow val="0"/>
        <condense val="0"/>
        <color theme="1"/>
        <extend val="0"/>
        <sz val="10"/>
        <vertAlign val="baseline"/>
        <scheme val="minor"/>
      </font>
      <numFmt numFmtId="164" formatCode="&quot;$&quot;#,##0"/>
      <fill>
        <patternFill patternType="solid">
          <fgColor indexed="64"/>
          <bgColor rgb="FFDAD2E9"/>
        </patternFill>
      </fill>
    </dxf>
    <dxf>
      <font>
        <name val="Calibri"/>
        <family val="2"/>
        <strike val="0"/>
        <outline val="0"/>
        <shadow val="0"/>
        <condense val="0"/>
        <color theme="1"/>
        <extend val="0"/>
        <sz val="10"/>
        <vertAlign val="baseline"/>
        <scheme val="minor"/>
      </font>
      <numFmt numFmtId="164" formatCode="&quot;$&quot;#,##0"/>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Arial"/>
        <family val="2"/>
        <strike val="0"/>
        <outline val="0"/>
        <shadow val="0"/>
        <condense val="0"/>
        <color theme="1"/>
        <extend val="0"/>
        <sz val="10"/>
        <vertAlign val="baseline"/>
      </font>
      <alignment horizontal="right" vertical="bottom"/>
    </dxf>
    <dxf>
      <font>
        <name val="Arial"/>
        <family val="2"/>
        <strike val="0"/>
        <outline val="0"/>
        <shadow val="0"/>
        <color auto="1"/>
        <sz val="10"/>
        <vertAlign val="baseline"/>
      </font>
    </dxf>
    <dxf>
      <font>
        <name val="Calibri"/>
        <family val="2"/>
        <strike val="0"/>
        <outline val="0"/>
        <shadow val="0"/>
        <condense val="0"/>
        <color theme="1"/>
        <extend val="0"/>
        <sz val="10"/>
        <vertAlign val="baseline"/>
        <scheme val="minor"/>
      </font>
      <numFmt numFmtId="165" formatCode="#,##0.0"/>
    </dxf>
    <dxf>
      <font>
        <name val="Calibri"/>
        <family val="2"/>
        <strike val="0"/>
        <outline val="0"/>
        <shadow val="0"/>
        <condense val="0"/>
        <color theme="1"/>
        <extend val="0"/>
        <sz val="10"/>
        <vertAlign val="baseline"/>
        <scheme val="minor"/>
      </font>
      <numFmt numFmtId="3" formatCode="#,##0"/>
    </dxf>
    <dxf>
      <font>
        <name val="Calibri"/>
        <family val="2"/>
        <strike val="0"/>
        <outline val="0"/>
        <shadow val="0"/>
        <condense val="0"/>
        <color theme="1"/>
        <extend val="0"/>
        <sz val="10"/>
        <vertAlign val="baseline"/>
        <scheme val="minor"/>
      </font>
      <numFmt numFmtId="167" formatCode="&quot;$&quot;#,##0.00"/>
    </dxf>
    <dxf>
      <font>
        <name val="Calibri"/>
        <family val="2"/>
        <strike val="0"/>
        <outline val="0"/>
        <shadow val="0"/>
        <condense val="0"/>
        <color theme="1"/>
        <extend val="0"/>
        <sz val="10"/>
        <vertAlign val="baseline"/>
        <scheme val="minor"/>
      </font>
      <numFmt numFmtId="14" formatCode="0.00%"/>
    </dxf>
    <dxf>
      <font>
        <name val="Calibri"/>
        <family val="2"/>
        <strike val="0"/>
        <outline val="0"/>
        <shadow val="0"/>
        <condense val="0"/>
        <color theme="1"/>
        <extend val="0"/>
        <sz val="10"/>
        <vertAlign val="baseline"/>
        <scheme val="minor"/>
      </font>
      <numFmt numFmtId="3" formatCode="#,##0"/>
      <fill>
        <patternFill patternType="solid">
          <fgColor indexed="64"/>
          <bgColor rgb="FFDAD2E9"/>
        </patternFill>
      </fill>
    </dxf>
    <dxf>
      <font>
        <name val="Calibri"/>
        <family val="2"/>
        <strike val="0"/>
        <outline val="0"/>
        <shadow val="0"/>
        <condense val="0"/>
        <color theme="1"/>
        <extend val="0"/>
        <sz val="10"/>
        <vertAlign val="baseline"/>
        <scheme val="minor"/>
      </font>
      <numFmt numFmtId="3" formatCode="#,##0"/>
      <fill>
        <patternFill>
          <fgColor indexed="64"/>
          <bgColor auto="1"/>
        </patternFill>
      </fill>
    </dxf>
    <dxf>
      <font>
        <name val="Calibri"/>
        <family val="2"/>
        <strike val="0"/>
        <outline val="0"/>
        <shadow val="0"/>
        <condense val="0"/>
        <color theme="1"/>
        <extend val="0"/>
        <sz val="10"/>
        <vertAlign val="baseline"/>
        <scheme val="minor"/>
      </font>
      <numFmt numFmtId="164" formatCode="&quot;$&quot;#,##0"/>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b val="1"/>
        <strike val="0"/>
        <outline val="0"/>
        <shadow val="0"/>
        <condense val="0"/>
        <color rgb="FF000000"/>
        <extend val="0"/>
        <sz val="10"/>
        <vertAlign val="baseline"/>
      </font>
      <fill>
        <patternFill patternType="solid">
          <fgColor rgb="FFD9D2E9"/>
          <bgColor rgb="FFD9D2E9"/>
        </patternFill>
      </fill>
      <alignment horizontal="center" vertical="bottom"/>
    </dxf>
    <dxf>
      <font>
        <name val="Calibri"/>
        <family val="2"/>
        <strike val="0"/>
        <outline val="0"/>
        <shadow val="0"/>
        <condense val="0"/>
        <color theme="1"/>
        <extend val="0"/>
        <sz val="10"/>
        <vertAlign val="baseline"/>
        <scheme val="minor"/>
      </font>
      <numFmt numFmtId="165" formatCode="#,##0.0"/>
    </dxf>
    <dxf>
      <font>
        <name val="Calibri"/>
        <family val="2"/>
        <strike val="0"/>
        <outline val="0"/>
        <shadow val="0"/>
        <condense val="0"/>
        <color theme="1"/>
        <extend val="0"/>
        <sz val="10"/>
        <vertAlign val="baseline"/>
        <scheme val="minor"/>
      </font>
      <numFmt numFmtId="3" formatCode="#,##0"/>
    </dxf>
    <dxf>
      <font>
        <name val="Calibri"/>
        <family val="2"/>
        <strike val="0"/>
        <outline val="0"/>
        <shadow val="0"/>
        <condense val="0"/>
        <color theme="1"/>
        <extend val="0"/>
        <sz val="10"/>
        <vertAlign val="baseline"/>
        <scheme val="minor"/>
      </font>
      <numFmt numFmtId="167" formatCode="&quot;$&quot;#,##0.00"/>
    </dxf>
    <dxf>
      <font>
        <name val="Calibri"/>
        <family val="2"/>
        <strike val="0"/>
        <outline val="0"/>
        <shadow val="0"/>
        <condense val="0"/>
        <color theme="1"/>
        <extend val="0"/>
        <sz val="10"/>
        <vertAlign val="baseline"/>
        <scheme val="minor"/>
      </font>
      <numFmt numFmtId="14" formatCode="0.00%"/>
    </dxf>
    <dxf>
      <font>
        <name val="Calibri"/>
        <family val="2"/>
        <strike val="0"/>
        <outline val="0"/>
        <shadow val="0"/>
        <condense val="0"/>
        <color theme="1"/>
        <extend val="0"/>
        <sz val="10"/>
        <vertAlign val="baseline"/>
        <scheme val="minor"/>
      </font>
      <numFmt numFmtId="3" formatCode="#,##0"/>
    </dxf>
    <dxf>
      <font>
        <name val="Calibri"/>
        <family val="2"/>
        <strike val="0"/>
        <outline val="0"/>
        <shadow val="0"/>
        <condense val="0"/>
        <color theme="1"/>
        <extend val="0"/>
        <sz val="10"/>
        <vertAlign val="baseline"/>
        <scheme val="minor"/>
      </font>
      <numFmt numFmtId="164" formatCode="&quot;$&quot;#,##0"/>
      <fill>
        <patternFill>
          <fgColor indexed="64"/>
          <bgColor auto="1"/>
        </patternFill>
      </fill>
    </dxf>
    <dxf>
      <font>
        <name val="Calibri"/>
        <family val="2"/>
        <strike val="0"/>
        <outline val="0"/>
        <shadow val="0"/>
        <condense val="0"/>
        <color theme="1"/>
        <extend val="0"/>
        <sz val="10"/>
        <vertAlign val="baseline"/>
        <scheme val="minor"/>
      </font>
      <numFmt numFmtId="164" formatCode="&quot;$&quot;#,##0"/>
      <fill>
        <patternFill>
          <bgColor rgb="FFDAD2E9"/>
        </patternFill>
      </fill>
    </dxf>
    <dxf>
      <font>
        <name val="Calibri"/>
        <family val="2"/>
        <strike val="0"/>
        <outline val="0"/>
        <shadow val="0"/>
        <condense val="0"/>
        <color theme="1"/>
        <extend val="0"/>
        <sz val="10"/>
        <vertAlign val="baseline"/>
        <scheme val="minor"/>
      </font>
    </dxf>
    <dxf>
      <font>
        <name val="Calibri"/>
        <family val="2"/>
        <strike val="0"/>
        <outline val="0"/>
        <shadow val="0"/>
        <condense val="0"/>
        <color rgb="FF000000"/>
        <extend val="0"/>
        <sz val="10"/>
        <vertAlign val="baseline"/>
      </font>
      <alignment horizontal="center" vertical="bottom"/>
    </dxf>
    <dxf>
      <font>
        <name val="Calibri"/>
        <family val="2"/>
        <strike val="0"/>
        <outline val="0"/>
        <shadow val="0"/>
        <condense val="0"/>
        <color theme="1"/>
        <extend val="0"/>
        <sz val="10"/>
        <vertAlign val="baseline"/>
        <scheme val="minor"/>
      </font>
    </dxf>
    <dxf>
      <font>
        <name val="Calibri"/>
        <family val="2"/>
        <b val="1"/>
        <strike val="0"/>
        <outline val="0"/>
        <shadow val="0"/>
        <condense val="0"/>
        <color rgb="FF000000"/>
        <extend val="0"/>
        <sz val="10"/>
        <vertAlign val="baseline"/>
      </font>
      <fill>
        <patternFill patternType="solid">
          <fgColor rgb="FFD9D2E9"/>
          <bgColor rgb="FFD9D2E9"/>
        </patternFill>
      </fill>
      <alignment horizontal="center" vertical="bottom"/>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7" formatCode="&quot;$&quot;#,##0.0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167" formatCode="&quot;$&quot;#,##0.00"/>
      <alignment horizontal="right" vertical="center" wrapText="1"/>
    </dxf>
    <dxf>
      <font>
        <name val="Calibri"/>
        <family val="2"/>
        <strike val="0"/>
        <outline val="0"/>
        <shadow val="0"/>
        <condense val="0"/>
        <color theme="1"/>
        <extend val="0"/>
        <sz val="10"/>
        <vertAlign val="baseline"/>
        <scheme val="minor"/>
      </font>
      <numFmt numFmtId="167"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right" vertical="center" wrapText="1"/>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7" formatCode="&quot;$&quot;#,##0.00"/>
      <alignment horizontal="right" vertical="center" wrapText="1"/>
    </dxf>
    <dxf>
      <font>
        <name val="Calibri"/>
        <family val="2"/>
        <strike val="0"/>
        <outline val="0"/>
        <shadow val="0"/>
        <condense val="0"/>
        <color theme="1"/>
        <extend val="0"/>
        <sz val="10"/>
        <vertAlign val="baseline"/>
        <scheme val="minor"/>
      </font>
      <numFmt numFmtId="167" formatCode="&quot;$&quot;#,##0.00"/>
      <alignment horizontal="right" vertical="center" wrapText="1"/>
    </dxf>
    <dxf>
      <font>
        <name val="Calibri"/>
        <family val="2"/>
        <strike val="0"/>
        <outline val="0"/>
        <shadow val="0"/>
        <condense val="0"/>
        <color theme="1"/>
        <extend val="0"/>
        <sz val="10"/>
        <vertAlign val="baseline"/>
        <scheme val="minor"/>
      </font>
      <numFmt numFmtId="167"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right" vertical="center" wrapText="1"/>
    </dxf>
  </dxfs>
  <tableStyles count="0" defaultTableStyle="TableStyleMedium2" defaultPivotStyle="PivotStyleLight16"/>
  <colors/>
</styleSheet>
</file>

<file path=xl/_rels/workbook.xml.rels><?xml version="1.0" encoding="UTF-8" standalone="yes"?>
<Relationships xmlns="http://schemas.openxmlformats.org/package/2006/relationships"><Relationship Type="http://schemas.openxmlformats.org/officeDocument/2006/relationships/worksheet" Target="worksheets/sheet1.xml" Id="rId1" /><Relationship Type="http://schemas.openxmlformats.org/officeDocument/2006/relationships/worksheet" Target="worksheets/sheet2.xml" Id="rId2" /><Relationship Type="http://schemas.openxmlformats.org/officeDocument/2006/relationships/worksheet" Target="worksheets/sheet3.xml" Id="rId3" /><Relationship Type="http://schemas.openxmlformats.org/officeDocument/2006/relationships/worksheet" Target="worksheets/sheet4.xml" Id="rId4" /><Relationship Type="http://schemas.openxmlformats.org/officeDocument/2006/relationships/worksheet" Target="worksheets/sheet5.xml" Id="rId5" /><Relationship Type="http://schemas.openxmlformats.org/officeDocument/2006/relationships/worksheet" Target="worksheets/sheet6.xml" Id="rId6" /><Relationship Type="http://schemas.openxmlformats.org/officeDocument/2006/relationships/worksheet" Target="worksheets/sheet7.xml" Id="rId7" /><Relationship Type="http://schemas.openxmlformats.org/officeDocument/2006/relationships/worksheet" Target="worksheets/sheet8.xml" Id="rId8" /><Relationship Type="http://schemas.openxmlformats.org/officeDocument/2006/relationships/worksheet" Target="worksheets/sheet9.xml" Id="rId9" /><Relationship Type="http://schemas.openxmlformats.org/officeDocument/2006/relationships/worksheet" Target="worksheets/sheet10.xml" Id="rId10" /><Relationship Type="http://schemas.openxmlformats.org/officeDocument/2006/relationships/worksheet" Target="worksheets/sheet11.xml" Id="rId11" /><Relationship Type="http://schemas.openxmlformats.org/officeDocument/2006/relationships/worksheet" Target="worksheets/sheet12.xml" Id="rId12" /><Relationship Type="http://schemas.openxmlformats.org/officeDocument/2006/relationships/worksheet" Target="worksheets/sheet13.xml" Id="rId13" /><Relationship Type="http://schemas.openxmlformats.org/officeDocument/2006/relationships/worksheet" Target="worksheets/sheet14.xml" Id="rId14" /><Relationship Type="http://schemas.openxmlformats.org/officeDocument/2006/relationships/worksheet" Target="worksheets/sheet15.xml" Id="rId15" /><Relationship Type="http://schemas.openxmlformats.org/officeDocument/2006/relationships/worksheet" Target="worksheets/sheet16.xml" Id="rId16" /><Relationship Type="http://schemas.openxmlformats.org/officeDocument/2006/relationships/worksheet" Target="worksheets/sheet17.xml" Id="rId17" /><Relationship Type="http://schemas.openxmlformats.org/officeDocument/2006/relationships/worksheet" Target="worksheets/sheet18.xml" Id="rId18" /><Relationship Type="http://schemas.openxmlformats.org/officeDocument/2006/relationships/worksheet" Target="worksheets/sheet19.xml" Id="rId19" /><Relationship Type="http://schemas.openxmlformats.org/officeDocument/2006/relationships/worksheet" Target="worksheets/sheet20.xml" Id="rId20" /><Relationship Type="http://schemas.openxmlformats.org/officeDocument/2006/relationships/worksheet" Target="worksheets/sheet21.xml" Id="rId21" /><Relationship Type="http://schemas.openxmlformats.org/officeDocument/2006/relationships/worksheet" Target="worksheets/sheet22.xml" Id="rId22" /><Relationship Type="http://schemas.openxmlformats.org/officeDocument/2006/relationships/worksheet" Target="worksheets/sheet23.xml" Id="rId23" /><Relationship Type="http://schemas.openxmlformats.org/officeDocument/2006/relationships/worksheet" Target="worksheets/sheet24.xml" Id="rId24" /><Relationship Type="http://schemas.openxmlformats.org/officeDocument/2006/relationships/worksheet" Target="worksheets/sheet25.xml" Id="rId25" /><Relationship Type="http://schemas.openxmlformats.org/officeDocument/2006/relationships/worksheet" Target="worksheets/sheet26.xml" Id="rId26" /><Relationship Type="http://schemas.openxmlformats.org/officeDocument/2006/relationships/worksheet" Target="worksheets/sheet27.xml" Id="rId27" /><Relationship Type="http://schemas.openxmlformats.org/officeDocument/2006/relationships/worksheet" Target="worksheets/sheet28.xml" Id="rId28" /><Relationship Type="http://schemas.openxmlformats.org/officeDocument/2006/relationships/worksheet" Target="worksheets/sheet29.xml" Id="rId29" /><Relationship Type="http://schemas.openxmlformats.org/officeDocument/2006/relationships/worksheet" Target="worksheets/sheet30.xml" Id="rId30" /><Relationship Type="http://schemas.openxmlformats.org/officeDocument/2006/relationships/worksheet" Target="worksheets/sheet31.xml" Id="rId31" /><Relationship Type="http://schemas.openxmlformats.org/officeDocument/2006/relationships/worksheet" Target="worksheets/sheet32.xml" Id="rId32" /><Relationship Type="http://schemas.openxmlformats.org/officeDocument/2006/relationships/worksheet" Target="worksheets/sheet33.xml" Id="rId33" /><Relationship Type="http://schemas.openxmlformats.org/officeDocument/2006/relationships/worksheet" Target="worksheets/sheet34.xml" Id="rId34" /><Relationship Type="http://schemas.openxmlformats.org/officeDocument/2006/relationships/worksheet" Target="worksheets/sheet35.xml" Id="rId35" /><Relationship Type="http://schemas.openxmlformats.org/officeDocument/2006/relationships/worksheet" Target="worksheets/sheet36.xml" Id="rId36" /><Relationship Type="http://schemas.openxmlformats.org/officeDocument/2006/relationships/worksheet" Target="worksheets/sheet37.xml" Id="rId37" /><Relationship Type="http://schemas.openxmlformats.org/officeDocument/2006/relationships/worksheet" Target="worksheets/sheet38.xml" Id="rId38" /><Relationship Type="http://schemas.openxmlformats.org/officeDocument/2006/relationships/styles" Target="styles.xml" Id="rId39" /><Relationship Type="http://schemas.openxmlformats.org/officeDocument/2006/relationships/theme" Target="theme/theme1.xml" Id="rId40" /></Relationships>
</file>

<file path=xl/charts/chart1.xml><?xml version="1.0" encoding="utf-8"?>
<chartSpace xmlns:a="http://schemas.openxmlformats.org/drawingml/2006/main" xmlns="http://schemas.openxmlformats.org/drawingml/2006/chart">
  <chart>
    <title>
      <tx>
        <rich>
          <a:bodyPr/>
          <a:p>
            <a:pPr>
              <a:defRPr/>
            </a:pPr>
            <a:r>
              <a:t>Qty Month Over Month</a:t>
            </a:r>
          </a:p>
        </rich>
      </tx>
    </title>
    <plotArea>
      <barChart>
        <barDir val="col"/>
        <grouping val="clustered"/>
        <ser>
          <idx val="0"/>
          <order val="0"/>
          <spPr>
            <a:ln>
              <a:prstDash val="solid"/>
            </a:ln>
          </spPr>
          <cat>
            <numRef>
              <f>'Summary'!$A$4:$A$13</f>
            </numRef>
          </cat>
          <val>
            <numRef>
              <f>'Summary'!$G$4:$G$13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Revenue Month Over Month</a:t>
            </a:r>
          </a:p>
        </rich>
      </tx>
    </title>
    <plotArea>
      <barChart>
        <barDir val="col"/>
        <grouping val="clustered"/>
        <ser>
          <idx val="0"/>
          <order val="0"/>
          <spPr>
            <a:ln>
              <a:prstDash val="solid"/>
            </a:ln>
          </spPr>
          <cat>
            <numRef>
              <f>'Summary'!$A$4:$A$13</f>
            </numRef>
          </cat>
          <val>
            <numRef>
              <f>'Summary'!$K$4:$K$13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Qty Proportion</a:t>
            </a:r>
          </a:p>
        </rich>
      </tx>
    </title>
    <plotArea>
      <pieChart>
        <varyColors val="1"/>
        <ser>
          <idx val="0"/>
          <order val="0"/>
          <spPr>
            <a:ln>
              <a:prstDash val="solid"/>
            </a:ln>
          </spPr>
          <cat>
            <numRef>
              <f>'Summary'!$A$7:$A$12</f>
            </numRef>
          </cat>
          <val>
            <numRef>
              <f>'Summary'!$F$7:$F$12</f>
            </numRef>
          </val>
        </ser>
        <firstSliceAng val="0"/>
      </pieChart>
    </plotArea>
    <legend>
      <legendPos val="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Revenue Proportion</a:t>
            </a:r>
          </a:p>
        </rich>
      </tx>
    </title>
    <plotArea>
      <pieChart>
        <varyColors val="1"/>
        <ser>
          <idx val="0"/>
          <order val="0"/>
          <spPr>
            <a:ln>
              <a:prstDash val="solid"/>
            </a:ln>
          </spPr>
          <cat>
            <numRef>
              <f>'Summary'!$A$7:$A$12</f>
            </numRef>
          </cat>
          <val>
            <numRef>
              <f>'Summary'!$J$7:$J$12</f>
            </numRef>
          </val>
        </ser>
        <firstSliceAng val="0"/>
      </pieChart>
    </plotArea>
    <legend>
      <legendPos val="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Revenue Year Over Year</a:t>
            </a:r>
          </a:p>
        </rich>
      </tx>
    </title>
    <plotArea>
      <barChart>
        <barDir val="col"/>
        <grouping val="clustered"/>
        <ser>
          <idx val="0"/>
          <order val="0"/>
          <spPr>
            <a:ln>
              <a:prstDash val="solid"/>
            </a:ln>
          </spPr>
          <cat>
            <numRef>
              <f>'Summary'!$A$4:$A$13</f>
            </numRef>
          </cat>
          <val>
            <numRef>
              <f>'Summary'!$L$4:$L$13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a:pPr>
            <a:r>
              <a:t>Qty Year Over Year</a:t>
            </a:r>
          </a:p>
        </rich>
      </tx>
    </title>
    <plotArea>
      <barChart>
        <barDir val="col"/>
        <grouping val="clustered"/>
        <ser>
          <idx val="0"/>
          <order val="0"/>
          <spPr>
            <a:ln>
              <a:prstDash val="solid"/>
            </a:ln>
          </spPr>
          <cat>
            <numRef>
              <f>'Summary'!$A$4:$A$13</f>
            </numRef>
          </cat>
          <val>
            <numRef>
              <f>'Summary'!$H$4:$H$13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chart>
    <title>
      <tx>
        <rich>
          <a:bodyPr/>
          <a:p>
            <a:pPr>
              <a:defRPr/>
            </a:pPr>
            <a:r>
              <a:t>Qty Month Over Month</a:t>
            </a:r>
          </a:p>
        </rich>
      </tx>
    </title>
    <plotArea>
      <barChart>
        <barDir val="col"/>
        <grouping val="clustered"/>
        <ser>
          <idx val="0"/>
          <order val="0"/>
          <spPr>
            <a:ln>
              <a:prstDash val="solid"/>
            </a:ln>
          </spPr>
          <cat>
            <numRef>
              <f>'Top 50'!$A$4:$A$8</f>
            </numRef>
          </cat>
          <val>
            <numRef>
              <f>'Top 50'!$G$4:$G$8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chart>
    <title>
      <tx>
        <rich>
          <a:bodyPr/>
          <a:p>
            <a:pPr>
              <a:defRPr/>
            </a:pPr>
            <a:r>
              <a:t>Revenue Month Over Month</a:t>
            </a:r>
          </a:p>
        </rich>
      </tx>
    </title>
    <plotArea>
      <barChart>
        <barDir val="col"/>
        <grouping val="clustered"/>
        <ser>
          <idx val="0"/>
          <order val="0"/>
          <spPr>
            <a:ln>
              <a:prstDash val="solid"/>
            </a:ln>
          </spPr>
          <cat>
            <numRef>
              <f>'Top 50'!$A$4:$A$8</f>
            </numRef>
          </cat>
          <val>
            <numRef>
              <f>'Top 50'!$L$4:$L$8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chart>
    <title>
      <tx>
        <rich>
          <a:bodyPr/>
          <a:p>
            <a:pPr>
              <a:defRPr/>
            </a:pPr>
            <a:r>
              <a:t>Qty Proportion</a:t>
            </a:r>
          </a:p>
        </rich>
      </tx>
    </title>
    <plotArea>
      <pieChart>
        <varyColors val="1"/>
        <ser>
          <idx val="0"/>
          <order val="0"/>
          <spPr>
            <a:ln>
              <a:prstDash val="solid"/>
            </a:ln>
          </spPr>
          <cat>
            <numRef>
              <f>'Top 50'!$A$4:$A$7</f>
            </numRef>
          </cat>
          <val>
            <numRef>
              <f>'Top 50'!$F$4:$F$7</f>
            </numRef>
          </val>
        </ser>
        <firstSliceAng val="0"/>
      </pieChart>
    </plotArea>
    <legend>
      <legendPos val="r"/>
    </legend>
    <plotVisOnly val="1"/>
    <dispBlanksAs val="gap"/>
  </chart>
</chartSpace>
</file>

<file path=xl/charts/chart10.xml><?xml version="1.0" encoding="utf-8"?>
<chartSpace xmlns:a="http://schemas.openxmlformats.org/drawingml/2006/main" xmlns="http://schemas.openxmlformats.org/drawingml/2006/chart">
  <chart>
    <title>
      <tx>
        <rich>
          <a:bodyPr/>
          <a:p>
            <a:pPr>
              <a:defRPr/>
            </a:pPr>
            <a:r>
              <a:t>Revenue Proportion</a:t>
            </a:r>
          </a:p>
        </rich>
      </tx>
    </title>
    <plotArea>
      <pieChart>
        <varyColors val="1"/>
        <ser>
          <idx val="0"/>
          <order val="0"/>
          <spPr>
            <a:ln>
              <a:prstDash val="solid"/>
            </a:ln>
          </spPr>
          <cat>
            <numRef>
              <f>'Top 50'!$A$4:$A$7</f>
            </numRef>
          </cat>
          <val>
            <numRef>
              <f>'Top 50'!$J$4:$J$7</f>
            </numRef>
          </val>
        </ser>
        <firstSliceAng val="0"/>
      </pieChart>
    </plotArea>
    <legend>
      <legendPos val="r"/>
    </legend>
    <plotVisOnly val="1"/>
    <dispBlanksAs val="gap"/>
  </chart>
</chartSpace>
</file>

<file path=xl/charts/chart11.xml><?xml version="1.0" encoding="utf-8"?>
<chartSpace xmlns:a="http://schemas.openxmlformats.org/drawingml/2006/main" xmlns="http://schemas.openxmlformats.org/drawingml/2006/chart">
  <chart>
    <title>
      <tx>
        <rich>
          <a:bodyPr/>
          <a:p>
            <a:pPr>
              <a:defRPr/>
            </a:pPr>
            <a:r>
              <a:t>Revenue Year Over Year</a:t>
            </a:r>
          </a:p>
        </rich>
      </tx>
    </title>
    <plotArea>
      <barChart>
        <barDir val="col"/>
        <grouping val="clustered"/>
        <ser>
          <idx val="0"/>
          <order val="0"/>
          <spPr>
            <a:ln>
              <a:prstDash val="solid"/>
            </a:ln>
          </spPr>
          <cat>
            <numRef>
              <f>'Top 50'!$A$4:$A$8</f>
            </numRef>
          </cat>
          <val>
            <numRef>
              <f>'Top 50'!$M$4:$M$8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chart>
    <title>
      <tx>
        <rich>
          <a:bodyPr/>
          <a:p>
            <a:pPr>
              <a:defRPr/>
            </a:pPr>
            <a:r>
              <a:t>Qty Year Over Year</a:t>
            </a:r>
          </a:p>
        </rich>
      </tx>
    </title>
    <plotArea>
      <barChart>
        <barDir val="col"/>
        <grouping val="clustered"/>
        <ser>
          <idx val="0"/>
          <order val="0"/>
          <spPr>
            <a:ln>
              <a:prstDash val="solid"/>
            </a:ln>
          </spPr>
          <cat>
            <numRef>
              <f>'Top 50'!$A$4:$A$8</f>
            </numRef>
          </cat>
          <val>
            <numRef>
              <f>'Top 50'!$H$4:$H$8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3.xml><?xml version="1.0" encoding="utf-8"?>
<chartSpace xmlns:a="http://schemas.openxmlformats.org/drawingml/2006/main" xmlns="http://schemas.openxmlformats.org/drawingml/2006/chart">
  <chart>
    <title>
      <tx>
        <rich>
          <a:bodyPr/>
          <a:p>
            <a:pPr>
              <a:defRPr/>
            </a:pPr>
            <a:r>
              <a:t>Qty Month Over Month</a:t>
            </a:r>
          </a:p>
        </rich>
      </tx>
    </title>
    <plotArea>
      <barChart>
        <barDir val="col"/>
        <grouping val="clustered"/>
        <ser>
          <idx val="0"/>
          <order val="0"/>
          <spPr>
            <a:ln>
              <a:prstDash val="solid"/>
            </a:ln>
          </spPr>
          <cat>
            <numRef>
              <f>'Tablet Total'!$A$5:$A$13</f>
            </numRef>
          </cat>
          <val>
            <numRef>
              <f>'Tablet Total'!$G$5:$G$13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4.xml><?xml version="1.0" encoding="utf-8"?>
<chartSpace xmlns:a="http://schemas.openxmlformats.org/drawingml/2006/main" xmlns="http://schemas.openxmlformats.org/drawingml/2006/chart">
  <chart>
    <title>
      <tx>
        <rich>
          <a:bodyPr/>
          <a:p>
            <a:pPr>
              <a:defRPr/>
            </a:pPr>
            <a:r>
              <a:t>Revenue Month Over Month</a:t>
            </a:r>
          </a:p>
        </rich>
      </tx>
    </title>
    <plotArea>
      <barChart>
        <barDir val="col"/>
        <grouping val="clustered"/>
        <ser>
          <idx val="0"/>
          <order val="0"/>
          <spPr>
            <a:ln>
              <a:prstDash val="solid"/>
            </a:ln>
          </spPr>
          <cat>
            <numRef>
              <f>'Tablet Total'!$A$5:$A$13</f>
            </numRef>
          </cat>
          <val>
            <numRef>
              <f>'Tablet Total'!$L$5:$L$13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5.xml><?xml version="1.0" encoding="utf-8"?>
<chartSpace xmlns:a="http://schemas.openxmlformats.org/drawingml/2006/main" xmlns="http://schemas.openxmlformats.org/drawingml/2006/chart">
  <chart>
    <title>
      <tx>
        <rich>
          <a:bodyPr/>
          <a:p>
            <a:pPr>
              <a:defRPr/>
            </a:pPr>
            <a:r>
              <a:t>Qty Proportion</a:t>
            </a:r>
          </a:p>
        </rich>
      </tx>
    </title>
    <plotArea>
      <pieChart>
        <varyColors val="1"/>
        <ser>
          <idx val="0"/>
          <order val="0"/>
          <spPr>
            <a:ln>
              <a:prstDash val="solid"/>
            </a:ln>
          </spPr>
          <cat>
            <numRef>
              <f>'Tablet Total'!$A$5:$A$12</f>
            </numRef>
          </cat>
          <val>
            <numRef>
              <f>'Tablet Total'!$F$5:$F$12</f>
            </numRef>
          </val>
        </ser>
        <firstSliceAng val="0"/>
      </pieChart>
    </plotArea>
    <legend>
      <legendPos val="r"/>
    </legend>
    <plotVisOnly val="1"/>
    <dispBlanksAs val="gap"/>
  </chart>
</chartSpace>
</file>

<file path=xl/charts/chart16.xml><?xml version="1.0" encoding="utf-8"?>
<chartSpace xmlns:a="http://schemas.openxmlformats.org/drawingml/2006/main" xmlns="http://schemas.openxmlformats.org/drawingml/2006/chart">
  <chart>
    <title>
      <tx>
        <rich>
          <a:bodyPr/>
          <a:p>
            <a:pPr>
              <a:defRPr/>
            </a:pPr>
            <a:r>
              <a:t>Revenue Proportion</a:t>
            </a:r>
          </a:p>
        </rich>
      </tx>
    </title>
    <plotArea>
      <pieChart>
        <varyColors val="1"/>
        <ser>
          <idx val="0"/>
          <order val="0"/>
          <spPr>
            <a:ln>
              <a:prstDash val="solid"/>
            </a:ln>
          </spPr>
          <cat>
            <numRef>
              <f>'Tablet Total'!$A$5:$A$12</f>
            </numRef>
          </cat>
          <val>
            <numRef>
              <f>'Tablet Total'!$J$5:$J$12</f>
            </numRef>
          </val>
        </ser>
        <firstSliceAng val="0"/>
      </pieChart>
    </plotArea>
    <legend>
      <legendPos val="r"/>
    </legend>
    <plotVisOnly val="1"/>
    <dispBlanksAs val="gap"/>
  </chart>
</chartSpace>
</file>

<file path=xl/charts/chart17.xml><?xml version="1.0" encoding="utf-8"?>
<chartSpace xmlns:a="http://schemas.openxmlformats.org/drawingml/2006/main" xmlns="http://schemas.openxmlformats.org/drawingml/2006/chart">
  <chart>
    <title>
      <tx>
        <rich>
          <a:bodyPr/>
          <a:p>
            <a:pPr>
              <a:defRPr/>
            </a:pPr>
            <a:r>
              <a:t>Revenue Year Over Year</a:t>
            </a:r>
          </a:p>
        </rich>
      </tx>
    </title>
    <plotArea>
      <barChart>
        <barDir val="col"/>
        <grouping val="clustered"/>
        <ser>
          <idx val="0"/>
          <order val="0"/>
          <spPr>
            <a:ln>
              <a:prstDash val="solid"/>
            </a:ln>
          </spPr>
          <cat>
            <numRef>
              <f>'Tablet Total'!$A$5:$A$13</f>
            </numRef>
          </cat>
          <val>
            <numRef>
              <f>'Tablet Total'!$M$5:$M$13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8.xml><?xml version="1.0" encoding="utf-8"?>
<chartSpace xmlns:a="http://schemas.openxmlformats.org/drawingml/2006/main" xmlns="http://schemas.openxmlformats.org/drawingml/2006/chart">
  <chart>
    <title>
      <tx>
        <rich>
          <a:bodyPr/>
          <a:p>
            <a:pPr>
              <a:defRPr/>
            </a:pPr>
            <a:r>
              <a:t>Qty Year Over Year</a:t>
            </a:r>
          </a:p>
        </rich>
      </tx>
    </title>
    <plotArea>
      <barChart>
        <barDir val="col"/>
        <grouping val="clustered"/>
        <ser>
          <idx val="0"/>
          <order val="0"/>
          <spPr>
            <a:ln>
              <a:prstDash val="solid"/>
            </a:ln>
          </spPr>
          <cat>
            <numRef>
              <f>'Tablet Total'!$A$5:$A$13</f>
            </numRef>
          </cat>
          <val>
            <numRef>
              <f>'Tablet Total'!$H$5:$H$13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9.xml><?xml version="1.0" encoding="utf-8"?>
<chartSpace xmlns:a="http://schemas.openxmlformats.org/drawingml/2006/main" xmlns="http://schemas.openxmlformats.org/drawingml/2006/chart">
  <chart>
    <title>
      <tx>
        <rich>
          <a:bodyPr/>
          <a:p>
            <a:pPr>
              <a:defRPr/>
            </a:pPr>
            <a:r>
              <a:t>Qty Month Over Month</a:t>
            </a:r>
          </a:p>
        </rich>
      </tx>
    </title>
    <plotArea>
      <barChart>
        <barDir val="col"/>
        <grouping val="clustered"/>
        <ser>
          <idx val="0"/>
          <order val="0"/>
          <spPr>
            <a:ln>
              <a:prstDash val="solid"/>
            </a:ln>
          </spPr>
          <cat>
            <numRef>
              <f>'Tablet $800+'!$A$5:$A$11</f>
            </numRef>
          </cat>
          <val>
            <numRef>
              <f>'Tablet $800+'!$G$5:$G$11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0.xml><?xml version="1.0" encoding="utf-8"?>
<chartSpace xmlns:a="http://schemas.openxmlformats.org/drawingml/2006/main" xmlns="http://schemas.openxmlformats.org/drawingml/2006/chart">
  <chart>
    <title>
      <tx>
        <rich>
          <a:bodyPr/>
          <a:p>
            <a:pPr>
              <a:defRPr/>
            </a:pPr>
            <a:r>
              <a:t>Revenue Month Over Month</a:t>
            </a:r>
          </a:p>
        </rich>
      </tx>
    </title>
    <plotArea>
      <barChart>
        <barDir val="col"/>
        <grouping val="clustered"/>
        <ser>
          <idx val="0"/>
          <order val="0"/>
          <spPr>
            <a:ln>
              <a:prstDash val="solid"/>
            </a:ln>
          </spPr>
          <cat>
            <numRef>
              <f>'Tablet $800+'!$A$5:$A$11</f>
            </numRef>
          </cat>
          <val>
            <numRef>
              <f>'Tablet $800+'!$L$5:$L$11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1.xml><?xml version="1.0" encoding="utf-8"?>
<chartSpace xmlns:a="http://schemas.openxmlformats.org/drawingml/2006/main" xmlns="http://schemas.openxmlformats.org/drawingml/2006/chart">
  <chart>
    <title>
      <tx>
        <rich>
          <a:bodyPr/>
          <a:p>
            <a:pPr>
              <a:defRPr/>
            </a:pPr>
            <a:r>
              <a:t>Qty Proportion</a:t>
            </a:r>
          </a:p>
        </rich>
      </tx>
    </title>
    <plotArea>
      <pieChart>
        <varyColors val="1"/>
        <ser>
          <idx val="0"/>
          <order val="0"/>
          <spPr>
            <a:ln>
              <a:prstDash val="solid"/>
            </a:ln>
          </spPr>
          <cat>
            <numRef>
              <f>'Tablet $800+'!$A$5:$A$10</f>
            </numRef>
          </cat>
          <val>
            <numRef>
              <f>'Tablet $800+'!$F$5:$F$10</f>
            </numRef>
          </val>
        </ser>
        <firstSliceAng val="0"/>
      </pieChart>
    </plotArea>
    <legend>
      <legendPos val="r"/>
    </legend>
    <plotVisOnly val="1"/>
    <dispBlanksAs val="gap"/>
  </chart>
</chartSpace>
</file>

<file path=xl/charts/chart22.xml><?xml version="1.0" encoding="utf-8"?>
<chartSpace xmlns:a="http://schemas.openxmlformats.org/drawingml/2006/main" xmlns="http://schemas.openxmlformats.org/drawingml/2006/chart">
  <chart>
    <title>
      <tx>
        <rich>
          <a:bodyPr/>
          <a:p>
            <a:pPr>
              <a:defRPr/>
            </a:pPr>
            <a:r>
              <a:t>Revenue Proportion</a:t>
            </a:r>
          </a:p>
        </rich>
      </tx>
    </title>
    <plotArea>
      <pieChart>
        <varyColors val="1"/>
        <ser>
          <idx val="0"/>
          <order val="0"/>
          <spPr>
            <a:ln>
              <a:prstDash val="solid"/>
            </a:ln>
          </spPr>
          <cat>
            <numRef>
              <f>'Tablet $800+'!$A$5:$A$10</f>
            </numRef>
          </cat>
          <val>
            <numRef>
              <f>'Tablet $800+'!$J$5:$J$10</f>
            </numRef>
          </val>
        </ser>
        <firstSliceAng val="0"/>
      </pieChart>
    </plotArea>
    <legend>
      <legendPos val="r"/>
    </legend>
    <plotVisOnly val="1"/>
    <dispBlanksAs val="gap"/>
  </chart>
</chartSpace>
</file>

<file path=xl/charts/chart23.xml><?xml version="1.0" encoding="utf-8"?>
<chartSpace xmlns:a="http://schemas.openxmlformats.org/drawingml/2006/main" xmlns="http://schemas.openxmlformats.org/drawingml/2006/chart">
  <chart>
    <title>
      <tx>
        <rich>
          <a:bodyPr/>
          <a:p>
            <a:pPr>
              <a:defRPr/>
            </a:pPr>
            <a:r>
              <a:t>Revenue Year Over Year</a:t>
            </a:r>
          </a:p>
        </rich>
      </tx>
    </title>
    <plotArea>
      <barChart>
        <barDir val="col"/>
        <grouping val="clustered"/>
        <ser>
          <idx val="0"/>
          <order val="0"/>
          <spPr>
            <a:ln>
              <a:prstDash val="solid"/>
            </a:ln>
          </spPr>
          <cat>
            <numRef>
              <f>'Tablet $800+'!$A$5:$A$11</f>
            </numRef>
          </cat>
          <val>
            <numRef>
              <f>'Tablet $800+'!$M$5:$M$11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4.xml><?xml version="1.0" encoding="utf-8"?>
<chartSpace xmlns:a="http://schemas.openxmlformats.org/drawingml/2006/main" xmlns="http://schemas.openxmlformats.org/drawingml/2006/chart">
  <chart>
    <title>
      <tx>
        <rich>
          <a:bodyPr/>
          <a:p>
            <a:pPr>
              <a:defRPr/>
            </a:pPr>
            <a:r>
              <a:t>Qty Year Over Year</a:t>
            </a:r>
          </a:p>
        </rich>
      </tx>
    </title>
    <plotArea>
      <barChart>
        <barDir val="col"/>
        <grouping val="clustered"/>
        <ser>
          <idx val="0"/>
          <order val="0"/>
          <spPr>
            <a:ln>
              <a:prstDash val="solid"/>
            </a:ln>
          </spPr>
          <cat>
            <numRef>
              <f>'Tablet $800+'!$A$5:$A$11</f>
            </numRef>
          </cat>
          <val>
            <numRef>
              <f>'Tablet $800+'!$H$5:$H$11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5.xml><?xml version="1.0" encoding="utf-8"?>
<chartSpace xmlns:a="http://schemas.openxmlformats.org/drawingml/2006/main" xmlns="http://schemas.openxmlformats.org/drawingml/2006/chart">
  <chart>
    <title>
      <tx>
        <rich>
          <a:bodyPr/>
          <a:p>
            <a:pPr>
              <a:defRPr/>
            </a:pPr>
            <a:r>
              <a:t>Qty Month Over Month</a:t>
            </a:r>
          </a:p>
        </rich>
      </tx>
    </title>
    <plotArea>
      <barChart>
        <barDir val="col"/>
        <grouping val="clustered"/>
        <ser>
          <idx val="0"/>
          <order val="0"/>
          <spPr>
            <a:ln>
              <a:prstDash val="solid"/>
            </a:ln>
          </spPr>
          <cat>
            <numRef>
              <f>'Tablet $400-$800'!$A$5:$A$11</f>
            </numRef>
          </cat>
          <val>
            <numRef>
              <f>'Tablet $400-$800'!$G$5:$G$11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6.xml><?xml version="1.0" encoding="utf-8"?>
<chartSpace xmlns:a="http://schemas.openxmlformats.org/drawingml/2006/main" xmlns="http://schemas.openxmlformats.org/drawingml/2006/chart">
  <chart>
    <title>
      <tx>
        <rich>
          <a:bodyPr/>
          <a:p>
            <a:pPr>
              <a:defRPr/>
            </a:pPr>
            <a:r>
              <a:t>Revenue Month Over Month</a:t>
            </a:r>
          </a:p>
        </rich>
      </tx>
    </title>
    <plotArea>
      <barChart>
        <barDir val="col"/>
        <grouping val="clustered"/>
        <ser>
          <idx val="0"/>
          <order val="0"/>
          <spPr>
            <a:ln>
              <a:prstDash val="solid"/>
            </a:ln>
          </spPr>
          <cat>
            <numRef>
              <f>'Tablet $400-$800'!$A$5:$A$11</f>
            </numRef>
          </cat>
          <val>
            <numRef>
              <f>'Tablet $400-$800'!$L$5:$L$11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7.xml><?xml version="1.0" encoding="utf-8"?>
<chartSpace xmlns:a="http://schemas.openxmlformats.org/drawingml/2006/main" xmlns="http://schemas.openxmlformats.org/drawingml/2006/chart">
  <chart>
    <title>
      <tx>
        <rich>
          <a:bodyPr/>
          <a:p>
            <a:pPr>
              <a:defRPr/>
            </a:pPr>
            <a:r>
              <a:t>Qty Proportion</a:t>
            </a:r>
          </a:p>
        </rich>
      </tx>
    </title>
    <plotArea>
      <pieChart>
        <varyColors val="1"/>
        <ser>
          <idx val="0"/>
          <order val="0"/>
          <spPr>
            <a:ln>
              <a:prstDash val="solid"/>
            </a:ln>
          </spPr>
          <cat>
            <numRef>
              <f>'Tablet $400-$800'!$A$5:$A$10</f>
            </numRef>
          </cat>
          <val>
            <numRef>
              <f>'Tablet $400-$800'!$F$5:$F$10</f>
            </numRef>
          </val>
        </ser>
        <firstSliceAng val="0"/>
      </pieChart>
    </plotArea>
    <legend>
      <legendPos val="r"/>
    </legend>
    <plotVisOnly val="1"/>
    <dispBlanksAs val="gap"/>
  </chart>
</chartSpace>
</file>

<file path=xl/charts/chart28.xml><?xml version="1.0" encoding="utf-8"?>
<chartSpace xmlns:a="http://schemas.openxmlformats.org/drawingml/2006/main" xmlns="http://schemas.openxmlformats.org/drawingml/2006/chart">
  <chart>
    <title>
      <tx>
        <rich>
          <a:bodyPr/>
          <a:p>
            <a:pPr>
              <a:defRPr/>
            </a:pPr>
            <a:r>
              <a:t>Revenue Proportion</a:t>
            </a:r>
          </a:p>
        </rich>
      </tx>
    </title>
    <plotArea>
      <pieChart>
        <varyColors val="1"/>
        <ser>
          <idx val="0"/>
          <order val="0"/>
          <spPr>
            <a:ln>
              <a:prstDash val="solid"/>
            </a:ln>
          </spPr>
          <cat>
            <numRef>
              <f>'Tablet $400-$800'!$A$5:$A$10</f>
            </numRef>
          </cat>
          <val>
            <numRef>
              <f>'Tablet $400-$800'!$J$5:$J$10</f>
            </numRef>
          </val>
        </ser>
        <firstSliceAng val="0"/>
      </pieChart>
    </plotArea>
    <legend>
      <legendPos val="r"/>
    </legend>
    <plotVisOnly val="1"/>
    <dispBlanksAs val="gap"/>
  </chart>
</chartSpace>
</file>

<file path=xl/charts/chart29.xml><?xml version="1.0" encoding="utf-8"?>
<chartSpace xmlns:a="http://schemas.openxmlformats.org/drawingml/2006/main" xmlns="http://schemas.openxmlformats.org/drawingml/2006/chart">
  <chart>
    <title>
      <tx>
        <rich>
          <a:bodyPr/>
          <a:p>
            <a:pPr>
              <a:defRPr/>
            </a:pPr>
            <a:r>
              <a:t>Revenue Year Over Year</a:t>
            </a:r>
          </a:p>
        </rich>
      </tx>
    </title>
    <plotArea>
      <barChart>
        <barDir val="col"/>
        <grouping val="clustered"/>
        <ser>
          <idx val="0"/>
          <order val="0"/>
          <spPr>
            <a:ln>
              <a:prstDash val="solid"/>
            </a:ln>
          </spPr>
          <cat>
            <numRef>
              <f>'Tablet $400-$800'!$A$5:$A$11</f>
            </numRef>
          </cat>
          <val>
            <numRef>
              <f>'Tablet $400-$800'!$M$5:$M$11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0.xml><?xml version="1.0" encoding="utf-8"?>
<chartSpace xmlns:a="http://schemas.openxmlformats.org/drawingml/2006/main" xmlns="http://schemas.openxmlformats.org/drawingml/2006/chart">
  <chart>
    <title>
      <tx>
        <rich>
          <a:bodyPr/>
          <a:p>
            <a:pPr>
              <a:defRPr/>
            </a:pPr>
            <a:r>
              <a:t>Qty Year Over Year</a:t>
            </a:r>
          </a:p>
        </rich>
      </tx>
    </title>
    <plotArea>
      <barChart>
        <barDir val="col"/>
        <grouping val="clustered"/>
        <ser>
          <idx val="0"/>
          <order val="0"/>
          <spPr>
            <a:ln>
              <a:prstDash val="solid"/>
            </a:ln>
          </spPr>
          <cat>
            <numRef>
              <f>'Tablet $400-$800'!$A$5:$A$11</f>
            </numRef>
          </cat>
          <val>
            <numRef>
              <f>'Tablet $400-$800'!$H$5:$H$11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1.xml><?xml version="1.0" encoding="utf-8"?>
<chartSpace xmlns:a="http://schemas.openxmlformats.org/drawingml/2006/main" xmlns="http://schemas.openxmlformats.org/drawingml/2006/chart">
  <chart>
    <title>
      <tx>
        <rich>
          <a:bodyPr/>
          <a:p>
            <a:pPr>
              <a:defRPr/>
            </a:pPr>
            <a:r>
              <a:t>Qty Month Over Month</a:t>
            </a:r>
          </a:p>
        </rich>
      </tx>
    </title>
    <plotArea>
      <barChart>
        <barDir val="col"/>
        <grouping val="clustered"/>
        <ser>
          <idx val="0"/>
          <order val="0"/>
          <spPr>
            <a:ln>
              <a:prstDash val="solid"/>
            </a:ln>
          </spPr>
          <cat>
            <numRef>
              <f>'Tablet $400-'!$A$5:$A$12</f>
            </numRef>
          </cat>
          <val>
            <numRef>
              <f>'Tablet $400-'!$G$5:$G$12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2.xml><?xml version="1.0" encoding="utf-8"?>
<chartSpace xmlns:a="http://schemas.openxmlformats.org/drawingml/2006/main" xmlns="http://schemas.openxmlformats.org/drawingml/2006/chart">
  <chart>
    <title>
      <tx>
        <rich>
          <a:bodyPr/>
          <a:p>
            <a:pPr>
              <a:defRPr/>
            </a:pPr>
            <a:r>
              <a:t>Revenue Month Over Month</a:t>
            </a:r>
          </a:p>
        </rich>
      </tx>
    </title>
    <plotArea>
      <barChart>
        <barDir val="col"/>
        <grouping val="clustered"/>
        <ser>
          <idx val="0"/>
          <order val="0"/>
          <spPr>
            <a:ln>
              <a:prstDash val="solid"/>
            </a:ln>
          </spPr>
          <cat>
            <numRef>
              <f>'Tablet $400-'!$A$5:$A$12</f>
            </numRef>
          </cat>
          <val>
            <numRef>
              <f>'Tablet $400-'!$L$5:$L$12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3.xml><?xml version="1.0" encoding="utf-8"?>
<chartSpace xmlns:a="http://schemas.openxmlformats.org/drawingml/2006/main" xmlns="http://schemas.openxmlformats.org/drawingml/2006/chart">
  <chart>
    <title>
      <tx>
        <rich>
          <a:bodyPr/>
          <a:p>
            <a:pPr>
              <a:defRPr/>
            </a:pPr>
            <a:r>
              <a:t>Qty Proportion</a:t>
            </a:r>
          </a:p>
        </rich>
      </tx>
    </title>
    <plotArea>
      <pieChart>
        <varyColors val="1"/>
        <ser>
          <idx val="0"/>
          <order val="0"/>
          <spPr>
            <a:ln>
              <a:prstDash val="solid"/>
            </a:ln>
          </spPr>
          <cat>
            <numRef>
              <f>'Tablet $400-'!$A$5:$A$11</f>
            </numRef>
          </cat>
          <val>
            <numRef>
              <f>'Tablet $400-'!$F$5:$F$11</f>
            </numRef>
          </val>
        </ser>
        <firstSliceAng val="0"/>
      </pieChart>
    </plotArea>
    <legend>
      <legendPos val="r"/>
    </legend>
    <plotVisOnly val="1"/>
    <dispBlanksAs val="gap"/>
  </chart>
</chartSpace>
</file>

<file path=xl/charts/chart34.xml><?xml version="1.0" encoding="utf-8"?>
<chartSpace xmlns:a="http://schemas.openxmlformats.org/drawingml/2006/main" xmlns="http://schemas.openxmlformats.org/drawingml/2006/chart">
  <chart>
    <title>
      <tx>
        <rich>
          <a:bodyPr/>
          <a:p>
            <a:pPr>
              <a:defRPr/>
            </a:pPr>
            <a:r>
              <a:t>Revenue Proportion</a:t>
            </a:r>
          </a:p>
        </rich>
      </tx>
    </title>
    <plotArea>
      <pieChart>
        <varyColors val="1"/>
        <ser>
          <idx val="0"/>
          <order val="0"/>
          <spPr>
            <a:ln>
              <a:prstDash val="solid"/>
            </a:ln>
          </spPr>
          <cat>
            <numRef>
              <f>'Tablet $400-'!$A$5:$A$11</f>
            </numRef>
          </cat>
          <val>
            <numRef>
              <f>'Tablet $400-'!$J$5:$J$11</f>
            </numRef>
          </val>
        </ser>
        <firstSliceAng val="0"/>
      </pieChart>
    </plotArea>
    <legend>
      <legendPos val="r"/>
    </legend>
    <plotVisOnly val="1"/>
    <dispBlanksAs val="gap"/>
  </chart>
</chartSpace>
</file>

<file path=xl/charts/chart35.xml><?xml version="1.0" encoding="utf-8"?>
<chartSpace xmlns:a="http://schemas.openxmlformats.org/drawingml/2006/main" xmlns="http://schemas.openxmlformats.org/drawingml/2006/chart">
  <chart>
    <title>
      <tx>
        <rich>
          <a:bodyPr/>
          <a:p>
            <a:pPr>
              <a:defRPr/>
            </a:pPr>
            <a:r>
              <a:t>Revenue Year Over Year</a:t>
            </a:r>
          </a:p>
        </rich>
      </tx>
    </title>
    <plotArea>
      <barChart>
        <barDir val="col"/>
        <grouping val="clustered"/>
        <ser>
          <idx val="0"/>
          <order val="0"/>
          <spPr>
            <a:ln>
              <a:prstDash val="solid"/>
            </a:ln>
          </spPr>
          <cat>
            <numRef>
              <f>'Tablet $400-'!$A$5:$A$12</f>
            </numRef>
          </cat>
          <val>
            <numRef>
              <f>'Tablet $400-'!$M$5:$M$12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6.xml><?xml version="1.0" encoding="utf-8"?>
<chartSpace xmlns:a="http://schemas.openxmlformats.org/drawingml/2006/main" xmlns="http://schemas.openxmlformats.org/drawingml/2006/chart">
  <chart>
    <title>
      <tx>
        <rich>
          <a:bodyPr/>
          <a:p>
            <a:pPr>
              <a:defRPr/>
            </a:pPr>
            <a:r>
              <a:t>Qty Year Over Year</a:t>
            </a:r>
          </a:p>
        </rich>
      </tx>
    </title>
    <plotArea>
      <barChart>
        <barDir val="col"/>
        <grouping val="clustered"/>
        <ser>
          <idx val="0"/>
          <order val="0"/>
          <spPr>
            <a:ln>
              <a:prstDash val="solid"/>
            </a:ln>
          </spPr>
          <cat>
            <numRef>
              <f>'Tablet $400-'!$A$5:$A$12</f>
            </numRef>
          </cat>
          <val>
            <numRef>
              <f>'Tablet $400-'!$H$5:$H$12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7.xml><?xml version="1.0" encoding="utf-8"?>
<chartSpace xmlns:a="http://schemas.openxmlformats.org/drawingml/2006/main" xmlns="http://schemas.openxmlformats.org/drawingml/2006/chart">
  <chart>
    <title>
      <tx>
        <rich>
          <a:bodyPr/>
          <a:p>
            <a:pPr>
              <a:defRPr/>
            </a:pPr>
            <a:r>
              <a:t>Qty Month Over Month</a:t>
            </a:r>
          </a:p>
        </rich>
      </tx>
    </title>
    <plotArea>
      <barChart>
        <barDir val="col"/>
        <grouping val="clustered"/>
        <ser>
          <idx val="0"/>
          <order val="0"/>
          <spPr>
            <a:ln>
              <a:prstDash val="solid"/>
            </a:ln>
          </spPr>
          <cat>
            <numRef>
              <f>'Handheld Total'!$A$5:$A$12</f>
            </numRef>
          </cat>
          <val>
            <numRef>
              <f>'Handheld Total'!$G$5:$G$12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8.xml><?xml version="1.0" encoding="utf-8"?>
<chartSpace xmlns:a="http://schemas.openxmlformats.org/drawingml/2006/main" xmlns="http://schemas.openxmlformats.org/drawingml/2006/chart">
  <chart>
    <title>
      <tx>
        <rich>
          <a:bodyPr/>
          <a:p>
            <a:pPr>
              <a:defRPr/>
            </a:pPr>
            <a:r>
              <a:t>Revenue Month Over Month</a:t>
            </a:r>
          </a:p>
        </rich>
      </tx>
    </title>
    <plotArea>
      <barChart>
        <barDir val="col"/>
        <grouping val="clustered"/>
        <ser>
          <idx val="0"/>
          <order val="0"/>
          <spPr>
            <a:ln>
              <a:prstDash val="solid"/>
            </a:ln>
          </spPr>
          <cat>
            <numRef>
              <f>'Handheld Total'!$A$5:$A$12</f>
            </numRef>
          </cat>
          <val>
            <numRef>
              <f>'Handheld Total'!$L$5:$L$12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9.xml><?xml version="1.0" encoding="utf-8"?>
<chartSpace xmlns:a="http://schemas.openxmlformats.org/drawingml/2006/main" xmlns="http://schemas.openxmlformats.org/drawingml/2006/chart">
  <chart>
    <title>
      <tx>
        <rich>
          <a:bodyPr/>
          <a:p>
            <a:pPr>
              <a:defRPr/>
            </a:pPr>
            <a:r>
              <a:t>Qty Proportion</a:t>
            </a:r>
          </a:p>
        </rich>
      </tx>
    </title>
    <plotArea>
      <pieChart>
        <varyColors val="1"/>
        <ser>
          <idx val="0"/>
          <order val="0"/>
          <spPr>
            <a:ln>
              <a:prstDash val="solid"/>
            </a:ln>
          </spPr>
          <cat>
            <numRef>
              <f>'Handheld Total'!$A$5:$A$11</f>
            </numRef>
          </cat>
          <val>
            <numRef>
              <f>'Handheld Total'!$F$5:$F$11</f>
            </numRef>
          </val>
        </ser>
        <firstSliceAng val="0"/>
      </pieChart>
    </plotArea>
    <legend>
      <legendPos val="r"/>
    </legend>
    <plotVisOnly val="1"/>
    <dispBlanksAs val="gap"/>
  </chart>
</chartSpace>
</file>

<file path=xl/charts/chart40.xml><?xml version="1.0" encoding="utf-8"?>
<chartSpace xmlns:a="http://schemas.openxmlformats.org/drawingml/2006/main" xmlns="http://schemas.openxmlformats.org/drawingml/2006/chart">
  <chart>
    <title>
      <tx>
        <rich>
          <a:bodyPr/>
          <a:p>
            <a:pPr>
              <a:defRPr/>
            </a:pPr>
            <a:r>
              <a:t>Revenue Proportion</a:t>
            </a:r>
          </a:p>
        </rich>
      </tx>
    </title>
    <plotArea>
      <pieChart>
        <varyColors val="1"/>
        <ser>
          <idx val="0"/>
          <order val="0"/>
          <spPr>
            <a:ln>
              <a:prstDash val="solid"/>
            </a:ln>
          </spPr>
          <cat>
            <numRef>
              <f>'Handheld Total'!$A$5:$A$11</f>
            </numRef>
          </cat>
          <val>
            <numRef>
              <f>'Handheld Total'!$J$5:$J$11</f>
            </numRef>
          </val>
        </ser>
        <firstSliceAng val="0"/>
      </pieChart>
    </plotArea>
    <legend>
      <legendPos val="r"/>
    </legend>
    <plotVisOnly val="1"/>
    <dispBlanksAs val="gap"/>
  </chart>
</chartSpace>
</file>

<file path=xl/charts/chart41.xml><?xml version="1.0" encoding="utf-8"?>
<chartSpace xmlns:a="http://schemas.openxmlformats.org/drawingml/2006/main" xmlns="http://schemas.openxmlformats.org/drawingml/2006/chart">
  <chart>
    <title>
      <tx>
        <rich>
          <a:bodyPr/>
          <a:p>
            <a:pPr>
              <a:defRPr/>
            </a:pPr>
            <a:r>
              <a:t>Revenue Year Over Year</a:t>
            </a:r>
          </a:p>
        </rich>
      </tx>
    </title>
    <plotArea>
      <barChart>
        <barDir val="col"/>
        <grouping val="clustered"/>
        <ser>
          <idx val="0"/>
          <order val="0"/>
          <spPr>
            <a:ln>
              <a:prstDash val="solid"/>
            </a:ln>
          </spPr>
          <cat>
            <numRef>
              <f>'Handheld Total'!$A$5:$A$12</f>
            </numRef>
          </cat>
          <val>
            <numRef>
              <f>'Handheld Total'!$M$5:$M$12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42.xml><?xml version="1.0" encoding="utf-8"?>
<chartSpace xmlns:a="http://schemas.openxmlformats.org/drawingml/2006/main" xmlns="http://schemas.openxmlformats.org/drawingml/2006/chart">
  <chart>
    <title>
      <tx>
        <rich>
          <a:bodyPr/>
          <a:p>
            <a:pPr>
              <a:defRPr/>
            </a:pPr>
            <a:r>
              <a:t>Qty Year Over Year</a:t>
            </a:r>
          </a:p>
        </rich>
      </tx>
    </title>
    <plotArea>
      <barChart>
        <barDir val="col"/>
        <grouping val="clustered"/>
        <ser>
          <idx val="0"/>
          <order val="0"/>
          <spPr>
            <a:ln>
              <a:prstDash val="solid"/>
            </a:ln>
          </spPr>
          <cat>
            <numRef>
              <f>'Handheld Total'!$A$5:$A$12</f>
            </numRef>
          </cat>
          <val>
            <numRef>
              <f>'Handheld Total'!$H$5:$H$12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43.xml><?xml version="1.0" encoding="utf-8"?>
<chartSpace xmlns:a="http://schemas.openxmlformats.org/drawingml/2006/main" xmlns="http://schemas.openxmlformats.org/drawingml/2006/chart">
  <chart>
    <title>
      <tx>
        <rich>
          <a:bodyPr/>
          <a:p>
            <a:pPr>
              <a:defRPr/>
            </a:pPr>
            <a:r>
              <a:t>Qty Month Over Month</a:t>
            </a:r>
          </a:p>
        </rich>
      </tx>
    </title>
    <plotArea>
      <barChart>
        <barDir val="col"/>
        <grouping val="clustered"/>
        <ser>
          <idx val="0"/>
          <order val="0"/>
          <spPr>
            <a:ln>
              <a:prstDash val="solid"/>
            </a:ln>
          </spPr>
          <cat>
            <numRef>
              <f>'Handheld $75+'!$A$5:$A$11</f>
            </numRef>
          </cat>
          <val>
            <numRef>
              <f>'Handheld $75+'!$G$5:$G$11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44.xml><?xml version="1.0" encoding="utf-8"?>
<chartSpace xmlns:a="http://schemas.openxmlformats.org/drawingml/2006/main" xmlns="http://schemas.openxmlformats.org/drawingml/2006/chart">
  <chart>
    <title>
      <tx>
        <rich>
          <a:bodyPr/>
          <a:p>
            <a:pPr>
              <a:defRPr/>
            </a:pPr>
            <a:r>
              <a:t>Revenue Month Over Month</a:t>
            </a:r>
          </a:p>
        </rich>
      </tx>
    </title>
    <plotArea>
      <barChart>
        <barDir val="col"/>
        <grouping val="clustered"/>
        <ser>
          <idx val="0"/>
          <order val="0"/>
          <spPr>
            <a:ln>
              <a:prstDash val="solid"/>
            </a:ln>
          </spPr>
          <cat>
            <numRef>
              <f>'Handheld $75+'!$A$5:$A$11</f>
            </numRef>
          </cat>
          <val>
            <numRef>
              <f>'Handheld $75+'!$L$5:$L$11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45.xml><?xml version="1.0" encoding="utf-8"?>
<chartSpace xmlns:a="http://schemas.openxmlformats.org/drawingml/2006/main" xmlns="http://schemas.openxmlformats.org/drawingml/2006/chart">
  <chart>
    <title>
      <tx>
        <rich>
          <a:bodyPr/>
          <a:p>
            <a:pPr>
              <a:defRPr/>
            </a:pPr>
            <a:r>
              <a:t>Qty Proportion</a:t>
            </a:r>
          </a:p>
        </rich>
      </tx>
    </title>
    <plotArea>
      <pieChart>
        <varyColors val="1"/>
        <ser>
          <idx val="0"/>
          <order val="0"/>
          <spPr>
            <a:ln>
              <a:prstDash val="solid"/>
            </a:ln>
          </spPr>
          <cat>
            <numRef>
              <f>'Handheld $75+'!$A$5:$A$10</f>
            </numRef>
          </cat>
          <val>
            <numRef>
              <f>'Handheld $75+'!$F$5:$F$10</f>
            </numRef>
          </val>
        </ser>
        <firstSliceAng val="0"/>
      </pieChart>
    </plotArea>
    <legend>
      <legendPos val="r"/>
    </legend>
    <plotVisOnly val="1"/>
    <dispBlanksAs val="gap"/>
  </chart>
</chartSpace>
</file>

<file path=xl/charts/chart46.xml><?xml version="1.0" encoding="utf-8"?>
<chartSpace xmlns:a="http://schemas.openxmlformats.org/drawingml/2006/main" xmlns="http://schemas.openxmlformats.org/drawingml/2006/chart">
  <chart>
    <title>
      <tx>
        <rich>
          <a:bodyPr/>
          <a:p>
            <a:pPr>
              <a:defRPr/>
            </a:pPr>
            <a:r>
              <a:t>Revenue Proportion</a:t>
            </a:r>
          </a:p>
        </rich>
      </tx>
    </title>
    <plotArea>
      <pieChart>
        <varyColors val="1"/>
        <ser>
          <idx val="0"/>
          <order val="0"/>
          <spPr>
            <a:ln>
              <a:prstDash val="solid"/>
            </a:ln>
          </spPr>
          <cat>
            <numRef>
              <f>'Handheld $75+'!$A$5:$A$10</f>
            </numRef>
          </cat>
          <val>
            <numRef>
              <f>'Handheld $75+'!$J$5:$J$10</f>
            </numRef>
          </val>
        </ser>
        <firstSliceAng val="0"/>
      </pieChart>
    </plotArea>
    <legend>
      <legendPos val="r"/>
    </legend>
    <plotVisOnly val="1"/>
    <dispBlanksAs val="gap"/>
  </chart>
</chartSpace>
</file>

<file path=xl/charts/chart47.xml><?xml version="1.0" encoding="utf-8"?>
<chartSpace xmlns:a="http://schemas.openxmlformats.org/drawingml/2006/main" xmlns="http://schemas.openxmlformats.org/drawingml/2006/chart">
  <chart>
    <title>
      <tx>
        <rich>
          <a:bodyPr/>
          <a:p>
            <a:pPr>
              <a:defRPr/>
            </a:pPr>
            <a:r>
              <a:t>Revenue Year Over Year</a:t>
            </a:r>
          </a:p>
        </rich>
      </tx>
    </title>
    <plotArea>
      <barChart>
        <barDir val="col"/>
        <grouping val="clustered"/>
        <ser>
          <idx val="0"/>
          <order val="0"/>
          <spPr>
            <a:ln>
              <a:prstDash val="solid"/>
            </a:ln>
          </spPr>
          <cat>
            <numRef>
              <f>'Handheld $75+'!$A$5:$A$11</f>
            </numRef>
          </cat>
          <val>
            <numRef>
              <f>'Handheld $75+'!$M$5:$M$11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48.xml><?xml version="1.0" encoding="utf-8"?>
<chartSpace xmlns:a="http://schemas.openxmlformats.org/drawingml/2006/main" xmlns="http://schemas.openxmlformats.org/drawingml/2006/chart">
  <chart>
    <title>
      <tx>
        <rich>
          <a:bodyPr/>
          <a:p>
            <a:pPr>
              <a:defRPr/>
            </a:pPr>
            <a:r>
              <a:t>Qty Year Over Year</a:t>
            </a:r>
          </a:p>
        </rich>
      </tx>
    </title>
    <plotArea>
      <barChart>
        <barDir val="col"/>
        <grouping val="clustered"/>
        <ser>
          <idx val="0"/>
          <order val="0"/>
          <spPr>
            <a:ln>
              <a:prstDash val="solid"/>
            </a:ln>
          </spPr>
          <cat>
            <numRef>
              <f>'Handheld $75+'!$A$5:$A$11</f>
            </numRef>
          </cat>
          <val>
            <numRef>
              <f>'Handheld $75+'!$H$5:$H$11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49.xml><?xml version="1.0" encoding="utf-8"?>
<chartSpace xmlns:a="http://schemas.openxmlformats.org/drawingml/2006/main" xmlns="http://schemas.openxmlformats.org/drawingml/2006/chart">
  <chart>
    <title>
      <tx>
        <rich>
          <a:bodyPr/>
          <a:p>
            <a:pPr>
              <a:defRPr/>
            </a:pPr>
            <a:r>
              <a:t>Qty Month Over Month</a:t>
            </a:r>
          </a:p>
        </rich>
      </tx>
    </title>
    <plotArea>
      <barChart>
        <barDir val="col"/>
        <grouping val="clustered"/>
        <ser>
          <idx val="0"/>
          <order val="0"/>
          <spPr>
            <a:ln>
              <a:prstDash val="solid"/>
            </a:ln>
          </spPr>
          <cat>
            <numRef>
              <f>'Handheld $75-'!$A$5:$A$13</f>
            </numRef>
          </cat>
          <val>
            <numRef>
              <f>'Handheld $75-'!$G$5:$G$13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50.xml><?xml version="1.0" encoding="utf-8"?>
<chartSpace xmlns:a="http://schemas.openxmlformats.org/drawingml/2006/main" xmlns="http://schemas.openxmlformats.org/drawingml/2006/chart">
  <chart>
    <title>
      <tx>
        <rich>
          <a:bodyPr/>
          <a:p>
            <a:pPr>
              <a:defRPr/>
            </a:pPr>
            <a:r>
              <a:t>Revenue Month Over Month</a:t>
            </a:r>
          </a:p>
        </rich>
      </tx>
    </title>
    <plotArea>
      <barChart>
        <barDir val="col"/>
        <grouping val="clustered"/>
        <ser>
          <idx val="0"/>
          <order val="0"/>
          <spPr>
            <a:ln>
              <a:prstDash val="solid"/>
            </a:ln>
          </spPr>
          <cat>
            <numRef>
              <f>'Handheld $75-'!$A$5:$A$13</f>
            </numRef>
          </cat>
          <val>
            <numRef>
              <f>'Handheld $75-'!$L$5:$L$13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51.xml><?xml version="1.0" encoding="utf-8"?>
<chartSpace xmlns:a="http://schemas.openxmlformats.org/drawingml/2006/main" xmlns="http://schemas.openxmlformats.org/drawingml/2006/chart">
  <chart>
    <title>
      <tx>
        <rich>
          <a:bodyPr/>
          <a:p>
            <a:pPr>
              <a:defRPr/>
            </a:pPr>
            <a:r>
              <a:t>Qty Proportion</a:t>
            </a:r>
          </a:p>
        </rich>
      </tx>
    </title>
    <plotArea>
      <pieChart>
        <varyColors val="1"/>
        <ser>
          <idx val="0"/>
          <order val="0"/>
          <spPr>
            <a:ln>
              <a:prstDash val="solid"/>
            </a:ln>
          </spPr>
          <cat>
            <numRef>
              <f>'Handheld $75-'!$A$5:$A$12</f>
            </numRef>
          </cat>
          <val>
            <numRef>
              <f>'Handheld $75-'!$F$5:$F$12</f>
            </numRef>
          </val>
        </ser>
        <firstSliceAng val="0"/>
      </pieChart>
    </plotArea>
    <legend>
      <legendPos val="r"/>
    </legend>
    <plotVisOnly val="1"/>
    <dispBlanksAs val="gap"/>
  </chart>
</chartSpace>
</file>

<file path=xl/charts/chart52.xml><?xml version="1.0" encoding="utf-8"?>
<chartSpace xmlns:a="http://schemas.openxmlformats.org/drawingml/2006/main" xmlns="http://schemas.openxmlformats.org/drawingml/2006/chart">
  <chart>
    <title>
      <tx>
        <rich>
          <a:bodyPr/>
          <a:p>
            <a:pPr>
              <a:defRPr/>
            </a:pPr>
            <a:r>
              <a:t>Revenue Proportion</a:t>
            </a:r>
          </a:p>
        </rich>
      </tx>
    </title>
    <plotArea>
      <pieChart>
        <varyColors val="1"/>
        <ser>
          <idx val="0"/>
          <order val="0"/>
          <spPr>
            <a:ln>
              <a:prstDash val="solid"/>
            </a:ln>
          </spPr>
          <cat>
            <numRef>
              <f>'Handheld $75-'!$A$5:$A$12</f>
            </numRef>
          </cat>
          <val>
            <numRef>
              <f>'Handheld $75-'!$J$5:$J$12</f>
            </numRef>
          </val>
        </ser>
        <firstSliceAng val="0"/>
      </pieChart>
    </plotArea>
    <legend>
      <legendPos val="r"/>
    </legend>
    <plotVisOnly val="1"/>
    <dispBlanksAs val="gap"/>
  </chart>
</chartSpace>
</file>

<file path=xl/charts/chart53.xml><?xml version="1.0" encoding="utf-8"?>
<chartSpace xmlns:a="http://schemas.openxmlformats.org/drawingml/2006/main" xmlns="http://schemas.openxmlformats.org/drawingml/2006/chart">
  <chart>
    <title>
      <tx>
        <rich>
          <a:bodyPr/>
          <a:p>
            <a:pPr>
              <a:defRPr/>
            </a:pPr>
            <a:r>
              <a:t>Revenue Year Over Year</a:t>
            </a:r>
          </a:p>
        </rich>
      </tx>
    </title>
    <plotArea>
      <barChart>
        <barDir val="col"/>
        <grouping val="clustered"/>
        <ser>
          <idx val="0"/>
          <order val="0"/>
          <spPr>
            <a:ln>
              <a:prstDash val="solid"/>
            </a:ln>
          </spPr>
          <cat>
            <numRef>
              <f>'Handheld $75-'!$A$5:$A$13</f>
            </numRef>
          </cat>
          <val>
            <numRef>
              <f>'Handheld $75-'!$M$5:$M$13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54.xml><?xml version="1.0" encoding="utf-8"?>
<chartSpace xmlns:a="http://schemas.openxmlformats.org/drawingml/2006/main" xmlns="http://schemas.openxmlformats.org/drawingml/2006/chart">
  <chart>
    <title>
      <tx>
        <rich>
          <a:bodyPr/>
          <a:p>
            <a:pPr>
              <a:defRPr/>
            </a:pPr>
            <a:r>
              <a:t>Qty Year Over Year</a:t>
            </a:r>
          </a:p>
        </rich>
      </tx>
    </title>
    <plotArea>
      <barChart>
        <barDir val="col"/>
        <grouping val="clustered"/>
        <ser>
          <idx val="0"/>
          <order val="0"/>
          <spPr>
            <a:ln>
              <a:prstDash val="solid"/>
            </a:ln>
          </spPr>
          <cat>
            <numRef>
              <f>'Handheld $75-'!$A$5:$A$13</f>
            </numRef>
          </cat>
          <val>
            <numRef>
              <f>'Handheld $75-'!$H$5:$H$13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55.xml><?xml version="1.0" encoding="utf-8"?>
<chartSpace xmlns:a="http://schemas.openxmlformats.org/drawingml/2006/main" xmlns="http://schemas.openxmlformats.org/drawingml/2006/chart">
  <chart>
    <title>
      <tx>
        <rich>
          <a:bodyPr/>
          <a:p>
            <a:pPr>
              <a:defRPr/>
            </a:pPr>
            <a:r>
              <a:t>Qty Month Over Month</a:t>
            </a:r>
          </a:p>
        </rich>
      </tx>
    </title>
    <plotArea>
      <barChart>
        <barDir val="col"/>
        <grouping val="clustered"/>
        <ser>
          <idx val="0"/>
          <order val="0"/>
          <spPr>
            <a:ln>
              <a:prstDash val="solid"/>
            </a:ln>
          </spPr>
          <cat>
            <numRef>
              <f>'Dongle'!$A$5:$A$13</f>
            </numRef>
          </cat>
          <val>
            <numRef>
              <f>'Dongle'!$G$5:$G$13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56.xml><?xml version="1.0" encoding="utf-8"?>
<chartSpace xmlns:a="http://schemas.openxmlformats.org/drawingml/2006/main" xmlns="http://schemas.openxmlformats.org/drawingml/2006/chart">
  <chart>
    <title>
      <tx>
        <rich>
          <a:bodyPr/>
          <a:p>
            <a:pPr>
              <a:defRPr/>
            </a:pPr>
            <a:r>
              <a:t>Revenue Month Over Month</a:t>
            </a:r>
          </a:p>
        </rich>
      </tx>
    </title>
    <plotArea>
      <barChart>
        <barDir val="col"/>
        <grouping val="clustered"/>
        <ser>
          <idx val="0"/>
          <order val="0"/>
          <spPr>
            <a:ln>
              <a:prstDash val="solid"/>
            </a:ln>
          </spPr>
          <cat>
            <numRef>
              <f>'Dongle'!$A$5:$A$13</f>
            </numRef>
          </cat>
          <val>
            <numRef>
              <f>'Dongle'!$L$5:$L$13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57.xml><?xml version="1.0" encoding="utf-8"?>
<chartSpace xmlns:a="http://schemas.openxmlformats.org/drawingml/2006/main" xmlns="http://schemas.openxmlformats.org/drawingml/2006/chart">
  <chart>
    <title>
      <tx>
        <rich>
          <a:bodyPr/>
          <a:p>
            <a:pPr>
              <a:defRPr/>
            </a:pPr>
            <a:r>
              <a:t>Qty Proportion</a:t>
            </a:r>
          </a:p>
        </rich>
      </tx>
    </title>
    <plotArea>
      <pieChart>
        <varyColors val="1"/>
        <ser>
          <idx val="0"/>
          <order val="0"/>
          <spPr>
            <a:ln>
              <a:prstDash val="solid"/>
            </a:ln>
          </spPr>
          <cat>
            <numRef>
              <f>'Dongle'!$A$5:$A$12</f>
            </numRef>
          </cat>
          <val>
            <numRef>
              <f>'Dongle'!$F$5:$F$12</f>
            </numRef>
          </val>
        </ser>
        <firstSliceAng val="0"/>
      </pieChart>
    </plotArea>
    <legend>
      <legendPos val="r"/>
    </legend>
    <plotVisOnly val="1"/>
    <dispBlanksAs val="gap"/>
  </chart>
</chartSpace>
</file>

<file path=xl/charts/chart58.xml><?xml version="1.0" encoding="utf-8"?>
<chartSpace xmlns:a="http://schemas.openxmlformats.org/drawingml/2006/main" xmlns="http://schemas.openxmlformats.org/drawingml/2006/chart">
  <chart>
    <title>
      <tx>
        <rich>
          <a:bodyPr/>
          <a:p>
            <a:pPr>
              <a:defRPr/>
            </a:pPr>
            <a:r>
              <a:t>Revenue Proportion</a:t>
            </a:r>
          </a:p>
        </rich>
      </tx>
    </title>
    <plotArea>
      <pieChart>
        <varyColors val="1"/>
        <ser>
          <idx val="0"/>
          <order val="0"/>
          <spPr>
            <a:ln>
              <a:prstDash val="solid"/>
            </a:ln>
          </spPr>
          <cat>
            <numRef>
              <f>'Dongle'!$A$5:$A$12</f>
            </numRef>
          </cat>
          <val>
            <numRef>
              <f>'Dongle'!$J$5:$J$12</f>
            </numRef>
          </val>
        </ser>
        <firstSliceAng val="0"/>
      </pieChart>
    </plotArea>
    <legend>
      <legendPos val="r"/>
    </legend>
    <plotVisOnly val="1"/>
    <dispBlanksAs val="gap"/>
  </chart>
</chartSpace>
</file>

<file path=xl/charts/chart59.xml><?xml version="1.0" encoding="utf-8"?>
<chartSpace xmlns:a="http://schemas.openxmlformats.org/drawingml/2006/main" xmlns="http://schemas.openxmlformats.org/drawingml/2006/chart">
  <chart>
    <title>
      <tx>
        <rich>
          <a:bodyPr/>
          <a:p>
            <a:pPr>
              <a:defRPr/>
            </a:pPr>
            <a:r>
              <a:t>Revenue Year Over Year</a:t>
            </a:r>
          </a:p>
        </rich>
      </tx>
    </title>
    <plotArea>
      <barChart>
        <barDir val="col"/>
        <grouping val="clustered"/>
        <ser>
          <idx val="0"/>
          <order val="0"/>
          <spPr>
            <a:ln>
              <a:prstDash val="solid"/>
            </a:ln>
          </spPr>
          <cat>
            <numRef>
              <f>'Dongle'!$A$5:$A$13</f>
            </numRef>
          </cat>
          <val>
            <numRef>
              <f>'Dongle'!$M$5:$M$13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60.xml><?xml version="1.0" encoding="utf-8"?>
<chartSpace xmlns:a="http://schemas.openxmlformats.org/drawingml/2006/main" xmlns="http://schemas.openxmlformats.org/drawingml/2006/chart">
  <chart>
    <title>
      <tx>
        <rich>
          <a:bodyPr/>
          <a:p>
            <a:pPr>
              <a:defRPr/>
            </a:pPr>
            <a:r>
              <a:t>Qty Year Over Year</a:t>
            </a:r>
          </a:p>
        </rich>
      </tx>
    </title>
    <plotArea>
      <barChart>
        <barDir val="col"/>
        <grouping val="clustered"/>
        <ser>
          <idx val="0"/>
          <order val="0"/>
          <spPr>
            <a:ln>
              <a:prstDash val="solid"/>
            </a:ln>
          </spPr>
          <cat>
            <numRef>
              <f>'Dongle'!$A$5:$A$13</f>
            </numRef>
          </cat>
          <val>
            <numRef>
              <f>'Dongle'!$H$5:$H$13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61.xml><?xml version="1.0" encoding="utf-8"?>
<chartSpace xmlns:a="http://schemas.openxmlformats.org/drawingml/2006/main" xmlns="http://schemas.openxmlformats.org/drawingml/2006/chart">
  <chart>
    <title>
      <tx>
        <rich>
          <a:bodyPr/>
          <a:p>
            <a:pPr>
              <a:defRPr/>
            </a:pPr>
            <a:r>
              <a:t>Qty Month Over Month</a:t>
            </a:r>
          </a:p>
        </rich>
      </tx>
    </title>
    <plotArea>
      <barChart>
        <barDir val="col"/>
        <grouping val="clustered"/>
        <ser>
          <idx val="0"/>
          <order val="0"/>
          <spPr>
            <a:ln>
              <a:prstDash val="solid"/>
            </a:ln>
          </spPr>
          <cat>
            <numRef>
              <f>'Other Tools'!$A$5:$A$12</f>
            </numRef>
          </cat>
          <val>
            <numRef>
              <f>'Other Tools'!$G$5:$G$12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62.xml><?xml version="1.0" encoding="utf-8"?>
<chartSpace xmlns:a="http://schemas.openxmlformats.org/drawingml/2006/main" xmlns="http://schemas.openxmlformats.org/drawingml/2006/chart">
  <chart>
    <title>
      <tx>
        <rich>
          <a:bodyPr/>
          <a:p>
            <a:pPr>
              <a:defRPr/>
            </a:pPr>
            <a:r>
              <a:t>Revenue Month Over Month</a:t>
            </a:r>
          </a:p>
        </rich>
      </tx>
    </title>
    <plotArea>
      <barChart>
        <barDir val="col"/>
        <grouping val="clustered"/>
        <ser>
          <idx val="0"/>
          <order val="0"/>
          <spPr>
            <a:ln>
              <a:prstDash val="solid"/>
            </a:ln>
          </spPr>
          <cat>
            <numRef>
              <f>'Other Tools'!$A$5:$A$12</f>
            </numRef>
          </cat>
          <val>
            <numRef>
              <f>'Other Tools'!$L$5:$L$12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63.xml><?xml version="1.0" encoding="utf-8"?>
<chartSpace xmlns:a="http://schemas.openxmlformats.org/drawingml/2006/main" xmlns="http://schemas.openxmlformats.org/drawingml/2006/chart">
  <chart>
    <title>
      <tx>
        <rich>
          <a:bodyPr/>
          <a:p>
            <a:pPr>
              <a:defRPr/>
            </a:pPr>
            <a:r>
              <a:t>Qty Proportion</a:t>
            </a:r>
          </a:p>
        </rich>
      </tx>
    </title>
    <plotArea>
      <pieChart>
        <varyColors val="1"/>
        <ser>
          <idx val="0"/>
          <order val="0"/>
          <spPr>
            <a:ln>
              <a:prstDash val="solid"/>
            </a:ln>
          </spPr>
          <cat>
            <numRef>
              <f>'Other Tools'!$A$5:$A$11</f>
            </numRef>
          </cat>
          <val>
            <numRef>
              <f>'Other Tools'!$F$5:$F$11</f>
            </numRef>
          </val>
        </ser>
        <firstSliceAng val="0"/>
      </pieChart>
    </plotArea>
    <legend>
      <legendPos val="r"/>
    </legend>
    <plotVisOnly val="1"/>
    <dispBlanksAs val="gap"/>
  </chart>
</chartSpace>
</file>

<file path=xl/charts/chart64.xml><?xml version="1.0" encoding="utf-8"?>
<chartSpace xmlns:a="http://schemas.openxmlformats.org/drawingml/2006/main" xmlns="http://schemas.openxmlformats.org/drawingml/2006/chart">
  <chart>
    <title>
      <tx>
        <rich>
          <a:bodyPr/>
          <a:p>
            <a:pPr>
              <a:defRPr/>
            </a:pPr>
            <a:r>
              <a:t>Revenue Proportion</a:t>
            </a:r>
          </a:p>
        </rich>
      </tx>
    </title>
    <plotArea>
      <pieChart>
        <varyColors val="1"/>
        <ser>
          <idx val="0"/>
          <order val="0"/>
          <spPr>
            <a:ln>
              <a:prstDash val="solid"/>
            </a:ln>
          </spPr>
          <cat>
            <numRef>
              <f>'Other Tools'!$A$5:$A$11</f>
            </numRef>
          </cat>
          <val>
            <numRef>
              <f>'Other Tools'!$J$5:$J$11</f>
            </numRef>
          </val>
        </ser>
        <firstSliceAng val="0"/>
      </pieChart>
    </plotArea>
    <legend>
      <legendPos val="r"/>
    </legend>
    <plotVisOnly val="1"/>
    <dispBlanksAs val="gap"/>
  </chart>
</chartSpace>
</file>

<file path=xl/charts/chart65.xml><?xml version="1.0" encoding="utf-8"?>
<chartSpace xmlns:a="http://schemas.openxmlformats.org/drawingml/2006/main" xmlns="http://schemas.openxmlformats.org/drawingml/2006/chart">
  <chart>
    <title>
      <tx>
        <rich>
          <a:bodyPr/>
          <a:p>
            <a:pPr>
              <a:defRPr/>
            </a:pPr>
            <a:r>
              <a:t>Revenue Year Over Year</a:t>
            </a:r>
          </a:p>
        </rich>
      </tx>
    </title>
    <plotArea>
      <barChart>
        <barDir val="col"/>
        <grouping val="clustered"/>
        <ser>
          <idx val="0"/>
          <order val="0"/>
          <spPr>
            <a:ln>
              <a:prstDash val="solid"/>
            </a:ln>
          </spPr>
          <cat>
            <numRef>
              <f>'Other Tools'!$A$5:$A$12</f>
            </numRef>
          </cat>
          <val>
            <numRef>
              <f>'Other Tools'!$M$5:$M$12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66.xml><?xml version="1.0" encoding="utf-8"?>
<chartSpace xmlns:a="http://schemas.openxmlformats.org/drawingml/2006/main" xmlns="http://schemas.openxmlformats.org/drawingml/2006/chart">
  <chart>
    <title>
      <tx>
        <rich>
          <a:bodyPr/>
          <a:p>
            <a:pPr>
              <a:defRPr/>
            </a:pPr>
            <a:r>
              <a:t>Qty Year Over Year</a:t>
            </a:r>
          </a:p>
        </rich>
      </tx>
    </title>
    <plotArea>
      <barChart>
        <barDir val="col"/>
        <grouping val="clustered"/>
        <ser>
          <idx val="0"/>
          <order val="0"/>
          <spPr>
            <a:ln>
              <a:prstDash val="solid"/>
            </a:ln>
          </spPr>
          <cat>
            <numRef>
              <f>'Other Tools'!$A$5:$A$12</f>
            </numRef>
          </cat>
          <val>
            <numRef>
              <f>'Other Tools'!$H$5:$H$12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67.xml><?xml version="1.0" encoding="utf-8"?>
<chartSpace xmlns:a="http://schemas.openxmlformats.org/drawingml/2006/main" xmlns="http://schemas.openxmlformats.org/drawingml/2006/chart">
  <chart>
    <title>
      <tx>
        <rich>
          <a:bodyPr/>
          <a:p>
            <a:pPr>
              <a:defRPr/>
            </a:pPr>
            <a:r>
              <a:t>Qty Month Over Month</a:t>
            </a:r>
          </a:p>
        </rich>
      </tx>
    </title>
    <plotArea>
      <barChart>
        <barDir val="col"/>
        <grouping val="clustered"/>
        <ser>
          <idx val="0"/>
          <order val="0"/>
          <spPr>
            <a:ln>
              <a:prstDash val="solid"/>
            </a:ln>
          </spPr>
          <cat>
            <numRef>
              <f>'Ancel'!$A$8:$A$17</f>
            </numRef>
          </cat>
          <val>
            <numRef>
              <f>'Ancel'!$G$8:$G$17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68.xml><?xml version="1.0" encoding="utf-8"?>
<chartSpace xmlns:a="http://schemas.openxmlformats.org/drawingml/2006/main" xmlns="http://schemas.openxmlformats.org/drawingml/2006/chart">
  <chart>
    <title>
      <tx>
        <rich>
          <a:bodyPr/>
          <a:p>
            <a:pPr>
              <a:defRPr/>
            </a:pPr>
            <a:r>
              <a:t>Revenue Month Over Month</a:t>
            </a:r>
          </a:p>
        </rich>
      </tx>
    </title>
    <plotArea>
      <barChart>
        <barDir val="col"/>
        <grouping val="clustered"/>
        <ser>
          <idx val="0"/>
          <order val="0"/>
          <spPr>
            <a:ln>
              <a:prstDash val="solid"/>
            </a:ln>
          </spPr>
          <cat>
            <numRef>
              <f>'Ancel'!$A$8:$A$17</f>
            </numRef>
          </cat>
          <val>
            <numRef>
              <f>'Ancel'!$L$8:$L$17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69.xml><?xml version="1.0" encoding="utf-8"?>
<chartSpace xmlns:a="http://schemas.openxmlformats.org/drawingml/2006/main" xmlns="http://schemas.openxmlformats.org/drawingml/2006/chart">
  <chart>
    <title>
      <tx>
        <rich>
          <a:bodyPr/>
          <a:p>
            <a:pPr>
              <a:defRPr/>
            </a:pPr>
            <a:r>
              <a:t>Qty Proportion</a:t>
            </a:r>
          </a:p>
        </rich>
      </tx>
    </title>
    <plotArea>
      <pieChart>
        <varyColors val="1"/>
        <ser>
          <idx val="0"/>
          <order val="0"/>
          <spPr>
            <a:ln>
              <a:prstDash val="solid"/>
            </a:ln>
          </spPr>
          <cat>
            <numRef>
              <f>'Ancel'!$A$11:$A$16</f>
            </numRef>
          </cat>
          <val>
            <numRef>
              <f>'Ancel'!$F$11:$F$16</f>
            </numRef>
          </val>
        </ser>
        <firstSliceAng val="0"/>
      </pieChart>
    </plotArea>
    <legend>
      <legendPos val="r"/>
    </legend>
    <plotVisOnly val="1"/>
    <dispBlanksAs val="gap"/>
  </chart>
</chartSpace>
</file>

<file path=xl/charts/chart70.xml><?xml version="1.0" encoding="utf-8"?>
<chartSpace xmlns:a="http://schemas.openxmlformats.org/drawingml/2006/main" xmlns="http://schemas.openxmlformats.org/drawingml/2006/chart">
  <chart>
    <title>
      <tx>
        <rich>
          <a:bodyPr/>
          <a:p>
            <a:pPr>
              <a:defRPr/>
            </a:pPr>
            <a:r>
              <a:t>Revenue Proportion</a:t>
            </a:r>
          </a:p>
        </rich>
      </tx>
    </title>
    <plotArea>
      <pieChart>
        <varyColors val="1"/>
        <ser>
          <idx val="0"/>
          <order val="0"/>
          <spPr>
            <a:ln>
              <a:prstDash val="solid"/>
            </a:ln>
          </spPr>
          <cat>
            <numRef>
              <f>'Ancel'!$A$11:$A$16</f>
            </numRef>
          </cat>
          <val>
            <numRef>
              <f>'Ancel'!$J$11:$J$16</f>
            </numRef>
          </val>
        </ser>
        <firstSliceAng val="0"/>
      </pieChart>
    </plotArea>
    <legend>
      <legendPos val="r"/>
    </legend>
    <plotVisOnly val="1"/>
    <dispBlanksAs val="gap"/>
  </chart>
</chartSpace>
</file>

<file path=xl/charts/chart71.xml><?xml version="1.0" encoding="utf-8"?>
<chartSpace xmlns:a="http://schemas.openxmlformats.org/drawingml/2006/main" xmlns="http://schemas.openxmlformats.org/drawingml/2006/chart">
  <chart>
    <title>
      <tx>
        <rich>
          <a:bodyPr/>
          <a:p>
            <a:pPr>
              <a:defRPr/>
            </a:pPr>
            <a:r>
              <a:t>Revenue Year Over Year</a:t>
            </a:r>
          </a:p>
        </rich>
      </tx>
    </title>
    <plotArea>
      <barChart>
        <barDir val="col"/>
        <grouping val="clustered"/>
        <ser>
          <idx val="0"/>
          <order val="0"/>
          <spPr>
            <a:ln>
              <a:prstDash val="solid"/>
            </a:ln>
          </spPr>
          <cat>
            <numRef>
              <f>'Ancel'!$A$8:$A$17</f>
            </numRef>
          </cat>
          <val>
            <numRef>
              <f>'Ancel'!$M$8:$M$17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72.xml><?xml version="1.0" encoding="utf-8"?>
<chartSpace xmlns:a="http://schemas.openxmlformats.org/drawingml/2006/main" xmlns="http://schemas.openxmlformats.org/drawingml/2006/chart">
  <chart>
    <title>
      <tx>
        <rich>
          <a:bodyPr/>
          <a:p>
            <a:pPr>
              <a:defRPr/>
            </a:pPr>
            <a:r>
              <a:t>Qty Year Over Year</a:t>
            </a:r>
          </a:p>
        </rich>
      </tx>
    </title>
    <plotArea>
      <barChart>
        <barDir val="col"/>
        <grouping val="clustered"/>
        <ser>
          <idx val="0"/>
          <order val="0"/>
          <spPr>
            <a:ln>
              <a:prstDash val="solid"/>
            </a:ln>
          </spPr>
          <cat>
            <numRef>
              <f>'Ancel'!$A$8:$A$17</f>
            </numRef>
          </cat>
          <val>
            <numRef>
              <f>'Ancel'!$H$8:$H$17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73.xml><?xml version="1.0" encoding="utf-8"?>
<chartSpace xmlns:a="http://schemas.openxmlformats.org/drawingml/2006/main" xmlns="http://schemas.openxmlformats.org/drawingml/2006/chart">
  <chart>
    <title>
      <tx>
        <rich>
          <a:bodyPr/>
          <a:p>
            <a:pPr>
              <a:defRPr/>
            </a:pPr>
            <a:r>
              <a:t>Qty Month Over Month</a:t>
            </a:r>
          </a:p>
        </rich>
      </tx>
    </title>
    <plotArea>
      <barChart>
        <barDir val="col"/>
        <grouping val="clustered"/>
        <ser>
          <idx val="0"/>
          <order val="0"/>
          <spPr>
            <a:ln>
              <a:prstDash val="solid"/>
            </a:ln>
          </spPr>
          <cat>
            <numRef>
              <f>'AUTEL'!$A$8:$A$17</f>
            </numRef>
          </cat>
          <val>
            <numRef>
              <f>'AUTEL'!$G$8:$G$17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74.xml><?xml version="1.0" encoding="utf-8"?>
<chartSpace xmlns:a="http://schemas.openxmlformats.org/drawingml/2006/main" xmlns="http://schemas.openxmlformats.org/drawingml/2006/chart">
  <chart>
    <title>
      <tx>
        <rich>
          <a:bodyPr/>
          <a:p>
            <a:pPr>
              <a:defRPr/>
            </a:pPr>
            <a:r>
              <a:t>Revenue Month Over Month</a:t>
            </a:r>
          </a:p>
        </rich>
      </tx>
    </title>
    <plotArea>
      <barChart>
        <barDir val="col"/>
        <grouping val="clustered"/>
        <ser>
          <idx val="0"/>
          <order val="0"/>
          <spPr>
            <a:ln>
              <a:prstDash val="solid"/>
            </a:ln>
          </spPr>
          <cat>
            <numRef>
              <f>'AUTEL'!$A$8:$A$17</f>
            </numRef>
          </cat>
          <val>
            <numRef>
              <f>'AUTEL'!$L$8:$L$17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75.xml><?xml version="1.0" encoding="utf-8"?>
<chartSpace xmlns:a="http://schemas.openxmlformats.org/drawingml/2006/main" xmlns="http://schemas.openxmlformats.org/drawingml/2006/chart">
  <chart>
    <title>
      <tx>
        <rich>
          <a:bodyPr/>
          <a:p>
            <a:pPr>
              <a:defRPr/>
            </a:pPr>
            <a:r>
              <a:t>Qty Proportion</a:t>
            </a:r>
          </a:p>
        </rich>
      </tx>
    </title>
    <plotArea>
      <pieChart>
        <varyColors val="1"/>
        <ser>
          <idx val="0"/>
          <order val="0"/>
          <spPr>
            <a:ln>
              <a:prstDash val="solid"/>
            </a:ln>
          </spPr>
          <cat>
            <numRef>
              <f>'AUTEL'!$A$11:$A$16</f>
            </numRef>
          </cat>
          <val>
            <numRef>
              <f>'AUTEL'!$F$11:$F$16</f>
            </numRef>
          </val>
        </ser>
        <firstSliceAng val="0"/>
      </pieChart>
    </plotArea>
    <legend>
      <legendPos val="r"/>
    </legend>
    <plotVisOnly val="1"/>
    <dispBlanksAs val="gap"/>
  </chart>
</chartSpace>
</file>

<file path=xl/charts/chart76.xml><?xml version="1.0" encoding="utf-8"?>
<chartSpace xmlns:a="http://schemas.openxmlformats.org/drawingml/2006/main" xmlns="http://schemas.openxmlformats.org/drawingml/2006/chart">
  <chart>
    <title>
      <tx>
        <rich>
          <a:bodyPr/>
          <a:p>
            <a:pPr>
              <a:defRPr/>
            </a:pPr>
            <a:r>
              <a:t>Revenue Proportion</a:t>
            </a:r>
          </a:p>
        </rich>
      </tx>
    </title>
    <plotArea>
      <pieChart>
        <varyColors val="1"/>
        <ser>
          <idx val="0"/>
          <order val="0"/>
          <spPr>
            <a:ln>
              <a:prstDash val="solid"/>
            </a:ln>
          </spPr>
          <cat>
            <numRef>
              <f>'AUTEL'!$A$11:$A$16</f>
            </numRef>
          </cat>
          <val>
            <numRef>
              <f>'AUTEL'!$J$11:$J$16</f>
            </numRef>
          </val>
        </ser>
        <firstSliceAng val="0"/>
      </pieChart>
    </plotArea>
    <legend>
      <legendPos val="r"/>
    </legend>
    <plotVisOnly val="1"/>
    <dispBlanksAs val="gap"/>
  </chart>
</chartSpace>
</file>

<file path=xl/charts/chart77.xml><?xml version="1.0" encoding="utf-8"?>
<chartSpace xmlns:a="http://schemas.openxmlformats.org/drawingml/2006/main" xmlns="http://schemas.openxmlformats.org/drawingml/2006/chart">
  <chart>
    <title>
      <tx>
        <rich>
          <a:bodyPr/>
          <a:p>
            <a:pPr>
              <a:defRPr/>
            </a:pPr>
            <a:r>
              <a:t>Revenue Year Over Year</a:t>
            </a:r>
          </a:p>
        </rich>
      </tx>
    </title>
    <plotArea>
      <barChart>
        <barDir val="col"/>
        <grouping val="clustered"/>
        <ser>
          <idx val="0"/>
          <order val="0"/>
          <spPr>
            <a:ln>
              <a:prstDash val="solid"/>
            </a:ln>
          </spPr>
          <cat>
            <numRef>
              <f>'AUTEL'!$A$8:$A$17</f>
            </numRef>
          </cat>
          <val>
            <numRef>
              <f>'AUTEL'!$M$8:$M$17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78.xml><?xml version="1.0" encoding="utf-8"?>
<chartSpace xmlns:a="http://schemas.openxmlformats.org/drawingml/2006/main" xmlns="http://schemas.openxmlformats.org/drawingml/2006/chart">
  <chart>
    <title>
      <tx>
        <rich>
          <a:bodyPr/>
          <a:p>
            <a:pPr>
              <a:defRPr/>
            </a:pPr>
            <a:r>
              <a:t>Qty Year Over Year</a:t>
            </a:r>
          </a:p>
        </rich>
      </tx>
    </title>
    <plotArea>
      <barChart>
        <barDir val="col"/>
        <grouping val="clustered"/>
        <ser>
          <idx val="0"/>
          <order val="0"/>
          <spPr>
            <a:ln>
              <a:prstDash val="solid"/>
            </a:ln>
          </spPr>
          <cat>
            <numRef>
              <f>'AUTEL'!$A$8:$A$17</f>
            </numRef>
          </cat>
          <val>
            <numRef>
              <f>'AUTEL'!$H$8:$H$17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79.xml><?xml version="1.0" encoding="utf-8"?>
<chartSpace xmlns:a="http://schemas.openxmlformats.org/drawingml/2006/main" xmlns="http://schemas.openxmlformats.org/drawingml/2006/chart">
  <chart>
    <title>
      <tx>
        <rich>
          <a:bodyPr/>
          <a:p>
            <a:pPr>
              <a:defRPr/>
            </a:pPr>
            <a:r>
              <a:t>Qty Month Over Month</a:t>
            </a:r>
          </a:p>
        </rich>
      </tx>
    </title>
    <plotArea>
      <barChart>
        <barDir val="col"/>
        <grouping val="clustered"/>
        <ser>
          <idx val="0"/>
          <order val="0"/>
          <spPr>
            <a:ln>
              <a:prstDash val="solid"/>
            </a:ln>
          </spPr>
          <cat>
            <numRef>
              <f>'Foxwell'!$A$8:$A$16</f>
            </numRef>
          </cat>
          <val>
            <numRef>
              <f>'Foxwell'!$G$8:$G$16</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80.xml><?xml version="1.0" encoding="utf-8"?>
<chartSpace xmlns:a="http://schemas.openxmlformats.org/drawingml/2006/main" xmlns="http://schemas.openxmlformats.org/drawingml/2006/chart">
  <chart>
    <title>
      <tx>
        <rich>
          <a:bodyPr/>
          <a:p>
            <a:pPr>
              <a:defRPr/>
            </a:pPr>
            <a:r>
              <a:t>Revenue Month Over Month</a:t>
            </a:r>
          </a:p>
        </rich>
      </tx>
    </title>
    <plotArea>
      <barChart>
        <barDir val="col"/>
        <grouping val="clustered"/>
        <ser>
          <idx val="0"/>
          <order val="0"/>
          <spPr>
            <a:ln>
              <a:prstDash val="solid"/>
            </a:ln>
          </spPr>
          <cat>
            <numRef>
              <f>'Foxwell'!$A$8:$A$16</f>
            </numRef>
          </cat>
          <val>
            <numRef>
              <f>'Foxwell'!$L$8:$L$16</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81.xml><?xml version="1.0" encoding="utf-8"?>
<chartSpace xmlns:a="http://schemas.openxmlformats.org/drawingml/2006/main" xmlns="http://schemas.openxmlformats.org/drawingml/2006/chart">
  <chart>
    <title>
      <tx>
        <rich>
          <a:bodyPr/>
          <a:p>
            <a:pPr>
              <a:defRPr/>
            </a:pPr>
            <a:r>
              <a:t>Qty Proportion</a:t>
            </a:r>
          </a:p>
        </rich>
      </tx>
    </title>
    <plotArea>
      <pieChart>
        <varyColors val="1"/>
        <ser>
          <idx val="0"/>
          <order val="0"/>
          <spPr>
            <a:ln>
              <a:prstDash val="solid"/>
            </a:ln>
          </spPr>
          <cat>
            <numRef>
              <f>'Foxwell'!$A$11:$A$15</f>
            </numRef>
          </cat>
          <val>
            <numRef>
              <f>'Foxwell'!$F$11:$F$15</f>
            </numRef>
          </val>
        </ser>
        <firstSliceAng val="0"/>
      </pieChart>
    </plotArea>
    <legend>
      <legendPos val="r"/>
    </legend>
    <plotVisOnly val="1"/>
    <dispBlanksAs val="gap"/>
  </chart>
</chartSpace>
</file>

<file path=xl/charts/chart82.xml><?xml version="1.0" encoding="utf-8"?>
<chartSpace xmlns:a="http://schemas.openxmlformats.org/drawingml/2006/main" xmlns="http://schemas.openxmlformats.org/drawingml/2006/chart">
  <chart>
    <title>
      <tx>
        <rich>
          <a:bodyPr/>
          <a:p>
            <a:pPr>
              <a:defRPr/>
            </a:pPr>
            <a:r>
              <a:t>Revenue Proportion</a:t>
            </a:r>
          </a:p>
        </rich>
      </tx>
    </title>
    <plotArea>
      <pieChart>
        <varyColors val="1"/>
        <ser>
          <idx val="0"/>
          <order val="0"/>
          <spPr>
            <a:ln>
              <a:prstDash val="solid"/>
            </a:ln>
          </spPr>
          <cat>
            <numRef>
              <f>'Foxwell'!$A$11:$A$15</f>
            </numRef>
          </cat>
          <val>
            <numRef>
              <f>'Foxwell'!$J$11:$J$15</f>
            </numRef>
          </val>
        </ser>
        <firstSliceAng val="0"/>
      </pieChart>
    </plotArea>
    <legend>
      <legendPos val="r"/>
    </legend>
    <plotVisOnly val="1"/>
    <dispBlanksAs val="gap"/>
  </chart>
</chartSpace>
</file>

<file path=xl/charts/chart83.xml><?xml version="1.0" encoding="utf-8"?>
<chartSpace xmlns:a="http://schemas.openxmlformats.org/drawingml/2006/main" xmlns="http://schemas.openxmlformats.org/drawingml/2006/chart">
  <chart>
    <title>
      <tx>
        <rich>
          <a:bodyPr/>
          <a:p>
            <a:pPr>
              <a:defRPr/>
            </a:pPr>
            <a:r>
              <a:t>Revenue Year Over Year</a:t>
            </a:r>
          </a:p>
        </rich>
      </tx>
    </title>
    <plotArea>
      <barChart>
        <barDir val="col"/>
        <grouping val="clustered"/>
        <ser>
          <idx val="0"/>
          <order val="0"/>
          <spPr>
            <a:ln>
              <a:prstDash val="solid"/>
            </a:ln>
          </spPr>
          <cat>
            <numRef>
              <f>'Foxwell'!$A$8:$A$16</f>
            </numRef>
          </cat>
          <val>
            <numRef>
              <f>'Foxwell'!$M$8:$M$16</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84.xml><?xml version="1.0" encoding="utf-8"?>
<chartSpace xmlns:a="http://schemas.openxmlformats.org/drawingml/2006/main" xmlns="http://schemas.openxmlformats.org/drawingml/2006/chart">
  <chart>
    <title>
      <tx>
        <rich>
          <a:bodyPr/>
          <a:p>
            <a:pPr>
              <a:defRPr/>
            </a:pPr>
            <a:r>
              <a:t>Qty Year Over Year</a:t>
            </a:r>
          </a:p>
        </rich>
      </tx>
    </title>
    <plotArea>
      <barChart>
        <barDir val="col"/>
        <grouping val="clustered"/>
        <ser>
          <idx val="0"/>
          <order val="0"/>
          <spPr>
            <a:ln>
              <a:prstDash val="solid"/>
            </a:ln>
          </spPr>
          <cat>
            <numRef>
              <f>'Foxwell'!$A$8:$A$16</f>
            </numRef>
          </cat>
          <val>
            <numRef>
              <f>'Foxwell'!$H$8:$H$16</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85.xml><?xml version="1.0" encoding="utf-8"?>
<chartSpace xmlns:a="http://schemas.openxmlformats.org/drawingml/2006/main" xmlns="http://schemas.openxmlformats.org/drawingml/2006/chart">
  <chart>
    <title>
      <tx>
        <rich>
          <a:bodyPr/>
          <a:p>
            <a:pPr>
              <a:defRPr/>
            </a:pPr>
            <a:r>
              <a:t>Qty Month Over Month</a:t>
            </a:r>
          </a:p>
        </rich>
      </tx>
    </title>
    <plotArea>
      <barChart>
        <barDir val="col"/>
        <grouping val="clustered"/>
        <ser>
          <idx val="0"/>
          <order val="0"/>
          <spPr>
            <a:ln>
              <a:prstDash val="solid"/>
            </a:ln>
          </spPr>
          <cat>
            <numRef>
              <f>'iCarsoft'!$A$8:$A$16</f>
            </numRef>
          </cat>
          <val>
            <numRef>
              <f>'iCarsoft'!$G$8:$G$16</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86.xml><?xml version="1.0" encoding="utf-8"?>
<chartSpace xmlns:a="http://schemas.openxmlformats.org/drawingml/2006/main" xmlns="http://schemas.openxmlformats.org/drawingml/2006/chart">
  <chart>
    <title>
      <tx>
        <rich>
          <a:bodyPr/>
          <a:p>
            <a:pPr>
              <a:defRPr/>
            </a:pPr>
            <a:r>
              <a:t>Revenue Month Over Month</a:t>
            </a:r>
          </a:p>
        </rich>
      </tx>
    </title>
    <plotArea>
      <barChart>
        <barDir val="col"/>
        <grouping val="clustered"/>
        <ser>
          <idx val="0"/>
          <order val="0"/>
          <spPr>
            <a:ln>
              <a:prstDash val="solid"/>
            </a:ln>
          </spPr>
          <cat>
            <numRef>
              <f>'iCarsoft'!$A$8:$A$16</f>
            </numRef>
          </cat>
          <val>
            <numRef>
              <f>'iCarsoft'!$L$8:$L$16</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87.xml><?xml version="1.0" encoding="utf-8"?>
<chartSpace xmlns:a="http://schemas.openxmlformats.org/drawingml/2006/main" xmlns="http://schemas.openxmlformats.org/drawingml/2006/chart">
  <chart>
    <title>
      <tx>
        <rich>
          <a:bodyPr/>
          <a:p>
            <a:pPr>
              <a:defRPr/>
            </a:pPr>
            <a:r>
              <a:t>Qty Proportion</a:t>
            </a:r>
          </a:p>
        </rich>
      </tx>
    </title>
    <plotArea>
      <pieChart>
        <varyColors val="1"/>
        <ser>
          <idx val="0"/>
          <order val="0"/>
          <spPr>
            <a:ln>
              <a:prstDash val="solid"/>
            </a:ln>
          </spPr>
          <cat>
            <numRef>
              <f>'iCarsoft'!$A$11:$A$15</f>
            </numRef>
          </cat>
          <val>
            <numRef>
              <f>'iCarsoft'!$F$11:$F$15</f>
            </numRef>
          </val>
        </ser>
        <firstSliceAng val="0"/>
      </pieChart>
    </plotArea>
    <legend>
      <legendPos val="r"/>
    </legend>
    <plotVisOnly val="1"/>
    <dispBlanksAs val="gap"/>
  </chart>
</chartSpace>
</file>

<file path=xl/charts/chart88.xml><?xml version="1.0" encoding="utf-8"?>
<chartSpace xmlns:a="http://schemas.openxmlformats.org/drawingml/2006/main" xmlns="http://schemas.openxmlformats.org/drawingml/2006/chart">
  <chart>
    <title>
      <tx>
        <rich>
          <a:bodyPr/>
          <a:p>
            <a:pPr>
              <a:defRPr/>
            </a:pPr>
            <a:r>
              <a:t>Revenue Proportion</a:t>
            </a:r>
          </a:p>
        </rich>
      </tx>
    </title>
    <plotArea>
      <pieChart>
        <varyColors val="1"/>
        <ser>
          <idx val="0"/>
          <order val="0"/>
          <spPr>
            <a:ln>
              <a:prstDash val="solid"/>
            </a:ln>
          </spPr>
          <cat>
            <numRef>
              <f>'iCarsoft'!$A$11:$A$15</f>
            </numRef>
          </cat>
          <val>
            <numRef>
              <f>'iCarsoft'!$J$11:$J$15</f>
            </numRef>
          </val>
        </ser>
        <firstSliceAng val="0"/>
      </pieChart>
    </plotArea>
    <legend>
      <legendPos val="r"/>
    </legend>
    <plotVisOnly val="1"/>
    <dispBlanksAs val="gap"/>
  </chart>
</chartSpace>
</file>

<file path=xl/charts/chart89.xml><?xml version="1.0" encoding="utf-8"?>
<chartSpace xmlns:a="http://schemas.openxmlformats.org/drawingml/2006/main" xmlns="http://schemas.openxmlformats.org/drawingml/2006/chart">
  <chart>
    <title>
      <tx>
        <rich>
          <a:bodyPr/>
          <a:p>
            <a:pPr>
              <a:defRPr/>
            </a:pPr>
            <a:r>
              <a:t>Revenue Year Over Year</a:t>
            </a:r>
          </a:p>
        </rich>
      </tx>
    </title>
    <plotArea>
      <barChart>
        <barDir val="col"/>
        <grouping val="clustered"/>
        <ser>
          <idx val="0"/>
          <order val="0"/>
          <spPr>
            <a:ln>
              <a:prstDash val="solid"/>
            </a:ln>
          </spPr>
          <cat>
            <numRef>
              <f>'iCarsoft'!$A$8:$A$16</f>
            </numRef>
          </cat>
          <val>
            <numRef>
              <f>'iCarsoft'!$M$8:$M$16</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90.xml><?xml version="1.0" encoding="utf-8"?>
<chartSpace xmlns:a="http://schemas.openxmlformats.org/drawingml/2006/main" xmlns="http://schemas.openxmlformats.org/drawingml/2006/chart">
  <chart>
    <title>
      <tx>
        <rich>
          <a:bodyPr/>
          <a:p>
            <a:pPr>
              <a:defRPr/>
            </a:pPr>
            <a:r>
              <a:t>Qty Year Over Year</a:t>
            </a:r>
          </a:p>
        </rich>
      </tx>
    </title>
    <plotArea>
      <barChart>
        <barDir val="col"/>
        <grouping val="clustered"/>
        <ser>
          <idx val="0"/>
          <order val="0"/>
          <spPr>
            <a:ln>
              <a:prstDash val="solid"/>
            </a:ln>
          </spPr>
          <cat>
            <numRef>
              <f>'iCarsoft'!$A$8:$A$16</f>
            </numRef>
          </cat>
          <val>
            <numRef>
              <f>'iCarsoft'!$H$8:$H$16</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91.xml><?xml version="1.0" encoding="utf-8"?>
<chartSpace xmlns:a="http://schemas.openxmlformats.org/drawingml/2006/main" xmlns="http://schemas.openxmlformats.org/drawingml/2006/chart">
  <chart>
    <title>
      <tx>
        <rich>
          <a:bodyPr/>
          <a:p>
            <a:pPr>
              <a:defRPr/>
            </a:pPr>
            <a:r>
              <a:t>Qty Month Over Month</a:t>
            </a:r>
          </a:p>
        </rich>
      </tx>
    </title>
    <plotArea>
      <barChart>
        <barDir val="col"/>
        <grouping val="clustered"/>
        <ser>
          <idx val="0"/>
          <order val="0"/>
          <spPr>
            <a:ln>
              <a:prstDash val="solid"/>
            </a:ln>
          </spPr>
          <cat>
            <numRef>
              <f>'LAUNCH'!$A$8:$A$17</f>
            </numRef>
          </cat>
          <val>
            <numRef>
              <f>'LAUNCH'!$G$8:$G$17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92.xml><?xml version="1.0" encoding="utf-8"?>
<chartSpace xmlns:a="http://schemas.openxmlformats.org/drawingml/2006/main" xmlns="http://schemas.openxmlformats.org/drawingml/2006/chart">
  <chart>
    <title>
      <tx>
        <rich>
          <a:bodyPr/>
          <a:p>
            <a:pPr>
              <a:defRPr/>
            </a:pPr>
            <a:r>
              <a:t>Revenue Month Over Month</a:t>
            </a:r>
          </a:p>
        </rich>
      </tx>
    </title>
    <plotArea>
      <barChart>
        <barDir val="col"/>
        <grouping val="clustered"/>
        <ser>
          <idx val="0"/>
          <order val="0"/>
          <spPr>
            <a:ln>
              <a:prstDash val="solid"/>
            </a:ln>
          </spPr>
          <cat>
            <numRef>
              <f>'LAUNCH'!$A$8:$A$17</f>
            </numRef>
          </cat>
          <val>
            <numRef>
              <f>'LAUNCH'!$L$8:$L$17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93.xml><?xml version="1.0" encoding="utf-8"?>
<chartSpace xmlns:a="http://schemas.openxmlformats.org/drawingml/2006/main" xmlns="http://schemas.openxmlformats.org/drawingml/2006/chart">
  <chart>
    <title>
      <tx>
        <rich>
          <a:bodyPr/>
          <a:p>
            <a:pPr>
              <a:defRPr/>
            </a:pPr>
            <a:r>
              <a:t>Qty Proportion</a:t>
            </a:r>
          </a:p>
        </rich>
      </tx>
    </title>
    <plotArea>
      <pieChart>
        <varyColors val="1"/>
        <ser>
          <idx val="0"/>
          <order val="0"/>
          <spPr>
            <a:ln>
              <a:prstDash val="solid"/>
            </a:ln>
          </spPr>
          <cat>
            <numRef>
              <f>'LAUNCH'!$A$11:$A$16</f>
            </numRef>
          </cat>
          <val>
            <numRef>
              <f>'LAUNCH'!$F$11:$F$16</f>
            </numRef>
          </val>
        </ser>
        <firstSliceAng val="0"/>
      </pieChart>
    </plotArea>
    <legend>
      <legendPos val="r"/>
    </legend>
    <plotVisOnly val="1"/>
    <dispBlanksAs val="gap"/>
  </chart>
</chartSpace>
</file>

<file path=xl/charts/chart94.xml><?xml version="1.0" encoding="utf-8"?>
<chartSpace xmlns:a="http://schemas.openxmlformats.org/drawingml/2006/main" xmlns="http://schemas.openxmlformats.org/drawingml/2006/chart">
  <chart>
    <title>
      <tx>
        <rich>
          <a:bodyPr/>
          <a:p>
            <a:pPr>
              <a:defRPr/>
            </a:pPr>
            <a:r>
              <a:t>Revenue Proportion</a:t>
            </a:r>
          </a:p>
        </rich>
      </tx>
    </title>
    <plotArea>
      <pieChart>
        <varyColors val="1"/>
        <ser>
          <idx val="0"/>
          <order val="0"/>
          <spPr>
            <a:ln>
              <a:prstDash val="solid"/>
            </a:ln>
          </spPr>
          <cat>
            <numRef>
              <f>'LAUNCH'!$A$11:$A$16</f>
            </numRef>
          </cat>
          <val>
            <numRef>
              <f>'LAUNCH'!$J$11:$J$16</f>
            </numRef>
          </val>
        </ser>
        <firstSliceAng val="0"/>
      </pieChart>
    </plotArea>
    <legend>
      <legendPos val="r"/>
    </legend>
    <plotVisOnly val="1"/>
    <dispBlanksAs val="gap"/>
  </chart>
</chartSpace>
</file>

<file path=xl/charts/chart95.xml><?xml version="1.0" encoding="utf-8"?>
<chartSpace xmlns:a="http://schemas.openxmlformats.org/drawingml/2006/main" xmlns="http://schemas.openxmlformats.org/drawingml/2006/chart">
  <chart>
    <title>
      <tx>
        <rich>
          <a:bodyPr/>
          <a:p>
            <a:pPr>
              <a:defRPr/>
            </a:pPr>
            <a:r>
              <a:t>Revenue Year Over Year</a:t>
            </a:r>
          </a:p>
        </rich>
      </tx>
    </title>
    <plotArea>
      <barChart>
        <barDir val="col"/>
        <grouping val="clustered"/>
        <ser>
          <idx val="0"/>
          <order val="0"/>
          <spPr>
            <a:ln>
              <a:prstDash val="solid"/>
            </a:ln>
          </spPr>
          <cat>
            <numRef>
              <f>'LAUNCH'!$A$8:$A$17</f>
            </numRef>
          </cat>
          <val>
            <numRef>
              <f>'LAUNCH'!$M$8:$M$17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96.xml><?xml version="1.0" encoding="utf-8"?>
<chartSpace xmlns:a="http://schemas.openxmlformats.org/drawingml/2006/main" xmlns="http://schemas.openxmlformats.org/drawingml/2006/chart">
  <chart>
    <title>
      <tx>
        <rich>
          <a:bodyPr/>
          <a:p>
            <a:pPr>
              <a:defRPr/>
            </a:pPr>
            <a:r>
              <a:t>Qty Year Over Year</a:t>
            </a:r>
          </a:p>
        </rich>
      </tx>
    </title>
    <plotArea>
      <barChart>
        <barDir val="col"/>
        <grouping val="clustered"/>
        <ser>
          <idx val="0"/>
          <order val="0"/>
          <spPr>
            <a:ln>
              <a:prstDash val="solid"/>
            </a:ln>
          </spPr>
          <cat>
            <numRef>
              <f>'LAUNCH'!$A$8:$A$17</f>
            </numRef>
          </cat>
          <val>
            <numRef>
              <f>'LAUNCH'!$H$8:$H$17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97.xml><?xml version="1.0" encoding="utf-8"?>
<chartSpace xmlns:a="http://schemas.openxmlformats.org/drawingml/2006/main" xmlns="http://schemas.openxmlformats.org/drawingml/2006/chart">
  <chart>
    <title>
      <tx>
        <rich>
          <a:bodyPr/>
          <a:p>
            <a:pPr>
              <a:defRPr/>
            </a:pPr>
            <a:r>
              <a:t>Qty Month Over Month</a:t>
            </a:r>
          </a:p>
        </rich>
      </tx>
    </title>
    <plotArea>
      <barChart>
        <barDir val="col"/>
        <grouping val="clustered"/>
        <ser>
          <idx val="0"/>
          <order val="0"/>
          <spPr>
            <a:ln>
              <a:prstDash val="solid"/>
            </a:ln>
          </spPr>
          <cat>
            <numRef>
              <f>'TOPDON'!$A$8:$A$17</f>
            </numRef>
          </cat>
          <val>
            <numRef>
              <f>'TOPDON'!$G$8:$G$17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98.xml><?xml version="1.0" encoding="utf-8"?>
<chartSpace xmlns:a="http://schemas.openxmlformats.org/drawingml/2006/main" xmlns="http://schemas.openxmlformats.org/drawingml/2006/chart">
  <chart>
    <title>
      <tx>
        <rich>
          <a:bodyPr/>
          <a:p>
            <a:pPr>
              <a:defRPr/>
            </a:pPr>
            <a:r>
              <a:t>Revenue Month Over Month</a:t>
            </a:r>
          </a:p>
        </rich>
      </tx>
    </title>
    <plotArea>
      <barChart>
        <barDir val="col"/>
        <grouping val="clustered"/>
        <ser>
          <idx val="0"/>
          <order val="0"/>
          <spPr>
            <a:ln>
              <a:prstDash val="solid"/>
            </a:ln>
          </spPr>
          <cat>
            <numRef>
              <f>'TOPDON'!$A$8:$A$17</f>
            </numRef>
          </cat>
          <val>
            <numRef>
              <f>'TOPDON'!$L$8:$L$17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99.xml><?xml version="1.0" encoding="utf-8"?>
<chartSpace xmlns:a="http://schemas.openxmlformats.org/drawingml/2006/main" xmlns="http://schemas.openxmlformats.org/drawingml/2006/chart">
  <chart>
    <title>
      <tx>
        <rich>
          <a:bodyPr/>
          <a:p>
            <a:pPr>
              <a:defRPr/>
            </a:pPr>
            <a:r>
              <a:t>Qty Proportion</a:t>
            </a:r>
          </a:p>
        </rich>
      </tx>
    </title>
    <plotArea>
      <pieChart>
        <varyColors val="1"/>
        <ser>
          <idx val="0"/>
          <order val="0"/>
          <spPr>
            <a:ln>
              <a:prstDash val="solid"/>
            </a:ln>
          </spPr>
          <cat>
            <numRef>
              <f>'TOPDON'!$A$11:$A$16</f>
            </numRef>
          </cat>
          <val>
            <numRef>
              <f>'TOPDON'!$F$11:$F$16</f>
            </numRef>
          </val>
        </ser>
        <firstSliceAng val="0"/>
      </pieChart>
    </plotArea>
    <legend>
      <legendPos val="r"/>
    </legend>
    <plotVisOnly val="1"/>
    <dispBlanksAs val="gap"/>
  </chart>
</chartSpace>
</file>

<file path=xl/charts/chart100.xml><?xml version="1.0" encoding="utf-8"?>
<chartSpace xmlns:a="http://schemas.openxmlformats.org/drawingml/2006/main" xmlns="http://schemas.openxmlformats.org/drawingml/2006/chart">
  <chart>
    <title>
      <tx>
        <rich>
          <a:bodyPr/>
          <a:p>
            <a:pPr>
              <a:defRPr/>
            </a:pPr>
            <a:r>
              <a:t>Revenue Proportion</a:t>
            </a:r>
          </a:p>
        </rich>
      </tx>
    </title>
    <plotArea>
      <pieChart>
        <varyColors val="1"/>
        <ser>
          <idx val="0"/>
          <order val="0"/>
          <spPr>
            <a:ln>
              <a:prstDash val="solid"/>
            </a:ln>
          </spPr>
          <cat>
            <numRef>
              <f>'TOPDON'!$A$11:$A$16</f>
            </numRef>
          </cat>
          <val>
            <numRef>
              <f>'TOPDON'!$J$11:$J$16</f>
            </numRef>
          </val>
        </ser>
        <firstSliceAng val="0"/>
      </pieChart>
    </plotArea>
    <legend>
      <legendPos val="r"/>
    </legend>
    <plotVisOnly val="1"/>
    <dispBlanksAs val="gap"/>
  </chart>
</chartSpace>
</file>

<file path=xl/charts/chart101.xml><?xml version="1.0" encoding="utf-8"?>
<chartSpace xmlns:a="http://schemas.openxmlformats.org/drawingml/2006/main" xmlns="http://schemas.openxmlformats.org/drawingml/2006/chart">
  <chart>
    <title>
      <tx>
        <rich>
          <a:bodyPr/>
          <a:p>
            <a:pPr>
              <a:defRPr/>
            </a:pPr>
            <a:r>
              <a:t>Revenue Year Over Year</a:t>
            </a:r>
          </a:p>
        </rich>
      </tx>
    </title>
    <plotArea>
      <barChart>
        <barDir val="col"/>
        <grouping val="clustered"/>
        <ser>
          <idx val="0"/>
          <order val="0"/>
          <spPr>
            <a:ln>
              <a:prstDash val="solid"/>
            </a:ln>
          </spPr>
          <cat>
            <numRef>
              <f>'TOPDON'!$A$8:$A$17</f>
            </numRef>
          </cat>
          <val>
            <numRef>
              <f>'TOPDON'!$M$8:$M$17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02.xml><?xml version="1.0" encoding="utf-8"?>
<chartSpace xmlns:a="http://schemas.openxmlformats.org/drawingml/2006/main" xmlns="http://schemas.openxmlformats.org/drawingml/2006/chart">
  <chart>
    <title>
      <tx>
        <rich>
          <a:bodyPr/>
          <a:p>
            <a:pPr>
              <a:defRPr/>
            </a:pPr>
            <a:r>
              <a:t>Qty Year Over Year</a:t>
            </a:r>
          </a:p>
        </rich>
      </tx>
    </title>
    <plotArea>
      <barChart>
        <barDir val="col"/>
        <grouping val="clustered"/>
        <ser>
          <idx val="0"/>
          <order val="0"/>
          <spPr>
            <a:ln>
              <a:prstDash val="solid"/>
            </a:ln>
          </spPr>
          <cat>
            <numRef>
              <f>'TOPDON'!$A$8:$A$17</f>
            </numRef>
          </cat>
          <val>
            <numRef>
              <f>'TOPDON'!$H$8:$H$17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03.xml><?xml version="1.0" encoding="utf-8"?>
<chartSpace xmlns:a="http://schemas.openxmlformats.org/drawingml/2006/main" xmlns="http://schemas.openxmlformats.org/drawingml/2006/chart">
  <chart>
    <title>
      <tx>
        <rich>
          <a:bodyPr/>
          <a:p>
            <a:pPr>
              <a:defRPr/>
            </a:pPr>
            <a:r>
              <a:t>Qty Month Over Month</a:t>
            </a:r>
          </a:p>
        </rich>
      </tx>
    </title>
    <plotArea>
      <barChart>
        <barDir val="col"/>
        <grouping val="clustered"/>
        <ser>
          <idx val="0"/>
          <order val="0"/>
          <spPr>
            <a:ln>
              <a:prstDash val="solid"/>
            </a:ln>
          </spPr>
          <cat>
            <numRef>
              <f>'Thinkcar'!$A$8:$A$16</f>
            </numRef>
          </cat>
          <val>
            <numRef>
              <f>'Thinkcar'!$G$8:$G$16</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04.xml><?xml version="1.0" encoding="utf-8"?>
<chartSpace xmlns:a="http://schemas.openxmlformats.org/drawingml/2006/main" xmlns="http://schemas.openxmlformats.org/drawingml/2006/chart">
  <chart>
    <title>
      <tx>
        <rich>
          <a:bodyPr/>
          <a:p>
            <a:pPr>
              <a:defRPr/>
            </a:pPr>
            <a:r>
              <a:t>Revenue Month Over Month</a:t>
            </a:r>
          </a:p>
        </rich>
      </tx>
    </title>
    <plotArea>
      <barChart>
        <barDir val="col"/>
        <grouping val="clustered"/>
        <ser>
          <idx val="0"/>
          <order val="0"/>
          <spPr>
            <a:ln>
              <a:prstDash val="solid"/>
            </a:ln>
          </spPr>
          <cat>
            <numRef>
              <f>'Thinkcar'!$A$8:$A$16</f>
            </numRef>
          </cat>
          <val>
            <numRef>
              <f>'Thinkcar'!$L$8:$L$16</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05.xml><?xml version="1.0" encoding="utf-8"?>
<chartSpace xmlns:a="http://schemas.openxmlformats.org/drawingml/2006/main" xmlns="http://schemas.openxmlformats.org/drawingml/2006/chart">
  <chart>
    <title>
      <tx>
        <rich>
          <a:bodyPr/>
          <a:p>
            <a:pPr>
              <a:defRPr/>
            </a:pPr>
            <a:r>
              <a:t>Qty Proportion</a:t>
            </a:r>
          </a:p>
        </rich>
      </tx>
    </title>
    <plotArea>
      <pieChart>
        <varyColors val="1"/>
        <ser>
          <idx val="0"/>
          <order val="0"/>
          <spPr>
            <a:ln>
              <a:prstDash val="solid"/>
            </a:ln>
          </spPr>
          <cat>
            <numRef>
              <f>'Thinkcar'!$A$10:$A$15</f>
            </numRef>
          </cat>
          <val>
            <numRef>
              <f>'Thinkcar'!$F$10:$F$15</f>
            </numRef>
          </val>
        </ser>
        <firstSliceAng val="0"/>
      </pieChart>
    </plotArea>
    <legend>
      <legendPos val="r"/>
    </legend>
    <plotVisOnly val="1"/>
    <dispBlanksAs val="gap"/>
  </chart>
</chartSpace>
</file>

<file path=xl/charts/chart106.xml><?xml version="1.0" encoding="utf-8"?>
<chartSpace xmlns:a="http://schemas.openxmlformats.org/drawingml/2006/main" xmlns="http://schemas.openxmlformats.org/drawingml/2006/chart">
  <chart>
    <title>
      <tx>
        <rich>
          <a:bodyPr/>
          <a:p>
            <a:pPr>
              <a:defRPr/>
            </a:pPr>
            <a:r>
              <a:t>Revenue Proportion</a:t>
            </a:r>
          </a:p>
        </rich>
      </tx>
    </title>
    <plotArea>
      <pieChart>
        <varyColors val="1"/>
        <ser>
          <idx val="0"/>
          <order val="0"/>
          <spPr>
            <a:ln>
              <a:prstDash val="solid"/>
            </a:ln>
          </spPr>
          <cat>
            <numRef>
              <f>'Thinkcar'!$A$10:$A$15</f>
            </numRef>
          </cat>
          <val>
            <numRef>
              <f>'Thinkcar'!$J$10:$J$15</f>
            </numRef>
          </val>
        </ser>
        <firstSliceAng val="0"/>
      </pieChart>
    </plotArea>
    <legend>
      <legendPos val="r"/>
    </legend>
    <plotVisOnly val="1"/>
    <dispBlanksAs val="gap"/>
  </chart>
</chartSpace>
</file>

<file path=xl/charts/chart107.xml><?xml version="1.0" encoding="utf-8"?>
<chartSpace xmlns:a="http://schemas.openxmlformats.org/drawingml/2006/main" xmlns="http://schemas.openxmlformats.org/drawingml/2006/chart">
  <chart>
    <title>
      <tx>
        <rich>
          <a:bodyPr/>
          <a:p>
            <a:pPr>
              <a:defRPr/>
            </a:pPr>
            <a:r>
              <a:t>Revenue Year Over Year</a:t>
            </a:r>
          </a:p>
        </rich>
      </tx>
    </title>
    <plotArea>
      <barChart>
        <barDir val="col"/>
        <grouping val="clustered"/>
        <ser>
          <idx val="0"/>
          <order val="0"/>
          <spPr>
            <a:ln>
              <a:prstDash val="solid"/>
            </a:ln>
          </spPr>
          <cat>
            <numRef>
              <f>'Thinkcar'!$A$8:$A$16</f>
            </numRef>
          </cat>
          <val>
            <numRef>
              <f>'Thinkcar'!$M$8:$M$16</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08.xml><?xml version="1.0" encoding="utf-8"?>
<chartSpace xmlns:a="http://schemas.openxmlformats.org/drawingml/2006/main" xmlns="http://schemas.openxmlformats.org/drawingml/2006/chart">
  <chart>
    <title>
      <tx>
        <rich>
          <a:bodyPr/>
          <a:p>
            <a:pPr>
              <a:defRPr/>
            </a:pPr>
            <a:r>
              <a:t>Qty Year Over Year</a:t>
            </a:r>
          </a:p>
        </rich>
      </tx>
    </title>
    <plotArea>
      <barChart>
        <barDir val="col"/>
        <grouping val="clustered"/>
        <ser>
          <idx val="0"/>
          <order val="0"/>
          <spPr>
            <a:ln>
              <a:prstDash val="solid"/>
            </a:ln>
          </spPr>
          <cat>
            <numRef>
              <f>'Thinkcar'!$A$8:$A$16</f>
            </numRef>
          </cat>
          <val>
            <numRef>
              <f>'Thinkcar'!$H$8:$H$16</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09.xml><?xml version="1.0" encoding="utf-8"?>
<chartSpace xmlns:a="http://schemas.openxmlformats.org/drawingml/2006/main" xmlns="http://schemas.openxmlformats.org/drawingml/2006/chart">
  <chart>
    <title>
      <tx>
        <rich>
          <a:bodyPr/>
          <a:p>
            <a:pPr>
              <a:defRPr/>
            </a:pPr>
            <a:r>
              <a:t>Qty Month Over Month</a:t>
            </a:r>
          </a:p>
        </rich>
      </tx>
    </title>
    <plotArea>
      <barChart>
        <barDir val="col"/>
        <grouping val="clustered"/>
        <ser>
          <idx val="0"/>
          <order val="0"/>
          <spPr>
            <a:ln>
              <a:prstDash val="solid"/>
            </a:ln>
          </spPr>
          <cat>
            <numRef>
              <f>'XTOOL'!$A$8:$A$14</f>
            </numRef>
          </cat>
          <val>
            <numRef>
              <f>'XTOOL'!$G$8:$G$14</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10.xml><?xml version="1.0" encoding="utf-8"?>
<chartSpace xmlns:a="http://schemas.openxmlformats.org/drawingml/2006/main" xmlns="http://schemas.openxmlformats.org/drawingml/2006/chart">
  <chart>
    <title>
      <tx>
        <rich>
          <a:bodyPr/>
          <a:p>
            <a:pPr>
              <a:defRPr/>
            </a:pPr>
            <a:r>
              <a:t>Revenue Month Over Month</a:t>
            </a:r>
          </a:p>
        </rich>
      </tx>
    </title>
    <plotArea>
      <barChart>
        <barDir val="col"/>
        <grouping val="clustered"/>
        <ser>
          <idx val="0"/>
          <order val="0"/>
          <spPr>
            <a:ln>
              <a:prstDash val="solid"/>
            </a:ln>
          </spPr>
          <cat>
            <numRef>
              <f>'XTOOL'!$A$8:$A$14</f>
            </numRef>
          </cat>
          <val>
            <numRef>
              <f>'XTOOL'!$L$8:$L$14</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11.xml><?xml version="1.0" encoding="utf-8"?>
<chartSpace xmlns:a="http://schemas.openxmlformats.org/drawingml/2006/main" xmlns="http://schemas.openxmlformats.org/drawingml/2006/chart">
  <chart>
    <title>
      <tx>
        <rich>
          <a:bodyPr/>
          <a:p>
            <a:pPr>
              <a:defRPr/>
            </a:pPr>
            <a:r>
              <a:t>Qty Proportion</a:t>
            </a:r>
          </a:p>
        </rich>
      </tx>
    </title>
    <plotArea>
      <pieChart>
        <varyColors val="1"/>
        <ser>
          <idx val="0"/>
          <order val="0"/>
          <spPr>
            <a:ln>
              <a:prstDash val="solid"/>
            </a:ln>
          </spPr>
          <cat>
            <numRef>
              <f>'XTOOL'!$A$11:$A$13</f>
            </numRef>
          </cat>
          <val>
            <numRef>
              <f>'XTOOL'!$F$11:$F$13</f>
            </numRef>
          </val>
        </ser>
        <firstSliceAng val="0"/>
      </pieChart>
    </plotArea>
    <legend>
      <legendPos val="r"/>
    </legend>
    <plotVisOnly val="1"/>
    <dispBlanksAs val="gap"/>
  </chart>
</chartSpace>
</file>

<file path=xl/charts/chart112.xml><?xml version="1.0" encoding="utf-8"?>
<chartSpace xmlns:a="http://schemas.openxmlformats.org/drawingml/2006/main" xmlns="http://schemas.openxmlformats.org/drawingml/2006/chart">
  <chart>
    <title>
      <tx>
        <rich>
          <a:bodyPr/>
          <a:p>
            <a:pPr>
              <a:defRPr/>
            </a:pPr>
            <a:r>
              <a:t>Revenue Proportion</a:t>
            </a:r>
          </a:p>
        </rich>
      </tx>
    </title>
    <plotArea>
      <pieChart>
        <varyColors val="1"/>
        <ser>
          <idx val="0"/>
          <order val="0"/>
          <spPr>
            <a:ln>
              <a:prstDash val="solid"/>
            </a:ln>
          </spPr>
          <cat>
            <numRef>
              <f>'XTOOL'!$A$11:$A$13</f>
            </numRef>
          </cat>
          <val>
            <numRef>
              <f>'XTOOL'!$J$11:$J$13</f>
            </numRef>
          </val>
        </ser>
        <firstSliceAng val="0"/>
      </pieChart>
    </plotArea>
    <legend>
      <legendPos val="r"/>
    </legend>
    <plotVisOnly val="1"/>
    <dispBlanksAs val="gap"/>
  </chart>
</chartSpace>
</file>

<file path=xl/charts/chart113.xml><?xml version="1.0" encoding="utf-8"?>
<chartSpace xmlns:a="http://schemas.openxmlformats.org/drawingml/2006/main" xmlns="http://schemas.openxmlformats.org/drawingml/2006/chart">
  <chart>
    <title>
      <tx>
        <rich>
          <a:bodyPr/>
          <a:p>
            <a:pPr>
              <a:defRPr/>
            </a:pPr>
            <a:r>
              <a:t>Revenue Year Over Year</a:t>
            </a:r>
          </a:p>
        </rich>
      </tx>
    </title>
    <plotArea>
      <barChart>
        <barDir val="col"/>
        <grouping val="clustered"/>
        <ser>
          <idx val="0"/>
          <order val="0"/>
          <spPr>
            <a:ln>
              <a:prstDash val="solid"/>
            </a:ln>
          </spPr>
          <cat>
            <numRef>
              <f>'XTOOL'!$A$8:$A$14</f>
            </numRef>
          </cat>
          <val>
            <numRef>
              <f>'XTOOL'!$M$8:$M$14</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14.xml><?xml version="1.0" encoding="utf-8"?>
<chartSpace xmlns:a="http://schemas.openxmlformats.org/drawingml/2006/main" xmlns="http://schemas.openxmlformats.org/drawingml/2006/chart">
  <chart>
    <title>
      <tx>
        <rich>
          <a:bodyPr/>
          <a:p>
            <a:pPr>
              <a:defRPr/>
            </a:pPr>
            <a:r>
              <a:t>Qty Year Over Year</a:t>
            </a:r>
          </a:p>
        </rich>
      </tx>
    </title>
    <plotArea>
      <barChart>
        <barDir val="col"/>
        <grouping val="clustered"/>
        <ser>
          <idx val="0"/>
          <order val="0"/>
          <spPr>
            <a:ln>
              <a:prstDash val="solid"/>
            </a:ln>
          </spPr>
          <cat>
            <numRef>
              <f>'XTOOL'!$A$8:$A$14</f>
            </numRef>
          </cat>
          <val>
            <numRef>
              <f>'XTOOL'!$H$8:$H$14</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15.xml><?xml version="1.0" encoding="utf-8"?>
<chartSpace xmlns:a="http://schemas.openxmlformats.org/drawingml/2006/main" xmlns="http://schemas.openxmlformats.org/drawingml/2006/chart">
  <chart>
    <title>
      <tx>
        <rich>
          <a:bodyPr/>
          <a:p>
            <a:pPr>
              <a:defRPr/>
            </a:pPr>
            <a:r>
              <a:t>Qty Month Over Month</a:t>
            </a:r>
          </a:p>
        </rich>
      </tx>
    </title>
    <plotArea>
      <barChart>
        <barDir val="col"/>
        <grouping val="clustered"/>
        <ser>
          <idx val="0"/>
          <order val="0"/>
          <spPr>
            <a:ln>
              <a:prstDash val="solid"/>
            </a:ln>
          </spPr>
          <cat>
            <numRef>
              <f>'Innova'!$A$8:$A$17</f>
            </numRef>
          </cat>
          <val>
            <numRef>
              <f>'Innova'!$G$8:$G$17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16.xml><?xml version="1.0" encoding="utf-8"?>
<chartSpace xmlns:a="http://schemas.openxmlformats.org/drawingml/2006/main" xmlns="http://schemas.openxmlformats.org/drawingml/2006/chart">
  <chart>
    <title>
      <tx>
        <rich>
          <a:bodyPr/>
          <a:p>
            <a:pPr>
              <a:defRPr/>
            </a:pPr>
            <a:r>
              <a:t>Revenue Month Over Month</a:t>
            </a:r>
          </a:p>
        </rich>
      </tx>
    </title>
    <plotArea>
      <barChart>
        <barDir val="col"/>
        <grouping val="clustered"/>
        <ser>
          <idx val="0"/>
          <order val="0"/>
          <spPr>
            <a:ln>
              <a:prstDash val="solid"/>
            </a:ln>
          </spPr>
          <cat>
            <numRef>
              <f>'Innova'!$A$8:$A$17</f>
            </numRef>
          </cat>
          <val>
            <numRef>
              <f>'Innova'!$L$8:$L$17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17.xml><?xml version="1.0" encoding="utf-8"?>
<chartSpace xmlns:a="http://schemas.openxmlformats.org/drawingml/2006/main" xmlns="http://schemas.openxmlformats.org/drawingml/2006/chart">
  <chart>
    <title>
      <tx>
        <rich>
          <a:bodyPr/>
          <a:p>
            <a:pPr>
              <a:defRPr/>
            </a:pPr>
            <a:r>
              <a:t>Qty Proportion</a:t>
            </a:r>
          </a:p>
        </rich>
      </tx>
    </title>
    <plotArea>
      <pieChart>
        <varyColors val="1"/>
        <ser>
          <idx val="0"/>
          <order val="0"/>
          <spPr>
            <a:ln>
              <a:prstDash val="solid"/>
            </a:ln>
          </spPr>
          <cat>
            <numRef>
              <f>'Innova'!$A$11:$A$16</f>
            </numRef>
          </cat>
          <val>
            <numRef>
              <f>'Innova'!$F$11:$F$16</f>
            </numRef>
          </val>
        </ser>
        <firstSliceAng val="0"/>
      </pieChart>
    </plotArea>
    <legend>
      <legendPos val="r"/>
    </legend>
    <plotVisOnly val="1"/>
    <dispBlanksAs val="gap"/>
  </chart>
</chartSpace>
</file>

<file path=xl/charts/chart118.xml><?xml version="1.0" encoding="utf-8"?>
<chartSpace xmlns:a="http://schemas.openxmlformats.org/drawingml/2006/main" xmlns="http://schemas.openxmlformats.org/drawingml/2006/chart">
  <chart>
    <title>
      <tx>
        <rich>
          <a:bodyPr/>
          <a:p>
            <a:pPr>
              <a:defRPr/>
            </a:pPr>
            <a:r>
              <a:t>Revenue Proportion</a:t>
            </a:r>
          </a:p>
        </rich>
      </tx>
    </title>
    <plotArea>
      <pieChart>
        <varyColors val="1"/>
        <ser>
          <idx val="0"/>
          <order val="0"/>
          <spPr>
            <a:ln>
              <a:prstDash val="solid"/>
            </a:ln>
          </spPr>
          <cat>
            <numRef>
              <f>'Innova'!$A$11:$A$16</f>
            </numRef>
          </cat>
          <val>
            <numRef>
              <f>'Innova'!$J$11:$J$16</f>
            </numRef>
          </val>
        </ser>
        <firstSliceAng val="0"/>
      </pieChart>
    </plotArea>
    <legend>
      <legendPos val="r"/>
    </legend>
    <plotVisOnly val="1"/>
    <dispBlanksAs val="gap"/>
  </chart>
</chartSpace>
</file>

<file path=xl/charts/chart119.xml><?xml version="1.0" encoding="utf-8"?>
<chartSpace xmlns:a="http://schemas.openxmlformats.org/drawingml/2006/main" xmlns="http://schemas.openxmlformats.org/drawingml/2006/chart">
  <chart>
    <title>
      <tx>
        <rich>
          <a:bodyPr/>
          <a:p>
            <a:pPr>
              <a:defRPr/>
            </a:pPr>
            <a:r>
              <a:t>Revenue Year Over Year</a:t>
            </a:r>
          </a:p>
        </rich>
      </tx>
    </title>
    <plotArea>
      <barChart>
        <barDir val="col"/>
        <grouping val="clustered"/>
        <ser>
          <idx val="0"/>
          <order val="0"/>
          <spPr>
            <a:ln>
              <a:prstDash val="solid"/>
            </a:ln>
          </spPr>
          <cat>
            <numRef>
              <f>'Innova'!$A$8:$A$17</f>
            </numRef>
          </cat>
          <val>
            <numRef>
              <f>'Innova'!$M$8:$M$17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20.xml><?xml version="1.0" encoding="utf-8"?>
<chartSpace xmlns:a="http://schemas.openxmlformats.org/drawingml/2006/main" xmlns="http://schemas.openxmlformats.org/drawingml/2006/chart">
  <chart>
    <title>
      <tx>
        <rich>
          <a:bodyPr/>
          <a:p>
            <a:pPr>
              <a:defRPr/>
            </a:pPr>
            <a:r>
              <a:t>Qty Year Over Year</a:t>
            </a:r>
          </a:p>
        </rich>
      </tx>
    </title>
    <plotArea>
      <barChart>
        <barDir val="col"/>
        <grouping val="clustered"/>
        <ser>
          <idx val="0"/>
          <order val="0"/>
          <spPr>
            <a:ln>
              <a:prstDash val="solid"/>
            </a:ln>
          </spPr>
          <cat>
            <numRef>
              <f>'Innova'!$A$8:$A$17</f>
            </numRef>
          </cat>
          <val>
            <numRef>
              <f>'Innova'!$H$8:$H$17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21.xml><?xml version="1.0" encoding="utf-8"?>
<chartSpace xmlns:a="http://schemas.openxmlformats.org/drawingml/2006/main" xmlns="http://schemas.openxmlformats.org/drawingml/2006/chart">
  <chart>
    <title>
      <tx>
        <rich>
          <a:bodyPr/>
          <a:p>
            <a:pPr>
              <a:defRPr/>
            </a:pPr>
            <a:r>
              <a:t>Qty Month Over Month</a:t>
            </a:r>
          </a:p>
        </rich>
      </tx>
    </title>
    <plotArea>
      <barChart>
        <barDir val="col"/>
        <grouping val="clustered"/>
        <ser>
          <idx val="0"/>
          <order val="0"/>
          <spPr>
            <a:ln>
              <a:prstDash val="solid"/>
            </a:ln>
          </spPr>
          <cat>
            <numRef>
              <f>'Innova 1p'!$A$8:$A$17</f>
            </numRef>
          </cat>
          <val>
            <numRef>
              <f>'Innova 1p'!$G$8:$G$17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22.xml><?xml version="1.0" encoding="utf-8"?>
<chartSpace xmlns:a="http://schemas.openxmlformats.org/drawingml/2006/main" xmlns="http://schemas.openxmlformats.org/drawingml/2006/chart">
  <chart>
    <title>
      <tx>
        <rich>
          <a:bodyPr/>
          <a:p>
            <a:pPr>
              <a:defRPr/>
            </a:pPr>
            <a:r>
              <a:t>Revenue Month Over Month</a:t>
            </a:r>
          </a:p>
        </rich>
      </tx>
    </title>
    <plotArea>
      <barChart>
        <barDir val="col"/>
        <grouping val="clustered"/>
        <ser>
          <idx val="0"/>
          <order val="0"/>
          <spPr>
            <a:ln>
              <a:prstDash val="solid"/>
            </a:ln>
          </spPr>
          <cat>
            <numRef>
              <f>'Innova 1p'!$A$8:$A$17</f>
            </numRef>
          </cat>
          <val>
            <numRef>
              <f>'Innova 1p'!$L$8:$L$17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23.xml><?xml version="1.0" encoding="utf-8"?>
<chartSpace xmlns:a="http://schemas.openxmlformats.org/drawingml/2006/main" xmlns="http://schemas.openxmlformats.org/drawingml/2006/chart">
  <chart>
    <title>
      <tx>
        <rich>
          <a:bodyPr/>
          <a:p>
            <a:pPr>
              <a:defRPr/>
            </a:pPr>
            <a:r>
              <a:t>Qty Proportion</a:t>
            </a:r>
          </a:p>
        </rich>
      </tx>
    </title>
    <plotArea>
      <pieChart>
        <varyColors val="1"/>
        <ser>
          <idx val="0"/>
          <order val="0"/>
          <spPr>
            <a:ln>
              <a:prstDash val="solid"/>
            </a:ln>
          </spPr>
          <cat>
            <numRef>
              <f>'Innova 1p'!$A$11:$A$16</f>
            </numRef>
          </cat>
          <val>
            <numRef>
              <f>'Innova 1p'!$F$11:$F$16</f>
            </numRef>
          </val>
        </ser>
        <firstSliceAng val="0"/>
      </pieChart>
    </plotArea>
    <legend>
      <legendPos val="r"/>
    </legend>
    <plotVisOnly val="1"/>
    <dispBlanksAs val="gap"/>
  </chart>
</chartSpace>
</file>

<file path=xl/charts/chart124.xml><?xml version="1.0" encoding="utf-8"?>
<chartSpace xmlns:a="http://schemas.openxmlformats.org/drawingml/2006/main" xmlns="http://schemas.openxmlformats.org/drawingml/2006/chart">
  <chart>
    <title>
      <tx>
        <rich>
          <a:bodyPr/>
          <a:p>
            <a:pPr>
              <a:defRPr/>
            </a:pPr>
            <a:r>
              <a:t>Revenue Proportion</a:t>
            </a:r>
          </a:p>
        </rich>
      </tx>
    </title>
    <plotArea>
      <pieChart>
        <varyColors val="1"/>
        <ser>
          <idx val="0"/>
          <order val="0"/>
          <spPr>
            <a:ln>
              <a:prstDash val="solid"/>
            </a:ln>
          </spPr>
          <cat>
            <numRef>
              <f>'Innova 1p'!$A$11:$A$16</f>
            </numRef>
          </cat>
          <val>
            <numRef>
              <f>'Innova 1p'!$J$11:$J$16</f>
            </numRef>
          </val>
        </ser>
        <firstSliceAng val="0"/>
      </pieChart>
    </plotArea>
    <legend>
      <legendPos val="r"/>
    </legend>
    <plotVisOnly val="1"/>
    <dispBlanksAs val="gap"/>
  </chart>
</chartSpace>
</file>

<file path=xl/charts/chart125.xml><?xml version="1.0" encoding="utf-8"?>
<chartSpace xmlns:a="http://schemas.openxmlformats.org/drawingml/2006/main" xmlns="http://schemas.openxmlformats.org/drawingml/2006/chart">
  <chart>
    <title>
      <tx>
        <rich>
          <a:bodyPr/>
          <a:p>
            <a:pPr>
              <a:defRPr/>
            </a:pPr>
            <a:r>
              <a:t>Revenue Year Over Year</a:t>
            </a:r>
          </a:p>
        </rich>
      </tx>
    </title>
    <plotArea>
      <barChart>
        <barDir val="col"/>
        <grouping val="clustered"/>
        <ser>
          <idx val="0"/>
          <order val="0"/>
          <spPr>
            <a:ln>
              <a:prstDash val="solid"/>
            </a:ln>
          </spPr>
          <cat>
            <numRef>
              <f>'Innova 1p'!$A$8:$A$17</f>
            </numRef>
          </cat>
          <val>
            <numRef>
              <f>'Innova 1p'!$M$8:$M$17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26.xml><?xml version="1.0" encoding="utf-8"?>
<chartSpace xmlns:a="http://schemas.openxmlformats.org/drawingml/2006/main" xmlns="http://schemas.openxmlformats.org/drawingml/2006/chart">
  <chart>
    <title>
      <tx>
        <rich>
          <a:bodyPr/>
          <a:p>
            <a:pPr>
              <a:defRPr/>
            </a:pPr>
            <a:r>
              <a:t>Qty Year Over Year</a:t>
            </a:r>
          </a:p>
        </rich>
      </tx>
    </title>
    <plotArea>
      <barChart>
        <barDir val="col"/>
        <grouping val="clustered"/>
        <ser>
          <idx val="0"/>
          <order val="0"/>
          <spPr>
            <a:ln>
              <a:prstDash val="solid"/>
            </a:ln>
          </spPr>
          <cat>
            <numRef>
              <f>'Innova 1p'!$A$8:$A$17</f>
            </numRef>
          </cat>
          <val>
            <numRef>
              <f>'Innova 1p'!$H$8:$H$17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27.xml><?xml version="1.0" encoding="utf-8"?>
<chartSpace xmlns:a="http://schemas.openxmlformats.org/drawingml/2006/main" xmlns="http://schemas.openxmlformats.org/drawingml/2006/chart">
  <chart>
    <title>
      <tx>
        <rich>
          <a:bodyPr/>
          <a:p>
            <a:pPr>
              <a:defRPr/>
            </a:pPr>
            <a:r>
              <a:t>Qty Month Over Month</a:t>
            </a:r>
          </a:p>
        </rich>
      </tx>
    </title>
    <plotArea>
      <barChart>
        <barDir val="col"/>
        <grouping val="clustered"/>
        <ser>
          <idx val="0"/>
          <order val="0"/>
          <spPr>
            <a:ln>
              <a:prstDash val="solid"/>
            </a:ln>
          </spPr>
          <cat>
            <numRef>
              <f>'Innova 3p'!$A$8:$A$17</f>
            </numRef>
          </cat>
          <val>
            <numRef>
              <f>'Innova 3p'!$G$8:$G$17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28.xml><?xml version="1.0" encoding="utf-8"?>
<chartSpace xmlns:a="http://schemas.openxmlformats.org/drawingml/2006/main" xmlns="http://schemas.openxmlformats.org/drawingml/2006/chart">
  <chart>
    <title>
      <tx>
        <rich>
          <a:bodyPr/>
          <a:p>
            <a:pPr>
              <a:defRPr/>
            </a:pPr>
            <a:r>
              <a:t>Revenue Month Over Month</a:t>
            </a:r>
          </a:p>
        </rich>
      </tx>
    </title>
    <plotArea>
      <barChart>
        <barDir val="col"/>
        <grouping val="clustered"/>
        <ser>
          <idx val="0"/>
          <order val="0"/>
          <spPr>
            <a:ln>
              <a:prstDash val="solid"/>
            </a:ln>
          </spPr>
          <cat>
            <numRef>
              <f>'Innova 3p'!$A$8:$A$17</f>
            </numRef>
          </cat>
          <val>
            <numRef>
              <f>'Innova 3p'!$L$8:$L$17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29.xml><?xml version="1.0" encoding="utf-8"?>
<chartSpace xmlns:a="http://schemas.openxmlformats.org/drawingml/2006/main" xmlns="http://schemas.openxmlformats.org/drawingml/2006/chart">
  <chart>
    <title>
      <tx>
        <rich>
          <a:bodyPr/>
          <a:p>
            <a:pPr>
              <a:defRPr/>
            </a:pPr>
            <a:r>
              <a:t>Qty Proportion</a:t>
            </a:r>
          </a:p>
        </rich>
      </tx>
    </title>
    <plotArea>
      <pieChart>
        <varyColors val="1"/>
        <ser>
          <idx val="0"/>
          <order val="0"/>
          <spPr>
            <a:ln>
              <a:prstDash val="solid"/>
            </a:ln>
          </spPr>
          <cat>
            <numRef>
              <f>'Innova 3p'!$A$11:$A$16</f>
            </numRef>
          </cat>
          <val>
            <numRef>
              <f>'Innova 3p'!$F$11:$F$16</f>
            </numRef>
          </val>
        </ser>
        <firstSliceAng val="0"/>
      </pieChart>
    </plotArea>
    <legend>
      <legendPos val="r"/>
    </legend>
    <plotVisOnly val="1"/>
    <dispBlanksAs val="gap"/>
  </chart>
</chartSpace>
</file>

<file path=xl/charts/chart130.xml><?xml version="1.0" encoding="utf-8"?>
<chartSpace xmlns:a="http://schemas.openxmlformats.org/drawingml/2006/main" xmlns="http://schemas.openxmlformats.org/drawingml/2006/chart">
  <chart>
    <title>
      <tx>
        <rich>
          <a:bodyPr/>
          <a:p>
            <a:pPr>
              <a:defRPr/>
            </a:pPr>
            <a:r>
              <a:t>Revenue Proportion</a:t>
            </a:r>
          </a:p>
        </rich>
      </tx>
    </title>
    <plotArea>
      <pieChart>
        <varyColors val="1"/>
        <ser>
          <idx val="0"/>
          <order val="0"/>
          <spPr>
            <a:ln>
              <a:prstDash val="solid"/>
            </a:ln>
          </spPr>
          <cat>
            <numRef>
              <f>'Innova 3p'!$A$11:$A$16</f>
            </numRef>
          </cat>
          <val>
            <numRef>
              <f>'Innova 3p'!$J$11:$J$16</f>
            </numRef>
          </val>
        </ser>
        <firstSliceAng val="0"/>
      </pieChart>
    </plotArea>
    <legend>
      <legendPos val="r"/>
    </legend>
    <plotVisOnly val="1"/>
    <dispBlanksAs val="gap"/>
  </chart>
</chartSpace>
</file>

<file path=xl/charts/chart131.xml><?xml version="1.0" encoding="utf-8"?>
<chartSpace xmlns:a="http://schemas.openxmlformats.org/drawingml/2006/main" xmlns="http://schemas.openxmlformats.org/drawingml/2006/chart">
  <chart>
    <title>
      <tx>
        <rich>
          <a:bodyPr/>
          <a:p>
            <a:pPr>
              <a:defRPr/>
            </a:pPr>
            <a:r>
              <a:t>Revenue Year Over Year</a:t>
            </a:r>
          </a:p>
        </rich>
      </tx>
    </title>
    <plotArea>
      <barChart>
        <barDir val="col"/>
        <grouping val="clustered"/>
        <ser>
          <idx val="0"/>
          <order val="0"/>
          <spPr>
            <a:ln>
              <a:prstDash val="solid"/>
            </a:ln>
          </spPr>
          <cat>
            <numRef>
              <f>'Innova 3p'!$A$8:$A$17</f>
            </numRef>
          </cat>
          <val>
            <numRef>
              <f>'Innova 3p'!$M$8:$M$17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32.xml><?xml version="1.0" encoding="utf-8"?>
<chartSpace xmlns:a="http://schemas.openxmlformats.org/drawingml/2006/main" xmlns="http://schemas.openxmlformats.org/drawingml/2006/chart">
  <chart>
    <title>
      <tx>
        <rich>
          <a:bodyPr/>
          <a:p>
            <a:pPr>
              <a:defRPr/>
            </a:pPr>
            <a:r>
              <a:t>Qty Year Over Year</a:t>
            </a:r>
          </a:p>
        </rich>
      </tx>
    </title>
    <plotArea>
      <barChart>
        <barDir val="col"/>
        <grouping val="clustered"/>
        <ser>
          <idx val="0"/>
          <order val="0"/>
          <spPr>
            <a:ln>
              <a:prstDash val="solid"/>
            </a:ln>
          </spPr>
          <cat>
            <numRef>
              <f>'Innova 3p'!$A$8:$A$17</f>
            </numRef>
          </cat>
          <val>
            <numRef>
              <f>'Innova 3p'!$H$8:$H$17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33.xml><?xml version="1.0" encoding="utf-8"?>
<chartSpace xmlns:a="http://schemas.openxmlformats.org/drawingml/2006/main" xmlns="http://schemas.openxmlformats.org/drawingml/2006/chart">
  <chart>
    <title>
      <tx>
        <rich>
          <a:bodyPr/>
          <a:p>
            <a:pPr>
              <a:defRPr/>
            </a:pPr>
            <a:r>
              <a:t>Qty Month Over Month</a:t>
            </a:r>
          </a:p>
        </rich>
      </tx>
    </title>
    <plotArea>
      <barChart>
        <barDir val="col"/>
        <grouping val="clustered"/>
        <ser>
          <idx val="0"/>
          <order val="0"/>
          <spPr>
            <a:ln>
              <a:prstDash val="solid"/>
            </a:ln>
          </spPr>
          <cat>
            <numRef>
              <f>'BLCKTEC'!$A$8:$A$17</f>
            </numRef>
          </cat>
          <val>
            <numRef>
              <f>'BLCKTEC'!$G$8:$G$17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34.xml><?xml version="1.0" encoding="utf-8"?>
<chartSpace xmlns:a="http://schemas.openxmlformats.org/drawingml/2006/main" xmlns="http://schemas.openxmlformats.org/drawingml/2006/chart">
  <chart>
    <title>
      <tx>
        <rich>
          <a:bodyPr/>
          <a:p>
            <a:pPr>
              <a:defRPr/>
            </a:pPr>
            <a:r>
              <a:t>Revenue Month Over Month</a:t>
            </a:r>
          </a:p>
        </rich>
      </tx>
    </title>
    <plotArea>
      <barChart>
        <barDir val="col"/>
        <grouping val="clustered"/>
        <ser>
          <idx val="0"/>
          <order val="0"/>
          <spPr>
            <a:ln>
              <a:prstDash val="solid"/>
            </a:ln>
          </spPr>
          <cat>
            <numRef>
              <f>'BLCKTEC'!$A$8:$A$17</f>
            </numRef>
          </cat>
          <val>
            <numRef>
              <f>'BLCKTEC'!$L$8:$L$17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35.xml><?xml version="1.0" encoding="utf-8"?>
<chartSpace xmlns:a="http://schemas.openxmlformats.org/drawingml/2006/main" xmlns="http://schemas.openxmlformats.org/drawingml/2006/chart">
  <chart>
    <title>
      <tx>
        <rich>
          <a:bodyPr/>
          <a:p>
            <a:pPr>
              <a:defRPr/>
            </a:pPr>
            <a:r>
              <a:t>Qty Proportion</a:t>
            </a:r>
          </a:p>
        </rich>
      </tx>
    </title>
    <plotArea>
      <pieChart>
        <varyColors val="1"/>
        <ser>
          <idx val="0"/>
          <order val="0"/>
          <spPr>
            <a:ln>
              <a:prstDash val="solid"/>
            </a:ln>
          </spPr>
          <cat>
            <numRef>
              <f>'BLCKTEC'!$A$11:$A$16</f>
            </numRef>
          </cat>
          <val>
            <numRef>
              <f>'BLCKTEC'!$F$11:$F$16</f>
            </numRef>
          </val>
        </ser>
        <firstSliceAng val="0"/>
      </pieChart>
    </plotArea>
    <legend>
      <legendPos val="r"/>
    </legend>
    <plotVisOnly val="1"/>
    <dispBlanksAs val="gap"/>
  </chart>
</chartSpace>
</file>

<file path=xl/charts/chart136.xml><?xml version="1.0" encoding="utf-8"?>
<chartSpace xmlns:a="http://schemas.openxmlformats.org/drawingml/2006/main" xmlns="http://schemas.openxmlformats.org/drawingml/2006/chart">
  <chart>
    <title>
      <tx>
        <rich>
          <a:bodyPr/>
          <a:p>
            <a:pPr>
              <a:defRPr/>
            </a:pPr>
            <a:r>
              <a:t>Revenue Proportion</a:t>
            </a:r>
          </a:p>
        </rich>
      </tx>
    </title>
    <plotArea>
      <pieChart>
        <varyColors val="1"/>
        <ser>
          <idx val="0"/>
          <order val="0"/>
          <spPr>
            <a:ln>
              <a:prstDash val="solid"/>
            </a:ln>
          </spPr>
          <cat>
            <numRef>
              <f>'BLCKTEC'!$A$11:$A$16</f>
            </numRef>
          </cat>
          <val>
            <numRef>
              <f>'BLCKTEC'!$J$11:$J$16</f>
            </numRef>
          </val>
        </ser>
        <firstSliceAng val="0"/>
      </pieChart>
    </plotArea>
    <legend>
      <legendPos val="r"/>
    </legend>
    <plotVisOnly val="1"/>
    <dispBlanksAs val="gap"/>
  </chart>
</chartSpace>
</file>

<file path=xl/charts/chart137.xml><?xml version="1.0" encoding="utf-8"?>
<chartSpace xmlns:a="http://schemas.openxmlformats.org/drawingml/2006/main" xmlns="http://schemas.openxmlformats.org/drawingml/2006/chart">
  <chart>
    <title>
      <tx>
        <rich>
          <a:bodyPr/>
          <a:p>
            <a:pPr>
              <a:defRPr/>
            </a:pPr>
            <a:r>
              <a:t>Revenue Year Over Year</a:t>
            </a:r>
          </a:p>
        </rich>
      </tx>
    </title>
    <plotArea>
      <barChart>
        <barDir val="col"/>
        <grouping val="clustered"/>
        <ser>
          <idx val="0"/>
          <order val="0"/>
          <spPr>
            <a:ln>
              <a:prstDash val="solid"/>
            </a:ln>
          </spPr>
          <cat>
            <numRef>
              <f>'BLCKTEC'!$A$8:$A$17</f>
            </numRef>
          </cat>
          <val>
            <numRef>
              <f>'BLCKTEC'!$M$8:$M$17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38.xml><?xml version="1.0" encoding="utf-8"?>
<chartSpace xmlns:a="http://schemas.openxmlformats.org/drawingml/2006/main" xmlns="http://schemas.openxmlformats.org/drawingml/2006/chart">
  <chart>
    <title>
      <tx>
        <rich>
          <a:bodyPr/>
          <a:p>
            <a:pPr>
              <a:defRPr/>
            </a:pPr>
            <a:r>
              <a:t>Qty Year Over Year</a:t>
            </a:r>
          </a:p>
        </rich>
      </tx>
    </title>
    <plotArea>
      <barChart>
        <barDir val="col"/>
        <grouping val="clustered"/>
        <ser>
          <idx val="0"/>
          <order val="0"/>
          <spPr>
            <a:ln>
              <a:prstDash val="solid"/>
            </a:ln>
          </spPr>
          <cat>
            <numRef>
              <f>'BLCKTEC'!$A$8:$A$17</f>
            </numRef>
          </cat>
          <val>
            <numRef>
              <f>'BLCKTEC'!$H$8:$H$17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39.xml><?xml version="1.0" encoding="utf-8"?>
<chartSpace xmlns:a="http://schemas.openxmlformats.org/drawingml/2006/main" xmlns="http://schemas.openxmlformats.org/drawingml/2006/chart">
  <chart>
    <title>
      <tx>
        <rich>
          <a:bodyPr/>
          <a:p>
            <a:pPr>
              <a:defRPr/>
            </a:pPr>
            <a:r>
              <a:t>Qty Month Over Month</a:t>
            </a:r>
          </a:p>
        </rich>
      </tx>
    </title>
    <plotArea>
      <barChart>
        <barDir val="col"/>
        <grouping val="clustered"/>
        <ser>
          <idx val="0"/>
          <order val="0"/>
          <spPr>
            <a:ln>
              <a:prstDash val="solid"/>
            </a:ln>
          </spPr>
          <cat>
            <numRef>
              <f>'Bluedriver'!$A$8:$A$17</f>
            </numRef>
          </cat>
          <val>
            <numRef>
              <f>'Bluedriver'!$G$8:$G$17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40.xml><?xml version="1.0" encoding="utf-8"?>
<chartSpace xmlns:a="http://schemas.openxmlformats.org/drawingml/2006/main" xmlns="http://schemas.openxmlformats.org/drawingml/2006/chart">
  <chart>
    <title>
      <tx>
        <rich>
          <a:bodyPr/>
          <a:p>
            <a:pPr>
              <a:defRPr/>
            </a:pPr>
            <a:r>
              <a:t>Revenue Month Over Month</a:t>
            </a:r>
          </a:p>
        </rich>
      </tx>
    </title>
    <plotArea>
      <barChart>
        <barDir val="col"/>
        <grouping val="clustered"/>
        <ser>
          <idx val="0"/>
          <order val="0"/>
          <spPr>
            <a:ln>
              <a:prstDash val="solid"/>
            </a:ln>
          </spPr>
          <cat>
            <numRef>
              <f>'Bluedriver'!$A$8:$A$17</f>
            </numRef>
          </cat>
          <val>
            <numRef>
              <f>'Bluedriver'!$L$8:$L$17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41.xml><?xml version="1.0" encoding="utf-8"?>
<chartSpace xmlns:a="http://schemas.openxmlformats.org/drawingml/2006/main" xmlns="http://schemas.openxmlformats.org/drawingml/2006/chart">
  <chart>
    <title>
      <tx>
        <rich>
          <a:bodyPr/>
          <a:p>
            <a:pPr>
              <a:defRPr/>
            </a:pPr>
            <a:r>
              <a:t>Qty Proportion</a:t>
            </a:r>
          </a:p>
        </rich>
      </tx>
    </title>
    <plotArea>
      <pieChart>
        <varyColors val="1"/>
        <ser>
          <idx val="0"/>
          <order val="0"/>
          <spPr>
            <a:ln>
              <a:prstDash val="solid"/>
            </a:ln>
          </spPr>
          <cat>
            <numRef>
              <f>'Bluedriver'!$A$11:$A$16</f>
            </numRef>
          </cat>
          <val>
            <numRef>
              <f>'Bluedriver'!$F$11:$F$16</f>
            </numRef>
          </val>
        </ser>
        <firstSliceAng val="0"/>
      </pieChart>
    </plotArea>
    <legend>
      <legendPos val="r"/>
    </legend>
    <plotVisOnly val="1"/>
    <dispBlanksAs val="gap"/>
  </chart>
</chartSpace>
</file>

<file path=xl/charts/chart142.xml><?xml version="1.0" encoding="utf-8"?>
<chartSpace xmlns:a="http://schemas.openxmlformats.org/drawingml/2006/main" xmlns="http://schemas.openxmlformats.org/drawingml/2006/chart">
  <chart>
    <title>
      <tx>
        <rich>
          <a:bodyPr/>
          <a:p>
            <a:pPr>
              <a:defRPr/>
            </a:pPr>
            <a:r>
              <a:t>Revenue Proportion</a:t>
            </a:r>
          </a:p>
        </rich>
      </tx>
    </title>
    <plotArea>
      <pieChart>
        <varyColors val="1"/>
        <ser>
          <idx val="0"/>
          <order val="0"/>
          <spPr>
            <a:ln>
              <a:prstDash val="solid"/>
            </a:ln>
          </spPr>
          <cat>
            <numRef>
              <f>'Bluedriver'!$A$11:$A$16</f>
            </numRef>
          </cat>
          <val>
            <numRef>
              <f>'Bluedriver'!$J$11:$J$16</f>
            </numRef>
          </val>
        </ser>
        <firstSliceAng val="0"/>
      </pieChart>
    </plotArea>
    <legend>
      <legendPos val="r"/>
    </legend>
    <plotVisOnly val="1"/>
    <dispBlanksAs val="gap"/>
  </chart>
</chartSpace>
</file>

<file path=xl/charts/chart143.xml><?xml version="1.0" encoding="utf-8"?>
<chartSpace xmlns:a="http://schemas.openxmlformats.org/drawingml/2006/main" xmlns="http://schemas.openxmlformats.org/drawingml/2006/chart">
  <chart>
    <title>
      <tx>
        <rich>
          <a:bodyPr/>
          <a:p>
            <a:pPr>
              <a:defRPr/>
            </a:pPr>
            <a:r>
              <a:t>Revenue Year Over Year</a:t>
            </a:r>
          </a:p>
        </rich>
      </tx>
    </title>
    <plotArea>
      <barChart>
        <barDir val="col"/>
        <grouping val="clustered"/>
        <ser>
          <idx val="0"/>
          <order val="0"/>
          <spPr>
            <a:ln>
              <a:prstDash val="solid"/>
            </a:ln>
          </spPr>
          <cat>
            <numRef>
              <f>'Bluedriver'!$A$8:$A$17</f>
            </numRef>
          </cat>
          <val>
            <numRef>
              <f>'Bluedriver'!$M$8:$M$17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44.xml><?xml version="1.0" encoding="utf-8"?>
<chartSpace xmlns:a="http://schemas.openxmlformats.org/drawingml/2006/main" xmlns="http://schemas.openxmlformats.org/drawingml/2006/chart">
  <chart>
    <title>
      <tx>
        <rich>
          <a:bodyPr/>
          <a:p>
            <a:pPr>
              <a:defRPr/>
            </a:pPr>
            <a:r>
              <a:t>Qty Year Over Year</a:t>
            </a:r>
          </a:p>
        </rich>
      </tx>
    </title>
    <plotArea>
      <barChart>
        <barDir val="col"/>
        <grouping val="clustered"/>
        <ser>
          <idx val="0"/>
          <order val="0"/>
          <spPr>
            <a:ln>
              <a:prstDash val="solid"/>
            </a:ln>
          </spPr>
          <cat>
            <numRef>
              <f>'Bluedriver'!$A$8:$A$17</f>
            </numRef>
          </cat>
          <val>
            <numRef>
              <f>'Bluedriver'!$H$8:$H$17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45.xml><?xml version="1.0" encoding="utf-8"?>
<chartSpace xmlns:a="http://schemas.openxmlformats.org/drawingml/2006/main" xmlns="http://schemas.openxmlformats.org/drawingml/2006/chart">
  <chart>
    <title>
      <tx>
        <rich>
          <a:bodyPr/>
          <a:p>
            <a:pPr>
              <a:defRPr/>
            </a:pPr>
            <a:r>
              <a:t>Qty Month Over Month</a:t>
            </a:r>
          </a:p>
        </rich>
      </tx>
    </title>
    <plotArea>
      <barChart>
        <barDir val="col"/>
        <grouping val="clustered"/>
        <ser>
          <idx val="0"/>
          <order val="0"/>
          <spPr>
            <a:ln>
              <a:prstDash val="solid"/>
            </a:ln>
          </spPr>
          <cat>
            <numRef>
              <f>'Diesel Laptops'!$A$8:$A$17</f>
            </numRef>
          </cat>
          <val>
            <numRef>
              <f>'Diesel Laptops'!$G$8:$G$17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46.xml><?xml version="1.0" encoding="utf-8"?>
<chartSpace xmlns:a="http://schemas.openxmlformats.org/drawingml/2006/main" xmlns="http://schemas.openxmlformats.org/drawingml/2006/chart">
  <chart>
    <title>
      <tx>
        <rich>
          <a:bodyPr/>
          <a:p>
            <a:pPr>
              <a:defRPr/>
            </a:pPr>
            <a:r>
              <a:t>Revenue Month Over Month</a:t>
            </a:r>
          </a:p>
        </rich>
      </tx>
    </title>
    <plotArea>
      <barChart>
        <barDir val="col"/>
        <grouping val="clustered"/>
        <ser>
          <idx val="0"/>
          <order val="0"/>
          <spPr>
            <a:ln>
              <a:prstDash val="solid"/>
            </a:ln>
          </spPr>
          <cat>
            <numRef>
              <f>'Diesel Laptops'!$A$8:$A$17</f>
            </numRef>
          </cat>
          <val>
            <numRef>
              <f>'Diesel Laptops'!$L$8:$L$17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47.xml><?xml version="1.0" encoding="utf-8"?>
<chartSpace xmlns:a="http://schemas.openxmlformats.org/drawingml/2006/main" xmlns="http://schemas.openxmlformats.org/drawingml/2006/chart">
  <chart>
    <title>
      <tx>
        <rich>
          <a:bodyPr/>
          <a:p>
            <a:pPr>
              <a:defRPr/>
            </a:pPr>
            <a:r>
              <a:t>Qty Proportion</a:t>
            </a:r>
          </a:p>
        </rich>
      </tx>
    </title>
    <plotArea>
      <pieChart>
        <varyColors val="1"/>
        <ser>
          <idx val="0"/>
          <order val="0"/>
          <spPr>
            <a:ln>
              <a:prstDash val="solid"/>
            </a:ln>
          </spPr>
          <cat>
            <numRef>
              <f>'Diesel Laptops'!$A$11:$A$16</f>
            </numRef>
          </cat>
          <val>
            <numRef>
              <f>'Diesel Laptops'!$F$11:$F$16</f>
            </numRef>
          </val>
        </ser>
        <firstSliceAng val="0"/>
      </pieChart>
    </plotArea>
    <legend>
      <legendPos val="r"/>
    </legend>
    <plotVisOnly val="1"/>
    <dispBlanksAs val="gap"/>
  </chart>
</chartSpace>
</file>

<file path=xl/charts/chart148.xml><?xml version="1.0" encoding="utf-8"?>
<chartSpace xmlns:a="http://schemas.openxmlformats.org/drawingml/2006/main" xmlns="http://schemas.openxmlformats.org/drawingml/2006/chart">
  <chart>
    <title>
      <tx>
        <rich>
          <a:bodyPr/>
          <a:p>
            <a:pPr>
              <a:defRPr/>
            </a:pPr>
            <a:r>
              <a:t>Revenue Proportion</a:t>
            </a:r>
          </a:p>
        </rich>
      </tx>
    </title>
    <plotArea>
      <pieChart>
        <varyColors val="1"/>
        <ser>
          <idx val="0"/>
          <order val="0"/>
          <spPr>
            <a:ln>
              <a:prstDash val="solid"/>
            </a:ln>
          </spPr>
          <cat>
            <numRef>
              <f>'Diesel Laptops'!$A$11:$A$16</f>
            </numRef>
          </cat>
          <val>
            <numRef>
              <f>'Diesel Laptops'!$J$11:$J$16</f>
            </numRef>
          </val>
        </ser>
        <firstSliceAng val="0"/>
      </pieChart>
    </plotArea>
    <legend>
      <legendPos val="r"/>
    </legend>
    <plotVisOnly val="1"/>
    <dispBlanksAs val="gap"/>
  </chart>
</chartSpace>
</file>

<file path=xl/charts/chart149.xml><?xml version="1.0" encoding="utf-8"?>
<chartSpace xmlns:a="http://schemas.openxmlformats.org/drawingml/2006/main" xmlns="http://schemas.openxmlformats.org/drawingml/2006/chart">
  <chart>
    <title>
      <tx>
        <rich>
          <a:bodyPr/>
          <a:p>
            <a:pPr>
              <a:defRPr/>
            </a:pPr>
            <a:r>
              <a:t>Revenue Year Over Year</a:t>
            </a:r>
          </a:p>
        </rich>
      </tx>
    </title>
    <plotArea>
      <barChart>
        <barDir val="col"/>
        <grouping val="clustered"/>
        <ser>
          <idx val="0"/>
          <order val="0"/>
          <spPr>
            <a:ln>
              <a:prstDash val="solid"/>
            </a:ln>
          </spPr>
          <cat>
            <numRef>
              <f>'Diesel Laptops'!$A$8:$A$17</f>
            </numRef>
          </cat>
          <val>
            <numRef>
              <f>'Diesel Laptops'!$M$8:$M$17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50.xml><?xml version="1.0" encoding="utf-8"?>
<chartSpace xmlns:a="http://schemas.openxmlformats.org/drawingml/2006/main" xmlns="http://schemas.openxmlformats.org/drawingml/2006/chart">
  <chart>
    <title>
      <tx>
        <rich>
          <a:bodyPr/>
          <a:p>
            <a:pPr>
              <a:defRPr/>
            </a:pPr>
            <a:r>
              <a:t>Qty Year Over Year</a:t>
            </a:r>
          </a:p>
        </rich>
      </tx>
    </title>
    <plotArea>
      <barChart>
        <barDir val="col"/>
        <grouping val="clustered"/>
        <ser>
          <idx val="0"/>
          <order val="0"/>
          <spPr>
            <a:ln>
              <a:prstDash val="solid"/>
            </a:ln>
          </spPr>
          <cat>
            <numRef>
              <f>'Diesel Laptops'!$A$8:$A$17</f>
            </numRef>
          </cat>
          <val>
            <numRef>
              <f>'Diesel Laptops'!$H$8:$H$17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51.xml><?xml version="1.0" encoding="utf-8"?>
<chartSpace xmlns:a="http://schemas.openxmlformats.org/drawingml/2006/main" xmlns="http://schemas.openxmlformats.org/drawingml/2006/chart">
  <chart>
    <title>
      <tx>
        <rich>
          <a:bodyPr/>
          <a:p>
            <a:pPr>
              <a:defRPr/>
            </a:pPr>
            <a:r>
              <a:t>Qty Month Over Month</a:t>
            </a:r>
          </a:p>
        </rich>
      </tx>
    </title>
    <plotArea>
      <barChart>
        <barDir val="col"/>
        <grouping val="clustered"/>
        <ser>
          <idx val="0"/>
          <order val="0"/>
          <spPr>
            <a:ln>
              <a:prstDash val="solid"/>
            </a:ln>
          </spPr>
          <cat>
            <numRef>
              <f>'Edge'!$A$8:$A$17</f>
            </numRef>
          </cat>
          <val>
            <numRef>
              <f>'Edge'!$G$8:$G$17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52.xml><?xml version="1.0" encoding="utf-8"?>
<chartSpace xmlns:a="http://schemas.openxmlformats.org/drawingml/2006/main" xmlns="http://schemas.openxmlformats.org/drawingml/2006/chart">
  <chart>
    <title>
      <tx>
        <rich>
          <a:bodyPr/>
          <a:p>
            <a:pPr>
              <a:defRPr/>
            </a:pPr>
            <a:r>
              <a:t>Revenue Month Over Month</a:t>
            </a:r>
          </a:p>
        </rich>
      </tx>
    </title>
    <plotArea>
      <barChart>
        <barDir val="col"/>
        <grouping val="clustered"/>
        <ser>
          <idx val="0"/>
          <order val="0"/>
          <spPr>
            <a:ln>
              <a:prstDash val="solid"/>
            </a:ln>
          </spPr>
          <cat>
            <numRef>
              <f>'Edge'!$A$8:$A$17</f>
            </numRef>
          </cat>
          <val>
            <numRef>
              <f>'Edge'!$L$8:$L$17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53.xml><?xml version="1.0" encoding="utf-8"?>
<chartSpace xmlns:a="http://schemas.openxmlformats.org/drawingml/2006/main" xmlns="http://schemas.openxmlformats.org/drawingml/2006/chart">
  <chart>
    <title>
      <tx>
        <rich>
          <a:bodyPr/>
          <a:p>
            <a:pPr>
              <a:defRPr/>
            </a:pPr>
            <a:r>
              <a:t>Qty Proportion</a:t>
            </a:r>
          </a:p>
        </rich>
      </tx>
    </title>
    <plotArea>
      <pieChart>
        <varyColors val="1"/>
        <ser>
          <idx val="0"/>
          <order val="0"/>
          <spPr>
            <a:ln>
              <a:prstDash val="solid"/>
            </a:ln>
          </spPr>
          <cat>
            <numRef>
              <f>'Edge'!$A$11:$A$16</f>
            </numRef>
          </cat>
          <val>
            <numRef>
              <f>'Edge'!$F$11:$F$16</f>
            </numRef>
          </val>
        </ser>
        <firstSliceAng val="0"/>
      </pieChart>
    </plotArea>
    <legend>
      <legendPos val="r"/>
    </legend>
    <plotVisOnly val="1"/>
    <dispBlanksAs val="gap"/>
  </chart>
</chartSpace>
</file>

<file path=xl/charts/chart154.xml><?xml version="1.0" encoding="utf-8"?>
<chartSpace xmlns:a="http://schemas.openxmlformats.org/drawingml/2006/main" xmlns="http://schemas.openxmlformats.org/drawingml/2006/chart">
  <chart>
    <title>
      <tx>
        <rich>
          <a:bodyPr/>
          <a:p>
            <a:pPr>
              <a:defRPr/>
            </a:pPr>
            <a:r>
              <a:t>Revenue Proportion</a:t>
            </a:r>
          </a:p>
        </rich>
      </tx>
    </title>
    <plotArea>
      <pieChart>
        <varyColors val="1"/>
        <ser>
          <idx val="0"/>
          <order val="0"/>
          <spPr>
            <a:ln>
              <a:prstDash val="solid"/>
            </a:ln>
          </spPr>
          <cat>
            <numRef>
              <f>'Edge'!$A$11:$A$16</f>
            </numRef>
          </cat>
          <val>
            <numRef>
              <f>'Edge'!$J$11:$J$16</f>
            </numRef>
          </val>
        </ser>
        <firstSliceAng val="0"/>
      </pieChart>
    </plotArea>
    <legend>
      <legendPos val="r"/>
    </legend>
    <plotVisOnly val="1"/>
    <dispBlanksAs val="gap"/>
  </chart>
</chartSpace>
</file>

<file path=xl/charts/chart155.xml><?xml version="1.0" encoding="utf-8"?>
<chartSpace xmlns:a="http://schemas.openxmlformats.org/drawingml/2006/main" xmlns="http://schemas.openxmlformats.org/drawingml/2006/chart">
  <chart>
    <title>
      <tx>
        <rich>
          <a:bodyPr/>
          <a:p>
            <a:pPr>
              <a:defRPr/>
            </a:pPr>
            <a:r>
              <a:t>Revenue Year Over Year</a:t>
            </a:r>
          </a:p>
        </rich>
      </tx>
    </title>
    <plotArea>
      <barChart>
        <barDir val="col"/>
        <grouping val="clustered"/>
        <ser>
          <idx val="0"/>
          <order val="0"/>
          <spPr>
            <a:ln>
              <a:prstDash val="solid"/>
            </a:ln>
          </spPr>
          <cat>
            <numRef>
              <f>'Edge'!$A$8:$A$17</f>
            </numRef>
          </cat>
          <val>
            <numRef>
              <f>'Edge'!$M$8:$M$17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56.xml><?xml version="1.0" encoding="utf-8"?>
<chartSpace xmlns:a="http://schemas.openxmlformats.org/drawingml/2006/main" xmlns="http://schemas.openxmlformats.org/drawingml/2006/chart">
  <chart>
    <title>
      <tx>
        <rich>
          <a:bodyPr/>
          <a:p>
            <a:pPr>
              <a:defRPr/>
            </a:pPr>
            <a:r>
              <a:t>Qty Year Over Year</a:t>
            </a:r>
          </a:p>
        </rich>
      </tx>
    </title>
    <plotArea>
      <barChart>
        <barDir val="col"/>
        <grouping val="clustered"/>
        <ser>
          <idx val="0"/>
          <order val="0"/>
          <spPr>
            <a:ln>
              <a:prstDash val="solid"/>
            </a:ln>
          </spPr>
          <cat>
            <numRef>
              <f>'Edge'!$A$8:$A$17</f>
            </numRef>
          </cat>
          <val>
            <numRef>
              <f>'Edge'!$H$8:$H$17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57.xml><?xml version="1.0" encoding="utf-8"?>
<chartSpace xmlns:a="http://schemas.openxmlformats.org/drawingml/2006/main" xmlns="http://schemas.openxmlformats.org/drawingml/2006/chart">
  <chart>
    <title>
      <tx>
        <rich>
          <a:bodyPr/>
          <a:p>
            <a:pPr>
              <a:defRPr/>
            </a:pPr>
            <a:r>
              <a:t>Qty Month Over Month</a:t>
            </a:r>
          </a:p>
        </rich>
      </tx>
    </title>
    <plotArea>
      <barChart>
        <barDir val="col"/>
        <grouping val="clustered"/>
        <ser>
          <idx val="0"/>
          <order val="0"/>
          <spPr>
            <a:ln>
              <a:prstDash val="solid"/>
            </a:ln>
          </spPr>
          <cat>
            <numRef>
              <f>'FIXD'!$A$8:$A$17</f>
            </numRef>
          </cat>
          <val>
            <numRef>
              <f>'FIXD'!$G$8:$G$17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58.xml><?xml version="1.0" encoding="utf-8"?>
<chartSpace xmlns:a="http://schemas.openxmlformats.org/drawingml/2006/main" xmlns="http://schemas.openxmlformats.org/drawingml/2006/chart">
  <chart>
    <title>
      <tx>
        <rich>
          <a:bodyPr/>
          <a:p>
            <a:pPr>
              <a:defRPr/>
            </a:pPr>
            <a:r>
              <a:t>Revenue Month Over Month</a:t>
            </a:r>
          </a:p>
        </rich>
      </tx>
    </title>
    <plotArea>
      <barChart>
        <barDir val="col"/>
        <grouping val="clustered"/>
        <ser>
          <idx val="0"/>
          <order val="0"/>
          <spPr>
            <a:ln>
              <a:prstDash val="solid"/>
            </a:ln>
          </spPr>
          <cat>
            <numRef>
              <f>'FIXD'!$A$8:$A$17</f>
            </numRef>
          </cat>
          <val>
            <numRef>
              <f>'FIXD'!$L$8:$L$17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59.xml><?xml version="1.0" encoding="utf-8"?>
<chartSpace xmlns:a="http://schemas.openxmlformats.org/drawingml/2006/main" xmlns="http://schemas.openxmlformats.org/drawingml/2006/chart">
  <chart>
    <title>
      <tx>
        <rich>
          <a:bodyPr/>
          <a:p>
            <a:pPr>
              <a:defRPr/>
            </a:pPr>
            <a:r>
              <a:t>Qty Proportion</a:t>
            </a:r>
          </a:p>
        </rich>
      </tx>
    </title>
    <plotArea>
      <pieChart>
        <varyColors val="1"/>
        <ser>
          <idx val="0"/>
          <order val="0"/>
          <spPr>
            <a:ln>
              <a:prstDash val="solid"/>
            </a:ln>
          </spPr>
          <cat>
            <numRef>
              <f>'FIXD'!$A$11:$A$16</f>
            </numRef>
          </cat>
          <val>
            <numRef>
              <f>'FIXD'!$F$11:$F$16</f>
            </numRef>
          </val>
        </ser>
        <firstSliceAng val="0"/>
      </pieChart>
    </plotArea>
    <legend>
      <legendPos val="r"/>
    </legend>
    <plotVisOnly val="1"/>
    <dispBlanksAs val="gap"/>
  </chart>
</chartSpace>
</file>

<file path=xl/charts/chart160.xml><?xml version="1.0" encoding="utf-8"?>
<chartSpace xmlns:a="http://schemas.openxmlformats.org/drawingml/2006/main" xmlns="http://schemas.openxmlformats.org/drawingml/2006/chart">
  <chart>
    <title>
      <tx>
        <rich>
          <a:bodyPr/>
          <a:p>
            <a:pPr>
              <a:defRPr/>
            </a:pPr>
            <a:r>
              <a:t>Revenue Proportion</a:t>
            </a:r>
          </a:p>
        </rich>
      </tx>
    </title>
    <plotArea>
      <pieChart>
        <varyColors val="1"/>
        <ser>
          <idx val="0"/>
          <order val="0"/>
          <spPr>
            <a:ln>
              <a:prstDash val="solid"/>
            </a:ln>
          </spPr>
          <cat>
            <numRef>
              <f>'FIXD'!$A$11:$A$16</f>
            </numRef>
          </cat>
          <val>
            <numRef>
              <f>'FIXD'!$J$11:$J$16</f>
            </numRef>
          </val>
        </ser>
        <firstSliceAng val="0"/>
      </pieChart>
    </plotArea>
    <legend>
      <legendPos val="r"/>
    </legend>
    <plotVisOnly val="1"/>
    <dispBlanksAs val="gap"/>
  </chart>
</chartSpace>
</file>

<file path=xl/charts/chart161.xml><?xml version="1.0" encoding="utf-8"?>
<chartSpace xmlns:a="http://schemas.openxmlformats.org/drawingml/2006/main" xmlns="http://schemas.openxmlformats.org/drawingml/2006/chart">
  <chart>
    <title>
      <tx>
        <rich>
          <a:bodyPr/>
          <a:p>
            <a:pPr>
              <a:defRPr/>
            </a:pPr>
            <a:r>
              <a:t>Revenue Year Over Year</a:t>
            </a:r>
          </a:p>
        </rich>
      </tx>
    </title>
    <plotArea>
      <barChart>
        <barDir val="col"/>
        <grouping val="clustered"/>
        <ser>
          <idx val="0"/>
          <order val="0"/>
          <spPr>
            <a:ln>
              <a:prstDash val="solid"/>
            </a:ln>
          </spPr>
          <cat>
            <numRef>
              <f>'FIXD'!$A$8:$A$17</f>
            </numRef>
          </cat>
          <val>
            <numRef>
              <f>'FIXD'!$M$8:$M$17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62.xml><?xml version="1.0" encoding="utf-8"?>
<chartSpace xmlns:a="http://schemas.openxmlformats.org/drawingml/2006/main" xmlns="http://schemas.openxmlformats.org/drawingml/2006/chart">
  <chart>
    <title>
      <tx>
        <rich>
          <a:bodyPr/>
          <a:p>
            <a:pPr>
              <a:defRPr/>
            </a:pPr>
            <a:r>
              <a:t>Qty Year Over Year</a:t>
            </a:r>
          </a:p>
        </rich>
      </tx>
    </title>
    <plotArea>
      <barChart>
        <barDir val="col"/>
        <grouping val="clustered"/>
        <ser>
          <idx val="0"/>
          <order val="0"/>
          <spPr>
            <a:ln>
              <a:prstDash val="solid"/>
            </a:ln>
          </spPr>
          <cat>
            <numRef>
              <f>'FIXD'!$A$8:$A$17</f>
            </numRef>
          </cat>
          <val>
            <numRef>
              <f>'FIXD'!$H$8:$H$17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63.xml><?xml version="1.0" encoding="utf-8"?>
<chartSpace xmlns:a="http://schemas.openxmlformats.org/drawingml/2006/main" xmlns="http://schemas.openxmlformats.org/drawingml/2006/chart">
  <chart>
    <title>
      <tx>
        <rich>
          <a:bodyPr/>
          <a:p>
            <a:pPr>
              <a:defRPr/>
            </a:pPr>
            <a:r>
              <a:t>Qty Month Over Month</a:t>
            </a:r>
          </a:p>
        </rich>
      </tx>
    </title>
    <plotArea>
      <barChart>
        <barDir val="col"/>
        <grouping val="clustered"/>
        <ser>
          <idx val="0"/>
          <order val="0"/>
          <spPr>
            <a:ln>
              <a:prstDash val="solid"/>
            </a:ln>
          </spPr>
          <cat>
            <numRef>
              <f>'Generic'!$A$8:$A$17</f>
            </numRef>
          </cat>
          <val>
            <numRef>
              <f>'Generic'!$G$8:$G$17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64.xml><?xml version="1.0" encoding="utf-8"?>
<chartSpace xmlns:a="http://schemas.openxmlformats.org/drawingml/2006/main" xmlns="http://schemas.openxmlformats.org/drawingml/2006/chart">
  <chart>
    <title>
      <tx>
        <rich>
          <a:bodyPr/>
          <a:p>
            <a:pPr>
              <a:defRPr/>
            </a:pPr>
            <a:r>
              <a:t>Revenue Month Over Month</a:t>
            </a:r>
          </a:p>
        </rich>
      </tx>
    </title>
    <plotArea>
      <barChart>
        <barDir val="col"/>
        <grouping val="clustered"/>
        <ser>
          <idx val="0"/>
          <order val="0"/>
          <spPr>
            <a:ln>
              <a:prstDash val="solid"/>
            </a:ln>
          </spPr>
          <cat>
            <numRef>
              <f>'Generic'!$A$8:$A$17</f>
            </numRef>
          </cat>
          <val>
            <numRef>
              <f>'Generic'!$L$8:$L$17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65.xml><?xml version="1.0" encoding="utf-8"?>
<chartSpace xmlns:a="http://schemas.openxmlformats.org/drawingml/2006/main" xmlns="http://schemas.openxmlformats.org/drawingml/2006/chart">
  <chart>
    <title>
      <tx>
        <rich>
          <a:bodyPr/>
          <a:p>
            <a:pPr>
              <a:defRPr/>
            </a:pPr>
            <a:r>
              <a:t>Qty Proportion</a:t>
            </a:r>
          </a:p>
        </rich>
      </tx>
    </title>
    <plotArea>
      <pieChart>
        <varyColors val="1"/>
        <ser>
          <idx val="0"/>
          <order val="0"/>
          <spPr>
            <a:ln>
              <a:prstDash val="solid"/>
            </a:ln>
          </spPr>
          <cat>
            <numRef>
              <f>'Generic'!$A$11:$A$16</f>
            </numRef>
          </cat>
          <val>
            <numRef>
              <f>'Generic'!$F$11:$F$16</f>
            </numRef>
          </val>
        </ser>
        <firstSliceAng val="0"/>
      </pieChart>
    </plotArea>
    <legend>
      <legendPos val="r"/>
    </legend>
    <plotVisOnly val="1"/>
    <dispBlanksAs val="gap"/>
  </chart>
</chartSpace>
</file>

<file path=xl/charts/chart166.xml><?xml version="1.0" encoding="utf-8"?>
<chartSpace xmlns:a="http://schemas.openxmlformats.org/drawingml/2006/main" xmlns="http://schemas.openxmlformats.org/drawingml/2006/chart">
  <chart>
    <title>
      <tx>
        <rich>
          <a:bodyPr/>
          <a:p>
            <a:pPr>
              <a:defRPr/>
            </a:pPr>
            <a:r>
              <a:t>Revenue Proportion</a:t>
            </a:r>
          </a:p>
        </rich>
      </tx>
    </title>
    <plotArea>
      <pieChart>
        <varyColors val="1"/>
        <ser>
          <idx val="0"/>
          <order val="0"/>
          <spPr>
            <a:ln>
              <a:prstDash val="solid"/>
            </a:ln>
          </spPr>
          <cat>
            <numRef>
              <f>'Generic'!$A$11:$A$16</f>
            </numRef>
          </cat>
          <val>
            <numRef>
              <f>'Generic'!$J$11:$J$16</f>
            </numRef>
          </val>
        </ser>
        <firstSliceAng val="0"/>
      </pieChart>
    </plotArea>
    <legend>
      <legendPos val="r"/>
    </legend>
    <plotVisOnly val="1"/>
    <dispBlanksAs val="gap"/>
  </chart>
</chartSpace>
</file>

<file path=xl/charts/chart167.xml><?xml version="1.0" encoding="utf-8"?>
<chartSpace xmlns:a="http://schemas.openxmlformats.org/drawingml/2006/main" xmlns="http://schemas.openxmlformats.org/drawingml/2006/chart">
  <chart>
    <title>
      <tx>
        <rich>
          <a:bodyPr/>
          <a:p>
            <a:pPr>
              <a:defRPr/>
            </a:pPr>
            <a:r>
              <a:t>Revenue Year Over Year</a:t>
            </a:r>
          </a:p>
        </rich>
      </tx>
    </title>
    <plotArea>
      <barChart>
        <barDir val="col"/>
        <grouping val="clustered"/>
        <ser>
          <idx val="0"/>
          <order val="0"/>
          <spPr>
            <a:ln>
              <a:prstDash val="solid"/>
            </a:ln>
          </spPr>
          <cat>
            <numRef>
              <f>'Generic'!$A$8:$A$17</f>
            </numRef>
          </cat>
          <val>
            <numRef>
              <f>'Generic'!$M$8:$M$17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68.xml><?xml version="1.0" encoding="utf-8"?>
<chartSpace xmlns:a="http://schemas.openxmlformats.org/drawingml/2006/main" xmlns="http://schemas.openxmlformats.org/drawingml/2006/chart">
  <chart>
    <title>
      <tx>
        <rich>
          <a:bodyPr/>
          <a:p>
            <a:pPr>
              <a:defRPr/>
            </a:pPr>
            <a:r>
              <a:t>Qty Year Over Year</a:t>
            </a:r>
          </a:p>
        </rich>
      </tx>
    </title>
    <plotArea>
      <barChart>
        <barDir val="col"/>
        <grouping val="clustered"/>
        <ser>
          <idx val="0"/>
          <order val="0"/>
          <spPr>
            <a:ln>
              <a:prstDash val="solid"/>
            </a:ln>
          </spPr>
          <cat>
            <numRef>
              <f>'Generic'!$A$8:$A$17</f>
            </numRef>
          </cat>
          <val>
            <numRef>
              <f>'Generic'!$H$8:$H$17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69.xml><?xml version="1.0" encoding="utf-8"?>
<chartSpace xmlns:a="http://schemas.openxmlformats.org/drawingml/2006/main" xmlns="http://schemas.openxmlformats.org/drawingml/2006/chart">
  <chart>
    <title>
      <tx>
        <rich>
          <a:bodyPr/>
          <a:p>
            <a:pPr>
              <a:defRPr/>
            </a:pPr>
            <a:r>
              <a:t>Qty Month Over Month</a:t>
            </a:r>
          </a:p>
        </rich>
      </tx>
    </title>
    <plotArea>
      <barChart>
        <barDir val="col"/>
        <grouping val="clustered"/>
        <ser>
          <idx val="0"/>
          <order val="0"/>
          <spPr>
            <a:ln>
              <a:prstDash val="solid"/>
            </a:ln>
          </spPr>
          <cat>
            <numRef>
              <f>'Innovative Products Of America'!$A$8:$A$17</f>
            </numRef>
          </cat>
          <val>
            <numRef>
              <f>'Innovative Products Of America'!$G$8:$G$17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70.xml><?xml version="1.0" encoding="utf-8"?>
<chartSpace xmlns:a="http://schemas.openxmlformats.org/drawingml/2006/main" xmlns="http://schemas.openxmlformats.org/drawingml/2006/chart">
  <chart>
    <title>
      <tx>
        <rich>
          <a:bodyPr/>
          <a:p>
            <a:pPr>
              <a:defRPr/>
            </a:pPr>
            <a:r>
              <a:t>Revenue Month Over Month</a:t>
            </a:r>
          </a:p>
        </rich>
      </tx>
    </title>
    <plotArea>
      <barChart>
        <barDir val="col"/>
        <grouping val="clustered"/>
        <ser>
          <idx val="0"/>
          <order val="0"/>
          <spPr>
            <a:ln>
              <a:prstDash val="solid"/>
            </a:ln>
          </spPr>
          <cat>
            <numRef>
              <f>'Innovative Products Of America'!$A$8:$A$17</f>
            </numRef>
          </cat>
          <val>
            <numRef>
              <f>'Innovative Products Of America'!$L$8:$L$17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71.xml><?xml version="1.0" encoding="utf-8"?>
<chartSpace xmlns:a="http://schemas.openxmlformats.org/drawingml/2006/main" xmlns="http://schemas.openxmlformats.org/drawingml/2006/chart">
  <chart>
    <title>
      <tx>
        <rich>
          <a:bodyPr/>
          <a:p>
            <a:pPr>
              <a:defRPr/>
            </a:pPr>
            <a:r>
              <a:t>Qty Proportion</a:t>
            </a:r>
          </a:p>
        </rich>
      </tx>
    </title>
    <plotArea>
      <pieChart>
        <varyColors val="1"/>
        <ser>
          <idx val="0"/>
          <order val="0"/>
          <spPr>
            <a:ln>
              <a:prstDash val="solid"/>
            </a:ln>
          </spPr>
          <cat>
            <numRef>
              <f>'Innovative Products Of America'!$A$11:$A$16</f>
            </numRef>
          </cat>
          <val>
            <numRef>
              <f>'Innovative Products Of America'!$F$11:$F$16</f>
            </numRef>
          </val>
        </ser>
        <firstSliceAng val="0"/>
      </pieChart>
    </plotArea>
    <legend>
      <legendPos val="r"/>
    </legend>
    <plotVisOnly val="1"/>
    <dispBlanksAs val="gap"/>
  </chart>
</chartSpace>
</file>

<file path=xl/charts/chart172.xml><?xml version="1.0" encoding="utf-8"?>
<chartSpace xmlns:a="http://schemas.openxmlformats.org/drawingml/2006/main" xmlns="http://schemas.openxmlformats.org/drawingml/2006/chart">
  <chart>
    <title>
      <tx>
        <rich>
          <a:bodyPr/>
          <a:p>
            <a:pPr>
              <a:defRPr/>
            </a:pPr>
            <a:r>
              <a:t>Revenue Proportion</a:t>
            </a:r>
          </a:p>
        </rich>
      </tx>
    </title>
    <plotArea>
      <pieChart>
        <varyColors val="1"/>
        <ser>
          <idx val="0"/>
          <order val="0"/>
          <spPr>
            <a:ln>
              <a:prstDash val="solid"/>
            </a:ln>
          </spPr>
          <cat>
            <numRef>
              <f>'Innovative Products Of America'!$A$11:$A$16</f>
            </numRef>
          </cat>
          <val>
            <numRef>
              <f>'Innovative Products Of America'!$J$11:$J$16</f>
            </numRef>
          </val>
        </ser>
        <firstSliceAng val="0"/>
      </pieChart>
    </plotArea>
    <legend>
      <legendPos val="r"/>
    </legend>
    <plotVisOnly val="1"/>
    <dispBlanksAs val="gap"/>
  </chart>
</chartSpace>
</file>

<file path=xl/charts/chart173.xml><?xml version="1.0" encoding="utf-8"?>
<chartSpace xmlns:a="http://schemas.openxmlformats.org/drawingml/2006/main" xmlns="http://schemas.openxmlformats.org/drawingml/2006/chart">
  <chart>
    <title>
      <tx>
        <rich>
          <a:bodyPr/>
          <a:p>
            <a:pPr>
              <a:defRPr/>
            </a:pPr>
            <a:r>
              <a:t>Revenue Year Over Year</a:t>
            </a:r>
          </a:p>
        </rich>
      </tx>
    </title>
    <plotArea>
      <barChart>
        <barDir val="col"/>
        <grouping val="clustered"/>
        <ser>
          <idx val="0"/>
          <order val="0"/>
          <spPr>
            <a:ln>
              <a:prstDash val="solid"/>
            </a:ln>
          </spPr>
          <cat>
            <numRef>
              <f>'Innovative Products Of America'!$A$8:$A$17</f>
            </numRef>
          </cat>
          <val>
            <numRef>
              <f>'Innovative Products Of America'!$M$8:$M$17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74.xml><?xml version="1.0" encoding="utf-8"?>
<chartSpace xmlns:a="http://schemas.openxmlformats.org/drawingml/2006/main" xmlns="http://schemas.openxmlformats.org/drawingml/2006/chart">
  <chart>
    <title>
      <tx>
        <rich>
          <a:bodyPr/>
          <a:p>
            <a:pPr>
              <a:defRPr/>
            </a:pPr>
            <a:r>
              <a:t>Qty Year Over Year</a:t>
            </a:r>
          </a:p>
        </rich>
      </tx>
    </title>
    <plotArea>
      <barChart>
        <barDir val="col"/>
        <grouping val="clustered"/>
        <ser>
          <idx val="0"/>
          <order val="0"/>
          <spPr>
            <a:ln>
              <a:prstDash val="solid"/>
            </a:ln>
          </spPr>
          <cat>
            <numRef>
              <f>'Innovative Products Of America'!$A$8:$A$17</f>
            </numRef>
          </cat>
          <val>
            <numRef>
              <f>'Innovative Products Of America'!$H$8:$H$17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75.xml><?xml version="1.0" encoding="utf-8"?>
<chartSpace xmlns:a="http://schemas.openxmlformats.org/drawingml/2006/main" xmlns="http://schemas.openxmlformats.org/drawingml/2006/chart">
  <chart>
    <title>
      <tx>
        <rich>
          <a:bodyPr/>
          <a:p>
            <a:pPr>
              <a:defRPr/>
            </a:pPr>
            <a:r>
              <a:t>Qty Month Over Month</a:t>
            </a:r>
          </a:p>
        </rich>
      </tx>
    </title>
    <plotArea>
      <barChart>
        <barDir val="col"/>
        <grouping val="clustered"/>
        <ser>
          <idx val="0"/>
          <order val="0"/>
          <spPr>
            <a:ln>
              <a:prstDash val="solid"/>
            </a:ln>
          </spPr>
          <cat>
            <numRef>
              <f>'KINGBOLEN'!$A$8:$A$17</f>
            </numRef>
          </cat>
          <val>
            <numRef>
              <f>'KINGBOLEN'!$G$8:$G$17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76.xml><?xml version="1.0" encoding="utf-8"?>
<chartSpace xmlns:a="http://schemas.openxmlformats.org/drawingml/2006/main" xmlns="http://schemas.openxmlformats.org/drawingml/2006/chart">
  <chart>
    <title>
      <tx>
        <rich>
          <a:bodyPr/>
          <a:p>
            <a:pPr>
              <a:defRPr/>
            </a:pPr>
            <a:r>
              <a:t>Revenue Month Over Month</a:t>
            </a:r>
          </a:p>
        </rich>
      </tx>
    </title>
    <plotArea>
      <barChart>
        <barDir val="col"/>
        <grouping val="clustered"/>
        <ser>
          <idx val="0"/>
          <order val="0"/>
          <spPr>
            <a:ln>
              <a:prstDash val="solid"/>
            </a:ln>
          </spPr>
          <cat>
            <numRef>
              <f>'KINGBOLEN'!$A$8:$A$17</f>
            </numRef>
          </cat>
          <val>
            <numRef>
              <f>'KINGBOLEN'!$L$8:$L$17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77.xml><?xml version="1.0" encoding="utf-8"?>
<chartSpace xmlns:a="http://schemas.openxmlformats.org/drawingml/2006/main" xmlns="http://schemas.openxmlformats.org/drawingml/2006/chart">
  <chart>
    <title>
      <tx>
        <rich>
          <a:bodyPr/>
          <a:p>
            <a:pPr>
              <a:defRPr/>
            </a:pPr>
            <a:r>
              <a:t>Qty Proportion</a:t>
            </a:r>
          </a:p>
        </rich>
      </tx>
    </title>
    <plotArea>
      <pieChart>
        <varyColors val="1"/>
        <ser>
          <idx val="0"/>
          <order val="0"/>
          <spPr>
            <a:ln>
              <a:prstDash val="solid"/>
            </a:ln>
          </spPr>
          <cat>
            <numRef>
              <f>'KINGBOLEN'!$A$11:$A$16</f>
            </numRef>
          </cat>
          <val>
            <numRef>
              <f>'KINGBOLEN'!$F$11:$F$16</f>
            </numRef>
          </val>
        </ser>
        <firstSliceAng val="0"/>
      </pieChart>
    </plotArea>
    <legend>
      <legendPos val="r"/>
    </legend>
    <plotVisOnly val="1"/>
    <dispBlanksAs val="gap"/>
  </chart>
</chartSpace>
</file>

<file path=xl/charts/chart178.xml><?xml version="1.0" encoding="utf-8"?>
<chartSpace xmlns:a="http://schemas.openxmlformats.org/drawingml/2006/main" xmlns="http://schemas.openxmlformats.org/drawingml/2006/chart">
  <chart>
    <title>
      <tx>
        <rich>
          <a:bodyPr/>
          <a:p>
            <a:pPr>
              <a:defRPr/>
            </a:pPr>
            <a:r>
              <a:t>Revenue Proportion</a:t>
            </a:r>
          </a:p>
        </rich>
      </tx>
    </title>
    <plotArea>
      <pieChart>
        <varyColors val="1"/>
        <ser>
          <idx val="0"/>
          <order val="0"/>
          <spPr>
            <a:ln>
              <a:prstDash val="solid"/>
            </a:ln>
          </spPr>
          <cat>
            <numRef>
              <f>'KINGBOLEN'!$A$11:$A$16</f>
            </numRef>
          </cat>
          <val>
            <numRef>
              <f>'KINGBOLEN'!$J$11:$J$16</f>
            </numRef>
          </val>
        </ser>
        <firstSliceAng val="0"/>
      </pieChart>
    </plotArea>
    <legend>
      <legendPos val="r"/>
    </legend>
    <plotVisOnly val="1"/>
    <dispBlanksAs val="gap"/>
  </chart>
</chartSpace>
</file>

<file path=xl/charts/chart179.xml><?xml version="1.0" encoding="utf-8"?>
<chartSpace xmlns:a="http://schemas.openxmlformats.org/drawingml/2006/main" xmlns="http://schemas.openxmlformats.org/drawingml/2006/chart">
  <chart>
    <title>
      <tx>
        <rich>
          <a:bodyPr/>
          <a:p>
            <a:pPr>
              <a:defRPr/>
            </a:pPr>
            <a:r>
              <a:t>Revenue Year Over Year</a:t>
            </a:r>
          </a:p>
        </rich>
      </tx>
    </title>
    <plotArea>
      <barChart>
        <barDir val="col"/>
        <grouping val="clustered"/>
        <ser>
          <idx val="0"/>
          <order val="0"/>
          <spPr>
            <a:ln>
              <a:prstDash val="solid"/>
            </a:ln>
          </spPr>
          <cat>
            <numRef>
              <f>'KINGBOLEN'!$A$8:$A$17</f>
            </numRef>
          </cat>
          <val>
            <numRef>
              <f>'KINGBOLEN'!$M$8:$M$17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80.xml><?xml version="1.0" encoding="utf-8"?>
<chartSpace xmlns:a="http://schemas.openxmlformats.org/drawingml/2006/main" xmlns="http://schemas.openxmlformats.org/drawingml/2006/chart">
  <chart>
    <title>
      <tx>
        <rich>
          <a:bodyPr/>
          <a:p>
            <a:pPr>
              <a:defRPr/>
            </a:pPr>
            <a:r>
              <a:t>Qty Year Over Year</a:t>
            </a:r>
          </a:p>
        </rich>
      </tx>
    </title>
    <plotArea>
      <barChart>
        <barDir val="col"/>
        <grouping val="clustered"/>
        <ser>
          <idx val="0"/>
          <order val="0"/>
          <spPr>
            <a:ln>
              <a:prstDash val="solid"/>
            </a:ln>
          </spPr>
          <cat>
            <numRef>
              <f>'KINGBOLEN'!$A$8:$A$17</f>
            </numRef>
          </cat>
          <val>
            <numRef>
              <f>'KINGBOLEN'!$H$8:$H$17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81.xml><?xml version="1.0" encoding="utf-8"?>
<chartSpace xmlns:a="http://schemas.openxmlformats.org/drawingml/2006/main" xmlns="http://schemas.openxmlformats.org/drawingml/2006/chart">
  <chart>
    <title>
      <tx>
        <rich>
          <a:bodyPr/>
          <a:p>
            <a:pPr>
              <a:defRPr/>
            </a:pPr>
            <a:r>
              <a:t>Qty Month Over Month</a:t>
            </a:r>
          </a:p>
        </rich>
      </tx>
    </title>
    <plotArea>
      <barChart>
        <barDir val="col"/>
        <grouping val="clustered"/>
        <ser>
          <idx val="0"/>
          <order val="0"/>
          <spPr>
            <a:ln>
              <a:prstDash val="solid"/>
            </a:ln>
          </spPr>
          <cat>
            <numRef>
              <f>'Motopower'!$A$8:$A$17</f>
            </numRef>
          </cat>
          <val>
            <numRef>
              <f>'Motopower'!$G$8:$G$17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82.xml><?xml version="1.0" encoding="utf-8"?>
<chartSpace xmlns:a="http://schemas.openxmlformats.org/drawingml/2006/main" xmlns="http://schemas.openxmlformats.org/drawingml/2006/chart">
  <chart>
    <title>
      <tx>
        <rich>
          <a:bodyPr/>
          <a:p>
            <a:pPr>
              <a:defRPr/>
            </a:pPr>
            <a:r>
              <a:t>Revenue Month Over Month</a:t>
            </a:r>
          </a:p>
        </rich>
      </tx>
    </title>
    <plotArea>
      <barChart>
        <barDir val="col"/>
        <grouping val="clustered"/>
        <ser>
          <idx val="0"/>
          <order val="0"/>
          <spPr>
            <a:ln>
              <a:prstDash val="solid"/>
            </a:ln>
          </spPr>
          <cat>
            <numRef>
              <f>'Motopower'!$A$8:$A$17</f>
            </numRef>
          </cat>
          <val>
            <numRef>
              <f>'Motopower'!$L$8:$L$17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83.xml><?xml version="1.0" encoding="utf-8"?>
<chartSpace xmlns:a="http://schemas.openxmlformats.org/drawingml/2006/main" xmlns="http://schemas.openxmlformats.org/drawingml/2006/chart">
  <chart>
    <title>
      <tx>
        <rich>
          <a:bodyPr/>
          <a:p>
            <a:pPr>
              <a:defRPr/>
            </a:pPr>
            <a:r>
              <a:t>Qty Proportion</a:t>
            </a:r>
          </a:p>
        </rich>
      </tx>
    </title>
    <plotArea>
      <pieChart>
        <varyColors val="1"/>
        <ser>
          <idx val="0"/>
          <order val="0"/>
          <spPr>
            <a:ln>
              <a:prstDash val="solid"/>
            </a:ln>
          </spPr>
          <cat>
            <numRef>
              <f>'Motopower'!$A$11:$A$16</f>
            </numRef>
          </cat>
          <val>
            <numRef>
              <f>'Motopower'!$F$11:$F$16</f>
            </numRef>
          </val>
        </ser>
        <firstSliceAng val="0"/>
      </pieChart>
    </plotArea>
    <legend>
      <legendPos val="r"/>
    </legend>
    <plotVisOnly val="1"/>
    <dispBlanksAs val="gap"/>
  </chart>
</chartSpace>
</file>

<file path=xl/charts/chart184.xml><?xml version="1.0" encoding="utf-8"?>
<chartSpace xmlns:a="http://schemas.openxmlformats.org/drawingml/2006/main" xmlns="http://schemas.openxmlformats.org/drawingml/2006/chart">
  <chart>
    <title>
      <tx>
        <rich>
          <a:bodyPr/>
          <a:p>
            <a:pPr>
              <a:defRPr/>
            </a:pPr>
            <a:r>
              <a:t>Revenue Proportion</a:t>
            </a:r>
          </a:p>
        </rich>
      </tx>
    </title>
    <plotArea>
      <pieChart>
        <varyColors val="1"/>
        <ser>
          <idx val="0"/>
          <order val="0"/>
          <spPr>
            <a:ln>
              <a:prstDash val="solid"/>
            </a:ln>
          </spPr>
          <cat>
            <numRef>
              <f>'Motopower'!$A$11:$A$16</f>
            </numRef>
          </cat>
          <val>
            <numRef>
              <f>'Motopower'!$J$11:$J$16</f>
            </numRef>
          </val>
        </ser>
        <firstSliceAng val="0"/>
      </pieChart>
    </plotArea>
    <legend>
      <legendPos val="r"/>
    </legend>
    <plotVisOnly val="1"/>
    <dispBlanksAs val="gap"/>
  </chart>
</chartSpace>
</file>

<file path=xl/charts/chart185.xml><?xml version="1.0" encoding="utf-8"?>
<chartSpace xmlns:a="http://schemas.openxmlformats.org/drawingml/2006/main" xmlns="http://schemas.openxmlformats.org/drawingml/2006/chart">
  <chart>
    <title>
      <tx>
        <rich>
          <a:bodyPr/>
          <a:p>
            <a:pPr>
              <a:defRPr/>
            </a:pPr>
            <a:r>
              <a:t>Revenue Year Over Year</a:t>
            </a:r>
          </a:p>
        </rich>
      </tx>
    </title>
    <plotArea>
      <barChart>
        <barDir val="col"/>
        <grouping val="clustered"/>
        <ser>
          <idx val="0"/>
          <order val="0"/>
          <spPr>
            <a:ln>
              <a:prstDash val="solid"/>
            </a:ln>
          </spPr>
          <cat>
            <numRef>
              <f>'Motopower'!$A$8:$A$17</f>
            </numRef>
          </cat>
          <val>
            <numRef>
              <f>'Motopower'!$M$8:$M$17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86.xml><?xml version="1.0" encoding="utf-8"?>
<chartSpace xmlns:a="http://schemas.openxmlformats.org/drawingml/2006/main" xmlns="http://schemas.openxmlformats.org/drawingml/2006/chart">
  <chart>
    <title>
      <tx>
        <rich>
          <a:bodyPr/>
          <a:p>
            <a:pPr>
              <a:defRPr/>
            </a:pPr>
            <a:r>
              <a:t>Qty Year Over Year</a:t>
            </a:r>
          </a:p>
        </rich>
      </tx>
    </title>
    <plotArea>
      <barChart>
        <barDir val="col"/>
        <grouping val="clustered"/>
        <ser>
          <idx val="0"/>
          <order val="0"/>
          <spPr>
            <a:ln>
              <a:prstDash val="solid"/>
            </a:ln>
          </spPr>
          <cat>
            <numRef>
              <f>'Motopower'!$A$8:$A$17</f>
            </numRef>
          </cat>
          <val>
            <numRef>
              <f>'Motopower'!$H$8:$H$17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87.xml><?xml version="1.0" encoding="utf-8"?>
<chartSpace xmlns:a="http://schemas.openxmlformats.org/drawingml/2006/main" xmlns="http://schemas.openxmlformats.org/drawingml/2006/chart">
  <chart>
    <title>
      <tx>
        <rich>
          <a:bodyPr/>
          <a:p>
            <a:pPr>
              <a:defRPr/>
            </a:pPr>
            <a:r>
              <a:t>Qty Month Over Month</a:t>
            </a:r>
          </a:p>
        </rich>
      </tx>
    </title>
    <plotArea>
      <barChart>
        <barDir val="col"/>
        <grouping val="clustered"/>
        <ser>
          <idx val="0"/>
          <order val="0"/>
          <spPr>
            <a:ln>
              <a:prstDash val="solid"/>
            </a:ln>
          </spPr>
          <cat>
            <numRef>
              <f>'Mucar'!$A$8:$A$17</f>
            </numRef>
          </cat>
          <val>
            <numRef>
              <f>'Mucar'!$G$8:$G$17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88.xml><?xml version="1.0" encoding="utf-8"?>
<chartSpace xmlns:a="http://schemas.openxmlformats.org/drawingml/2006/main" xmlns="http://schemas.openxmlformats.org/drawingml/2006/chart">
  <chart>
    <title>
      <tx>
        <rich>
          <a:bodyPr/>
          <a:p>
            <a:pPr>
              <a:defRPr/>
            </a:pPr>
            <a:r>
              <a:t>Revenue Month Over Month</a:t>
            </a:r>
          </a:p>
        </rich>
      </tx>
    </title>
    <plotArea>
      <barChart>
        <barDir val="col"/>
        <grouping val="clustered"/>
        <ser>
          <idx val="0"/>
          <order val="0"/>
          <spPr>
            <a:ln>
              <a:prstDash val="solid"/>
            </a:ln>
          </spPr>
          <cat>
            <numRef>
              <f>'Mucar'!$A$8:$A$17</f>
            </numRef>
          </cat>
          <val>
            <numRef>
              <f>'Mucar'!$L$8:$L$17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89.xml><?xml version="1.0" encoding="utf-8"?>
<chartSpace xmlns:a="http://schemas.openxmlformats.org/drawingml/2006/main" xmlns="http://schemas.openxmlformats.org/drawingml/2006/chart">
  <chart>
    <title>
      <tx>
        <rich>
          <a:bodyPr/>
          <a:p>
            <a:pPr>
              <a:defRPr/>
            </a:pPr>
            <a:r>
              <a:t>Qty Proportion</a:t>
            </a:r>
          </a:p>
        </rich>
      </tx>
    </title>
    <plotArea>
      <pieChart>
        <varyColors val="1"/>
        <ser>
          <idx val="0"/>
          <order val="0"/>
          <spPr>
            <a:ln>
              <a:prstDash val="solid"/>
            </a:ln>
          </spPr>
          <cat>
            <numRef>
              <f>'Mucar'!$A$11:$A$16</f>
            </numRef>
          </cat>
          <val>
            <numRef>
              <f>'Mucar'!$F$11:$F$16</f>
            </numRef>
          </val>
        </ser>
        <firstSliceAng val="0"/>
      </pieChart>
    </plotArea>
    <legend>
      <legendPos val="r"/>
    </legend>
    <plotVisOnly val="1"/>
    <dispBlanksAs val="gap"/>
  </chart>
</chartSpace>
</file>

<file path=xl/charts/chart190.xml><?xml version="1.0" encoding="utf-8"?>
<chartSpace xmlns:a="http://schemas.openxmlformats.org/drawingml/2006/main" xmlns="http://schemas.openxmlformats.org/drawingml/2006/chart">
  <chart>
    <title>
      <tx>
        <rich>
          <a:bodyPr/>
          <a:p>
            <a:pPr>
              <a:defRPr/>
            </a:pPr>
            <a:r>
              <a:t>Revenue Proportion</a:t>
            </a:r>
          </a:p>
        </rich>
      </tx>
    </title>
    <plotArea>
      <pieChart>
        <varyColors val="1"/>
        <ser>
          <idx val="0"/>
          <order val="0"/>
          <spPr>
            <a:ln>
              <a:prstDash val="solid"/>
            </a:ln>
          </spPr>
          <cat>
            <numRef>
              <f>'Mucar'!$A$11:$A$16</f>
            </numRef>
          </cat>
          <val>
            <numRef>
              <f>'Mucar'!$J$11:$J$16</f>
            </numRef>
          </val>
        </ser>
        <firstSliceAng val="0"/>
      </pieChart>
    </plotArea>
    <legend>
      <legendPos val="r"/>
    </legend>
    <plotVisOnly val="1"/>
    <dispBlanksAs val="gap"/>
  </chart>
</chartSpace>
</file>

<file path=xl/charts/chart191.xml><?xml version="1.0" encoding="utf-8"?>
<chartSpace xmlns:a="http://schemas.openxmlformats.org/drawingml/2006/main" xmlns="http://schemas.openxmlformats.org/drawingml/2006/chart">
  <chart>
    <title>
      <tx>
        <rich>
          <a:bodyPr/>
          <a:p>
            <a:pPr>
              <a:defRPr/>
            </a:pPr>
            <a:r>
              <a:t>Revenue Year Over Year</a:t>
            </a:r>
          </a:p>
        </rich>
      </tx>
    </title>
    <plotArea>
      <barChart>
        <barDir val="col"/>
        <grouping val="clustered"/>
        <ser>
          <idx val="0"/>
          <order val="0"/>
          <spPr>
            <a:ln>
              <a:prstDash val="solid"/>
            </a:ln>
          </spPr>
          <cat>
            <numRef>
              <f>'Mucar'!$A$8:$A$17</f>
            </numRef>
          </cat>
          <val>
            <numRef>
              <f>'Mucar'!$M$8:$M$17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92.xml><?xml version="1.0" encoding="utf-8"?>
<chartSpace xmlns:a="http://schemas.openxmlformats.org/drawingml/2006/main" xmlns="http://schemas.openxmlformats.org/drawingml/2006/chart">
  <chart>
    <title>
      <tx>
        <rich>
          <a:bodyPr/>
          <a:p>
            <a:pPr>
              <a:defRPr/>
            </a:pPr>
            <a:r>
              <a:t>Qty Year Over Year</a:t>
            </a:r>
          </a:p>
        </rich>
      </tx>
    </title>
    <plotArea>
      <barChart>
        <barDir val="col"/>
        <grouping val="clustered"/>
        <ser>
          <idx val="0"/>
          <order val="0"/>
          <spPr>
            <a:ln>
              <a:prstDash val="solid"/>
            </a:ln>
          </spPr>
          <cat>
            <numRef>
              <f>'Mucar'!$A$8:$A$17</f>
            </numRef>
          </cat>
          <val>
            <numRef>
              <f>'Mucar'!$H$8:$H$17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93.xml><?xml version="1.0" encoding="utf-8"?>
<chartSpace xmlns:a="http://schemas.openxmlformats.org/drawingml/2006/main" xmlns="http://schemas.openxmlformats.org/drawingml/2006/chart">
  <chart>
    <title>
      <tx>
        <rich>
          <a:bodyPr/>
          <a:p>
            <a:pPr>
              <a:defRPr/>
            </a:pPr>
            <a:r>
              <a:t>Qty Month Over Month</a:t>
            </a:r>
          </a:p>
        </rich>
      </tx>
    </title>
    <plotArea>
      <barChart>
        <barDir val="col"/>
        <grouping val="clustered"/>
        <ser>
          <idx val="0"/>
          <order val="0"/>
          <spPr>
            <a:ln>
              <a:prstDash val="solid"/>
            </a:ln>
          </spPr>
          <cat>
            <numRef>
              <f>'OBDeleven'!$A$8:$A$17</f>
            </numRef>
          </cat>
          <val>
            <numRef>
              <f>'OBDeleven'!$G$8:$G$17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94.xml><?xml version="1.0" encoding="utf-8"?>
<chartSpace xmlns:a="http://schemas.openxmlformats.org/drawingml/2006/main" xmlns="http://schemas.openxmlformats.org/drawingml/2006/chart">
  <chart>
    <title>
      <tx>
        <rich>
          <a:bodyPr/>
          <a:p>
            <a:pPr>
              <a:defRPr/>
            </a:pPr>
            <a:r>
              <a:t>Revenue Month Over Month</a:t>
            </a:r>
          </a:p>
        </rich>
      </tx>
    </title>
    <plotArea>
      <barChart>
        <barDir val="col"/>
        <grouping val="clustered"/>
        <ser>
          <idx val="0"/>
          <order val="0"/>
          <spPr>
            <a:ln>
              <a:prstDash val="solid"/>
            </a:ln>
          </spPr>
          <cat>
            <numRef>
              <f>'OBDeleven'!$A$8:$A$17</f>
            </numRef>
          </cat>
          <val>
            <numRef>
              <f>'OBDeleven'!$L$8:$L$17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95.xml><?xml version="1.0" encoding="utf-8"?>
<chartSpace xmlns:a="http://schemas.openxmlformats.org/drawingml/2006/main" xmlns="http://schemas.openxmlformats.org/drawingml/2006/chart">
  <chart>
    <title>
      <tx>
        <rich>
          <a:bodyPr/>
          <a:p>
            <a:pPr>
              <a:defRPr/>
            </a:pPr>
            <a:r>
              <a:t>Qty Proportion</a:t>
            </a:r>
          </a:p>
        </rich>
      </tx>
    </title>
    <plotArea>
      <pieChart>
        <varyColors val="1"/>
        <ser>
          <idx val="0"/>
          <order val="0"/>
          <spPr>
            <a:ln>
              <a:prstDash val="solid"/>
            </a:ln>
          </spPr>
          <cat>
            <numRef>
              <f>'OBDeleven'!$A$11:$A$16</f>
            </numRef>
          </cat>
          <val>
            <numRef>
              <f>'OBDeleven'!$F$11:$F$16</f>
            </numRef>
          </val>
        </ser>
        <firstSliceAng val="0"/>
      </pieChart>
    </plotArea>
    <legend>
      <legendPos val="r"/>
    </legend>
    <plotVisOnly val="1"/>
    <dispBlanksAs val="gap"/>
  </chart>
</chartSpace>
</file>

<file path=xl/charts/chart196.xml><?xml version="1.0" encoding="utf-8"?>
<chartSpace xmlns:a="http://schemas.openxmlformats.org/drawingml/2006/main" xmlns="http://schemas.openxmlformats.org/drawingml/2006/chart">
  <chart>
    <title>
      <tx>
        <rich>
          <a:bodyPr/>
          <a:p>
            <a:pPr>
              <a:defRPr/>
            </a:pPr>
            <a:r>
              <a:t>Revenue Proportion</a:t>
            </a:r>
          </a:p>
        </rich>
      </tx>
    </title>
    <plotArea>
      <pieChart>
        <varyColors val="1"/>
        <ser>
          <idx val="0"/>
          <order val="0"/>
          <spPr>
            <a:ln>
              <a:prstDash val="solid"/>
            </a:ln>
          </spPr>
          <cat>
            <numRef>
              <f>'OBDeleven'!$A$11:$A$16</f>
            </numRef>
          </cat>
          <val>
            <numRef>
              <f>'OBDeleven'!$J$11:$J$16</f>
            </numRef>
          </val>
        </ser>
        <firstSliceAng val="0"/>
      </pieChart>
    </plotArea>
    <legend>
      <legendPos val="r"/>
    </legend>
    <plotVisOnly val="1"/>
    <dispBlanksAs val="gap"/>
  </chart>
</chartSpace>
</file>

<file path=xl/charts/chart197.xml><?xml version="1.0" encoding="utf-8"?>
<chartSpace xmlns:a="http://schemas.openxmlformats.org/drawingml/2006/main" xmlns="http://schemas.openxmlformats.org/drawingml/2006/chart">
  <chart>
    <title>
      <tx>
        <rich>
          <a:bodyPr/>
          <a:p>
            <a:pPr>
              <a:defRPr/>
            </a:pPr>
            <a:r>
              <a:t>Revenue Year Over Year</a:t>
            </a:r>
          </a:p>
        </rich>
      </tx>
    </title>
    <plotArea>
      <barChart>
        <barDir val="col"/>
        <grouping val="clustered"/>
        <ser>
          <idx val="0"/>
          <order val="0"/>
          <spPr>
            <a:ln>
              <a:prstDash val="solid"/>
            </a:ln>
          </spPr>
          <cat>
            <numRef>
              <f>'OBDeleven'!$A$8:$A$17</f>
            </numRef>
          </cat>
          <val>
            <numRef>
              <f>'OBDeleven'!$M$8:$M$17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98.xml><?xml version="1.0" encoding="utf-8"?>
<chartSpace xmlns:a="http://schemas.openxmlformats.org/drawingml/2006/main" xmlns="http://schemas.openxmlformats.org/drawingml/2006/chart">
  <chart>
    <title>
      <tx>
        <rich>
          <a:bodyPr/>
          <a:p>
            <a:pPr>
              <a:defRPr/>
            </a:pPr>
            <a:r>
              <a:t>Qty Year Over Year</a:t>
            </a:r>
          </a:p>
        </rich>
      </tx>
    </title>
    <plotArea>
      <barChart>
        <barDir val="col"/>
        <grouping val="clustered"/>
        <ser>
          <idx val="0"/>
          <order val="0"/>
          <spPr>
            <a:ln>
              <a:prstDash val="solid"/>
            </a:ln>
          </spPr>
          <cat>
            <numRef>
              <f>'OBDeleven'!$A$8:$A$17</f>
            </numRef>
          </cat>
          <val>
            <numRef>
              <f>'OBDeleven'!$H$8:$H$17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99.xml><?xml version="1.0" encoding="utf-8"?>
<chartSpace xmlns:a="http://schemas.openxmlformats.org/drawingml/2006/main" xmlns="http://schemas.openxmlformats.org/drawingml/2006/chart">
  <chart>
    <title>
      <tx>
        <rich>
          <a:bodyPr/>
          <a:p>
            <a:pPr>
              <a:defRPr/>
            </a:pPr>
            <a:r>
              <a:t>Qty Month Over Month</a:t>
            </a:r>
          </a:p>
        </rich>
      </tx>
    </title>
    <plotArea>
      <barChart>
        <barDir val="col"/>
        <grouping val="clustered"/>
        <ser>
          <idx val="0"/>
          <order val="0"/>
          <spPr>
            <a:ln>
              <a:prstDash val="solid"/>
            </a:ln>
          </spPr>
          <cat>
            <numRef>
              <f>'OBDLink'!$A$8:$A$17</f>
            </numRef>
          </cat>
          <val>
            <numRef>
              <f>'OBDLink'!$G$8:$G$17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00.xml><?xml version="1.0" encoding="utf-8"?>
<chartSpace xmlns:a="http://schemas.openxmlformats.org/drawingml/2006/main" xmlns="http://schemas.openxmlformats.org/drawingml/2006/chart">
  <chart>
    <title>
      <tx>
        <rich>
          <a:bodyPr/>
          <a:p>
            <a:pPr>
              <a:defRPr/>
            </a:pPr>
            <a:r>
              <a:t>Revenue Month Over Month</a:t>
            </a:r>
          </a:p>
        </rich>
      </tx>
    </title>
    <plotArea>
      <barChart>
        <barDir val="col"/>
        <grouping val="clustered"/>
        <ser>
          <idx val="0"/>
          <order val="0"/>
          <spPr>
            <a:ln>
              <a:prstDash val="solid"/>
            </a:ln>
          </spPr>
          <cat>
            <numRef>
              <f>'OBDLink'!$A$8:$A$17</f>
            </numRef>
          </cat>
          <val>
            <numRef>
              <f>'OBDLink'!$L$8:$L$17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01.xml><?xml version="1.0" encoding="utf-8"?>
<chartSpace xmlns:a="http://schemas.openxmlformats.org/drawingml/2006/main" xmlns="http://schemas.openxmlformats.org/drawingml/2006/chart">
  <chart>
    <title>
      <tx>
        <rich>
          <a:bodyPr/>
          <a:p>
            <a:pPr>
              <a:defRPr/>
            </a:pPr>
            <a:r>
              <a:t>Qty Proportion</a:t>
            </a:r>
          </a:p>
        </rich>
      </tx>
    </title>
    <plotArea>
      <pieChart>
        <varyColors val="1"/>
        <ser>
          <idx val="0"/>
          <order val="0"/>
          <spPr>
            <a:ln>
              <a:prstDash val="solid"/>
            </a:ln>
          </spPr>
          <cat>
            <numRef>
              <f>'OBDLink'!$A$11:$A$16</f>
            </numRef>
          </cat>
          <val>
            <numRef>
              <f>'OBDLink'!$F$11:$F$16</f>
            </numRef>
          </val>
        </ser>
        <firstSliceAng val="0"/>
      </pieChart>
    </plotArea>
    <legend>
      <legendPos val="r"/>
    </legend>
    <plotVisOnly val="1"/>
    <dispBlanksAs val="gap"/>
  </chart>
</chartSpace>
</file>

<file path=xl/charts/chart202.xml><?xml version="1.0" encoding="utf-8"?>
<chartSpace xmlns:a="http://schemas.openxmlformats.org/drawingml/2006/main" xmlns="http://schemas.openxmlformats.org/drawingml/2006/chart">
  <chart>
    <title>
      <tx>
        <rich>
          <a:bodyPr/>
          <a:p>
            <a:pPr>
              <a:defRPr/>
            </a:pPr>
            <a:r>
              <a:t>Revenue Proportion</a:t>
            </a:r>
          </a:p>
        </rich>
      </tx>
    </title>
    <plotArea>
      <pieChart>
        <varyColors val="1"/>
        <ser>
          <idx val="0"/>
          <order val="0"/>
          <spPr>
            <a:ln>
              <a:prstDash val="solid"/>
            </a:ln>
          </spPr>
          <cat>
            <numRef>
              <f>'OBDLink'!$A$11:$A$16</f>
            </numRef>
          </cat>
          <val>
            <numRef>
              <f>'OBDLink'!$J$11:$J$16</f>
            </numRef>
          </val>
        </ser>
        <firstSliceAng val="0"/>
      </pieChart>
    </plotArea>
    <legend>
      <legendPos val="r"/>
    </legend>
    <plotVisOnly val="1"/>
    <dispBlanksAs val="gap"/>
  </chart>
</chartSpace>
</file>

<file path=xl/charts/chart203.xml><?xml version="1.0" encoding="utf-8"?>
<chartSpace xmlns:a="http://schemas.openxmlformats.org/drawingml/2006/main" xmlns="http://schemas.openxmlformats.org/drawingml/2006/chart">
  <chart>
    <title>
      <tx>
        <rich>
          <a:bodyPr/>
          <a:p>
            <a:pPr>
              <a:defRPr/>
            </a:pPr>
            <a:r>
              <a:t>Revenue Year Over Year</a:t>
            </a:r>
          </a:p>
        </rich>
      </tx>
    </title>
    <plotArea>
      <barChart>
        <barDir val="col"/>
        <grouping val="clustered"/>
        <ser>
          <idx val="0"/>
          <order val="0"/>
          <spPr>
            <a:ln>
              <a:prstDash val="solid"/>
            </a:ln>
          </spPr>
          <cat>
            <numRef>
              <f>'OBDLink'!$A$8:$A$17</f>
            </numRef>
          </cat>
          <val>
            <numRef>
              <f>'OBDLink'!$M$8:$M$17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04.xml><?xml version="1.0" encoding="utf-8"?>
<chartSpace xmlns:a="http://schemas.openxmlformats.org/drawingml/2006/main" xmlns="http://schemas.openxmlformats.org/drawingml/2006/chart">
  <chart>
    <title>
      <tx>
        <rich>
          <a:bodyPr/>
          <a:p>
            <a:pPr>
              <a:defRPr/>
            </a:pPr>
            <a:r>
              <a:t>Qty Year Over Year</a:t>
            </a:r>
          </a:p>
        </rich>
      </tx>
    </title>
    <plotArea>
      <barChart>
        <barDir val="col"/>
        <grouping val="clustered"/>
        <ser>
          <idx val="0"/>
          <order val="0"/>
          <spPr>
            <a:ln>
              <a:prstDash val="solid"/>
            </a:ln>
          </spPr>
          <cat>
            <numRef>
              <f>'OBDLink'!$A$8:$A$17</f>
            </numRef>
          </cat>
          <val>
            <numRef>
              <f>'OBDLink'!$H$8:$H$17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05.xml><?xml version="1.0" encoding="utf-8"?>
<chartSpace xmlns:a="http://schemas.openxmlformats.org/drawingml/2006/main" xmlns="http://schemas.openxmlformats.org/drawingml/2006/chart">
  <chart>
    <title>
      <tx>
        <rich>
          <a:bodyPr/>
          <a:p>
            <a:pPr>
              <a:defRPr/>
            </a:pPr>
            <a:r>
              <a:t>Qty Month Over Month</a:t>
            </a:r>
          </a:p>
        </rich>
      </tx>
    </title>
    <plotArea>
      <barChart>
        <barDir val="col"/>
        <grouping val="clustered"/>
        <ser>
          <idx val="0"/>
          <order val="0"/>
          <spPr>
            <a:ln>
              <a:prstDash val="solid"/>
            </a:ln>
          </spPr>
          <cat>
            <numRef>
              <f>'OPUS | IVS'!$A$8:$A$17</f>
            </numRef>
          </cat>
          <val>
            <numRef>
              <f>'OPUS | IVS'!$G$8:$G$17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06.xml><?xml version="1.0" encoding="utf-8"?>
<chartSpace xmlns:a="http://schemas.openxmlformats.org/drawingml/2006/main" xmlns="http://schemas.openxmlformats.org/drawingml/2006/chart">
  <chart>
    <title>
      <tx>
        <rich>
          <a:bodyPr/>
          <a:p>
            <a:pPr>
              <a:defRPr/>
            </a:pPr>
            <a:r>
              <a:t>Revenue Month Over Month</a:t>
            </a:r>
          </a:p>
        </rich>
      </tx>
    </title>
    <plotArea>
      <barChart>
        <barDir val="col"/>
        <grouping val="clustered"/>
        <ser>
          <idx val="0"/>
          <order val="0"/>
          <spPr>
            <a:ln>
              <a:prstDash val="solid"/>
            </a:ln>
          </spPr>
          <cat>
            <numRef>
              <f>'OPUS | IVS'!$A$8:$A$17</f>
            </numRef>
          </cat>
          <val>
            <numRef>
              <f>'OPUS | IVS'!$L$8:$L$17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07.xml><?xml version="1.0" encoding="utf-8"?>
<chartSpace xmlns:a="http://schemas.openxmlformats.org/drawingml/2006/main" xmlns="http://schemas.openxmlformats.org/drawingml/2006/chart">
  <chart>
    <title>
      <tx>
        <rich>
          <a:bodyPr/>
          <a:p>
            <a:pPr>
              <a:defRPr/>
            </a:pPr>
            <a:r>
              <a:t>Qty Proportion</a:t>
            </a:r>
          </a:p>
        </rich>
      </tx>
    </title>
    <plotArea>
      <pieChart>
        <varyColors val="1"/>
        <ser>
          <idx val="0"/>
          <order val="0"/>
          <spPr>
            <a:ln>
              <a:prstDash val="solid"/>
            </a:ln>
          </spPr>
          <cat>
            <numRef>
              <f>'OPUS | IVS'!$A$11:$A$16</f>
            </numRef>
          </cat>
          <val>
            <numRef>
              <f>'OPUS | IVS'!$F$11:$F$16</f>
            </numRef>
          </val>
        </ser>
        <firstSliceAng val="0"/>
      </pieChart>
    </plotArea>
    <legend>
      <legendPos val="r"/>
    </legend>
    <plotVisOnly val="1"/>
    <dispBlanksAs val="gap"/>
  </chart>
</chartSpace>
</file>

<file path=xl/charts/chart208.xml><?xml version="1.0" encoding="utf-8"?>
<chartSpace xmlns:a="http://schemas.openxmlformats.org/drawingml/2006/main" xmlns="http://schemas.openxmlformats.org/drawingml/2006/chart">
  <chart>
    <title>
      <tx>
        <rich>
          <a:bodyPr/>
          <a:p>
            <a:pPr>
              <a:defRPr/>
            </a:pPr>
            <a:r>
              <a:t>Revenue Proportion</a:t>
            </a:r>
          </a:p>
        </rich>
      </tx>
    </title>
    <plotArea>
      <pieChart>
        <varyColors val="1"/>
        <ser>
          <idx val="0"/>
          <order val="0"/>
          <spPr>
            <a:ln>
              <a:prstDash val="solid"/>
            </a:ln>
          </spPr>
          <cat>
            <numRef>
              <f>'OPUS | IVS'!$A$11:$A$16</f>
            </numRef>
          </cat>
          <val>
            <numRef>
              <f>'OPUS | IVS'!$J$11:$J$16</f>
            </numRef>
          </val>
        </ser>
        <firstSliceAng val="0"/>
      </pieChart>
    </plotArea>
    <legend>
      <legendPos val="r"/>
    </legend>
    <plotVisOnly val="1"/>
    <dispBlanksAs val="gap"/>
  </chart>
</chartSpace>
</file>

<file path=xl/charts/chart209.xml><?xml version="1.0" encoding="utf-8"?>
<chartSpace xmlns:a="http://schemas.openxmlformats.org/drawingml/2006/main" xmlns="http://schemas.openxmlformats.org/drawingml/2006/chart">
  <chart>
    <title>
      <tx>
        <rich>
          <a:bodyPr/>
          <a:p>
            <a:pPr>
              <a:defRPr/>
            </a:pPr>
            <a:r>
              <a:t>Revenue Year Over Year</a:t>
            </a:r>
          </a:p>
        </rich>
      </tx>
    </title>
    <plotArea>
      <barChart>
        <barDir val="col"/>
        <grouping val="clustered"/>
        <ser>
          <idx val="0"/>
          <order val="0"/>
          <spPr>
            <a:ln>
              <a:prstDash val="solid"/>
            </a:ln>
          </spPr>
          <cat>
            <numRef>
              <f>'OPUS | IVS'!$A$8:$A$17</f>
            </numRef>
          </cat>
          <val>
            <numRef>
              <f>'OPUS | IVS'!$M$8:$M$17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10.xml><?xml version="1.0" encoding="utf-8"?>
<chartSpace xmlns:a="http://schemas.openxmlformats.org/drawingml/2006/main" xmlns="http://schemas.openxmlformats.org/drawingml/2006/chart">
  <chart>
    <title>
      <tx>
        <rich>
          <a:bodyPr/>
          <a:p>
            <a:pPr>
              <a:defRPr/>
            </a:pPr>
            <a:r>
              <a:t>Qty Year Over Year</a:t>
            </a:r>
          </a:p>
        </rich>
      </tx>
    </title>
    <plotArea>
      <barChart>
        <barDir val="col"/>
        <grouping val="clustered"/>
        <ser>
          <idx val="0"/>
          <order val="0"/>
          <spPr>
            <a:ln>
              <a:prstDash val="solid"/>
            </a:ln>
          </spPr>
          <cat>
            <numRef>
              <f>'OPUS | IVS'!$A$8:$A$17</f>
            </numRef>
          </cat>
          <val>
            <numRef>
              <f>'OPUS | IVS'!$H$8:$H$17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11.xml><?xml version="1.0" encoding="utf-8"?>
<chartSpace xmlns:a="http://schemas.openxmlformats.org/drawingml/2006/main" xmlns="http://schemas.openxmlformats.org/drawingml/2006/chart">
  <chart>
    <title>
      <tx>
        <rich>
          <a:bodyPr/>
          <a:p>
            <a:pPr>
              <a:defRPr/>
            </a:pPr>
            <a:r>
              <a:t>Qty Month Over Month</a:t>
            </a:r>
          </a:p>
        </rich>
      </tx>
    </title>
    <plotArea>
      <barChart>
        <barDir val="col"/>
        <grouping val="clustered"/>
        <ser>
          <idx val="0"/>
          <order val="0"/>
          <spPr>
            <a:ln>
              <a:prstDash val="solid"/>
            </a:ln>
          </spPr>
          <cat>
            <numRef>
              <f>'Veepeak'!$A$8:$A$17</f>
            </numRef>
          </cat>
          <val>
            <numRef>
              <f>'Veepeak'!$G$8:$G$17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12.xml><?xml version="1.0" encoding="utf-8"?>
<chartSpace xmlns:a="http://schemas.openxmlformats.org/drawingml/2006/main" xmlns="http://schemas.openxmlformats.org/drawingml/2006/chart">
  <chart>
    <title>
      <tx>
        <rich>
          <a:bodyPr/>
          <a:p>
            <a:pPr>
              <a:defRPr/>
            </a:pPr>
            <a:r>
              <a:t>Revenue Month Over Month</a:t>
            </a:r>
          </a:p>
        </rich>
      </tx>
    </title>
    <plotArea>
      <barChart>
        <barDir val="col"/>
        <grouping val="clustered"/>
        <ser>
          <idx val="0"/>
          <order val="0"/>
          <spPr>
            <a:ln>
              <a:prstDash val="solid"/>
            </a:ln>
          </spPr>
          <cat>
            <numRef>
              <f>'Veepeak'!$A$8:$A$17</f>
            </numRef>
          </cat>
          <val>
            <numRef>
              <f>'Veepeak'!$L$8:$L$17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13.xml><?xml version="1.0" encoding="utf-8"?>
<chartSpace xmlns:a="http://schemas.openxmlformats.org/drawingml/2006/main" xmlns="http://schemas.openxmlformats.org/drawingml/2006/chart">
  <chart>
    <title>
      <tx>
        <rich>
          <a:bodyPr/>
          <a:p>
            <a:pPr>
              <a:defRPr/>
            </a:pPr>
            <a:r>
              <a:t>Qty Proportion</a:t>
            </a:r>
          </a:p>
        </rich>
      </tx>
    </title>
    <plotArea>
      <pieChart>
        <varyColors val="1"/>
        <ser>
          <idx val="0"/>
          <order val="0"/>
          <spPr>
            <a:ln>
              <a:prstDash val="solid"/>
            </a:ln>
          </spPr>
          <cat>
            <numRef>
              <f>'Veepeak'!$A$11:$A$16</f>
            </numRef>
          </cat>
          <val>
            <numRef>
              <f>'Veepeak'!$F$11:$F$16</f>
            </numRef>
          </val>
        </ser>
        <firstSliceAng val="0"/>
      </pieChart>
    </plotArea>
    <legend>
      <legendPos val="r"/>
    </legend>
    <plotVisOnly val="1"/>
    <dispBlanksAs val="gap"/>
  </chart>
</chartSpace>
</file>

<file path=xl/charts/chart214.xml><?xml version="1.0" encoding="utf-8"?>
<chartSpace xmlns:a="http://schemas.openxmlformats.org/drawingml/2006/main" xmlns="http://schemas.openxmlformats.org/drawingml/2006/chart">
  <chart>
    <title>
      <tx>
        <rich>
          <a:bodyPr/>
          <a:p>
            <a:pPr>
              <a:defRPr/>
            </a:pPr>
            <a:r>
              <a:t>Revenue Proportion</a:t>
            </a:r>
          </a:p>
        </rich>
      </tx>
    </title>
    <plotArea>
      <pieChart>
        <varyColors val="1"/>
        <ser>
          <idx val="0"/>
          <order val="0"/>
          <spPr>
            <a:ln>
              <a:prstDash val="solid"/>
            </a:ln>
          </spPr>
          <cat>
            <numRef>
              <f>'Veepeak'!$A$11:$A$16</f>
            </numRef>
          </cat>
          <val>
            <numRef>
              <f>'Veepeak'!$J$11:$J$16</f>
            </numRef>
          </val>
        </ser>
        <firstSliceAng val="0"/>
      </pieChart>
    </plotArea>
    <legend>
      <legendPos val="r"/>
    </legend>
    <plotVisOnly val="1"/>
    <dispBlanksAs val="gap"/>
  </chart>
</chartSpace>
</file>

<file path=xl/charts/chart215.xml><?xml version="1.0" encoding="utf-8"?>
<chartSpace xmlns:a="http://schemas.openxmlformats.org/drawingml/2006/main" xmlns="http://schemas.openxmlformats.org/drawingml/2006/chart">
  <chart>
    <title>
      <tx>
        <rich>
          <a:bodyPr/>
          <a:p>
            <a:pPr>
              <a:defRPr/>
            </a:pPr>
            <a:r>
              <a:t>Revenue Year Over Year</a:t>
            </a:r>
          </a:p>
        </rich>
      </tx>
    </title>
    <plotArea>
      <barChart>
        <barDir val="col"/>
        <grouping val="clustered"/>
        <ser>
          <idx val="0"/>
          <order val="0"/>
          <spPr>
            <a:ln>
              <a:prstDash val="solid"/>
            </a:ln>
          </spPr>
          <cat>
            <numRef>
              <f>'Veepeak'!$A$8:$A$17</f>
            </numRef>
          </cat>
          <val>
            <numRef>
              <f>'Veepeak'!$M$8:$M$17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16.xml><?xml version="1.0" encoding="utf-8"?>
<chartSpace xmlns:a="http://schemas.openxmlformats.org/drawingml/2006/main" xmlns="http://schemas.openxmlformats.org/drawingml/2006/chart">
  <chart>
    <title>
      <tx>
        <rich>
          <a:bodyPr/>
          <a:p>
            <a:pPr>
              <a:defRPr/>
            </a:pPr>
            <a:r>
              <a:t>Qty Year Over Year</a:t>
            </a:r>
          </a:p>
        </rich>
      </tx>
    </title>
    <plotArea>
      <barChart>
        <barDir val="col"/>
        <grouping val="clustered"/>
        <ser>
          <idx val="0"/>
          <order val="0"/>
          <spPr>
            <a:ln>
              <a:prstDash val="solid"/>
            </a:ln>
          </spPr>
          <cat>
            <numRef>
              <f>'Veepeak'!$A$8:$A$17</f>
            </numRef>
          </cat>
          <val>
            <numRef>
              <f>'Veepeak'!$H$8:$H$17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17.xml><?xml version="1.0" encoding="utf-8"?>
<chartSpace xmlns:a="http://schemas.openxmlformats.org/drawingml/2006/main" xmlns="http://schemas.openxmlformats.org/drawingml/2006/chart">
  <chart>
    <title>
      <tx>
        <rich>
          <a:bodyPr/>
          <a:p>
            <a:pPr>
              <a:defRPr/>
            </a:pPr>
            <a:r>
              <a:t>Qty Month Over Month</a:t>
            </a:r>
          </a:p>
        </rich>
      </tx>
    </title>
    <plotArea>
      <barChart>
        <barDir val="col"/>
        <grouping val="clustered"/>
        <ser>
          <idx val="0"/>
          <order val="0"/>
          <spPr>
            <a:ln>
              <a:prstDash val="solid"/>
            </a:ln>
          </spPr>
          <cat>
            <numRef>
              <f>'Vgate'!$A$8:$A$17</f>
            </numRef>
          </cat>
          <val>
            <numRef>
              <f>'Vgate'!$G$8:$G$17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18.xml><?xml version="1.0" encoding="utf-8"?>
<chartSpace xmlns:a="http://schemas.openxmlformats.org/drawingml/2006/main" xmlns="http://schemas.openxmlformats.org/drawingml/2006/chart">
  <chart>
    <title>
      <tx>
        <rich>
          <a:bodyPr/>
          <a:p>
            <a:pPr>
              <a:defRPr/>
            </a:pPr>
            <a:r>
              <a:t>Revenue Month Over Month</a:t>
            </a:r>
          </a:p>
        </rich>
      </tx>
    </title>
    <plotArea>
      <barChart>
        <barDir val="col"/>
        <grouping val="clustered"/>
        <ser>
          <idx val="0"/>
          <order val="0"/>
          <spPr>
            <a:ln>
              <a:prstDash val="solid"/>
            </a:ln>
          </spPr>
          <cat>
            <numRef>
              <f>'Vgate'!$A$8:$A$17</f>
            </numRef>
          </cat>
          <val>
            <numRef>
              <f>'Vgate'!$L$8:$L$17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19.xml><?xml version="1.0" encoding="utf-8"?>
<chartSpace xmlns:a="http://schemas.openxmlformats.org/drawingml/2006/main" xmlns="http://schemas.openxmlformats.org/drawingml/2006/chart">
  <chart>
    <title>
      <tx>
        <rich>
          <a:bodyPr/>
          <a:p>
            <a:pPr>
              <a:defRPr/>
            </a:pPr>
            <a:r>
              <a:t>Qty Proportion</a:t>
            </a:r>
          </a:p>
        </rich>
      </tx>
    </title>
    <plotArea>
      <pieChart>
        <varyColors val="1"/>
        <ser>
          <idx val="0"/>
          <order val="0"/>
          <spPr>
            <a:ln>
              <a:prstDash val="solid"/>
            </a:ln>
          </spPr>
          <cat>
            <numRef>
              <f>'Vgate'!$A$11:$A$16</f>
            </numRef>
          </cat>
          <val>
            <numRef>
              <f>'Vgate'!$F$11:$F$16</f>
            </numRef>
          </val>
        </ser>
        <firstSliceAng val="0"/>
      </pieChart>
    </plotArea>
    <legend>
      <legendPos val="r"/>
    </legend>
    <plotVisOnly val="1"/>
    <dispBlanksAs val="gap"/>
  </chart>
</chartSpace>
</file>

<file path=xl/charts/chart220.xml><?xml version="1.0" encoding="utf-8"?>
<chartSpace xmlns:a="http://schemas.openxmlformats.org/drawingml/2006/main" xmlns="http://schemas.openxmlformats.org/drawingml/2006/chart">
  <chart>
    <title>
      <tx>
        <rich>
          <a:bodyPr/>
          <a:p>
            <a:pPr>
              <a:defRPr/>
            </a:pPr>
            <a:r>
              <a:t>Revenue Proportion</a:t>
            </a:r>
          </a:p>
        </rich>
      </tx>
    </title>
    <plotArea>
      <pieChart>
        <varyColors val="1"/>
        <ser>
          <idx val="0"/>
          <order val="0"/>
          <spPr>
            <a:ln>
              <a:prstDash val="solid"/>
            </a:ln>
          </spPr>
          <cat>
            <numRef>
              <f>'Vgate'!$A$11:$A$16</f>
            </numRef>
          </cat>
          <val>
            <numRef>
              <f>'Vgate'!$J$11:$J$16</f>
            </numRef>
          </val>
        </ser>
        <firstSliceAng val="0"/>
      </pieChart>
    </plotArea>
    <legend>
      <legendPos val="r"/>
    </legend>
    <plotVisOnly val="1"/>
    <dispBlanksAs val="gap"/>
  </chart>
</chartSpace>
</file>

<file path=xl/charts/chart221.xml><?xml version="1.0" encoding="utf-8"?>
<chartSpace xmlns:a="http://schemas.openxmlformats.org/drawingml/2006/main" xmlns="http://schemas.openxmlformats.org/drawingml/2006/chart">
  <chart>
    <title>
      <tx>
        <rich>
          <a:bodyPr/>
          <a:p>
            <a:pPr>
              <a:defRPr/>
            </a:pPr>
            <a:r>
              <a:t>Revenue Year Over Year</a:t>
            </a:r>
          </a:p>
        </rich>
      </tx>
    </title>
    <plotArea>
      <barChart>
        <barDir val="col"/>
        <grouping val="clustered"/>
        <ser>
          <idx val="0"/>
          <order val="0"/>
          <spPr>
            <a:ln>
              <a:prstDash val="solid"/>
            </a:ln>
          </spPr>
          <cat>
            <numRef>
              <f>'Vgate'!$A$8:$A$17</f>
            </numRef>
          </cat>
          <val>
            <numRef>
              <f>'Vgate'!$M$8:$M$17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22.xml><?xml version="1.0" encoding="utf-8"?>
<chartSpace xmlns:a="http://schemas.openxmlformats.org/drawingml/2006/main" xmlns="http://schemas.openxmlformats.org/drawingml/2006/chart">
  <chart>
    <title>
      <tx>
        <rich>
          <a:bodyPr/>
          <a:p>
            <a:pPr>
              <a:defRPr/>
            </a:pPr>
            <a:r>
              <a:t>Qty Year Over Year</a:t>
            </a:r>
          </a:p>
        </rich>
      </tx>
    </title>
    <plotArea>
      <barChart>
        <barDir val="col"/>
        <grouping val="clustered"/>
        <ser>
          <idx val="0"/>
          <order val="0"/>
          <spPr>
            <a:ln>
              <a:prstDash val="solid"/>
            </a:ln>
          </spPr>
          <cat>
            <numRef>
              <f>'Vgate'!$A$8:$A$17</f>
            </numRef>
          </cat>
          <val>
            <numRef>
              <f>'Vgate'!$H$8:$H$17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23.xml><?xml version="1.0" encoding="utf-8"?>
<chartSpace xmlns:a="http://schemas.openxmlformats.org/drawingml/2006/main" xmlns="http://schemas.openxmlformats.org/drawingml/2006/chart">
  <chart>
    <title>
      <tx>
        <rich>
          <a:bodyPr/>
          <a:p>
            <a:pPr>
              <a:defRPr/>
            </a:pPr>
            <a:r>
              <a:t>Qty Month Over Month</a:t>
            </a:r>
          </a:p>
        </rich>
      </tx>
    </title>
    <plotArea>
      <barChart>
        <barDir val="col"/>
        <grouping val="clustered"/>
        <ser>
          <idx val="0"/>
          <order val="0"/>
          <spPr>
            <a:ln>
              <a:prstDash val="solid"/>
            </a:ln>
          </spPr>
          <cat>
            <numRef>
              <f>'Z Automotive'!$A$8:$A$17</f>
            </numRef>
          </cat>
          <val>
            <numRef>
              <f>'Z Automotive'!$G$8:$G$17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24.xml><?xml version="1.0" encoding="utf-8"?>
<chartSpace xmlns:a="http://schemas.openxmlformats.org/drawingml/2006/main" xmlns="http://schemas.openxmlformats.org/drawingml/2006/chart">
  <chart>
    <title>
      <tx>
        <rich>
          <a:bodyPr/>
          <a:p>
            <a:pPr>
              <a:defRPr/>
            </a:pPr>
            <a:r>
              <a:t>Revenue Month Over Month</a:t>
            </a:r>
          </a:p>
        </rich>
      </tx>
    </title>
    <plotArea>
      <barChart>
        <barDir val="col"/>
        <grouping val="clustered"/>
        <ser>
          <idx val="0"/>
          <order val="0"/>
          <spPr>
            <a:ln>
              <a:prstDash val="solid"/>
            </a:ln>
          </spPr>
          <cat>
            <numRef>
              <f>'Z Automotive'!$A$8:$A$17</f>
            </numRef>
          </cat>
          <val>
            <numRef>
              <f>'Z Automotive'!$L$8:$L$17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25.xml><?xml version="1.0" encoding="utf-8"?>
<chartSpace xmlns:a="http://schemas.openxmlformats.org/drawingml/2006/main" xmlns="http://schemas.openxmlformats.org/drawingml/2006/chart">
  <chart>
    <title>
      <tx>
        <rich>
          <a:bodyPr/>
          <a:p>
            <a:pPr>
              <a:defRPr/>
            </a:pPr>
            <a:r>
              <a:t>Qty Proportion</a:t>
            </a:r>
          </a:p>
        </rich>
      </tx>
    </title>
    <plotArea>
      <pieChart>
        <varyColors val="1"/>
        <ser>
          <idx val="0"/>
          <order val="0"/>
          <spPr>
            <a:ln>
              <a:prstDash val="solid"/>
            </a:ln>
          </spPr>
          <cat>
            <numRef>
              <f>'Z Automotive'!$A$11:$A$16</f>
            </numRef>
          </cat>
          <val>
            <numRef>
              <f>'Z Automotive'!$F$11:$F$16</f>
            </numRef>
          </val>
        </ser>
        <firstSliceAng val="0"/>
      </pieChart>
    </plotArea>
    <legend>
      <legendPos val="r"/>
    </legend>
    <plotVisOnly val="1"/>
    <dispBlanksAs val="gap"/>
  </chart>
</chartSpace>
</file>

<file path=xl/charts/chart226.xml><?xml version="1.0" encoding="utf-8"?>
<chartSpace xmlns:a="http://schemas.openxmlformats.org/drawingml/2006/main" xmlns="http://schemas.openxmlformats.org/drawingml/2006/chart">
  <chart>
    <title>
      <tx>
        <rich>
          <a:bodyPr/>
          <a:p>
            <a:pPr>
              <a:defRPr/>
            </a:pPr>
            <a:r>
              <a:t>Revenue Proportion</a:t>
            </a:r>
          </a:p>
        </rich>
      </tx>
    </title>
    <plotArea>
      <pieChart>
        <varyColors val="1"/>
        <ser>
          <idx val="0"/>
          <order val="0"/>
          <spPr>
            <a:ln>
              <a:prstDash val="solid"/>
            </a:ln>
          </spPr>
          <cat>
            <numRef>
              <f>'Z Automotive'!$A$11:$A$16</f>
            </numRef>
          </cat>
          <val>
            <numRef>
              <f>'Z Automotive'!$J$11:$J$16</f>
            </numRef>
          </val>
        </ser>
        <firstSliceAng val="0"/>
      </pieChart>
    </plotArea>
    <legend>
      <legendPos val="r"/>
    </legend>
    <plotVisOnly val="1"/>
    <dispBlanksAs val="gap"/>
  </chart>
</chartSpace>
</file>

<file path=xl/charts/chart227.xml><?xml version="1.0" encoding="utf-8"?>
<chartSpace xmlns:a="http://schemas.openxmlformats.org/drawingml/2006/main" xmlns="http://schemas.openxmlformats.org/drawingml/2006/chart">
  <chart>
    <title>
      <tx>
        <rich>
          <a:bodyPr/>
          <a:p>
            <a:pPr>
              <a:defRPr/>
            </a:pPr>
            <a:r>
              <a:t>Revenue Year Over Year</a:t>
            </a:r>
          </a:p>
        </rich>
      </tx>
    </title>
    <plotArea>
      <barChart>
        <barDir val="col"/>
        <grouping val="clustered"/>
        <ser>
          <idx val="0"/>
          <order val="0"/>
          <spPr>
            <a:ln>
              <a:prstDash val="solid"/>
            </a:ln>
          </spPr>
          <cat>
            <numRef>
              <f>'Z Automotive'!$A$8:$A$17</f>
            </numRef>
          </cat>
          <val>
            <numRef>
              <f>'Z Automotive'!$M$8:$M$17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28.xml><?xml version="1.0" encoding="utf-8"?>
<chartSpace xmlns:a="http://schemas.openxmlformats.org/drawingml/2006/main" xmlns="http://schemas.openxmlformats.org/drawingml/2006/chart">
  <chart>
    <title>
      <tx>
        <rich>
          <a:bodyPr/>
          <a:p>
            <a:pPr>
              <a:defRPr/>
            </a:pPr>
            <a:r>
              <a:t>Qty Year Over Year</a:t>
            </a:r>
          </a:p>
        </rich>
      </tx>
    </title>
    <plotArea>
      <barChart>
        <barDir val="col"/>
        <grouping val="clustered"/>
        <ser>
          <idx val="0"/>
          <order val="0"/>
          <spPr>
            <a:ln>
              <a:prstDash val="solid"/>
            </a:ln>
          </spPr>
          <cat>
            <numRef>
              <f>'Z Automotive'!$A$8:$A$17</f>
            </numRef>
          </cat>
          <val>
            <numRef>
              <f>'Z Automotive'!$H$8:$H$17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drawings/_rels/drawing1.xml.rels><?xml version="1.0" encoding="UTF-8" standalone="yes"?>
<Relationships xmlns="http://schemas.openxmlformats.org/package/2006/relationships"><Relationship Type="http://schemas.openxmlformats.org/officeDocument/2006/relationships/chart" Target="../charts/chart1.xml" Id="rId1" /><Relationship Type="http://schemas.openxmlformats.org/officeDocument/2006/relationships/chart" Target="../charts/chart2.xml" Id="rId2" /><Relationship Type="http://schemas.openxmlformats.org/officeDocument/2006/relationships/chart" Target="../charts/chart3.xml" Id="rId3" /><Relationship Type="http://schemas.openxmlformats.org/officeDocument/2006/relationships/chart" Target="../charts/chart4.xml" Id="rId4" /><Relationship Type="http://schemas.openxmlformats.org/officeDocument/2006/relationships/chart" Target="../charts/chart5.xml" Id="rId5" /><Relationship Type="http://schemas.openxmlformats.org/officeDocument/2006/relationships/chart" Target="../charts/chart6.xml" Id="rId6" /></Relationships>
</file>

<file path=xl/drawings/_rels/drawing2.xml.rels><?xml version="1.0" encoding="UTF-8" standalone="yes"?>
<Relationships xmlns="http://schemas.openxmlformats.org/package/2006/relationships"><Relationship Type="http://schemas.openxmlformats.org/officeDocument/2006/relationships/chart" Target="../charts/chart7.xml" Id="rId1" /><Relationship Type="http://schemas.openxmlformats.org/officeDocument/2006/relationships/chart" Target="../charts/chart8.xml" Id="rId2" /><Relationship Type="http://schemas.openxmlformats.org/officeDocument/2006/relationships/chart" Target="../charts/chart9.xml" Id="rId3" /><Relationship Type="http://schemas.openxmlformats.org/officeDocument/2006/relationships/chart" Target="../charts/chart10.xml" Id="rId4" /><Relationship Type="http://schemas.openxmlformats.org/officeDocument/2006/relationships/chart" Target="../charts/chart11.xml" Id="rId5" /><Relationship Type="http://schemas.openxmlformats.org/officeDocument/2006/relationships/chart" Target="../charts/chart12.xml" Id="rId6" /></Relationships>
</file>

<file path=xl/drawings/_rels/drawing3.xml.rels><?xml version="1.0" encoding="UTF-8" standalone="yes"?>
<Relationships xmlns="http://schemas.openxmlformats.org/package/2006/relationships"><Relationship Type="http://schemas.openxmlformats.org/officeDocument/2006/relationships/chart" Target="../charts/chart13.xml" Id="rId1" /><Relationship Type="http://schemas.openxmlformats.org/officeDocument/2006/relationships/chart" Target="../charts/chart14.xml" Id="rId2" /><Relationship Type="http://schemas.openxmlformats.org/officeDocument/2006/relationships/chart" Target="../charts/chart15.xml" Id="rId3" /><Relationship Type="http://schemas.openxmlformats.org/officeDocument/2006/relationships/chart" Target="../charts/chart16.xml" Id="rId4" /><Relationship Type="http://schemas.openxmlformats.org/officeDocument/2006/relationships/chart" Target="../charts/chart17.xml" Id="rId5" /><Relationship Type="http://schemas.openxmlformats.org/officeDocument/2006/relationships/chart" Target="../charts/chart18.xml" Id="rId6" /></Relationships>
</file>

<file path=xl/drawings/_rels/drawing4.xml.rels><?xml version="1.0" encoding="UTF-8" standalone="yes"?>
<Relationships xmlns="http://schemas.openxmlformats.org/package/2006/relationships"><Relationship Type="http://schemas.openxmlformats.org/officeDocument/2006/relationships/chart" Target="../charts/chart19.xml" Id="rId1" /><Relationship Type="http://schemas.openxmlformats.org/officeDocument/2006/relationships/chart" Target="../charts/chart20.xml" Id="rId2" /><Relationship Type="http://schemas.openxmlformats.org/officeDocument/2006/relationships/chart" Target="../charts/chart21.xml" Id="rId3" /><Relationship Type="http://schemas.openxmlformats.org/officeDocument/2006/relationships/chart" Target="../charts/chart22.xml" Id="rId4" /><Relationship Type="http://schemas.openxmlformats.org/officeDocument/2006/relationships/chart" Target="../charts/chart23.xml" Id="rId5" /><Relationship Type="http://schemas.openxmlformats.org/officeDocument/2006/relationships/chart" Target="../charts/chart24.xml" Id="rId6" /></Relationships>
</file>

<file path=xl/drawings/_rels/drawing5.xml.rels><?xml version="1.0" encoding="UTF-8" standalone="yes"?>
<Relationships xmlns="http://schemas.openxmlformats.org/package/2006/relationships"><Relationship Type="http://schemas.openxmlformats.org/officeDocument/2006/relationships/chart" Target="../charts/chart25.xml" Id="rId1" /><Relationship Type="http://schemas.openxmlformats.org/officeDocument/2006/relationships/chart" Target="../charts/chart26.xml" Id="rId2" /><Relationship Type="http://schemas.openxmlformats.org/officeDocument/2006/relationships/chart" Target="../charts/chart27.xml" Id="rId3" /><Relationship Type="http://schemas.openxmlformats.org/officeDocument/2006/relationships/chart" Target="../charts/chart28.xml" Id="rId4" /><Relationship Type="http://schemas.openxmlformats.org/officeDocument/2006/relationships/chart" Target="../charts/chart29.xml" Id="rId5" /><Relationship Type="http://schemas.openxmlformats.org/officeDocument/2006/relationships/chart" Target="../charts/chart30.xml" Id="rId6" /></Relationships>
</file>

<file path=xl/drawings/_rels/drawing6.xml.rels><?xml version="1.0" encoding="UTF-8" standalone="yes"?>
<Relationships xmlns="http://schemas.openxmlformats.org/package/2006/relationships"><Relationship Type="http://schemas.openxmlformats.org/officeDocument/2006/relationships/chart" Target="../charts/chart31.xml" Id="rId1" /><Relationship Type="http://schemas.openxmlformats.org/officeDocument/2006/relationships/chart" Target="../charts/chart32.xml" Id="rId2" /><Relationship Type="http://schemas.openxmlformats.org/officeDocument/2006/relationships/chart" Target="../charts/chart33.xml" Id="rId3" /><Relationship Type="http://schemas.openxmlformats.org/officeDocument/2006/relationships/chart" Target="../charts/chart34.xml" Id="rId4" /><Relationship Type="http://schemas.openxmlformats.org/officeDocument/2006/relationships/chart" Target="../charts/chart35.xml" Id="rId5" /><Relationship Type="http://schemas.openxmlformats.org/officeDocument/2006/relationships/chart" Target="../charts/chart36.xml" Id="rId6" /></Relationships>
</file>

<file path=xl/drawings/_rels/drawing7.xml.rels><?xml version="1.0" encoding="UTF-8" standalone="yes"?>
<Relationships xmlns="http://schemas.openxmlformats.org/package/2006/relationships"><Relationship Type="http://schemas.openxmlformats.org/officeDocument/2006/relationships/chart" Target="../charts/chart37.xml" Id="rId1" /><Relationship Type="http://schemas.openxmlformats.org/officeDocument/2006/relationships/chart" Target="../charts/chart38.xml" Id="rId2" /><Relationship Type="http://schemas.openxmlformats.org/officeDocument/2006/relationships/chart" Target="../charts/chart39.xml" Id="rId3" /><Relationship Type="http://schemas.openxmlformats.org/officeDocument/2006/relationships/chart" Target="../charts/chart40.xml" Id="rId4" /><Relationship Type="http://schemas.openxmlformats.org/officeDocument/2006/relationships/chart" Target="../charts/chart41.xml" Id="rId5" /><Relationship Type="http://schemas.openxmlformats.org/officeDocument/2006/relationships/chart" Target="../charts/chart42.xml" Id="rId6" /></Relationships>
</file>

<file path=xl/drawings/_rels/drawing8.xml.rels><?xml version="1.0" encoding="UTF-8" standalone="yes"?>
<Relationships xmlns="http://schemas.openxmlformats.org/package/2006/relationships"><Relationship Type="http://schemas.openxmlformats.org/officeDocument/2006/relationships/chart" Target="../charts/chart43.xml" Id="rId1" /><Relationship Type="http://schemas.openxmlformats.org/officeDocument/2006/relationships/chart" Target="../charts/chart44.xml" Id="rId2" /><Relationship Type="http://schemas.openxmlformats.org/officeDocument/2006/relationships/chart" Target="../charts/chart45.xml" Id="rId3" /><Relationship Type="http://schemas.openxmlformats.org/officeDocument/2006/relationships/chart" Target="../charts/chart46.xml" Id="rId4" /><Relationship Type="http://schemas.openxmlformats.org/officeDocument/2006/relationships/chart" Target="../charts/chart47.xml" Id="rId5" /><Relationship Type="http://schemas.openxmlformats.org/officeDocument/2006/relationships/chart" Target="../charts/chart48.xml" Id="rId6" /></Relationships>
</file>

<file path=xl/drawings/_rels/drawing9.xml.rels><?xml version="1.0" encoding="UTF-8" standalone="yes"?>
<Relationships xmlns="http://schemas.openxmlformats.org/package/2006/relationships"><Relationship Type="http://schemas.openxmlformats.org/officeDocument/2006/relationships/chart" Target="../charts/chart49.xml" Id="rId1" /><Relationship Type="http://schemas.openxmlformats.org/officeDocument/2006/relationships/chart" Target="../charts/chart50.xml" Id="rId2" /><Relationship Type="http://schemas.openxmlformats.org/officeDocument/2006/relationships/chart" Target="../charts/chart51.xml" Id="rId3" /><Relationship Type="http://schemas.openxmlformats.org/officeDocument/2006/relationships/chart" Target="../charts/chart52.xml" Id="rId4" /><Relationship Type="http://schemas.openxmlformats.org/officeDocument/2006/relationships/chart" Target="../charts/chart53.xml" Id="rId5" /><Relationship Type="http://schemas.openxmlformats.org/officeDocument/2006/relationships/chart" Target="../charts/chart54.xml" Id="rId6" /></Relationships>
</file>

<file path=xl/drawings/_rels/drawing10.xml.rels><?xml version="1.0" encoding="UTF-8" standalone="yes"?>
<Relationships xmlns="http://schemas.openxmlformats.org/package/2006/relationships"><Relationship Type="http://schemas.openxmlformats.org/officeDocument/2006/relationships/chart" Target="../charts/chart55.xml" Id="rId1" /><Relationship Type="http://schemas.openxmlformats.org/officeDocument/2006/relationships/chart" Target="../charts/chart56.xml" Id="rId2" /><Relationship Type="http://schemas.openxmlformats.org/officeDocument/2006/relationships/chart" Target="../charts/chart57.xml" Id="rId3" /><Relationship Type="http://schemas.openxmlformats.org/officeDocument/2006/relationships/chart" Target="../charts/chart58.xml" Id="rId4" /><Relationship Type="http://schemas.openxmlformats.org/officeDocument/2006/relationships/chart" Target="../charts/chart59.xml" Id="rId5" /><Relationship Type="http://schemas.openxmlformats.org/officeDocument/2006/relationships/chart" Target="../charts/chart60.xml" Id="rId6" /></Relationships>
</file>

<file path=xl/drawings/_rels/drawing11.xml.rels><?xml version="1.0" encoding="UTF-8" standalone="yes"?>
<Relationships xmlns="http://schemas.openxmlformats.org/package/2006/relationships"><Relationship Type="http://schemas.openxmlformats.org/officeDocument/2006/relationships/chart" Target="../charts/chart61.xml" Id="rId1" /><Relationship Type="http://schemas.openxmlformats.org/officeDocument/2006/relationships/chart" Target="../charts/chart62.xml" Id="rId2" /><Relationship Type="http://schemas.openxmlformats.org/officeDocument/2006/relationships/chart" Target="../charts/chart63.xml" Id="rId3" /><Relationship Type="http://schemas.openxmlformats.org/officeDocument/2006/relationships/chart" Target="../charts/chart64.xml" Id="rId4" /><Relationship Type="http://schemas.openxmlformats.org/officeDocument/2006/relationships/chart" Target="../charts/chart65.xml" Id="rId5" /><Relationship Type="http://schemas.openxmlformats.org/officeDocument/2006/relationships/chart" Target="../charts/chart66.xml" Id="rId6" /></Relationships>
</file>

<file path=xl/drawings/_rels/drawing12.xml.rels><?xml version="1.0" encoding="UTF-8" standalone="yes"?>
<Relationships xmlns="http://schemas.openxmlformats.org/package/2006/relationships"><Relationship Type="http://schemas.openxmlformats.org/officeDocument/2006/relationships/chart" Target="../charts/chart67.xml" Id="rId1" /><Relationship Type="http://schemas.openxmlformats.org/officeDocument/2006/relationships/chart" Target="../charts/chart68.xml" Id="rId2" /><Relationship Type="http://schemas.openxmlformats.org/officeDocument/2006/relationships/chart" Target="../charts/chart69.xml" Id="rId3" /><Relationship Type="http://schemas.openxmlformats.org/officeDocument/2006/relationships/chart" Target="../charts/chart70.xml" Id="rId4" /><Relationship Type="http://schemas.openxmlformats.org/officeDocument/2006/relationships/chart" Target="../charts/chart71.xml" Id="rId5" /><Relationship Type="http://schemas.openxmlformats.org/officeDocument/2006/relationships/chart" Target="../charts/chart72.xml" Id="rId6" /></Relationships>
</file>

<file path=xl/drawings/_rels/drawing13.xml.rels><?xml version="1.0" encoding="UTF-8" standalone="yes"?>
<Relationships xmlns="http://schemas.openxmlformats.org/package/2006/relationships"><Relationship Type="http://schemas.openxmlformats.org/officeDocument/2006/relationships/chart" Target="../charts/chart73.xml" Id="rId1" /><Relationship Type="http://schemas.openxmlformats.org/officeDocument/2006/relationships/chart" Target="../charts/chart74.xml" Id="rId2" /><Relationship Type="http://schemas.openxmlformats.org/officeDocument/2006/relationships/chart" Target="../charts/chart75.xml" Id="rId3" /><Relationship Type="http://schemas.openxmlformats.org/officeDocument/2006/relationships/chart" Target="../charts/chart76.xml" Id="rId4" /><Relationship Type="http://schemas.openxmlformats.org/officeDocument/2006/relationships/chart" Target="../charts/chart77.xml" Id="rId5" /><Relationship Type="http://schemas.openxmlformats.org/officeDocument/2006/relationships/chart" Target="../charts/chart78.xml" Id="rId6" /></Relationships>
</file>

<file path=xl/drawings/_rels/drawing14.xml.rels><?xml version="1.0" encoding="UTF-8" standalone="yes"?>
<Relationships xmlns="http://schemas.openxmlformats.org/package/2006/relationships"><Relationship Type="http://schemas.openxmlformats.org/officeDocument/2006/relationships/chart" Target="../charts/chart79.xml" Id="rId1" /><Relationship Type="http://schemas.openxmlformats.org/officeDocument/2006/relationships/chart" Target="../charts/chart80.xml" Id="rId2" /><Relationship Type="http://schemas.openxmlformats.org/officeDocument/2006/relationships/chart" Target="../charts/chart81.xml" Id="rId3" /><Relationship Type="http://schemas.openxmlformats.org/officeDocument/2006/relationships/chart" Target="../charts/chart82.xml" Id="rId4" /><Relationship Type="http://schemas.openxmlformats.org/officeDocument/2006/relationships/chart" Target="../charts/chart83.xml" Id="rId5" /><Relationship Type="http://schemas.openxmlformats.org/officeDocument/2006/relationships/chart" Target="../charts/chart84.xml" Id="rId6" /></Relationships>
</file>

<file path=xl/drawings/_rels/drawing15.xml.rels><?xml version="1.0" encoding="UTF-8" standalone="yes"?>
<Relationships xmlns="http://schemas.openxmlformats.org/package/2006/relationships"><Relationship Type="http://schemas.openxmlformats.org/officeDocument/2006/relationships/chart" Target="../charts/chart85.xml" Id="rId1" /><Relationship Type="http://schemas.openxmlformats.org/officeDocument/2006/relationships/chart" Target="../charts/chart86.xml" Id="rId2" /><Relationship Type="http://schemas.openxmlformats.org/officeDocument/2006/relationships/chart" Target="../charts/chart87.xml" Id="rId3" /><Relationship Type="http://schemas.openxmlformats.org/officeDocument/2006/relationships/chart" Target="../charts/chart88.xml" Id="rId4" /><Relationship Type="http://schemas.openxmlformats.org/officeDocument/2006/relationships/chart" Target="../charts/chart89.xml" Id="rId5" /><Relationship Type="http://schemas.openxmlformats.org/officeDocument/2006/relationships/chart" Target="../charts/chart90.xml" Id="rId6" /></Relationships>
</file>

<file path=xl/drawings/_rels/drawing16.xml.rels><?xml version="1.0" encoding="UTF-8" standalone="yes"?>
<Relationships xmlns="http://schemas.openxmlformats.org/package/2006/relationships"><Relationship Type="http://schemas.openxmlformats.org/officeDocument/2006/relationships/chart" Target="../charts/chart91.xml" Id="rId1" /><Relationship Type="http://schemas.openxmlformats.org/officeDocument/2006/relationships/chart" Target="../charts/chart92.xml" Id="rId2" /><Relationship Type="http://schemas.openxmlformats.org/officeDocument/2006/relationships/chart" Target="../charts/chart93.xml" Id="rId3" /><Relationship Type="http://schemas.openxmlformats.org/officeDocument/2006/relationships/chart" Target="../charts/chart94.xml" Id="rId4" /><Relationship Type="http://schemas.openxmlformats.org/officeDocument/2006/relationships/chart" Target="../charts/chart95.xml" Id="rId5" /><Relationship Type="http://schemas.openxmlformats.org/officeDocument/2006/relationships/chart" Target="../charts/chart96.xml" Id="rId6" /></Relationships>
</file>

<file path=xl/drawings/_rels/drawing17.xml.rels><?xml version="1.0" encoding="UTF-8" standalone="yes"?>
<Relationships xmlns="http://schemas.openxmlformats.org/package/2006/relationships"><Relationship Type="http://schemas.openxmlformats.org/officeDocument/2006/relationships/chart" Target="../charts/chart97.xml" Id="rId1" /><Relationship Type="http://schemas.openxmlformats.org/officeDocument/2006/relationships/chart" Target="../charts/chart98.xml" Id="rId2" /><Relationship Type="http://schemas.openxmlformats.org/officeDocument/2006/relationships/chart" Target="../charts/chart99.xml" Id="rId3" /><Relationship Type="http://schemas.openxmlformats.org/officeDocument/2006/relationships/chart" Target="../charts/chart100.xml" Id="rId4" /><Relationship Type="http://schemas.openxmlformats.org/officeDocument/2006/relationships/chart" Target="../charts/chart101.xml" Id="rId5" /><Relationship Type="http://schemas.openxmlformats.org/officeDocument/2006/relationships/chart" Target="../charts/chart102.xml" Id="rId6" /></Relationships>
</file>

<file path=xl/drawings/_rels/drawing18.xml.rels><?xml version="1.0" encoding="UTF-8" standalone="yes"?>
<Relationships xmlns="http://schemas.openxmlformats.org/package/2006/relationships"><Relationship Type="http://schemas.openxmlformats.org/officeDocument/2006/relationships/chart" Target="../charts/chart103.xml" Id="rId1" /><Relationship Type="http://schemas.openxmlformats.org/officeDocument/2006/relationships/chart" Target="../charts/chart104.xml" Id="rId2" /><Relationship Type="http://schemas.openxmlformats.org/officeDocument/2006/relationships/chart" Target="../charts/chart105.xml" Id="rId3" /><Relationship Type="http://schemas.openxmlformats.org/officeDocument/2006/relationships/chart" Target="../charts/chart106.xml" Id="rId4" /><Relationship Type="http://schemas.openxmlformats.org/officeDocument/2006/relationships/chart" Target="../charts/chart107.xml" Id="rId5" /><Relationship Type="http://schemas.openxmlformats.org/officeDocument/2006/relationships/chart" Target="../charts/chart108.xml" Id="rId6" /></Relationships>
</file>

<file path=xl/drawings/_rels/drawing19.xml.rels><?xml version="1.0" encoding="UTF-8" standalone="yes"?>
<Relationships xmlns="http://schemas.openxmlformats.org/package/2006/relationships"><Relationship Type="http://schemas.openxmlformats.org/officeDocument/2006/relationships/chart" Target="../charts/chart109.xml" Id="rId1" /><Relationship Type="http://schemas.openxmlformats.org/officeDocument/2006/relationships/chart" Target="../charts/chart110.xml" Id="rId2" /><Relationship Type="http://schemas.openxmlformats.org/officeDocument/2006/relationships/chart" Target="../charts/chart111.xml" Id="rId3" /><Relationship Type="http://schemas.openxmlformats.org/officeDocument/2006/relationships/chart" Target="../charts/chart112.xml" Id="rId4" /><Relationship Type="http://schemas.openxmlformats.org/officeDocument/2006/relationships/chart" Target="../charts/chart113.xml" Id="rId5" /><Relationship Type="http://schemas.openxmlformats.org/officeDocument/2006/relationships/chart" Target="../charts/chart114.xml" Id="rId6" /></Relationships>
</file>

<file path=xl/drawings/_rels/drawing20.xml.rels><?xml version="1.0" encoding="UTF-8" standalone="yes"?>
<Relationships xmlns="http://schemas.openxmlformats.org/package/2006/relationships"><Relationship Type="http://schemas.openxmlformats.org/officeDocument/2006/relationships/chart" Target="../charts/chart115.xml" Id="rId1" /><Relationship Type="http://schemas.openxmlformats.org/officeDocument/2006/relationships/chart" Target="../charts/chart116.xml" Id="rId2" /><Relationship Type="http://schemas.openxmlformats.org/officeDocument/2006/relationships/chart" Target="../charts/chart117.xml" Id="rId3" /><Relationship Type="http://schemas.openxmlformats.org/officeDocument/2006/relationships/chart" Target="../charts/chart118.xml" Id="rId4" /><Relationship Type="http://schemas.openxmlformats.org/officeDocument/2006/relationships/chart" Target="../charts/chart119.xml" Id="rId5" /><Relationship Type="http://schemas.openxmlformats.org/officeDocument/2006/relationships/chart" Target="../charts/chart120.xml" Id="rId6" /></Relationships>
</file>

<file path=xl/drawings/_rels/drawing21.xml.rels><?xml version="1.0" encoding="UTF-8" standalone="yes"?>
<Relationships xmlns="http://schemas.openxmlformats.org/package/2006/relationships"><Relationship Type="http://schemas.openxmlformats.org/officeDocument/2006/relationships/chart" Target="../charts/chart121.xml" Id="rId1" /><Relationship Type="http://schemas.openxmlformats.org/officeDocument/2006/relationships/chart" Target="../charts/chart122.xml" Id="rId2" /><Relationship Type="http://schemas.openxmlformats.org/officeDocument/2006/relationships/chart" Target="../charts/chart123.xml" Id="rId3" /><Relationship Type="http://schemas.openxmlformats.org/officeDocument/2006/relationships/chart" Target="../charts/chart124.xml" Id="rId4" /><Relationship Type="http://schemas.openxmlformats.org/officeDocument/2006/relationships/chart" Target="../charts/chart125.xml" Id="rId5" /><Relationship Type="http://schemas.openxmlformats.org/officeDocument/2006/relationships/chart" Target="../charts/chart126.xml" Id="rId6" /></Relationships>
</file>

<file path=xl/drawings/_rels/drawing22.xml.rels><?xml version="1.0" encoding="UTF-8" standalone="yes"?>
<Relationships xmlns="http://schemas.openxmlformats.org/package/2006/relationships"><Relationship Type="http://schemas.openxmlformats.org/officeDocument/2006/relationships/chart" Target="../charts/chart127.xml" Id="rId1" /><Relationship Type="http://schemas.openxmlformats.org/officeDocument/2006/relationships/chart" Target="../charts/chart128.xml" Id="rId2" /><Relationship Type="http://schemas.openxmlformats.org/officeDocument/2006/relationships/chart" Target="../charts/chart129.xml" Id="rId3" /><Relationship Type="http://schemas.openxmlformats.org/officeDocument/2006/relationships/chart" Target="../charts/chart130.xml" Id="rId4" /><Relationship Type="http://schemas.openxmlformats.org/officeDocument/2006/relationships/chart" Target="../charts/chart131.xml" Id="rId5" /><Relationship Type="http://schemas.openxmlformats.org/officeDocument/2006/relationships/chart" Target="../charts/chart132.xml" Id="rId6" /></Relationships>
</file>

<file path=xl/drawings/_rels/drawing23.xml.rels><?xml version="1.0" encoding="UTF-8" standalone="yes"?>
<Relationships xmlns="http://schemas.openxmlformats.org/package/2006/relationships"><Relationship Type="http://schemas.openxmlformats.org/officeDocument/2006/relationships/chart" Target="../charts/chart133.xml" Id="rId1" /><Relationship Type="http://schemas.openxmlformats.org/officeDocument/2006/relationships/chart" Target="../charts/chart134.xml" Id="rId2" /><Relationship Type="http://schemas.openxmlformats.org/officeDocument/2006/relationships/chart" Target="../charts/chart135.xml" Id="rId3" /><Relationship Type="http://schemas.openxmlformats.org/officeDocument/2006/relationships/chart" Target="../charts/chart136.xml" Id="rId4" /><Relationship Type="http://schemas.openxmlformats.org/officeDocument/2006/relationships/chart" Target="../charts/chart137.xml" Id="rId5" /><Relationship Type="http://schemas.openxmlformats.org/officeDocument/2006/relationships/chart" Target="../charts/chart138.xml" Id="rId6" /></Relationships>
</file>

<file path=xl/drawings/_rels/drawing24.xml.rels><?xml version="1.0" encoding="UTF-8" standalone="yes"?>
<Relationships xmlns="http://schemas.openxmlformats.org/package/2006/relationships"><Relationship Type="http://schemas.openxmlformats.org/officeDocument/2006/relationships/chart" Target="../charts/chart139.xml" Id="rId1" /><Relationship Type="http://schemas.openxmlformats.org/officeDocument/2006/relationships/chart" Target="../charts/chart140.xml" Id="rId2" /><Relationship Type="http://schemas.openxmlformats.org/officeDocument/2006/relationships/chart" Target="../charts/chart141.xml" Id="rId3" /><Relationship Type="http://schemas.openxmlformats.org/officeDocument/2006/relationships/chart" Target="../charts/chart142.xml" Id="rId4" /><Relationship Type="http://schemas.openxmlformats.org/officeDocument/2006/relationships/chart" Target="../charts/chart143.xml" Id="rId5" /><Relationship Type="http://schemas.openxmlformats.org/officeDocument/2006/relationships/chart" Target="../charts/chart144.xml" Id="rId6" /></Relationships>
</file>

<file path=xl/drawings/_rels/drawing25.xml.rels><?xml version="1.0" encoding="UTF-8" standalone="yes"?>
<Relationships xmlns="http://schemas.openxmlformats.org/package/2006/relationships"><Relationship Type="http://schemas.openxmlformats.org/officeDocument/2006/relationships/chart" Target="../charts/chart145.xml" Id="rId1" /><Relationship Type="http://schemas.openxmlformats.org/officeDocument/2006/relationships/chart" Target="../charts/chart146.xml" Id="rId2" /><Relationship Type="http://schemas.openxmlformats.org/officeDocument/2006/relationships/chart" Target="../charts/chart147.xml" Id="rId3" /><Relationship Type="http://schemas.openxmlformats.org/officeDocument/2006/relationships/chart" Target="../charts/chart148.xml" Id="rId4" /><Relationship Type="http://schemas.openxmlformats.org/officeDocument/2006/relationships/chart" Target="../charts/chart149.xml" Id="rId5" /><Relationship Type="http://schemas.openxmlformats.org/officeDocument/2006/relationships/chart" Target="../charts/chart150.xml" Id="rId6" /></Relationships>
</file>

<file path=xl/drawings/_rels/drawing26.xml.rels><?xml version="1.0" encoding="UTF-8" standalone="yes"?>
<Relationships xmlns="http://schemas.openxmlformats.org/package/2006/relationships"><Relationship Type="http://schemas.openxmlformats.org/officeDocument/2006/relationships/chart" Target="../charts/chart151.xml" Id="rId1" /><Relationship Type="http://schemas.openxmlformats.org/officeDocument/2006/relationships/chart" Target="../charts/chart152.xml" Id="rId2" /><Relationship Type="http://schemas.openxmlformats.org/officeDocument/2006/relationships/chart" Target="../charts/chart153.xml" Id="rId3" /><Relationship Type="http://schemas.openxmlformats.org/officeDocument/2006/relationships/chart" Target="../charts/chart154.xml" Id="rId4" /><Relationship Type="http://schemas.openxmlformats.org/officeDocument/2006/relationships/chart" Target="../charts/chart155.xml" Id="rId5" /><Relationship Type="http://schemas.openxmlformats.org/officeDocument/2006/relationships/chart" Target="../charts/chart156.xml" Id="rId6" /></Relationships>
</file>

<file path=xl/drawings/_rels/drawing27.xml.rels><?xml version="1.0" encoding="UTF-8" standalone="yes"?>
<Relationships xmlns="http://schemas.openxmlformats.org/package/2006/relationships"><Relationship Type="http://schemas.openxmlformats.org/officeDocument/2006/relationships/chart" Target="../charts/chart157.xml" Id="rId1" /><Relationship Type="http://schemas.openxmlformats.org/officeDocument/2006/relationships/chart" Target="../charts/chart158.xml" Id="rId2" /><Relationship Type="http://schemas.openxmlformats.org/officeDocument/2006/relationships/chart" Target="../charts/chart159.xml" Id="rId3" /><Relationship Type="http://schemas.openxmlformats.org/officeDocument/2006/relationships/chart" Target="../charts/chart160.xml" Id="rId4" /><Relationship Type="http://schemas.openxmlformats.org/officeDocument/2006/relationships/chart" Target="../charts/chart161.xml" Id="rId5" /><Relationship Type="http://schemas.openxmlformats.org/officeDocument/2006/relationships/chart" Target="../charts/chart162.xml" Id="rId6" /></Relationships>
</file>

<file path=xl/drawings/_rels/drawing28.xml.rels><?xml version="1.0" encoding="UTF-8" standalone="yes"?>
<Relationships xmlns="http://schemas.openxmlformats.org/package/2006/relationships"><Relationship Type="http://schemas.openxmlformats.org/officeDocument/2006/relationships/chart" Target="../charts/chart163.xml" Id="rId1" /><Relationship Type="http://schemas.openxmlformats.org/officeDocument/2006/relationships/chart" Target="../charts/chart164.xml" Id="rId2" /><Relationship Type="http://schemas.openxmlformats.org/officeDocument/2006/relationships/chart" Target="../charts/chart165.xml" Id="rId3" /><Relationship Type="http://schemas.openxmlformats.org/officeDocument/2006/relationships/chart" Target="../charts/chart166.xml" Id="rId4" /><Relationship Type="http://schemas.openxmlformats.org/officeDocument/2006/relationships/chart" Target="../charts/chart167.xml" Id="rId5" /><Relationship Type="http://schemas.openxmlformats.org/officeDocument/2006/relationships/chart" Target="../charts/chart168.xml" Id="rId6" /></Relationships>
</file>

<file path=xl/drawings/_rels/drawing29.xml.rels><?xml version="1.0" encoding="UTF-8" standalone="yes"?>
<Relationships xmlns="http://schemas.openxmlformats.org/package/2006/relationships"><Relationship Type="http://schemas.openxmlformats.org/officeDocument/2006/relationships/chart" Target="../charts/chart169.xml" Id="rId1" /><Relationship Type="http://schemas.openxmlformats.org/officeDocument/2006/relationships/chart" Target="../charts/chart170.xml" Id="rId2" /><Relationship Type="http://schemas.openxmlformats.org/officeDocument/2006/relationships/chart" Target="../charts/chart171.xml" Id="rId3" /><Relationship Type="http://schemas.openxmlformats.org/officeDocument/2006/relationships/chart" Target="../charts/chart172.xml" Id="rId4" /><Relationship Type="http://schemas.openxmlformats.org/officeDocument/2006/relationships/chart" Target="../charts/chart173.xml" Id="rId5" /><Relationship Type="http://schemas.openxmlformats.org/officeDocument/2006/relationships/chart" Target="../charts/chart174.xml" Id="rId6" /></Relationships>
</file>

<file path=xl/drawings/_rels/drawing30.xml.rels><?xml version="1.0" encoding="UTF-8" standalone="yes"?>
<Relationships xmlns="http://schemas.openxmlformats.org/package/2006/relationships"><Relationship Type="http://schemas.openxmlformats.org/officeDocument/2006/relationships/chart" Target="../charts/chart175.xml" Id="rId1" /><Relationship Type="http://schemas.openxmlformats.org/officeDocument/2006/relationships/chart" Target="../charts/chart176.xml" Id="rId2" /><Relationship Type="http://schemas.openxmlformats.org/officeDocument/2006/relationships/chart" Target="../charts/chart177.xml" Id="rId3" /><Relationship Type="http://schemas.openxmlformats.org/officeDocument/2006/relationships/chart" Target="../charts/chart178.xml" Id="rId4" /><Relationship Type="http://schemas.openxmlformats.org/officeDocument/2006/relationships/chart" Target="../charts/chart179.xml" Id="rId5" /><Relationship Type="http://schemas.openxmlformats.org/officeDocument/2006/relationships/chart" Target="../charts/chart180.xml" Id="rId6" /></Relationships>
</file>

<file path=xl/drawings/_rels/drawing31.xml.rels><?xml version="1.0" encoding="UTF-8" standalone="yes"?>
<Relationships xmlns="http://schemas.openxmlformats.org/package/2006/relationships"><Relationship Type="http://schemas.openxmlformats.org/officeDocument/2006/relationships/chart" Target="../charts/chart181.xml" Id="rId1" /><Relationship Type="http://schemas.openxmlformats.org/officeDocument/2006/relationships/chart" Target="../charts/chart182.xml" Id="rId2" /><Relationship Type="http://schemas.openxmlformats.org/officeDocument/2006/relationships/chart" Target="../charts/chart183.xml" Id="rId3" /><Relationship Type="http://schemas.openxmlformats.org/officeDocument/2006/relationships/chart" Target="../charts/chart184.xml" Id="rId4" /><Relationship Type="http://schemas.openxmlformats.org/officeDocument/2006/relationships/chart" Target="../charts/chart185.xml" Id="rId5" /><Relationship Type="http://schemas.openxmlformats.org/officeDocument/2006/relationships/chart" Target="../charts/chart186.xml" Id="rId6" /></Relationships>
</file>

<file path=xl/drawings/_rels/drawing32.xml.rels><?xml version="1.0" encoding="UTF-8" standalone="yes"?>
<Relationships xmlns="http://schemas.openxmlformats.org/package/2006/relationships"><Relationship Type="http://schemas.openxmlformats.org/officeDocument/2006/relationships/chart" Target="../charts/chart187.xml" Id="rId1" /><Relationship Type="http://schemas.openxmlformats.org/officeDocument/2006/relationships/chart" Target="../charts/chart188.xml" Id="rId2" /><Relationship Type="http://schemas.openxmlformats.org/officeDocument/2006/relationships/chart" Target="../charts/chart189.xml" Id="rId3" /><Relationship Type="http://schemas.openxmlformats.org/officeDocument/2006/relationships/chart" Target="../charts/chart190.xml" Id="rId4" /><Relationship Type="http://schemas.openxmlformats.org/officeDocument/2006/relationships/chart" Target="../charts/chart191.xml" Id="rId5" /><Relationship Type="http://schemas.openxmlformats.org/officeDocument/2006/relationships/chart" Target="../charts/chart192.xml" Id="rId6" /></Relationships>
</file>

<file path=xl/drawings/_rels/drawing33.xml.rels><?xml version="1.0" encoding="UTF-8" standalone="yes"?>
<Relationships xmlns="http://schemas.openxmlformats.org/package/2006/relationships"><Relationship Type="http://schemas.openxmlformats.org/officeDocument/2006/relationships/chart" Target="../charts/chart193.xml" Id="rId1" /><Relationship Type="http://schemas.openxmlformats.org/officeDocument/2006/relationships/chart" Target="../charts/chart194.xml" Id="rId2" /><Relationship Type="http://schemas.openxmlformats.org/officeDocument/2006/relationships/chart" Target="../charts/chart195.xml" Id="rId3" /><Relationship Type="http://schemas.openxmlformats.org/officeDocument/2006/relationships/chart" Target="../charts/chart196.xml" Id="rId4" /><Relationship Type="http://schemas.openxmlformats.org/officeDocument/2006/relationships/chart" Target="../charts/chart197.xml" Id="rId5" /><Relationship Type="http://schemas.openxmlformats.org/officeDocument/2006/relationships/chart" Target="../charts/chart198.xml" Id="rId6" /></Relationships>
</file>

<file path=xl/drawings/_rels/drawing34.xml.rels><?xml version="1.0" encoding="UTF-8" standalone="yes"?>
<Relationships xmlns="http://schemas.openxmlformats.org/package/2006/relationships"><Relationship Type="http://schemas.openxmlformats.org/officeDocument/2006/relationships/chart" Target="../charts/chart199.xml" Id="rId1" /><Relationship Type="http://schemas.openxmlformats.org/officeDocument/2006/relationships/chart" Target="../charts/chart200.xml" Id="rId2" /><Relationship Type="http://schemas.openxmlformats.org/officeDocument/2006/relationships/chart" Target="../charts/chart201.xml" Id="rId3" /><Relationship Type="http://schemas.openxmlformats.org/officeDocument/2006/relationships/chart" Target="../charts/chart202.xml" Id="rId4" /><Relationship Type="http://schemas.openxmlformats.org/officeDocument/2006/relationships/chart" Target="../charts/chart203.xml" Id="rId5" /><Relationship Type="http://schemas.openxmlformats.org/officeDocument/2006/relationships/chart" Target="../charts/chart204.xml" Id="rId6" /></Relationships>
</file>

<file path=xl/drawings/_rels/drawing35.xml.rels><?xml version="1.0" encoding="UTF-8" standalone="yes"?>
<Relationships xmlns="http://schemas.openxmlformats.org/package/2006/relationships"><Relationship Type="http://schemas.openxmlformats.org/officeDocument/2006/relationships/chart" Target="../charts/chart205.xml" Id="rId1" /><Relationship Type="http://schemas.openxmlformats.org/officeDocument/2006/relationships/chart" Target="../charts/chart206.xml" Id="rId2" /><Relationship Type="http://schemas.openxmlformats.org/officeDocument/2006/relationships/chart" Target="../charts/chart207.xml" Id="rId3" /><Relationship Type="http://schemas.openxmlformats.org/officeDocument/2006/relationships/chart" Target="../charts/chart208.xml" Id="rId4" /><Relationship Type="http://schemas.openxmlformats.org/officeDocument/2006/relationships/chart" Target="../charts/chart209.xml" Id="rId5" /><Relationship Type="http://schemas.openxmlformats.org/officeDocument/2006/relationships/chart" Target="../charts/chart210.xml" Id="rId6" /></Relationships>
</file>

<file path=xl/drawings/_rels/drawing36.xml.rels><?xml version="1.0" encoding="UTF-8" standalone="yes"?>
<Relationships xmlns="http://schemas.openxmlformats.org/package/2006/relationships"><Relationship Type="http://schemas.openxmlformats.org/officeDocument/2006/relationships/chart" Target="../charts/chart211.xml" Id="rId1" /><Relationship Type="http://schemas.openxmlformats.org/officeDocument/2006/relationships/chart" Target="../charts/chart212.xml" Id="rId2" /><Relationship Type="http://schemas.openxmlformats.org/officeDocument/2006/relationships/chart" Target="../charts/chart213.xml" Id="rId3" /><Relationship Type="http://schemas.openxmlformats.org/officeDocument/2006/relationships/chart" Target="../charts/chart214.xml" Id="rId4" /><Relationship Type="http://schemas.openxmlformats.org/officeDocument/2006/relationships/chart" Target="../charts/chart215.xml" Id="rId5" /><Relationship Type="http://schemas.openxmlformats.org/officeDocument/2006/relationships/chart" Target="../charts/chart216.xml" Id="rId6" /></Relationships>
</file>

<file path=xl/drawings/_rels/drawing37.xml.rels><?xml version="1.0" encoding="UTF-8" standalone="yes"?>
<Relationships xmlns="http://schemas.openxmlformats.org/package/2006/relationships"><Relationship Type="http://schemas.openxmlformats.org/officeDocument/2006/relationships/chart" Target="../charts/chart217.xml" Id="rId1" /><Relationship Type="http://schemas.openxmlformats.org/officeDocument/2006/relationships/chart" Target="../charts/chart218.xml" Id="rId2" /><Relationship Type="http://schemas.openxmlformats.org/officeDocument/2006/relationships/chart" Target="../charts/chart219.xml" Id="rId3" /><Relationship Type="http://schemas.openxmlformats.org/officeDocument/2006/relationships/chart" Target="../charts/chart220.xml" Id="rId4" /><Relationship Type="http://schemas.openxmlformats.org/officeDocument/2006/relationships/chart" Target="../charts/chart221.xml" Id="rId5" /><Relationship Type="http://schemas.openxmlformats.org/officeDocument/2006/relationships/chart" Target="../charts/chart222.xml" Id="rId6" /></Relationships>
</file>

<file path=xl/drawings/_rels/drawing38.xml.rels><?xml version="1.0" encoding="UTF-8" standalone="yes"?>
<Relationships xmlns="http://schemas.openxmlformats.org/package/2006/relationships"><Relationship Type="http://schemas.openxmlformats.org/officeDocument/2006/relationships/chart" Target="../charts/chart223.xml" Id="rId1" /><Relationship Type="http://schemas.openxmlformats.org/officeDocument/2006/relationships/chart" Target="../charts/chart224.xml" Id="rId2" /><Relationship Type="http://schemas.openxmlformats.org/officeDocument/2006/relationships/chart" Target="../charts/chart225.xml" Id="rId3" /><Relationship Type="http://schemas.openxmlformats.org/officeDocument/2006/relationships/chart" Target="../charts/chart226.xml" Id="rId4" /><Relationship Type="http://schemas.openxmlformats.org/officeDocument/2006/relationships/chart" Target="../charts/chart227.xml" Id="rId5" /><Relationship Type="http://schemas.openxmlformats.org/officeDocument/2006/relationships/chart" Target="../charts/chart228.xml" Id="rId6"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14</row>
      <rowOff>0</rowOff>
    </from>
    <ext cx="3060000" cy="25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29</row>
      <rowOff>0</rowOff>
    </from>
    <ext cx="3060000" cy="2520000"/>
    <graphicFrame>
      <nvGraphicFramePr>
        <cNvPr id="2" name="Chart 2"/>
        <cNvGraphicFramePr/>
      </nvGraphicFramePr>
      <xfrm/>
      <a:graphic>
        <a:graphicData uri="http://schemas.openxmlformats.org/drawingml/2006/chart">
          <c:chart r:id="rId2"/>
        </a:graphicData>
      </a:graphic>
    </graphicFrame>
    <clientData/>
  </oneCellAnchor>
  <oneCellAnchor>
    <from>
      <col>5</col>
      <colOff>0</colOff>
      <row>14</row>
      <rowOff>0</rowOff>
    </from>
    <ext cx="2520000" cy="2520000"/>
    <graphicFrame>
      <nvGraphicFramePr>
        <cNvPr id="3" name="Chart 3"/>
        <cNvGraphicFramePr/>
      </nvGraphicFramePr>
      <xfrm/>
      <a:graphic>
        <a:graphicData uri="http://schemas.openxmlformats.org/drawingml/2006/chart">
          <c:chart r:id="rId3"/>
        </a:graphicData>
      </a:graphic>
    </graphicFrame>
    <clientData/>
  </oneCellAnchor>
  <oneCellAnchor>
    <from>
      <col>5</col>
      <colOff>0</colOff>
      <row>29</row>
      <rowOff>0</rowOff>
    </from>
    <ext cx="2520000" cy="2520000"/>
    <graphicFrame>
      <nvGraphicFramePr>
        <cNvPr id="4" name="Chart 4"/>
        <cNvGraphicFramePr/>
      </nvGraphicFramePr>
      <xfrm/>
      <a:graphic>
        <a:graphicData uri="http://schemas.openxmlformats.org/drawingml/2006/chart">
          <c:chart r:id="rId4"/>
        </a:graphicData>
      </a:graphic>
    </graphicFrame>
    <clientData/>
  </oneCellAnchor>
  <oneCellAnchor>
    <from>
      <col>3</col>
      <colOff>0</colOff>
      <row>29</row>
      <rowOff>0</rowOff>
    </from>
    <ext cx="3060000" cy="2520000"/>
    <graphicFrame>
      <nvGraphicFramePr>
        <cNvPr id="5" name="Chart 5"/>
        <cNvGraphicFramePr/>
      </nvGraphicFramePr>
      <xfrm/>
      <a:graphic>
        <a:graphicData uri="http://schemas.openxmlformats.org/drawingml/2006/chart">
          <c:chart r:id="rId5"/>
        </a:graphicData>
      </a:graphic>
    </graphicFrame>
    <clientData/>
  </oneCellAnchor>
  <oneCellAnchor>
    <from>
      <col>3</col>
      <colOff>0</colOff>
      <row>14</row>
      <rowOff>0</rowOff>
    </from>
    <ext cx="3060000" cy="2520000"/>
    <graphicFrame>
      <nvGraphicFramePr>
        <cNvPr id="6" name="Chart 6"/>
        <cNvGraphicFramePr/>
      </nvGraphicFramePr>
      <xfrm/>
      <a:graphic>
        <a:graphicData uri="http://schemas.openxmlformats.org/drawingml/2006/chart">
          <c:chart r:id="rId6"/>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9</row>
      <rowOff>0</rowOff>
    </from>
    <ext cx="3060000" cy="252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24</row>
      <rowOff>0</rowOff>
    </from>
    <ext cx="3060000" cy="2520000"/>
    <graphicFrame>
      <nvGraphicFramePr>
        <cNvPr id="2" name="Chart 2"/>
        <cNvGraphicFramePr/>
      </nvGraphicFramePr>
      <xfrm/>
      <a:graphic>
        <a:graphicData uri="http://schemas.openxmlformats.org/drawingml/2006/chart">
          <c:chart r:id="rId2"/>
        </a:graphicData>
      </a:graphic>
    </graphicFrame>
    <clientData/>
  </oneCellAnchor>
  <oneCellAnchor>
    <from>
      <col>7</col>
      <colOff>0</colOff>
      <row>9</row>
      <rowOff>0</rowOff>
    </from>
    <ext cx="2520000" cy="252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24</row>
      <rowOff>0</rowOff>
    </from>
    <ext cx="2520000" cy="252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24</row>
      <rowOff>0</rowOff>
    </from>
    <ext cx="3060000" cy="2520000"/>
    <graphicFrame>
      <nvGraphicFramePr>
        <cNvPr id="5" name="Chart 5"/>
        <cNvGraphicFramePr/>
      </nvGraphicFramePr>
      <xfrm/>
      <a:graphic>
        <a:graphicData uri="http://schemas.openxmlformats.org/drawingml/2006/chart">
          <c:chart r:id="rId5"/>
        </a:graphicData>
      </a:graphic>
    </graphicFrame>
    <clientData/>
  </oneCellAnchor>
  <oneCellAnchor>
    <from>
      <col>4</col>
      <colOff>0</colOff>
      <row>9</row>
      <rowOff>0</rowOff>
    </from>
    <ext cx="3060000" cy="2520000"/>
    <graphicFrame>
      <nvGraphicFramePr>
        <cNvPr id="6" name="Chart 6"/>
        <cNvGraphicFramePr/>
      </nvGraphicFramePr>
      <xfrm/>
      <a:graphic>
        <a:graphicData uri="http://schemas.openxmlformats.org/drawingml/2006/chart">
          <c:chart r:id="rId6"/>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14</row>
      <rowOff>0</rowOff>
    </from>
    <ext cx="3060000" cy="252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29</row>
      <rowOff>0</rowOff>
    </from>
    <ext cx="3060000" cy="2520000"/>
    <graphicFrame>
      <nvGraphicFramePr>
        <cNvPr id="2" name="Chart 2"/>
        <cNvGraphicFramePr/>
      </nvGraphicFramePr>
      <xfrm/>
      <a:graphic>
        <a:graphicData uri="http://schemas.openxmlformats.org/drawingml/2006/chart">
          <c:chart r:id="rId2"/>
        </a:graphicData>
      </a:graphic>
    </graphicFrame>
    <clientData/>
  </oneCellAnchor>
  <oneCellAnchor>
    <from>
      <col>7</col>
      <colOff>0</colOff>
      <row>14</row>
      <rowOff>0</rowOff>
    </from>
    <ext cx="2520000" cy="252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29</row>
      <rowOff>0</rowOff>
    </from>
    <ext cx="2520000" cy="252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29</row>
      <rowOff>0</rowOff>
    </from>
    <ext cx="3060000" cy="2520000"/>
    <graphicFrame>
      <nvGraphicFramePr>
        <cNvPr id="5" name="Chart 5"/>
        <cNvGraphicFramePr/>
      </nvGraphicFramePr>
      <xfrm/>
      <a:graphic>
        <a:graphicData uri="http://schemas.openxmlformats.org/drawingml/2006/chart">
          <c:chart r:id="rId5"/>
        </a:graphicData>
      </a:graphic>
    </graphicFrame>
    <clientData/>
  </oneCellAnchor>
  <oneCellAnchor>
    <from>
      <col>4</col>
      <colOff>0</colOff>
      <row>14</row>
      <rowOff>0</rowOff>
    </from>
    <ext cx="3060000" cy="2520000"/>
    <graphicFrame>
      <nvGraphicFramePr>
        <cNvPr id="6" name="Chart 6"/>
        <cNvGraphicFramePr/>
      </nvGraphicFramePr>
      <xfrm/>
      <a:graphic>
        <a:graphicData uri="http://schemas.openxmlformats.org/drawingml/2006/chart">
          <c:chart r:id="rId6"/>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12</row>
      <rowOff>0</rowOff>
    </from>
    <ext cx="3060000" cy="252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27</row>
      <rowOff>0</rowOff>
    </from>
    <ext cx="3060000" cy="2520000"/>
    <graphicFrame>
      <nvGraphicFramePr>
        <cNvPr id="2" name="Chart 2"/>
        <cNvGraphicFramePr/>
      </nvGraphicFramePr>
      <xfrm/>
      <a:graphic>
        <a:graphicData uri="http://schemas.openxmlformats.org/drawingml/2006/chart">
          <c:chart r:id="rId2"/>
        </a:graphicData>
      </a:graphic>
    </graphicFrame>
    <clientData/>
  </oneCellAnchor>
  <oneCellAnchor>
    <from>
      <col>7</col>
      <colOff>0</colOff>
      <row>12</row>
      <rowOff>0</rowOff>
    </from>
    <ext cx="2520000" cy="252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27</row>
      <rowOff>0</rowOff>
    </from>
    <ext cx="2520000" cy="252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27</row>
      <rowOff>0</rowOff>
    </from>
    <ext cx="3060000" cy="2520000"/>
    <graphicFrame>
      <nvGraphicFramePr>
        <cNvPr id="5" name="Chart 5"/>
        <cNvGraphicFramePr/>
      </nvGraphicFramePr>
      <xfrm/>
      <a:graphic>
        <a:graphicData uri="http://schemas.openxmlformats.org/drawingml/2006/chart">
          <c:chart r:id="rId5"/>
        </a:graphicData>
      </a:graphic>
    </graphicFrame>
    <clientData/>
  </oneCellAnchor>
  <oneCellAnchor>
    <from>
      <col>4</col>
      <colOff>0</colOff>
      <row>12</row>
      <rowOff>0</rowOff>
    </from>
    <ext cx="3060000" cy="2520000"/>
    <graphicFrame>
      <nvGraphicFramePr>
        <cNvPr id="6" name="Chart 6"/>
        <cNvGraphicFramePr/>
      </nvGraphicFramePr>
      <xfrm/>
      <a:graphic>
        <a:graphicData uri="http://schemas.openxmlformats.org/drawingml/2006/chart">
          <c:chart r:id="rId6"/>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12</row>
      <rowOff>0</rowOff>
    </from>
    <ext cx="3060000" cy="252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27</row>
      <rowOff>0</rowOff>
    </from>
    <ext cx="3060000" cy="2520000"/>
    <graphicFrame>
      <nvGraphicFramePr>
        <cNvPr id="2" name="Chart 2"/>
        <cNvGraphicFramePr/>
      </nvGraphicFramePr>
      <xfrm/>
      <a:graphic>
        <a:graphicData uri="http://schemas.openxmlformats.org/drawingml/2006/chart">
          <c:chart r:id="rId2"/>
        </a:graphicData>
      </a:graphic>
    </graphicFrame>
    <clientData/>
  </oneCellAnchor>
  <oneCellAnchor>
    <from>
      <col>7</col>
      <colOff>0</colOff>
      <row>12</row>
      <rowOff>0</rowOff>
    </from>
    <ext cx="2520000" cy="252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27</row>
      <rowOff>0</rowOff>
    </from>
    <ext cx="2520000" cy="252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27</row>
      <rowOff>0</rowOff>
    </from>
    <ext cx="3060000" cy="2520000"/>
    <graphicFrame>
      <nvGraphicFramePr>
        <cNvPr id="5" name="Chart 5"/>
        <cNvGraphicFramePr/>
      </nvGraphicFramePr>
      <xfrm/>
      <a:graphic>
        <a:graphicData uri="http://schemas.openxmlformats.org/drawingml/2006/chart">
          <c:chart r:id="rId5"/>
        </a:graphicData>
      </a:graphic>
    </graphicFrame>
    <clientData/>
  </oneCellAnchor>
  <oneCellAnchor>
    <from>
      <col>4</col>
      <colOff>0</colOff>
      <row>12</row>
      <rowOff>0</rowOff>
    </from>
    <ext cx="3060000" cy="2520000"/>
    <graphicFrame>
      <nvGraphicFramePr>
        <cNvPr id="6" name="Chart 6"/>
        <cNvGraphicFramePr/>
      </nvGraphicFramePr>
      <xfrm/>
      <a:graphic>
        <a:graphicData uri="http://schemas.openxmlformats.org/drawingml/2006/chart">
          <c:chart r:id="rId6"/>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13</row>
      <rowOff>0</rowOff>
    </from>
    <ext cx="3060000" cy="252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28</row>
      <rowOff>0</rowOff>
    </from>
    <ext cx="3060000" cy="2520000"/>
    <graphicFrame>
      <nvGraphicFramePr>
        <cNvPr id="2" name="Chart 2"/>
        <cNvGraphicFramePr/>
      </nvGraphicFramePr>
      <xfrm/>
      <a:graphic>
        <a:graphicData uri="http://schemas.openxmlformats.org/drawingml/2006/chart">
          <c:chart r:id="rId2"/>
        </a:graphicData>
      </a:graphic>
    </graphicFrame>
    <clientData/>
  </oneCellAnchor>
  <oneCellAnchor>
    <from>
      <col>7</col>
      <colOff>0</colOff>
      <row>13</row>
      <rowOff>0</rowOff>
    </from>
    <ext cx="2520000" cy="252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28</row>
      <rowOff>0</rowOff>
    </from>
    <ext cx="2520000" cy="252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28</row>
      <rowOff>0</rowOff>
    </from>
    <ext cx="3060000" cy="2520000"/>
    <graphicFrame>
      <nvGraphicFramePr>
        <cNvPr id="5" name="Chart 5"/>
        <cNvGraphicFramePr/>
      </nvGraphicFramePr>
      <xfrm/>
      <a:graphic>
        <a:graphicData uri="http://schemas.openxmlformats.org/drawingml/2006/chart">
          <c:chart r:id="rId5"/>
        </a:graphicData>
      </a:graphic>
    </graphicFrame>
    <clientData/>
  </oneCellAnchor>
  <oneCellAnchor>
    <from>
      <col>4</col>
      <colOff>0</colOff>
      <row>13</row>
      <rowOff>0</rowOff>
    </from>
    <ext cx="3060000" cy="2520000"/>
    <graphicFrame>
      <nvGraphicFramePr>
        <cNvPr id="6" name="Chart 6"/>
        <cNvGraphicFramePr/>
      </nvGraphicFramePr>
      <xfrm/>
      <a:graphic>
        <a:graphicData uri="http://schemas.openxmlformats.org/drawingml/2006/chart">
          <c:chart r:id="rId6"/>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13</row>
      <rowOff>0</rowOff>
    </from>
    <ext cx="3060000" cy="252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28</row>
      <rowOff>0</rowOff>
    </from>
    <ext cx="3060000" cy="2520000"/>
    <graphicFrame>
      <nvGraphicFramePr>
        <cNvPr id="2" name="Chart 2"/>
        <cNvGraphicFramePr/>
      </nvGraphicFramePr>
      <xfrm/>
      <a:graphic>
        <a:graphicData uri="http://schemas.openxmlformats.org/drawingml/2006/chart">
          <c:chart r:id="rId2"/>
        </a:graphicData>
      </a:graphic>
    </graphicFrame>
    <clientData/>
  </oneCellAnchor>
  <oneCellAnchor>
    <from>
      <col>7</col>
      <colOff>0</colOff>
      <row>13</row>
      <rowOff>0</rowOff>
    </from>
    <ext cx="2520000" cy="252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28</row>
      <rowOff>0</rowOff>
    </from>
    <ext cx="2520000" cy="252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28</row>
      <rowOff>0</rowOff>
    </from>
    <ext cx="3060000" cy="2520000"/>
    <graphicFrame>
      <nvGraphicFramePr>
        <cNvPr id="5" name="Chart 5"/>
        <cNvGraphicFramePr/>
      </nvGraphicFramePr>
      <xfrm/>
      <a:graphic>
        <a:graphicData uri="http://schemas.openxmlformats.org/drawingml/2006/chart">
          <c:chart r:id="rId5"/>
        </a:graphicData>
      </a:graphic>
    </graphicFrame>
    <clientData/>
  </oneCellAnchor>
  <oneCellAnchor>
    <from>
      <col>4</col>
      <colOff>0</colOff>
      <row>13</row>
      <rowOff>0</rowOff>
    </from>
    <ext cx="3060000" cy="2520000"/>
    <graphicFrame>
      <nvGraphicFramePr>
        <cNvPr id="6" name="Chart 6"/>
        <cNvGraphicFramePr/>
      </nvGraphicFramePr>
      <xfrm/>
      <a:graphic>
        <a:graphicData uri="http://schemas.openxmlformats.org/drawingml/2006/chart">
          <c:chart r:id="rId6"/>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12</row>
      <rowOff>0</rowOff>
    </from>
    <ext cx="3060000" cy="252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27</row>
      <rowOff>0</rowOff>
    </from>
    <ext cx="3060000" cy="2520000"/>
    <graphicFrame>
      <nvGraphicFramePr>
        <cNvPr id="2" name="Chart 2"/>
        <cNvGraphicFramePr/>
      </nvGraphicFramePr>
      <xfrm/>
      <a:graphic>
        <a:graphicData uri="http://schemas.openxmlformats.org/drawingml/2006/chart">
          <c:chart r:id="rId2"/>
        </a:graphicData>
      </a:graphic>
    </graphicFrame>
    <clientData/>
  </oneCellAnchor>
  <oneCellAnchor>
    <from>
      <col>7</col>
      <colOff>0</colOff>
      <row>12</row>
      <rowOff>0</rowOff>
    </from>
    <ext cx="2520000" cy="252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27</row>
      <rowOff>0</rowOff>
    </from>
    <ext cx="2520000" cy="252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27</row>
      <rowOff>0</rowOff>
    </from>
    <ext cx="3060000" cy="2520000"/>
    <graphicFrame>
      <nvGraphicFramePr>
        <cNvPr id="5" name="Chart 5"/>
        <cNvGraphicFramePr/>
      </nvGraphicFramePr>
      <xfrm/>
      <a:graphic>
        <a:graphicData uri="http://schemas.openxmlformats.org/drawingml/2006/chart">
          <c:chart r:id="rId5"/>
        </a:graphicData>
      </a:graphic>
    </graphicFrame>
    <clientData/>
  </oneCellAnchor>
  <oneCellAnchor>
    <from>
      <col>4</col>
      <colOff>0</colOff>
      <row>12</row>
      <rowOff>0</rowOff>
    </from>
    <ext cx="3060000" cy="2520000"/>
    <graphicFrame>
      <nvGraphicFramePr>
        <cNvPr id="6" name="Chart 6"/>
        <cNvGraphicFramePr/>
      </nvGraphicFramePr>
      <xfrm/>
      <a:graphic>
        <a:graphicData uri="http://schemas.openxmlformats.org/drawingml/2006/chart">
          <c:chart r:id="rId6"/>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14</row>
      <rowOff>0</rowOff>
    </from>
    <ext cx="3060000" cy="252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29</row>
      <rowOff>0</rowOff>
    </from>
    <ext cx="3060000" cy="2520000"/>
    <graphicFrame>
      <nvGraphicFramePr>
        <cNvPr id="2" name="Chart 2"/>
        <cNvGraphicFramePr/>
      </nvGraphicFramePr>
      <xfrm/>
      <a:graphic>
        <a:graphicData uri="http://schemas.openxmlformats.org/drawingml/2006/chart">
          <c:chart r:id="rId2"/>
        </a:graphicData>
      </a:graphic>
    </graphicFrame>
    <clientData/>
  </oneCellAnchor>
  <oneCellAnchor>
    <from>
      <col>7</col>
      <colOff>0</colOff>
      <row>14</row>
      <rowOff>0</rowOff>
    </from>
    <ext cx="2520000" cy="252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29</row>
      <rowOff>0</rowOff>
    </from>
    <ext cx="2520000" cy="252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29</row>
      <rowOff>0</rowOff>
    </from>
    <ext cx="3060000" cy="2520000"/>
    <graphicFrame>
      <nvGraphicFramePr>
        <cNvPr id="5" name="Chart 5"/>
        <cNvGraphicFramePr/>
      </nvGraphicFramePr>
      <xfrm/>
      <a:graphic>
        <a:graphicData uri="http://schemas.openxmlformats.org/drawingml/2006/chart">
          <c:chart r:id="rId5"/>
        </a:graphicData>
      </a:graphic>
    </graphicFrame>
    <clientData/>
  </oneCellAnchor>
  <oneCellAnchor>
    <from>
      <col>4</col>
      <colOff>0</colOff>
      <row>14</row>
      <rowOff>0</rowOff>
    </from>
    <ext cx="3060000" cy="2520000"/>
    <graphicFrame>
      <nvGraphicFramePr>
        <cNvPr id="6" name="Chart 6"/>
        <cNvGraphicFramePr/>
      </nvGraphicFramePr>
      <xfrm/>
      <a:graphic>
        <a:graphicData uri="http://schemas.openxmlformats.org/drawingml/2006/chart">
          <c:chart r:id="rId6"/>
        </a:graphicData>
      </a:graphic>
    </graphicFrame>
    <clientData/>
  </oneCellAnchor>
</wsDr>
</file>

<file path=xl/drawings/drawing10.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14</row>
      <rowOff>0</rowOff>
    </from>
    <ext cx="3060000" cy="252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29</row>
      <rowOff>0</rowOff>
    </from>
    <ext cx="3060000" cy="2520000"/>
    <graphicFrame>
      <nvGraphicFramePr>
        <cNvPr id="2" name="Chart 2"/>
        <cNvGraphicFramePr/>
      </nvGraphicFramePr>
      <xfrm/>
      <a:graphic>
        <a:graphicData uri="http://schemas.openxmlformats.org/drawingml/2006/chart">
          <c:chart r:id="rId2"/>
        </a:graphicData>
      </a:graphic>
    </graphicFrame>
    <clientData/>
  </oneCellAnchor>
  <oneCellAnchor>
    <from>
      <col>7</col>
      <colOff>0</colOff>
      <row>14</row>
      <rowOff>0</rowOff>
    </from>
    <ext cx="2520000" cy="252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29</row>
      <rowOff>0</rowOff>
    </from>
    <ext cx="2520000" cy="252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29</row>
      <rowOff>0</rowOff>
    </from>
    <ext cx="3060000" cy="2520000"/>
    <graphicFrame>
      <nvGraphicFramePr>
        <cNvPr id="5" name="Chart 5"/>
        <cNvGraphicFramePr/>
      </nvGraphicFramePr>
      <xfrm/>
      <a:graphic>
        <a:graphicData uri="http://schemas.openxmlformats.org/drawingml/2006/chart">
          <c:chart r:id="rId5"/>
        </a:graphicData>
      </a:graphic>
    </graphicFrame>
    <clientData/>
  </oneCellAnchor>
  <oneCellAnchor>
    <from>
      <col>4</col>
      <colOff>0</colOff>
      <row>14</row>
      <rowOff>0</rowOff>
    </from>
    <ext cx="3060000" cy="2520000"/>
    <graphicFrame>
      <nvGraphicFramePr>
        <cNvPr id="6" name="Chart 6"/>
        <cNvGraphicFramePr/>
      </nvGraphicFramePr>
      <xfrm/>
      <a:graphic>
        <a:graphicData uri="http://schemas.openxmlformats.org/drawingml/2006/chart">
          <c:chart r:id="rId6"/>
        </a:graphicData>
      </a:graphic>
    </graphicFrame>
    <clientData/>
  </oneCellAnchor>
</wsDr>
</file>

<file path=xl/drawings/drawing1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13</row>
      <rowOff>0</rowOff>
    </from>
    <ext cx="3060000" cy="252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28</row>
      <rowOff>0</rowOff>
    </from>
    <ext cx="3060000" cy="2520000"/>
    <graphicFrame>
      <nvGraphicFramePr>
        <cNvPr id="2" name="Chart 2"/>
        <cNvGraphicFramePr/>
      </nvGraphicFramePr>
      <xfrm/>
      <a:graphic>
        <a:graphicData uri="http://schemas.openxmlformats.org/drawingml/2006/chart">
          <c:chart r:id="rId2"/>
        </a:graphicData>
      </a:graphic>
    </graphicFrame>
    <clientData/>
  </oneCellAnchor>
  <oneCellAnchor>
    <from>
      <col>7</col>
      <colOff>0</colOff>
      <row>13</row>
      <rowOff>0</rowOff>
    </from>
    <ext cx="2520000" cy="252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28</row>
      <rowOff>0</rowOff>
    </from>
    <ext cx="2520000" cy="252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28</row>
      <rowOff>0</rowOff>
    </from>
    <ext cx="3060000" cy="2520000"/>
    <graphicFrame>
      <nvGraphicFramePr>
        <cNvPr id="5" name="Chart 5"/>
        <cNvGraphicFramePr/>
      </nvGraphicFramePr>
      <xfrm/>
      <a:graphic>
        <a:graphicData uri="http://schemas.openxmlformats.org/drawingml/2006/chart">
          <c:chart r:id="rId5"/>
        </a:graphicData>
      </a:graphic>
    </graphicFrame>
    <clientData/>
  </oneCellAnchor>
  <oneCellAnchor>
    <from>
      <col>4</col>
      <colOff>0</colOff>
      <row>13</row>
      <rowOff>0</rowOff>
    </from>
    <ext cx="3060000" cy="2520000"/>
    <graphicFrame>
      <nvGraphicFramePr>
        <cNvPr id="6" name="Chart 6"/>
        <cNvGraphicFramePr/>
      </nvGraphicFramePr>
      <xfrm/>
      <a:graphic>
        <a:graphicData uri="http://schemas.openxmlformats.org/drawingml/2006/chart">
          <c:chart r:id="rId6"/>
        </a:graphicData>
      </a:graphic>
    </graphicFrame>
    <clientData/>
  </oneCellAnchor>
</wsDr>
</file>

<file path=xl/drawings/drawing1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18</row>
      <rowOff>0</rowOff>
    </from>
    <ext cx="3060000" cy="2520000"/>
    <graphicFrame>
      <nvGraphicFramePr>
        <cNvPr id="1" name="Chart 1"/>
        <cNvGraphicFramePr/>
      </nvGraphicFramePr>
      <xfrm/>
      <a:graphic>
        <a:graphicData uri="http://schemas.openxmlformats.org/drawingml/2006/chart">
          <c:chart r:id="rId1"/>
        </a:graphicData>
      </a:graphic>
    </graphicFrame>
    <clientData/>
  </oneCellAnchor>
  <oneCellAnchor>
    <from>
      <col>1</col>
      <colOff>0</colOff>
      <row>33</row>
      <rowOff>0</rowOff>
    </from>
    <ext cx="3060000" cy="2520000"/>
    <graphicFrame>
      <nvGraphicFramePr>
        <cNvPr id="2" name="Chart 2"/>
        <cNvGraphicFramePr/>
      </nvGraphicFramePr>
      <xfrm/>
      <a:graphic>
        <a:graphicData uri="http://schemas.openxmlformats.org/drawingml/2006/chart">
          <c:chart r:id="rId2"/>
        </a:graphicData>
      </a:graphic>
    </graphicFrame>
    <clientData/>
  </oneCellAnchor>
  <oneCellAnchor>
    <from>
      <col>4</col>
      <colOff>0</colOff>
      <row>18</row>
      <rowOff>0</rowOff>
    </from>
    <ext cx="2520000" cy="2520000"/>
    <graphicFrame>
      <nvGraphicFramePr>
        <cNvPr id="3" name="Chart 3"/>
        <cNvGraphicFramePr/>
      </nvGraphicFramePr>
      <xfrm/>
      <a:graphic>
        <a:graphicData uri="http://schemas.openxmlformats.org/drawingml/2006/chart">
          <c:chart r:id="rId3"/>
        </a:graphicData>
      </a:graphic>
    </graphicFrame>
    <clientData/>
  </oneCellAnchor>
  <oneCellAnchor>
    <from>
      <col>4</col>
      <colOff>0</colOff>
      <row>33</row>
      <rowOff>0</rowOff>
    </from>
    <ext cx="2520000" cy="252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33</row>
      <rowOff>0</rowOff>
    </from>
    <ext cx="3060000" cy="2520000"/>
    <graphicFrame>
      <nvGraphicFramePr>
        <cNvPr id="5" name="Chart 5"/>
        <cNvGraphicFramePr/>
      </nvGraphicFramePr>
      <xfrm/>
      <a:graphic>
        <a:graphicData uri="http://schemas.openxmlformats.org/drawingml/2006/chart">
          <c:chart r:id="rId5"/>
        </a:graphicData>
      </a:graphic>
    </graphicFrame>
    <clientData/>
  </oneCellAnchor>
  <oneCellAnchor>
    <from>
      <col>1</col>
      <colOff>0</colOff>
      <row>18</row>
      <rowOff>0</rowOff>
    </from>
    <ext cx="3060000" cy="2520000"/>
    <graphicFrame>
      <nvGraphicFramePr>
        <cNvPr id="6" name="Chart 6"/>
        <cNvGraphicFramePr/>
      </nvGraphicFramePr>
      <xfrm/>
      <a:graphic>
        <a:graphicData uri="http://schemas.openxmlformats.org/drawingml/2006/chart">
          <c:chart r:id="rId6"/>
        </a:graphicData>
      </a:graphic>
    </graphicFrame>
    <clientData/>
  </oneCellAnchor>
</wsDr>
</file>

<file path=xl/drawings/drawing1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18</row>
      <rowOff>0</rowOff>
    </from>
    <ext cx="3060000" cy="2520000"/>
    <graphicFrame>
      <nvGraphicFramePr>
        <cNvPr id="1" name="Chart 1"/>
        <cNvGraphicFramePr/>
      </nvGraphicFramePr>
      <xfrm/>
      <a:graphic>
        <a:graphicData uri="http://schemas.openxmlformats.org/drawingml/2006/chart">
          <c:chart r:id="rId1"/>
        </a:graphicData>
      </a:graphic>
    </graphicFrame>
    <clientData/>
  </oneCellAnchor>
  <oneCellAnchor>
    <from>
      <col>1</col>
      <colOff>0</colOff>
      <row>33</row>
      <rowOff>0</rowOff>
    </from>
    <ext cx="3060000" cy="2520000"/>
    <graphicFrame>
      <nvGraphicFramePr>
        <cNvPr id="2" name="Chart 2"/>
        <cNvGraphicFramePr/>
      </nvGraphicFramePr>
      <xfrm/>
      <a:graphic>
        <a:graphicData uri="http://schemas.openxmlformats.org/drawingml/2006/chart">
          <c:chart r:id="rId2"/>
        </a:graphicData>
      </a:graphic>
    </graphicFrame>
    <clientData/>
  </oneCellAnchor>
  <oneCellAnchor>
    <from>
      <col>4</col>
      <colOff>0</colOff>
      <row>18</row>
      <rowOff>0</rowOff>
    </from>
    <ext cx="2520000" cy="2520000"/>
    <graphicFrame>
      <nvGraphicFramePr>
        <cNvPr id="3" name="Chart 3"/>
        <cNvGraphicFramePr/>
      </nvGraphicFramePr>
      <xfrm/>
      <a:graphic>
        <a:graphicData uri="http://schemas.openxmlformats.org/drawingml/2006/chart">
          <c:chart r:id="rId3"/>
        </a:graphicData>
      </a:graphic>
    </graphicFrame>
    <clientData/>
  </oneCellAnchor>
  <oneCellAnchor>
    <from>
      <col>4</col>
      <colOff>0</colOff>
      <row>33</row>
      <rowOff>0</rowOff>
    </from>
    <ext cx="2520000" cy="252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33</row>
      <rowOff>0</rowOff>
    </from>
    <ext cx="3060000" cy="2520000"/>
    <graphicFrame>
      <nvGraphicFramePr>
        <cNvPr id="5" name="Chart 5"/>
        <cNvGraphicFramePr/>
      </nvGraphicFramePr>
      <xfrm/>
      <a:graphic>
        <a:graphicData uri="http://schemas.openxmlformats.org/drawingml/2006/chart">
          <c:chart r:id="rId5"/>
        </a:graphicData>
      </a:graphic>
    </graphicFrame>
    <clientData/>
  </oneCellAnchor>
  <oneCellAnchor>
    <from>
      <col>1</col>
      <colOff>0</colOff>
      <row>18</row>
      <rowOff>0</rowOff>
    </from>
    <ext cx="3060000" cy="2520000"/>
    <graphicFrame>
      <nvGraphicFramePr>
        <cNvPr id="6" name="Chart 6"/>
        <cNvGraphicFramePr/>
      </nvGraphicFramePr>
      <xfrm/>
      <a:graphic>
        <a:graphicData uri="http://schemas.openxmlformats.org/drawingml/2006/chart">
          <c:chart r:id="rId6"/>
        </a:graphicData>
      </a:graphic>
    </graphicFrame>
    <clientData/>
  </oneCellAnchor>
</wsDr>
</file>

<file path=xl/drawings/drawing1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17</row>
      <rowOff>0</rowOff>
    </from>
    <ext cx="3060000" cy="2520000"/>
    <graphicFrame>
      <nvGraphicFramePr>
        <cNvPr id="1" name="Chart 1"/>
        <cNvGraphicFramePr/>
      </nvGraphicFramePr>
      <xfrm/>
      <a:graphic>
        <a:graphicData uri="http://schemas.openxmlformats.org/drawingml/2006/chart">
          <c:chart r:id="rId1"/>
        </a:graphicData>
      </a:graphic>
    </graphicFrame>
    <clientData/>
  </oneCellAnchor>
  <oneCellAnchor>
    <from>
      <col>1</col>
      <colOff>0</colOff>
      <row>32</row>
      <rowOff>0</rowOff>
    </from>
    <ext cx="3060000" cy="2520000"/>
    <graphicFrame>
      <nvGraphicFramePr>
        <cNvPr id="2" name="Chart 2"/>
        <cNvGraphicFramePr/>
      </nvGraphicFramePr>
      <xfrm/>
      <a:graphic>
        <a:graphicData uri="http://schemas.openxmlformats.org/drawingml/2006/chart">
          <c:chart r:id="rId2"/>
        </a:graphicData>
      </a:graphic>
    </graphicFrame>
    <clientData/>
  </oneCellAnchor>
  <oneCellAnchor>
    <from>
      <col>4</col>
      <colOff>0</colOff>
      <row>17</row>
      <rowOff>0</rowOff>
    </from>
    <ext cx="2520000" cy="2520000"/>
    <graphicFrame>
      <nvGraphicFramePr>
        <cNvPr id="3" name="Chart 3"/>
        <cNvGraphicFramePr/>
      </nvGraphicFramePr>
      <xfrm/>
      <a:graphic>
        <a:graphicData uri="http://schemas.openxmlformats.org/drawingml/2006/chart">
          <c:chart r:id="rId3"/>
        </a:graphicData>
      </a:graphic>
    </graphicFrame>
    <clientData/>
  </oneCellAnchor>
  <oneCellAnchor>
    <from>
      <col>4</col>
      <colOff>0</colOff>
      <row>32</row>
      <rowOff>0</rowOff>
    </from>
    <ext cx="2520000" cy="252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32</row>
      <rowOff>0</rowOff>
    </from>
    <ext cx="3060000" cy="2520000"/>
    <graphicFrame>
      <nvGraphicFramePr>
        <cNvPr id="5" name="Chart 5"/>
        <cNvGraphicFramePr/>
      </nvGraphicFramePr>
      <xfrm/>
      <a:graphic>
        <a:graphicData uri="http://schemas.openxmlformats.org/drawingml/2006/chart">
          <c:chart r:id="rId5"/>
        </a:graphicData>
      </a:graphic>
    </graphicFrame>
    <clientData/>
  </oneCellAnchor>
  <oneCellAnchor>
    <from>
      <col>1</col>
      <colOff>0</colOff>
      <row>17</row>
      <rowOff>0</rowOff>
    </from>
    <ext cx="3060000" cy="2520000"/>
    <graphicFrame>
      <nvGraphicFramePr>
        <cNvPr id="6" name="Chart 6"/>
        <cNvGraphicFramePr/>
      </nvGraphicFramePr>
      <xfrm/>
      <a:graphic>
        <a:graphicData uri="http://schemas.openxmlformats.org/drawingml/2006/chart">
          <c:chart r:id="rId6"/>
        </a:graphicData>
      </a:graphic>
    </graphicFrame>
    <clientData/>
  </oneCellAnchor>
</wsDr>
</file>

<file path=xl/drawings/drawing1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17</row>
      <rowOff>0</rowOff>
    </from>
    <ext cx="3060000" cy="2520000"/>
    <graphicFrame>
      <nvGraphicFramePr>
        <cNvPr id="1" name="Chart 1"/>
        <cNvGraphicFramePr/>
      </nvGraphicFramePr>
      <xfrm/>
      <a:graphic>
        <a:graphicData uri="http://schemas.openxmlformats.org/drawingml/2006/chart">
          <c:chart r:id="rId1"/>
        </a:graphicData>
      </a:graphic>
    </graphicFrame>
    <clientData/>
  </oneCellAnchor>
  <oneCellAnchor>
    <from>
      <col>1</col>
      <colOff>0</colOff>
      <row>32</row>
      <rowOff>0</rowOff>
    </from>
    <ext cx="3060000" cy="2520000"/>
    <graphicFrame>
      <nvGraphicFramePr>
        <cNvPr id="2" name="Chart 2"/>
        <cNvGraphicFramePr/>
      </nvGraphicFramePr>
      <xfrm/>
      <a:graphic>
        <a:graphicData uri="http://schemas.openxmlformats.org/drawingml/2006/chart">
          <c:chart r:id="rId2"/>
        </a:graphicData>
      </a:graphic>
    </graphicFrame>
    <clientData/>
  </oneCellAnchor>
  <oneCellAnchor>
    <from>
      <col>4</col>
      <colOff>0</colOff>
      <row>17</row>
      <rowOff>0</rowOff>
    </from>
    <ext cx="2520000" cy="2520000"/>
    <graphicFrame>
      <nvGraphicFramePr>
        <cNvPr id="3" name="Chart 3"/>
        <cNvGraphicFramePr/>
      </nvGraphicFramePr>
      <xfrm/>
      <a:graphic>
        <a:graphicData uri="http://schemas.openxmlformats.org/drawingml/2006/chart">
          <c:chart r:id="rId3"/>
        </a:graphicData>
      </a:graphic>
    </graphicFrame>
    <clientData/>
  </oneCellAnchor>
  <oneCellAnchor>
    <from>
      <col>4</col>
      <colOff>0</colOff>
      <row>32</row>
      <rowOff>0</rowOff>
    </from>
    <ext cx="2520000" cy="252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32</row>
      <rowOff>0</rowOff>
    </from>
    <ext cx="3060000" cy="2520000"/>
    <graphicFrame>
      <nvGraphicFramePr>
        <cNvPr id="5" name="Chart 5"/>
        <cNvGraphicFramePr/>
      </nvGraphicFramePr>
      <xfrm/>
      <a:graphic>
        <a:graphicData uri="http://schemas.openxmlformats.org/drawingml/2006/chart">
          <c:chart r:id="rId5"/>
        </a:graphicData>
      </a:graphic>
    </graphicFrame>
    <clientData/>
  </oneCellAnchor>
  <oneCellAnchor>
    <from>
      <col>1</col>
      <colOff>0</colOff>
      <row>17</row>
      <rowOff>0</rowOff>
    </from>
    <ext cx="3060000" cy="2520000"/>
    <graphicFrame>
      <nvGraphicFramePr>
        <cNvPr id="6" name="Chart 6"/>
        <cNvGraphicFramePr/>
      </nvGraphicFramePr>
      <xfrm/>
      <a:graphic>
        <a:graphicData uri="http://schemas.openxmlformats.org/drawingml/2006/chart">
          <c:chart r:id="rId6"/>
        </a:graphicData>
      </a:graphic>
    </graphicFrame>
    <clientData/>
  </oneCellAnchor>
</wsDr>
</file>

<file path=xl/drawings/drawing1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18</row>
      <rowOff>0</rowOff>
    </from>
    <ext cx="3060000" cy="2520000"/>
    <graphicFrame>
      <nvGraphicFramePr>
        <cNvPr id="1" name="Chart 1"/>
        <cNvGraphicFramePr/>
      </nvGraphicFramePr>
      <xfrm/>
      <a:graphic>
        <a:graphicData uri="http://schemas.openxmlformats.org/drawingml/2006/chart">
          <c:chart r:id="rId1"/>
        </a:graphicData>
      </a:graphic>
    </graphicFrame>
    <clientData/>
  </oneCellAnchor>
  <oneCellAnchor>
    <from>
      <col>1</col>
      <colOff>0</colOff>
      <row>33</row>
      <rowOff>0</rowOff>
    </from>
    <ext cx="3060000" cy="2520000"/>
    <graphicFrame>
      <nvGraphicFramePr>
        <cNvPr id="2" name="Chart 2"/>
        <cNvGraphicFramePr/>
      </nvGraphicFramePr>
      <xfrm/>
      <a:graphic>
        <a:graphicData uri="http://schemas.openxmlformats.org/drawingml/2006/chart">
          <c:chart r:id="rId2"/>
        </a:graphicData>
      </a:graphic>
    </graphicFrame>
    <clientData/>
  </oneCellAnchor>
  <oneCellAnchor>
    <from>
      <col>4</col>
      <colOff>0</colOff>
      <row>18</row>
      <rowOff>0</rowOff>
    </from>
    <ext cx="2520000" cy="2520000"/>
    <graphicFrame>
      <nvGraphicFramePr>
        <cNvPr id="3" name="Chart 3"/>
        <cNvGraphicFramePr/>
      </nvGraphicFramePr>
      <xfrm/>
      <a:graphic>
        <a:graphicData uri="http://schemas.openxmlformats.org/drawingml/2006/chart">
          <c:chart r:id="rId3"/>
        </a:graphicData>
      </a:graphic>
    </graphicFrame>
    <clientData/>
  </oneCellAnchor>
  <oneCellAnchor>
    <from>
      <col>4</col>
      <colOff>0</colOff>
      <row>33</row>
      <rowOff>0</rowOff>
    </from>
    <ext cx="2520000" cy="252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33</row>
      <rowOff>0</rowOff>
    </from>
    <ext cx="3060000" cy="2520000"/>
    <graphicFrame>
      <nvGraphicFramePr>
        <cNvPr id="5" name="Chart 5"/>
        <cNvGraphicFramePr/>
      </nvGraphicFramePr>
      <xfrm/>
      <a:graphic>
        <a:graphicData uri="http://schemas.openxmlformats.org/drawingml/2006/chart">
          <c:chart r:id="rId5"/>
        </a:graphicData>
      </a:graphic>
    </graphicFrame>
    <clientData/>
  </oneCellAnchor>
  <oneCellAnchor>
    <from>
      <col>1</col>
      <colOff>0</colOff>
      <row>18</row>
      <rowOff>0</rowOff>
    </from>
    <ext cx="3060000" cy="2520000"/>
    <graphicFrame>
      <nvGraphicFramePr>
        <cNvPr id="6" name="Chart 6"/>
        <cNvGraphicFramePr/>
      </nvGraphicFramePr>
      <xfrm/>
      <a:graphic>
        <a:graphicData uri="http://schemas.openxmlformats.org/drawingml/2006/chart">
          <c:chart r:id="rId6"/>
        </a:graphicData>
      </a:graphic>
    </graphicFrame>
    <clientData/>
  </oneCellAnchor>
</wsDr>
</file>

<file path=xl/drawings/drawing1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18</row>
      <rowOff>0</rowOff>
    </from>
    <ext cx="3060000" cy="2520000"/>
    <graphicFrame>
      <nvGraphicFramePr>
        <cNvPr id="1" name="Chart 1"/>
        <cNvGraphicFramePr/>
      </nvGraphicFramePr>
      <xfrm/>
      <a:graphic>
        <a:graphicData uri="http://schemas.openxmlformats.org/drawingml/2006/chart">
          <c:chart r:id="rId1"/>
        </a:graphicData>
      </a:graphic>
    </graphicFrame>
    <clientData/>
  </oneCellAnchor>
  <oneCellAnchor>
    <from>
      <col>1</col>
      <colOff>0</colOff>
      <row>33</row>
      <rowOff>0</rowOff>
    </from>
    <ext cx="3060000" cy="2520000"/>
    <graphicFrame>
      <nvGraphicFramePr>
        <cNvPr id="2" name="Chart 2"/>
        <cNvGraphicFramePr/>
      </nvGraphicFramePr>
      <xfrm/>
      <a:graphic>
        <a:graphicData uri="http://schemas.openxmlformats.org/drawingml/2006/chart">
          <c:chart r:id="rId2"/>
        </a:graphicData>
      </a:graphic>
    </graphicFrame>
    <clientData/>
  </oneCellAnchor>
  <oneCellAnchor>
    <from>
      <col>4</col>
      <colOff>0</colOff>
      <row>18</row>
      <rowOff>0</rowOff>
    </from>
    <ext cx="2520000" cy="2520000"/>
    <graphicFrame>
      <nvGraphicFramePr>
        <cNvPr id="3" name="Chart 3"/>
        <cNvGraphicFramePr/>
      </nvGraphicFramePr>
      <xfrm/>
      <a:graphic>
        <a:graphicData uri="http://schemas.openxmlformats.org/drawingml/2006/chart">
          <c:chart r:id="rId3"/>
        </a:graphicData>
      </a:graphic>
    </graphicFrame>
    <clientData/>
  </oneCellAnchor>
  <oneCellAnchor>
    <from>
      <col>4</col>
      <colOff>0</colOff>
      <row>33</row>
      <rowOff>0</rowOff>
    </from>
    <ext cx="2520000" cy="252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33</row>
      <rowOff>0</rowOff>
    </from>
    <ext cx="3060000" cy="2520000"/>
    <graphicFrame>
      <nvGraphicFramePr>
        <cNvPr id="5" name="Chart 5"/>
        <cNvGraphicFramePr/>
      </nvGraphicFramePr>
      <xfrm/>
      <a:graphic>
        <a:graphicData uri="http://schemas.openxmlformats.org/drawingml/2006/chart">
          <c:chart r:id="rId5"/>
        </a:graphicData>
      </a:graphic>
    </graphicFrame>
    <clientData/>
  </oneCellAnchor>
  <oneCellAnchor>
    <from>
      <col>1</col>
      <colOff>0</colOff>
      <row>18</row>
      <rowOff>0</rowOff>
    </from>
    <ext cx="3060000" cy="2520000"/>
    <graphicFrame>
      <nvGraphicFramePr>
        <cNvPr id="6" name="Chart 6"/>
        <cNvGraphicFramePr/>
      </nvGraphicFramePr>
      <xfrm/>
      <a:graphic>
        <a:graphicData uri="http://schemas.openxmlformats.org/drawingml/2006/chart">
          <c:chart r:id="rId6"/>
        </a:graphicData>
      </a:graphic>
    </graphicFrame>
    <clientData/>
  </oneCellAnchor>
</wsDr>
</file>

<file path=xl/drawings/drawing1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17</row>
      <rowOff>0</rowOff>
    </from>
    <ext cx="3060000" cy="2520000"/>
    <graphicFrame>
      <nvGraphicFramePr>
        <cNvPr id="1" name="Chart 1"/>
        <cNvGraphicFramePr/>
      </nvGraphicFramePr>
      <xfrm/>
      <a:graphic>
        <a:graphicData uri="http://schemas.openxmlformats.org/drawingml/2006/chart">
          <c:chart r:id="rId1"/>
        </a:graphicData>
      </a:graphic>
    </graphicFrame>
    <clientData/>
  </oneCellAnchor>
  <oneCellAnchor>
    <from>
      <col>1</col>
      <colOff>0</colOff>
      <row>32</row>
      <rowOff>0</rowOff>
    </from>
    <ext cx="3060000" cy="2520000"/>
    <graphicFrame>
      <nvGraphicFramePr>
        <cNvPr id="2" name="Chart 2"/>
        <cNvGraphicFramePr/>
      </nvGraphicFramePr>
      <xfrm/>
      <a:graphic>
        <a:graphicData uri="http://schemas.openxmlformats.org/drawingml/2006/chart">
          <c:chart r:id="rId2"/>
        </a:graphicData>
      </a:graphic>
    </graphicFrame>
    <clientData/>
  </oneCellAnchor>
  <oneCellAnchor>
    <from>
      <col>4</col>
      <colOff>0</colOff>
      <row>17</row>
      <rowOff>0</rowOff>
    </from>
    <ext cx="2520000" cy="2520000"/>
    <graphicFrame>
      <nvGraphicFramePr>
        <cNvPr id="3" name="Chart 3"/>
        <cNvGraphicFramePr/>
      </nvGraphicFramePr>
      <xfrm/>
      <a:graphic>
        <a:graphicData uri="http://schemas.openxmlformats.org/drawingml/2006/chart">
          <c:chart r:id="rId3"/>
        </a:graphicData>
      </a:graphic>
    </graphicFrame>
    <clientData/>
  </oneCellAnchor>
  <oneCellAnchor>
    <from>
      <col>4</col>
      <colOff>0</colOff>
      <row>32</row>
      <rowOff>0</rowOff>
    </from>
    <ext cx="2520000" cy="252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32</row>
      <rowOff>0</rowOff>
    </from>
    <ext cx="3060000" cy="2520000"/>
    <graphicFrame>
      <nvGraphicFramePr>
        <cNvPr id="5" name="Chart 5"/>
        <cNvGraphicFramePr/>
      </nvGraphicFramePr>
      <xfrm/>
      <a:graphic>
        <a:graphicData uri="http://schemas.openxmlformats.org/drawingml/2006/chart">
          <c:chart r:id="rId5"/>
        </a:graphicData>
      </a:graphic>
    </graphicFrame>
    <clientData/>
  </oneCellAnchor>
  <oneCellAnchor>
    <from>
      <col>1</col>
      <colOff>0</colOff>
      <row>17</row>
      <rowOff>0</rowOff>
    </from>
    <ext cx="3060000" cy="2520000"/>
    <graphicFrame>
      <nvGraphicFramePr>
        <cNvPr id="6" name="Chart 6"/>
        <cNvGraphicFramePr/>
      </nvGraphicFramePr>
      <xfrm/>
      <a:graphic>
        <a:graphicData uri="http://schemas.openxmlformats.org/drawingml/2006/chart">
          <c:chart r:id="rId6"/>
        </a:graphicData>
      </a:graphic>
    </graphicFrame>
    <clientData/>
  </oneCellAnchor>
</wsDr>
</file>

<file path=xl/drawings/drawing1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15</row>
      <rowOff>0</rowOff>
    </from>
    <ext cx="3060000" cy="2520000"/>
    <graphicFrame>
      <nvGraphicFramePr>
        <cNvPr id="1" name="Chart 1"/>
        <cNvGraphicFramePr/>
      </nvGraphicFramePr>
      <xfrm/>
      <a:graphic>
        <a:graphicData uri="http://schemas.openxmlformats.org/drawingml/2006/chart">
          <c:chart r:id="rId1"/>
        </a:graphicData>
      </a:graphic>
    </graphicFrame>
    <clientData/>
  </oneCellAnchor>
  <oneCellAnchor>
    <from>
      <col>1</col>
      <colOff>0</colOff>
      <row>30</row>
      <rowOff>0</rowOff>
    </from>
    <ext cx="3060000" cy="2520000"/>
    <graphicFrame>
      <nvGraphicFramePr>
        <cNvPr id="2" name="Chart 2"/>
        <cNvGraphicFramePr/>
      </nvGraphicFramePr>
      <xfrm/>
      <a:graphic>
        <a:graphicData uri="http://schemas.openxmlformats.org/drawingml/2006/chart">
          <c:chart r:id="rId2"/>
        </a:graphicData>
      </a:graphic>
    </graphicFrame>
    <clientData/>
  </oneCellAnchor>
  <oneCellAnchor>
    <from>
      <col>4</col>
      <colOff>0</colOff>
      <row>15</row>
      <rowOff>0</rowOff>
    </from>
    <ext cx="2520000" cy="2520000"/>
    <graphicFrame>
      <nvGraphicFramePr>
        <cNvPr id="3" name="Chart 3"/>
        <cNvGraphicFramePr/>
      </nvGraphicFramePr>
      <xfrm/>
      <a:graphic>
        <a:graphicData uri="http://schemas.openxmlformats.org/drawingml/2006/chart">
          <c:chart r:id="rId3"/>
        </a:graphicData>
      </a:graphic>
    </graphicFrame>
    <clientData/>
  </oneCellAnchor>
  <oneCellAnchor>
    <from>
      <col>4</col>
      <colOff>0</colOff>
      <row>30</row>
      <rowOff>0</rowOff>
    </from>
    <ext cx="2520000" cy="252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30</row>
      <rowOff>0</rowOff>
    </from>
    <ext cx="3060000" cy="2520000"/>
    <graphicFrame>
      <nvGraphicFramePr>
        <cNvPr id="5" name="Chart 5"/>
        <cNvGraphicFramePr/>
      </nvGraphicFramePr>
      <xfrm/>
      <a:graphic>
        <a:graphicData uri="http://schemas.openxmlformats.org/drawingml/2006/chart">
          <c:chart r:id="rId5"/>
        </a:graphicData>
      </a:graphic>
    </graphicFrame>
    <clientData/>
  </oneCellAnchor>
  <oneCellAnchor>
    <from>
      <col>1</col>
      <colOff>0</colOff>
      <row>15</row>
      <rowOff>0</rowOff>
    </from>
    <ext cx="3060000" cy="2520000"/>
    <graphicFrame>
      <nvGraphicFramePr>
        <cNvPr id="6" name="Chart 6"/>
        <cNvGraphicFramePr/>
      </nvGraphicFramePr>
      <xfrm/>
      <a:graphic>
        <a:graphicData uri="http://schemas.openxmlformats.org/drawingml/2006/chart">
          <c:chart r:id="rId6"/>
        </a:graphicData>
      </a:graphic>
    </graphicFrame>
    <clientData/>
  </oneCellAnchor>
</wsDr>
</file>

<file path=xl/drawings/drawing20.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14</row>
      <rowOff>0</rowOff>
    </from>
    <ext cx="3060000" cy="25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29</row>
      <rowOff>0</rowOff>
    </from>
    <ext cx="3060000" cy="2520000"/>
    <graphicFrame>
      <nvGraphicFramePr>
        <cNvPr id="2" name="Chart 2"/>
        <cNvGraphicFramePr/>
      </nvGraphicFramePr>
      <xfrm/>
      <a:graphic>
        <a:graphicData uri="http://schemas.openxmlformats.org/drawingml/2006/chart">
          <c:chart r:id="rId2"/>
        </a:graphicData>
      </a:graphic>
    </graphicFrame>
    <clientData/>
  </oneCellAnchor>
  <oneCellAnchor>
    <from>
      <col>7</col>
      <colOff>0</colOff>
      <row>14</row>
      <rowOff>0</rowOff>
    </from>
    <ext cx="2520000" cy="252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29</row>
      <rowOff>0</rowOff>
    </from>
    <ext cx="2520000" cy="2520000"/>
    <graphicFrame>
      <nvGraphicFramePr>
        <cNvPr id="4" name="Chart 4"/>
        <cNvGraphicFramePr/>
      </nvGraphicFramePr>
      <xfrm/>
      <a:graphic>
        <a:graphicData uri="http://schemas.openxmlformats.org/drawingml/2006/chart">
          <c:chart r:id="rId4"/>
        </a:graphicData>
      </a:graphic>
    </graphicFrame>
    <clientData/>
  </oneCellAnchor>
  <oneCellAnchor>
    <from>
      <col>4</col>
      <colOff>0</colOff>
      <row>29</row>
      <rowOff>0</rowOff>
    </from>
    <ext cx="3060000" cy="2520000"/>
    <graphicFrame>
      <nvGraphicFramePr>
        <cNvPr id="5" name="Chart 5"/>
        <cNvGraphicFramePr/>
      </nvGraphicFramePr>
      <xfrm/>
      <a:graphic>
        <a:graphicData uri="http://schemas.openxmlformats.org/drawingml/2006/chart">
          <c:chart r:id="rId5"/>
        </a:graphicData>
      </a:graphic>
    </graphicFrame>
    <clientData/>
  </oneCellAnchor>
  <oneCellAnchor>
    <from>
      <col>4</col>
      <colOff>0</colOff>
      <row>14</row>
      <rowOff>0</rowOff>
    </from>
    <ext cx="3060000" cy="2520000"/>
    <graphicFrame>
      <nvGraphicFramePr>
        <cNvPr id="6" name="Chart 6"/>
        <cNvGraphicFramePr/>
      </nvGraphicFramePr>
      <xfrm/>
      <a:graphic>
        <a:graphicData uri="http://schemas.openxmlformats.org/drawingml/2006/chart">
          <c:chart r:id="rId6"/>
        </a:graphicData>
      </a:graphic>
    </graphicFrame>
    <clientData/>
  </oneCellAnchor>
</wsDr>
</file>

<file path=xl/drawings/drawing2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14</row>
      <rowOff>0</rowOff>
    </from>
    <ext cx="3060000" cy="25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29</row>
      <rowOff>0</rowOff>
    </from>
    <ext cx="3060000" cy="2520000"/>
    <graphicFrame>
      <nvGraphicFramePr>
        <cNvPr id="2" name="Chart 2"/>
        <cNvGraphicFramePr/>
      </nvGraphicFramePr>
      <xfrm/>
      <a:graphic>
        <a:graphicData uri="http://schemas.openxmlformats.org/drawingml/2006/chart">
          <c:chart r:id="rId2"/>
        </a:graphicData>
      </a:graphic>
    </graphicFrame>
    <clientData/>
  </oneCellAnchor>
  <oneCellAnchor>
    <from>
      <col>7</col>
      <colOff>0</colOff>
      <row>14</row>
      <rowOff>0</rowOff>
    </from>
    <ext cx="2520000" cy="252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29</row>
      <rowOff>0</rowOff>
    </from>
    <ext cx="2520000" cy="2520000"/>
    <graphicFrame>
      <nvGraphicFramePr>
        <cNvPr id="4" name="Chart 4"/>
        <cNvGraphicFramePr/>
      </nvGraphicFramePr>
      <xfrm/>
      <a:graphic>
        <a:graphicData uri="http://schemas.openxmlformats.org/drawingml/2006/chart">
          <c:chart r:id="rId4"/>
        </a:graphicData>
      </a:graphic>
    </graphicFrame>
    <clientData/>
  </oneCellAnchor>
  <oneCellAnchor>
    <from>
      <col>4</col>
      <colOff>0</colOff>
      <row>29</row>
      <rowOff>0</rowOff>
    </from>
    <ext cx="3060000" cy="2520000"/>
    <graphicFrame>
      <nvGraphicFramePr>
        <cNvPr id="5" name="Chart 5"/>
        <cNvGraphicFramePr/>
      </nvGraphicFramePr>
      <xfrm/>
      <a:graphic>
        <a:graphicData uri="http://schemas.openxmlformats.org/drawingml/2006/chart">
          <c:chart r:id="rId5"/>
        </a:graphicData>
      </a:graphic>
    </graphicFrame>
    <clientData/>
  </oneCellAnchor>
  <oneCellAnchor>
    <from>
      <col>4</col>
      <colOff>0</colOff>
      <row>14</row>
      <rowOff>0</rowOff>
    </from>
    <ext cx="3060000" cy="2520000"/>
    <graphicFrame>
      <nvGraphicFramePr>
        <cNvPr id="6" name="Chart 6"/>
        <cNvGraphicFramePr/>
      </nvGraphicFramePr>
      <xfrm/>
      <a:graphic>
        <a:graphicData uri="http://schemas.openxmlformats.org/drawingml/2006/chart">
          <c:chart r:id="rId6"/>
        </a:graphicData>
      </a:graphic>
    </graphicFrame>
    <clientData/>
  </oneCellAnchor>
</wsDr>
</file>

<file path=xl/drawings/drawing2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14</row>
      <rowOff>0</rowOff>
    </from>
    <ext cx="3060000" cy="25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29</row>
      <rowOff>0</rowOff>
    </from>
    <ext cx="3060000" cy="2520000"/>
    <graphicFrame>
      <nvGraphicFramePr>
        <cNvPr id="2" name="Chart 2"/>
        <cNvGraphicFramePr/>
      </nvGraphicFramePr>
      <xfrm/>
      <a:graphic>
        <a:graphicData uri="http://schemas.openxmlformats.org/drawingml/2006/chart">
          <c:chart r:id="rId2"/>
        </a:graphicData>
      </a:graphic>
    </graphicFrame>
    <clientData/>
  </oneCellAnchor>
  <oneCellAnchor>
    <from>
      <col>7</col>
      <colOff>0</colOff>
      <row>14</row>
      <rowOff>0</rowOff>
    </from>
    <ext cx="2520000" cy="252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29</row>
      <rowOff>0</rowOff>
    </from>
    <ext cx="2520000" cy="2520000"/>
    <graphicFrame>
      <nvGraphicFramePr>
        <cNvPr id="4" name="Chart 4"/>
        <cNvGraphicFramePr/>
      </nvGraphicFramePr>
      <xfrm/>
      <a:graphic>
        <a:graphicData uri="http://schemas.openxmlformats.org/drawingml/2006/chart">
          <c:chart r:id="rId4"/>
        </a:graphicData>
      </a:graphic>
    </graphicFrame>
    <clientData/>
  </oneCellAnchor>
  <oneCellAnchor>
    <from>
      <col>4</col>
      <colOff>0</colOff>
      <row>29</row>
      <rowOff>0</rowOff>
    </from>
    <ext cx="3060000" cy="2520000"/>
    <graphicFrame>
      <nvGraphicFramePr>
        <cNvPr id="5" name="Chart 5"/>
        <cNvGraphicFramePr/>
      </nvGraphicFramePr>
      <xfrm/>
      <a:graphic>
        <a:graphicData uri="http://schemas.openxmlformats.org/drawingml/2006/chart">
          <c:chart r:id="rId5"/>
        </a:graphicData>
      </a:graphic>
    </graphicFrame>
    <clientData/>
  </oneCellAnchor>
  <oneCellAnchor>
    <from>
      <col>4</col>
      <colOff>0</colOff>
      <row>14</row>
      <rowOff>0</rowOff>
    </from>
    <ext cx="3060000" cy="2520000"/>
    <graphicFrame>
      <nvGraphicFramePr>
        <cNvPr id="6" name="Chart 6"/>
        <cNvGraphicFramePr/>
      </nvGraphicFramePr>
      <xfrm/>
      <a:graphic>
        <a:graphicData uri="http://schemas.openxmlformats.org/drawingml/2006/chart">
          <c:chart r:id="rId6"/>
        </a:graphicData>
      </a:graphic>
    </graphicFrame>
    <clientData/>
  </oneCellAnchor>
</wsDr>
</file>

<file path=xl/drawings/drawing2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14</row>
      <rowOff>0</rowOff>
    </from>
    <ext cx="3060000" cy="25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29</row>
      <rowOff>0</rowOff>
    </from>
    <ext cx="3060000" cy="2520000"/>
    <graphicFrame>
      <nvGraphicFramePr>
        <cNvPr id="2" name="Chart 2"/>
        <cNvGraphicFramePr/>
      </nvGraphicFramePr>
      <xfrm/>
      <a:graphic>
        <a:graphicData uri="http://schemas.openxmlformats.org/drawingml/2006/chart">
          <c:chart r:id="rId2"/>
        </a:graphicData>
      </a:graphic>
    </graphicFrame>
    <clientData/>
  </oneCellAnchor>
  <oneCellAnchor>
    <from>
      <col>7</col>
      <colOff>0</colOff>
      <row>14</row>
      <rowOff>0</rowOff>
    </from>
    <ext cx="2520000" cy="252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29</row>
      <rowOff>0</rowOff>
    </from>
    <ext cx="2520000" cy="2520000"/>
    <graphicFrame>
      <nvGraphicFramePr>
        <cNvPr id="4" name="Chart 4"/>
        <cNvGraphicFramePr/>
      </nvGraphicFramePr>
      <xfrm/>
      <a:graphic>
        <a:graphicData uri="http://schemas.openxmlformats.org/drawingml/2006/chart">
          <c:chart r:id="rId4"/>
        </a:graphicData>
      </a:graphic>
    </graphicFrame>
    <clientData/>
  </oneCellAnchor>
  <oneCellAnchor>
    <from>
      <col>4</col>
      <colOff>0</colOff>
      <row>29</row>
      <rowOff>0</rowOff>
    </from>
    <ext cx="3060000" cy="2520000"/>
    <graphicFrame>
      <nvGraphicFramePr>
        <cNvPr id="5" name="Chart 5"/>
        <cNvGraphicFramePr/>
      </nvGraphicFramePr>
      <xfrm/>
      <a:graphic>
        <a:graphicData uri="http://schemas.openxmlformats.org/drawingml/2006/chart">
          <c:chart r:id="rId5"/>
        </a:graphicData>
      </a:graphic>
    </graphicFrame>
    <clientData/>
  </oneCellAnchor>
  <oneCellAnchor>
    <from>
      <col>4</col>
      <colOff>0</colOff>
      <row>14</row>
      <rowOff>0</rowOff>
    </from>
    <ext cx="3060000" cy="2520000"/>
    <graphicFrame>
      <nvGraphicFramePr>
        <cNvPr id="6" name="Chart 6"/>
        <cNvGraphicFramePr/>
      </nvGraphicFramePr>
      <xfrm/>
      <a:graphic>
        <a:graphicData uri="http://schemas.openxmlformats.org/drawingml/2006/chart">
          <c:chart r:id="rId6"/>
        </a:graphicData>
      </a:graphic>
    </graphicFrame>
    <clientData/>
  </oneCellAnchor>
</wsDr>
</file>

<file path=xl/drawings/drawing2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14</row>
      <rowOff>0</rowOff>
    </from>
    <ext cx="3060000" cy="25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29</row>
      <rowOff>0</rowOff>
    </from>
    <ext cx="3060000" cy="2520000"/>
    <graphicFrame>
      <nvGraphicFramePr>
        <cNvPr id="2" name="Chart 2"/>
        <cNvGraphicFramePr/>
      </nvGraphicFramePr>
      <xfrm/>
      <a:graphic>
        <a:graphicData uri="http://schemas.openxmlformats.org/drawingml/2006/chart">
          <c:chart r:id="rId2"/>
        </a:graphicData>
      </a:graphic>
    </graphicFrame>
    <clientData/>
  </oneCellAnchor>
  <oneCellAnchor>
    <from>
      <col>7</col>
      <colOff>0</colOff>
      <row>14</row>
      <rowOff>0</rowOff>
    </from>
    <ext cx="2520000" cy="252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29</row>
      <rowOff>0</rowOff>
    </from>
    <ext cx="2520000" cy="2520000"/>
    <graphicFrame>
      <nvGraphicFramePr>
        <cNvPr id="4" name="Chart 4"/>
        <cNvGraphicFramePr/>
      </nvGraphicFramePr>
      <xfrm/>
      <a:graphic>
        <a:graphicData uri="http://schemas.openxmlformats.org/drawingml/2006/chart">
          <c:chart r:id="rId4"/>
        </a:graphicData>
      </a:graphic>
    </graphicFrame>
    <clientData/>
  </oneCellAnchor>
  <oneCellAnchor>
    <from>
      <col>4</col>
      <colOff>0</colOff>
      <row>29</row>
      <rowOff>0</rowOff>
    </from>
    <ext cx="3060000" cy="2520000"/>
    <graphicFrame>
      <nvGraphicFramePr>
        <cNvPr id="5" name="Chart 5"/>
        <cNvGraphicFramePr/>
      </nvGraphicFramePr>
      <xfrm/>
      <a:graphic>
        <a:graphicData uri="http://schemas.openxmlformats.org/drawingml/2006/chart">
          <c:chart r:id="rId5"/>
        </a:graphicData>
      </a:graphic>
    </graphicFrame>
    <clientData/>
  </oneCellAnchor>
  <oneCellAnchor>
    <from>
      <col>4</col>
      <colOff>0</colOff>
      <row>14</row>
      <rowOff>0</rowOff>
    </from>
    <ext cx="3060000" cy="2520000"/>
    <graphicFrame>
      <nvGraphicFramePr>
        <cNvPr id="6" name="Chart 6"/>
        <cNvGraphicFramePr/>
      </nvGraphicFramePr>
      <xfrm/>
      <a:graphic>
        <a:graphicData uri="http://schemas.openxmlformats.org/drawingml/2006/chart">
          <c:chart r:id="rId6"/>
        </a:graphicData>
      </a:graphic>
    </graphicFrame>
    <clientData/>
  </oneCellAnchor>
</wsDr>
</file>

<file path=xl/drawings/drawing2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14</row>
      <rowOff>0</rowOff>
    </from>
    <ext cx="3060000" cy="25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29</row>
      <rowOff>0</rowOff>
    </from>
    <ext cx="3060000" cy="2520000"/>
    <graphicFrame>
      <nvGraphicFramePr>
        <cNvPr id="2" name="Chart 2"/>
        <cNvGraphicFramePr/>
      </nvGraphicFramePr>
      <xfrm/>
      <a:graphic>
        <a:graphicData uri="http://schemas.openxmlformats.org/drawingml/2006/chart">
          <c:chart r:id="rId2"/>
        </a:graphicData>
      </a:graphic>
    </graphicFrame>
    <clientData/>
  </oneCellAnchor>
  <oneCellAnchor>
    <from>
      <col>7</col>
      <colOff>0</colOff>
      <row>14</row>
      <rowOff>0</rowOff>
    </from>
    <ext cx="2520000" cy="252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29</row>
      <rowOff>0</rowOff>
    </from>
    <ext cx="2520000" cy="2520000"/>
    <graphicFrame>
      <nvGraphicFramePr>
        <cNvPr id="4" name="Chart 4"/>
        <cNvGraphicFramePr/>
      </nvGraphicFramePr>
      <xfrm/>
      <a:graphic>
        <a:graphicData uri="http://schemas.openxmlformats.org/drawingml/2006/chart">
          <c:chart r:id="rId4"/>
        </a:graphicData>
      </a:graphic>
    </graphicFrame>
    <clientData/>
  </oneCellAnchor>
  <oneCellAnchor>
    <from>
      <col>4</col>
      <colOff>0</colOff>
      <row>29</row>
      <rowOff>0</rowOff>
    </from>
    <ext cx="3060000" cy="2520000"/>
    <graphicFrame>
      <nvGraphicFramePr>
        <cNvPr id="5" name="Chart 5"/>
        <cNvGraphicFramePr/>
      </nvGraphicFramePr>
      <xfrm/>
      <a:graphic>
        <a:graphicData uri="http://schemas.openxmlformats.org/drawingml/2006/chart">
          <c:chart r:id="rId5"/>
        </a:graphicData>
      </a:graphic>
    </graphicFrame>
    <clientData/>
  </oneCellAnchor>
  <oneCellAnchor>
    <from>
      <col>4</col>
      <colOff>0</colOff>
      <row>14</row>
      <rowOff>0</rowOff>
    </from>
    <ext cx="3060000" cy="2520000"/>
    <graphicFrame>
      <nvGraphicFramePr>
        <cNvPr id="6" name="Chart 6"/>
        <cNvGraphicFramePr/>
      </nvGraphicFramePr>
      <xfrm/>
      <a:graphic>
        <a:graphicData uri="http://schemas.openxmlformats.org/drawingml/2006/chart">
          <c:chart r:id="rId6"/>
        </a:graphicData>
      </a:graphic>
    </graphicFrame>
    <clientData/>
  </oneCellAnchor>
</wsDr>
</file>

<file path=xl/drawings/drawing2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14</row>
      <rowOff>0</rowOff>
    </from>
    <ext cx="3060000" cy="25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29</row>
      <rowOff>0</rowOff>
    </from>
    <ext cx="3060000" cy="2520000"/>
    <graphicFrame>
      <nvGraphicFramePr>
        <cNvPr id="2" name="Chart 2"/>
        <cNvGraphicFramePr/>
      </nvGraphicFramePr>
      <xfrm/>
      <a:graphic>
        <a:graphicData uri="http://schemas.openxmlformats.org/drawingml/2006/chart">
          <c:chart r:id="rId2"/>
        </a:graphicData>
      </a:graphic>
    </graphicFrame>
    <clientData/>
  </oneCellAnchor>
  <oneCellAnchor>
    <from>
      <col>7</col>
      <colOff>0</colOff>
      <row>14</row>
      <rowOff>0</rowOff>
    </from>
    <ext cx="2520000" cy="252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29</row>
      <rowOff>0</rowOff>
    </from>
    <ext cx="2520000" cy="2520000"/>
    <graphicFrame>
      <nvGraphicFramePr>
        <cNvPr id="4" name="Chart 4"/>
        <cNvGraphicFramePr/>
      </nvGraphicFramePr>
      <xfrm/>
      <a:graphic>
        <a:graphicData uri="http://schemas.openxmlformats.org/drawingml/2006/chart">
          <c:chart r:id="rId4"/>
        </a:graphicData>
      </a:graphic>
    </graphicFrame>
    <clientData/>
  </oneCellAnchor>
  <oneCellAnchor>
    <from>
      <col>4</col>
      <colOff>0</colOff>
      <row>29</row>
      <rowOff>0</rowOff>
    </from>
    <ext cx="3060000" cy="2520000"/>
    <graphicFrame>
      <nvGraphicFramePr>
        <cNvPr id="5" name="Chart 5"/>
        <cNvGraphicFramePr/>
      </nvGraphicFramePr>
      <xfrm/>
      <a:graphic>
        <a:graphicData uri="http://schemas.openxmlformats.org/drawingml/2006/chart">
          <c:chart r:id="rId5"/>
        </a:graphicData>
      </a:graphic>
    </graphicFrame>
    <clientData/>
  </oneCellAnchor>
  <oneCellAnchor>
    <from>
      <col>4</col>
      <colOff>0</colOff>
      <row>14</row>
      <rowOff>0</rowOff>
    </from>
    <ext cx="3060000" cy="2520000"/>
    <graphicFrame>
      <nvGraphicFramePr>
        <cNvPr id="6" name="Chart 6"/>
        <cNvGraphicFramePr/>
      </nvGraphicFramePr>
      <xfrm/>
      <a:graphic>
        <a:graphicData uri="http://schemas.openxmlformats.org/drawingml/2006/chart">
          <c:chart r:id="rId6"/>
        </a:graphicData>
      </a:graphic>
    </graphicFrame>
    <clientData/>
  </oneCellAnchor>
</wsDr>
</file>

<file path=xl/drawings/drawing2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14</row>
      <rowOff>0</rowOff>
    </from>
    <ext cx="3060000" cy="25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29</row>
      <rowOff>0</rowOff>
    </from>
    <ext cx="3060000" cy="2520000"/>
    <graphicFrame>
      <nvGraphicFramePr>
        <cNvPr id="2" name="Chart 2"/>
        <cNvGraphicFramePr/>
      </nvGraphicFramePr>
      <xfrm/>
      <a:graphic>
        <a:graphicData uri="http://schemas.openxmlformats.org/drawingml/2006/chart">
          <c:chart r:id="rId2"/>
        </a:graphicData>
      </a:graphic>
    </graphicFrame>
    <clientData/>
  </oneCellAnchor>
  <oneCellAnchor>
    <from>
      <col>7</col>
      <colOff>0</colOff>
      <row>14</row>
      <rowOff>0</rowOff>
    </from>
    <ext cx="2520000" cy="252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29</row>
      <rowOff>0</rowOff>
    </from>
    <ext cx="2520000" cy="2520000"/>
    <graphicFrame>
      <nvGraphicFramePr>
        <cNvPr id="4" name="Chart 4"/>
        <cNvGraphicFramePr/>
      </nvGraphicFramePr>
      <xfrm/>
      <a:graphic>
        <a:graphicData uri="http://schemas.openxmlformats.org/drawingml/2006/chart">
          <c:chart r:id="rId4"/>
        </a:graphicData>
      </a:graphic>
    </graphicFrame>
    <clientData/>
  </oneCellAnchor>
  <oneCellAnchor>
    <from>
      <col>4</col>
      <colOff>0</colOff>
      <row>29</row>
      <rowOff>0</rowOff>
    </from>
    <ext cx="3060000" cy="2520000"/>
    <graphicFrame>
      <nvGraphicFramePr>
        <cNvPr id="5" name="Chart 5"/>
        <cNvGraphicFramePr/>
      </nvGraphicFramePr>
      <xfrm/>
      <a:graphic>
        <a:graphicData uri="http://schemas.openxmlformats.org/drawingml/2006/chart">
          <c:chart r:id="rId5"/>
        </a:graphicData>
      </a:graphic>
    </graphicFrame>
    <clientData/>
  </oneCellAnchor>
  <oneCellAnchor>
    <from>
      <col>4</col>
      <colOff>0</colOff>
      <row>14</row>
      <rowOff>0</rowOff>
    </from>
    <ext cx="3060000" cy="2520000"/>
    <graphicFrame>
      <nvGraphicFramePr>
        <cNvPr id="6" name="Chart 6"/>
        <cNvGraphicFramePr/>
      </nvGraphicFramePr>
      <xfrm/>
      <a:graphic>
        <a:graphicData uri="http://schemas.openxmlformats.org/drawingml/2006/chart">
          <c:chart r:id="rId6"/>
        </a:graphicData>
      </a:graphic>
    </graphicFrame>
    <clientData/>
  </oneCellAnchor>
</wsDr>
</file>

<file path=xl/drawings/drawing2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14</row>
      <rowOff>0</rowOff>
    </from>
    <ext cx="3060000" cy="25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29</row>
      <rowOff>0</rowOff>
    </from>
    <ext cx="3060000" cy="2520000"/>
    <graphicFrame>
      <nvGraphicFramePr>
        <cNvPr id="2" name="Chart 2"/>
        <cNvGraphicFramePr/>
      </nvGraphicFramePr>
      <xfrm/>
      <a:graphic>
        <a:graphicData uri="http://schemas.openxmlformats.org/drawingml/2006/chart">
          <c:chart r:id="rId2"/>
        </a:graphicData>
      </a:graphic>
    </graphicFrame>
    <clientData/>
  </oneCellAnchor>
  <oneCellAnchor>
    <from>
      <col>7</col>
      <colOff>0</colOff>
      <row>14</row>
      <rowOff>0</rowOff>
    </from>
    <ext cx="2520000" cy="252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29</row>
      <rowOff>0</rowOff>
    </from>
    <ext cx="2520000" cy="2520000"/>
    <graphicFrame>
      <nvGraphicFramePr>
        <cNvPr id="4" name="Chart 4"/>
        <cNvGraphicFramePr/>
      </nvGraphicFramePr>
      <xfrm/>
      <a:graphic>
        <a:graphicData uri="http://schemas.openxmlformats.org/drawingml/2006/chart">
          <c:chart r:id="rId4"/>
        </a:graphicData>
      </a:graphic>
    </graphicFrame>
    <clientData/>
  </oneCellAnchor>
  <oneCellAnchor>
    <from>
      <col>4</col>
      <colOff>0</colOff>
      <row>29</row>
      <rowOff>0</rowOff>
    </from>
    <ext cx="3060000" cy="2520000"/>
    <graphicFrame>
      <nvGraphicFramePr>
        <cNvPr id="5" name="Chart 5"/>
        <cNvGraphicFramePr/>
      </nvGraphicFramePr>
      <xfrm/>
      <a:graphic>
        <a:graphicData uri="http://schemas.openxmlformats.org/drawingml/2006/chart">
          <c:chart r:id="rId5"/>
        </a:graphicData>
      </a:graphic>
    </graphicFrame>
    <clientData/>
  </oneCellAnchor>
  <oneCellAnchor>
    <from>
      <col>4</col>
      <colOff>0</colOff>
      <row>14</row>
      <rowOff>0</rowOff>
    </from>
    <ext cx="3060000" cy="2520000"/>
    <graphicFrame>
      <nvGraphicFramePr>
        <cNvPr id="6" name="Chart 6"/>
        <cNvGraphicFramePr/>
      </nvGraphicFramePr>
      <xfrm/>
      <a:graphic>
        <a:graphicData uri="http://schemas.openxmlformats.org/drawingml/2006/chart">
          <c:chart r:id="rId6"/>
        </a:graphicData>
      </a:graphic>
    </graphicFrame>
    <clientData/>
  </oneCellAnchor>
</wsDr>
</file>

<file path=xl/drawings/drawing2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14</row>
      <rowOff>0</rowOff>
    </from>
    <ext cx="3060000" cy="25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29</row>
      <rowOff>0</rowOff>
    </from>
    <ext cx="3060000" cy="2520000"/>
    <graphicFrame>
      <nvGraphicFramePr>
        <cNvPr id="2" name="Chart 2"/>
        <cNvGraphicFramePr/>
      </nvGraphicFramePr>
      <xfrm/>
      <a:graphic>
        <a:graphicData uri="http://schemas.openxmlformats.org/drawingml/2006/chart">
          <c:chart r:id="rId2"/>
        </a:graphicData>
      </a:graphic>
    </graphicFrame>
    <clientData/>
  </oneCellAnchor>
  <oneCellAnchor>
    <from>
      <col>7</col>
      <colOff>0</colOff>
      <row>14</row>
      <rowOff>0</rowOff>
    </from>
    <ext cx="2520000" cy="252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29</row>
      <rowOff>0</rowOff>
    </from>
    <ext cx="2520000" cy="2520000"/>
    <graphicFrame>
      <nvGraphicFramePr>
        <cNvPr id="4" name="Chart 4"/>
        <cNvGraphicFramePr/>
      </nvGraphicFramePr>
      <xfrm/>
      <a:graphic>
        <a:graphicData uri="http://schemas.openxmlformats.org/drawingml/2006/chart">
          <c:chart r:id="rId4"/>
        </a:graphicData>
      </a:graphic>
    </graphicFrame>
    <clientData/>
  </oneCellAnchor>
  <oneCellAnchor>
    <from>
      <col>4</col>
      <colOff>0</colOff>
      <row>29</row>
      <rowOff>0</rowOff>
    </from>
    <ext cx="3060000" cy="2520000"/>
    <graphicFrame>
      <nvGraphicFramePr>
        <cNvPr id="5" name="Chart 5"/>
        <cNvGraphicFramePr/>
      </nvGraphicFramePr>
      <xfrm/>
      <a:graphic>
        <a:graphicData uri="http://schemas.openxmlformats.org/drawingml/2006/chart">
          <c:chart r:id="rId5"/>
        </a:graphicData>
      </a:graphic>
    </graphicFrame>
    <clientData/>
  </oneCellAnchor>
  <oneCellAnchor>
    <from>
      <col>4</col>
      <colOff>0</colOff>
      <row>14</row>
      <rowOff>0</rowOff>
    </from>
    <ext cx="3060000" cy="2520000"/>
    <graphicFrame>
      <nvGraphicFramePr>
        <cNvPr id="6" name="Chart 6"/>
        <cNvGraphicFramePr/>
      </nvGraphicFramePr>
      <xfrm/>
      <a:graphic>
        <a:graphicData uri="http://schemas.openxmlformats.org/drawingml/2006/chart">
          <c:chart r:id="rId6"/>
        </a:graphicData>
      </a:graphic>
    </graphicFrame>
    <clientData/>
  </oneCellAnchor>
</wsDr>
</file>

<file path=xl/drawings/drawing30.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14</row>
      <rowOff>0</rowOff>
    </from>
    <ext cx="3060000" cy="25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29</row>
      <rowOff>0</rowOff>
    </from>
    <ext cx="3060000" cy="2520000"/>
    <graphicFrame>
      <nvGraphicFramePr>
        <cNvPr id="2" name="Chart 2"/>
        <cNvGraphicFramePr/>
      </nvGraphicFramePr>
      <xfrm/>
      <a:graphic>
        <a:graphicData uri="http://schemas.openxmlformats.org/drawingml/2006/chart">
          <c:chart r:id="rId2"/>
        </a:graphicData>
      </a:graphic>
    </graphicFrame>
    <clientData/>
  </oneCellAnchor>
  <oneCellAnchor>
    <from>
      <col>7</col>
      <colOff>0</colOff>
      <row>14</row>
      <rowOff>0</rowOff>
    </from>
    <ext cx="2520000" cy="252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29</row>
      <rowOff>0</rowOff>
    </from>
    <ext cx="2520000" cy="2520000"/>
    <graphicFrame>
      <nvGraphicFramePr>
        <cNvPr id="4" name="Chart 4"/>
        <cNvGraphicFramePr/>
      </nvGraphicFramePr>
      <xfrm/>
      <a:graphic>
        <a:graphicData uri="http://schemas.openxmlformats.org/drawingml/2006/chart">
          <c:chart r:id="rId4"/>
        </a:graphicData>
      </a:graphic>
    </graphicFrame>
    <clientData/>
  </oneCellAnchor>
  <oneCellAnchor>
    <from>
      <col>4</col>
      <colOff>0</colOff>
      <row>29</row>
      <rowOff>0</rowOff>
    </from>
    <ext cx="3060000" cy="2520000"/>
    <graphicFrame>
      <nvGraphicFramePr>
        <cNvPr id="5" name="Chart 5"/>
        <cNvGraphicFramePr/>
      </nvGraphicFramePr>
      <xfrm/>
      <a:graphic>
        <a:graphicData uri="http://schemas.openxmlformats.org/drawingml/2006/chart">
          <c:chart r:id="rId5"/>
        </a:graphicData>
      </a:graphic>
    </graphicFrame>
    <clientData/>
  </oneCellAnchor>
  <oneCellAnchor>
    <from>
      <col>4</col>
      <colOff>0</colOff>
      <row>14</row>
      <rowOff>0</rowOff>
    </from>
    <ext cx="3060000" cy="2520000"/>
    <graphicFrame>
      <nvGraphicFramePr>
        <cNvPr id="6" name="Chart 6"/>
        <cNvGraphicFramePr/>
      </nvGraphicFramePr>
      <xfrm/>
      <a:graphic>
        <a:graphicData uri="http://schemas.openxmlformats.org/drawingml/2006/chart">
          <c:chart r:id="rId6"/>
        </a:graphicData>
      </a:graphic>
    </graphicFrame>
    <clientData/>
  </oneCellAnchor>
</wsDr>
</file>

<file path=xl/drawings/drawing3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14</row>
      <rowOff>0</rowOff>
    </from>
    <ext cx="3060000" cy="25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29</row>
      <rowOff>0</rowOff>
    </from>
    <ext cx="3060000" cy="2520000"/>
    <graphicFrame>
      <nvGraphicFramePr>
        <cNvPr id="2" name="Chart 2"/>
        <cNvGraphicFramePr/>
      </nvGraphicFramePr>
      <xfrm/>
      <a:graphic>
        <a:graphicData uri="http://schemas.openxmlformats.org/drawingml/2006/chart">
          <c:chart r:id="rId2"/>
        </a:graphicData>
      </a:graphic>
    </graphicFrame>
    <clientData/>
  </oneCellAnchor>
  <oneCellAnchor>
    <from>
      <col>7</col>
      <colOff>0</colOff>
      <row>14</row>
      <rowOff>0</rowOff>
    </from>
    <ext cx="2520000" cy="252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29</row>
      <rowOff>0</rowOff>
    </from>
    <ext cx="2520000" cy="2520000"/>
    <graphicFrame>
      <nvGraphicFramePr>
        <cNvPr id="4" name="Chart 4"/>
        <cNvGraphicFramePr/>
      </nvGraphicFramePr>
      <xfrm/>
      <a:graphic>
        <a:graphicData uri="http://schemas.openxmlformats.org/drawingml/2006/chart">
          <c:chart r:id="rId4"/>
        </a:graphicData>
      </a:graphic>
    </graphicFrame>
    <clientData/>
  </oneCellAnchor>
  <oneCellAnchor>
    <from>
      <col>4</col>
      <colOff>0</colOff>
      <row>29</row>
      <rowOff>0</rowOff>
    </from>
    <ext cx="3060000" cy="2520000"/>
    <graphicFrame>
      <nvGraphicFramePr>
        <cNvPr id="5" name="Chart 5"/>
        <cNvGraphicFramePr/>
      </nvGraphicFramePr>
      <xfrm/>
      <a:graphic>
        <a:graphicData uri="http://schemas.openxmlformats.org/drawingml/2006/chart">
          <c:chart r:id="rId5"/>
        </a:graphicData>
      </a:graphic>
    </graphicFrame>
    <clientData/>
  </oneCellAnchor>
  <oneCellAnchor>
    <from>
      <col>4</col>
      <colOff>0</colOff>
      <row>14</row>
      <rowOff>0</rowOff>
    </from>
    <ext cx="3060000" cy="2520000"/>
    <graphicFrame>
      <nvGraphicFramePr>
        <cNvPr id="6" name="Chart 6"/>
        <cNvGraphicFramePr/>
      </nvGraphicFramePr>
      <xfrm/>
      <a:graphic>
        <a:graphicData uri="http://schemas.openxmlformats.org/drawingml/2006/chart">
          <c:chart r:id="rId6"/>
        </a:graphicData>
      </a:graphic>
    </graphicFrame>
    <clientData/>
  </oneCellAnchor>
</wsDr>
</file>

<file path=xl/drawings/drawing3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14</row>
      <rowOff>0</rowOff>
    </from>
    <ext cx="3060000" cy="25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29</row>
      <rowOff>0</rowOff>
    </from>
    <ext cx="3060000" cy="2520000"/>
    <graphicFrame>
      <nvGraphicFramePr>
        <cNvPr id="2" name="Chart 2"/>
        <cNvGraphicFramePr/>
      </nvGraphicFramePr>
      <xfrm/>
      <a:graphic>
        <a:graphicData uri="http://schemas.openxmlformats.org/drawingml/2006/chart">
          <c:chart r:id="rId2"/>
        </a:graphicData>
      </a:graphic>
    </graphicFrame>
    <clientData/>
  </oneCellAnchor>
  <oneCellAnchor>
    <from>
      <col>7</col>
      <colOff>0</colOff>
      <row>14</row>
      <rowOff>0</rowOff>
    </from>
    <ext cx="2520000" cy="252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29</row>
      <rowOff>0</rowOff>
    </from>
    <ext cx="2520000" cy="2520000"/>
    <graphicFrame>
      <nvGraphicFramePr>
        <cNvPr id="4" name="Chart 4"/>
        <cNvGraphicFramePr/>
      </nvGraphicFramePr>
      <xfrm/>
      <a:graphic>
        <a:graphicData uri="http://schemas.openxmlformats.org/drawingml/2006/chart">
          <c:chart r:id="rId4"/>
        </a:graphicData>
      </a:graphic>
    </graphicFrame>
    <clientData/>
  </oneCellAnchor>
  <oneCellAnchor>
    <from>
      <col>4</col>
      <colOff>0</colOff>
      <row>29</row>
      <rowOff>0</rowOff>
    </from>
    <ext cx="3060000" cy="2520000"/>
    <graphicFrame>
      <nvGraphicFramePr>
        <cNvPr id="5" name="Chart 5"/>
        <cNvGraphicFramePr/>
      </nvGraphicFramePr>
      <xfrm/>
      <a:graphic>
        <a:graphicData uri="http://schemas.openxmlformats.org/drawingml/2006/chart">
          <c:chart r:id="rId5"/>
        </a:graphicData>
      </a:graphic>
    </graphicFrame>
    <clientData/>
  </oneCellAnchor>
  <oneCellAnchor>
    <from>
      <col>4</col>
      <colOff>0</colOff>
      <row>14</row>
      <rowOff>0</rowOff>
    </from>
    <ext cx="3060000" cy="2520000"/>
    <graphicFrame>
      <nvGraphicFramePr>
        <cNvPr id="6" name="Chart 6"/>
        <cNvGraphicFramePr/>
      </nvGraphicFramePr>
      <xfrm/>
      <a:graphic>
        <a:graphicData uri="http://schemas.openxmlformats.org/drawingml/2006/chart">
          <c:chart r:id="rId6"/>
        </a:graphicData>
      </a:graphic>
    </graphicFrame>
    <clientData/>
  </oneCellAnchor>
</wsDr>
</file>

<file path=xl/drawings/drawing3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14</row>
      <rowOff>0</rowOff>
    </from>
    <ext cx="3060000" cy="25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29</row>
      <rowOff>0</rowOff>
    </from>
    <ext cx="3060000" cy="2520000"/>
    <graphicFrame>
      <nvGraphicFramePr>
        <cNvPr id="2" name="Chart 2"/>
        <cNvGraphicFramePr/>
      </nvGraphicFramePr>
      <xfrm/>
      <a:graphic>
        <a:graphicData uri="http://schemas.openxmlformats.org/drawingml/2006/chart">
          <c:chart r:id="rId2"/>
        </a:graphicData>
      </a:graphic>
    </graphicFrame>
    <clientData/>
  </oneCellAnchor>
  <oneCellAnchor>
    <from>
      <col>7</col>
      <colOff>0</colOff>
      <row>14</row>
      <rowOff>0</rowOff>
    </from>
    <ext cx="2520000" cy="252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29</row>
      <rowOff>0</rowOff>
    </from>
    <ext cx="2520000" cy="2520000"/>
    <graphicFrame>
      <nvGraphicFramePr>
        <cNvPr id="4" name="Chart 4"/>
        <cNvGraphicFramePr/>
      </nvGraphicFramePr>
      <xfrm/>
      <a:graphic>
        <a:graphicData uri="http://schemas.openxmlformats.org/drawingml/2006/chart">
          <c:chart r:id="rId4"/>
        </a:graphicData>
      </a:graphic>
    </graphicFrame>
    <clientData/>
  </oneCellAnchor>
  <oneCellAnchor>
    <from>
      <col>4</col>
      <colOff>0</colOff>
      <row>29</row>
      <rowOff>0</rowOff>
    </from>
    <ext cx="3060000" cy="2520000"/>
    <graphicFrame>
      <nvGraphicFramePr>
        <cNvPr id="5" name="Chart 5"/>
        <cNvGraphicFramePr/>
      </nvGraphicFramePr>
      <xfrm/>
      <a:graphic>
        <a:graphicData uri="http://schemas.openxmlformats.org/drawingml/2006/chart">
          <c:chart r:id="rId5"/>
        </a:graphicData>
      </a:graphic>
    </graphicFrame>
    <clientData/>
  </oneCellAnchor>
  <oneCellAnchor>
    <from>
      <col>4</col>
      <colOff>0</colOff>
      <row>14</row>
      <rowOff>0</rowOff>
    </from>
    <ext cx="3060000" cy="2520000"/>
    <graphicFrame>
      <nvGraphicFramePr>
        <cNvPr id="6" name="Chart 6"/>
        <cNvGraphicFramePr/>
      </nvGraphicFramePr>
      <xfrm/>
      <a:graphic>
        <a:graphicData uri="http://schemas.openxmlformats.org/drawingml/2006/chart">
          <c:chart r:id="rId6"/>
        </a:graphicData>
      </a:graphic>
    </graphicFrame>
    <clientData/>
  </oneCellAnchor>
</wsDr>
</file>

<file path=xl/drawings/drawing3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14</row>
      <rowOff>0</rowOff>
    </from>
    <ext cx="3060000" cy="25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29</row>
      <rowOff>0</rowOff>
    </from>
    <ext cx="3060000" cy="2520000"/>
    <graphicFrame>
      <nvGraphicFramePr>
        <cNvPr id="2" name="Chart 2"/>
        <cNvGraphicFramePr/>
      </nvGraphicFramePr>
      <xfrm/>
      <a:graphic>
        <a:graphicData uri="http://schemas.openxmlformats.org/drawingml/2006/chart">
          <c:chart r:id="rId2"/>
        </a:graphicData>
      </a:graphic>
    </graphicFrame>
    <clientData/>
  </oneCellAnchor>
  <oneCellAnchor>
    <from>
      <col>7</col>
      <colOff>0</colOff>
      <row>14</row>
      <rowOff>0</rowOff>
    </from>
    <ext cx="2520000" cy="252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29</row>
      <rowOff>0</rowOff>
    </from>
    <ext cx="2520000" cy="2520000"/>
    <graphicFrame>
      <nvGraphicFramePr>
        <cNvPr id="4" name="Chart 4"/>
        <cNvGraphicFramePr/>
      </nvGraphicFramePr>
      <xfrm/>
      <a:graphic>
        <a:graphicData uri="http://schemas.openxmlformats.org/drawingml/2006/chart">
          <c:chart r:id="rId4"/>
        </a:graphicData>
      </a:graphic>
    </graphicFrame>
    <clientData/>
  </oneCellAnchor>
  <oneCellAnchor>
    <from>
      <col>4</col>
      <colOff>0</colOff>
      <row>29</row>
      <rowOff>0</rowOff>
    </from>
    <ext cx="3060000" cy="2520000"/>
    <graphicFrame>
      <nvGraphicFramePr>
        <cNvPr id="5" name="Chart 5"/>
        <cNvGraphicFramePr/>
      </nvGraphicFramePr>
      <xfrm/>
      <a:graphic>
        <a:graphicData uri="http://schemas.openxmlformats.org/drawingml/2006/chart">
          <c:chart r:id="rId5"/>
        </a:graphicData>
      </a:graphic>
    </graphicFrame>
    <clientData/>
  </oneCellAnchor>
  <oneCellAnchor>
    <from>
      <col>4</col>
      <colOff>0</colOff>
      <row>14</row>
      <rowOff>0</rowOff>
    </from>
    <ext cx="3060000" cy="2520000"/>
    <graphicFrame>
      <nvGraphicFramePr>
        <cNvPr id="6" name="Chart 6"/>
        <cNvGraphicFramePr/>
      </nvGraphicFramePr>
      <xfrm/>
      <a:graphic>
        <a:graphicData uri="http://schemas.openxmlformats.org/drawingml/2006/chart">
          <c:chart r:id="rId6"/>
        </a:graphicData>
      </a:graphic>
    </graphicFrame>
    <clientData/>
  </oneCellAnchor>
</wsDr>
</file>

<file path=xl/drawings/drawing3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14</row>
      <rowOff>0</rowOff>
    </from>
    <ext cx="3060000" cy="25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29</row>
      <rowOff>0</rowOff>
    </from>
    <ext cx="3060000" cy="2520000"/>
    <graphicFrame>
      <nvGraphicFramePr>
        <cNvPr id="2" name="Chart 2"/>
        <cNvGraphicFramePr/>
      </nvGraphicFramePr>
      <xfrm/>
      <a:graphic>
        <a:graphicData uri="http://schemas.openxmlformats.org/drawingml/2006/chart">
          <c:chart r:id="rId2"/>
        </a:graphicData>
      </a:graphic>
    </graphicFrame>
    <clientData/>
  </oneCellAnchor>
  <oneCellAnchor>
    <from>
      <col>7</col>
      <colOff>0</colOff>
      <row>14</row>
      <rowOff>0</rowOff>
    </from>
    <ext cx="2520000" cy="252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29</row>
      <rowOff>0</rowOff>
    </from>
    <ext cx="2520000" cy="2520000"/>
    <graphicFrame>
      <nvGraphicFramePr>
        <cNvPr id="4" name="Chart 4"/>
        <cNvGraphicFramePr/>
      </nvGraphicFramePr>
      <xfrm/>
      <a:graphic>
        <a:graphicData uri="http://schemas.openxmlformats.org/drawingml/2006/chart">
          <c:chart r:id="rId4"/>
        </a:graphicData>
      </a:graphic>
    </graphicFrame>
    <clientData/>
  </oneCellAnchor>
  <oneCellAnchor>
    <from>
      <col>4</col>
      <colOff>0</colOff>
      <row>29</row>
      <rowOff>0</rowOff>
    </from>
    <ext cx="3060000" cy="2520000"/>
    <graphicFrame>
      <nvGraphicFramePr>
        <cNvPr id="5" name="Chart 5"/>
        <cNvGraphicFramePr/>
      </nvGraphicFramePr>
      <xfrm/>
      <a:graphic>
        <a:graphicData uri="http://schemas.openxmlformats.org/drawingml/2006/chart">
          <c:chart r:id="rId5"/>
        </a:graphicData>
      </a:graphic>
    </graphicFrame>
    <clientData/>
  </oneCellAnchor>
  <oneCellAnchor>
    <from>
      <col>4</col>
      <colOff>0</colOff>
      <row>14</row>
      <rowOff>0</rowOff>
    </from>
    <ext cx="3060000" cy="2520000"/>
    <graphicFrame>
      <nvGraphicFramePr>
        <cNvPr id="6" name="Chart 6"/>
        <cNvGraphicFramePr/>
      </nvGraphicFramePr>
      <xfrm/>
      <a:graphic>
        <a:graphicData uri="http://schemas.openxmlformats.org/drawingml/2006/chart">
          <c:chart r:id="rId6"/>
        </a:graphicData>
      </a:graphic>
    </graphicFrame>
    <clientData/>
  </oneCellAnchor>
</wsDr>
</file>

<file path=xl/drawings/drawing3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14</row>
      <rowOff>0</rowOff>
    </from>
    <ext cx="3060000" cy="25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29</row>
      <rowOff>0</rowOff>
    </from>
    <ext cx="3060000" cy="2520000"/>
    <graphicFrame>
      <nvGraphicFramePr>
        <cNvPr id="2" name="Chart 2"/>
        <cNvGraphicFramePr/>
      </nvGraphicFramePr>
      <xfrm/>
      <a:graphic>
        <a:graphicData uri="http://schemas.openxmlformats.org/drawingml/2006/chart">
          <c:chart r:id="rId2"/>
        </a:graphicData>
      </a:graphic>
    </graphicFrame>
    <clientData/>
  </oneCellAnchor>
  <oneCellAnchor>
    <from>
      <col>7</col>
      <colOff>0</colOff>
      <row>14</row>
      <rowOff>0</rowOff>
    </from>
    <ext cx="2520000" cy="252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29</row>
      <rowOff>0</rowOff>
    </from>
    <ext cx="2520000" cy="2520000"/>
    <graphicFrame>
      <nvGraphicFramePr>
        <cNvPr id="4" name="Chart 4"/>
        <cNvGraphicFramePr/>
      </nvGraphicFramePr>
      <xfrm/>
      <a:graphic>
        <a:graphicData uri="http://schemas.openxmlformats.org/drawingml/2006/chart">
          <c:chart r:id="rId4"/>
        </a:graphicData>
      </a:graphic>
    </graphicFrame>
    <clientData/>
  </oneCellAnchor>
  <oneCellAnchor>
    <from>
      <col>4</col>
      <colOff>0</colOff>
      <row>29</row>
      <rowOff>0</rowOff>
    </from>
    <ext cx="3060000" cy="2520000"/>
    <graphicFrame>
      <nvGraphicFramePr>
        <cNvPr id="5" name="Chart 5"/>
        <cNvGraphicFramePr/>
      </nvGraphicFramePr>
      <xfrm/>
      <a:graphic>
        <a:graphicData uri="http://schemas.openxmlformats.org/drawingml/2006/chart">
          <c:chart r:id="rId5"/>
        </a:graphicData>
      </a:graphic>
    </graphicFrame>
    <clientData/>
  </oneCellAnchor>
  <oneCellAnchor>
    <from>
      <col>4</col>
      <colOff>0</colOff>
      <row>14</row>
      <rowOff>0</rowOff>
    </from>
    <ext cx="3060000" cy="2520000"/>
    <graphicFrame>
      <nvGraphicFramePr>
        <cNvPr id="6" name="Chart 6"/>
        <cNvGraphicFramePr/>
      </nvGraphicFramePr>
      <xfrm/>
      <a:graphic>
        <a:graphicData uri="http://schemas.openxmlformats.org/drawingml/2006/chart">
          <c:chart r:id="rId6"/>
        </a:graphicData>
      </a:graphic>
    </graphicFrame>
    <clientData/>
  </oneCellAnchor>
</wsDr>
</file>

<file path=xl/drawings/drawing3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14</row>
      <rowOff>0</rowOff>
    </from>
    <ext cx="3060000" cy="25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29</row>
      <rowOff>0</rowOff>
    </from>
    <ext cx="3060000" cy="2520000"/>
    <graphicFrame>
      <nvGraphicFramePr>
        <cNvPr id="2" name="Chart 2"/>
        <cNvGraphicFramePr/>
      </nvGraphicFramePr>
      <xfrm/>
      <a:graphic>
        <a:graphicData uri="http://schemas.openxmlformats.org/drawingml/2006/chart">
          <c:chart r:id="rId2"/>
        </a:graphicData>
      </a:graphic>
    </graphicFrame>
    <clientData/>
  </oneCellAnchor>
  <oneCellAnchor>
    <from>
      <col>7</col>
      <colOff>0</colOff>
      <row>14</row>
      <rowOff>0</rowOff>
    </from>
    <ext cx="2520000" cy="252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29</row>
      <rowOff>0</rowOff>
    </from>
    <ext cx="2520000" cy="2520000"/>
    <graphicFrame>
      <nvGraphicFramePr>
        <cNvPr id="4" name="Chart 4"/>
        <cNvGraphicFramePr/>
      </nvGraphicFramePr>
      <xfrm/>
      <a:graphic>
        <a:graphicData uri="http://schemas.openxmlformats.org/drawingml/2006/chart">
          <c:chart r:id="rId4"/>
        </a:graphicData>
      </a:graphic>
    </graphicFrame>
    <clientData/>
  </oneCellAnchor>
  <oneCellAnchor>
    <from>
      <col>4</col>
      <colOff>0</colOff>
      <row>29</row>
      <rowOff>0</rowOff>
    </from>
    <ext cx="3060000" cy="2520000"/>
    <graphicFrame>
      <nvGraphicFramePr>
        <cNvPr id="5" name="Chart 5"/>
        <cNvGraphicFramePr/>
      </nvGraphicFramePr>
      <xfrm/>
      <a:graphic>
        <a:graphicData uri="http://schemas.openxmlformats.org/drawingml/2006/chart">
          <c:chart r:id="rId5"/>
        </a:graphicData>
      </a:graphic>
    </graphicFrame>
    <clientData/>
  </oneCellAnchor>
  <oneCellAnchor>
    <from>
      <col>4</col>
      <colOff>0</colOff>
      <row>14</row>
      <rowOff>0</rowOff>
    </from>
    <ext cx="3060000" cy="2520000"/>
    <graphicFrame>
      <nvGraphicFramePr>
        <cNvPr id="6" name="Chart 6"/>
        <cNvGraphicFramePr/>
      </nvGraphicFramePr>
      <xfrm/>
      <a:graphic>
        <a:graphicData uri="http://schemas.openxmlformats.org/drawingml/2006/chart">
          <c:chart r:id="rId6"/>
        </a:graphicData>
      </a:graphic>
    </graphicFrame>
    <clientData/>
  </oneCellAnchor>
</wsDr>
</file>

<file path=xl/drawings/drawing3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14</row>
      <rowOff>0</rowOff>
    </from>
    <ext cx="3060000" cy="25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29</row>
      <rowOff>0</rowOff>
    </from>
    <ext cx="3060000" cy="2520000"/>
    <graphicFrame>
      <nvGraphicFramePr>
        <cNvPr id="2" name="Chart 2"/>
        <cNvGraphicFramePr/>
      </nvGraphicFramePr>
      <xfrm/>
      <a:graphic>
        <a:graphicData uri="http://schemas.openxmlformats.org/drawingml/2006/chart">
          <c:chart r:id="rId2"/>
        </a:graphicData>
      </a:graphic>
    </graphicFrame>
    <clientData/>
  </oneCellAnchor>
  <oneCellAnchor>
    <from>
      <col>7</col>
      <colOff>0</colOff>
      <row>14</row>
      <rowOff>0</rowOff>
    </from>
    <ext cx="2520000" cy="252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29</row>
      <rowOff>0</rowOff>
    </from>
    <ext cx="2520000" cy="2520000"/>
    <graphicFrame>
      <nvGraphicFramePr>
        <cNvPr id="4" name="Chart 4"/>
        <cNvGraphicFramePr/>
      </nvGraphicFramePr>
      <xfrm/>
      <a:graphic>
        <a:graphicData uri="http://schemas.openxmlformats.org/drawingml/2006/chart">
          <c:chart r:id="rId4"/>
        </a:graphicData>
      </a:graphic>
    </graphicFrame>
    <clientData/>
  </oneCellAnchor>
  <oneCellAnchor>
    <from>
      <col>4</col>
      <colOff>0</colOff>
      <row>29</row>
      <rowOff>0</rowOff>
    </from>
    <ext cx="3060000" cy="2520000"/>
    <graphicFrame>
      <nvGraphicFramePr>
        <cNvPr id="5" name="Chart 5"/>
        <cNvGraphicFramePr/>
      </nvGraphicFramePr>
      <xfrm/>
      <a:graphic>
        <a:graphicData uri="http://schemas.openxmlformats.org/drawingml/2006/chart">
          <c:chart r:id="rId5"/>
        </a:graphicData>
      </a:graphic>
    </graphicFrame>
    <clientData/>
  </oneCellAnchor>
  <oneCellAnchor>
    <from>
      <col>4</col>
      <colOff>0</colOff>
      <row>14</row>
      <rowOff>0</rowOff>
    </from>
    <ext cx="3060000" cy="2520000"/>
    <graphicFrame>
      <nvGraphicFramePr>
        <cNvPr id="6" name="Chart 6"/>
        <cNvGraphicFramePr/>
      </nvGraphicFramePr>
      <xfrm/>
      <a:graphic>
        <a:graphicData uri="http://schemas.openxmlformats.org/drawingml/2006/chart">
          <c:chart r:id="rId6"/>
        </a:graphicData>
      </a:graphic>
    </graphicFrame>
    <clientData/>
  </oneCellAnchor>
</wsDr>
</file>

<file path=xl/tables/table1.xml><?xml version="1.0" encoding="utf-8"?>
<table xmlns="http://schemas.openxmlformats.org/spreadsheetml/2006/main" id="1" name="Table910" displayName="Table910" ref="A46:I73" headerRowCount="1" totalsRowShown="0" headerRowDxfId="506" dataDxfId="505">
  <autoFilter ref="A46:I73"/>
  <tableColumns count="9">
    <tableColumn id="1" name="Brand" dataDxfId="504"/>
    <tableColumn id="2" name="# of Listings" dataDxfId="503"/>
    <tableColumn id="3" name="Monthly Rev" dataDxfId="502"/>
    <tableColumn id="4" name="Estimated 12mo Revenue" dataDxfId="501"/>
    <tableColumn id="5" name="Monthly Units" dataDxfId="500"/>
    <tableColumn id="6" name="Monthly Rev Market Share %" dataDxfId="499"/>
    <tableColumn id="7" name="Price Per Unit" dataDxfId="498"/>
    <tableColumn id="8" name="Total Reviews" dataDxfId="497"/>
    <tableColumn id="9" name="Avg Rating" dataDxfId="496"/>
  </tableColumns>
  <tableStyleInfo name="TableStyleLight18" showFirstColumn="0" showLastColumn="0" showRowStripes="1" showColumnStripes="0"/>
</table>
</file>

<file path=xl/tables/table2.xml><?xml version="1.0" encoding="utf-8"?>
<table xmlns="http://schemas.openxmlformats.org/spreadsheetml/2006/main" id="2" name="Table1011" displayName="Table1011" ref="A77:I104" headerRowCount="1" totalsRowShown="0" headerRowDxfId="495" dataDxfId="494">
  <autoFilter ref="A77:I104"/>
  <tableColumns count="9">
    <tableColumn id="1" name="Brand"/>
    <tableColumn id="2" name="# of Listings" dataDxfId="493"/>
    <tableColumn id="3" name="Monthly Rev" dataDxfId="492"/>
    <tableColumn id="4" name="Estimated 12mo Units" dataDxfId="491"/>
    <tableColumn id="5" name="Monthly Units" dataDxfId="490"/>
    <tableColumn id="6" name="Monthly Unit Market Share %" dataDxfId="489"/>
    <tableColumn id="7" name="Price Per Unit" dataDxfId="488"/>
    <tableColumn id="8" name="Reviews" dataDxfId="487"/>
    <tableColumn id="9" name="Avg Rating" dataDxfId="486"/>
  </tableColumns>
  <tableStyleInfo name="TableStyleLight18" showFirstColumn="0" showLastColumn="0" showRowStripes="1" showColumnStripes="0"/>
</table>
</file>

<file path=xl/tables/table3.xml><?xml version="1.0" encoding="utf-8"?>
<table xmlns="http://schemas.openxmlformats.org/spreadsheetml/2006/main" id="3" name="Table748" displayName="Table748" ref="A41:L91" headerRowCount="1" totalsRowShown="0" headerRowDxfId="485">
  <autoFilter ref="A41:L91"/>
  <tableColumns count="12">
    <tableColumn id="1" name="Ranking" dataDxfId="484"/>
    <tableColumn id="2" name="ASIN" dataDxfId="483"/>
    <tableColumn id="3" name="Product Name" dataDxfId="482"/>
    <tableColumn id="4" name="Brand" dataDxfId="481"/>
    <tableColumn id="12" name="Type" dataDxfId="480"/>
    <tableColumn id="5" name="Price" dataDxfId="479"/>
    <tableColumn id="6" name="Est. Monthly Retail Rev" dataDxfId="478"/>
    <tableColumn id="7" name="Est. Monthly Units Sold" dataDxfId="477"/>
    <tableColumn id="8" name="# of Reviews" dataDxfId="476"/>
    <tableColumn id="9" name="Avg. Rating" dataDxfId="475"/>
    <tableColumn id="11" name="Column2" dataDxfId="474"/>
    <tableColumn id="10" name="Link" dataDxfId="473" dataCellStyle="Hyperlink">
      <calculatedColumnFormula>HYPERLINK(K42)</calculatedColumnFormula>
    </tableColumn>
  </tableColumns>
  <tableStyleInfo name="TableStyleLight18" showFirstColumn="0" showLastColumn="0" showRowStripes="1" showColumnStripes="0"/>
</table>
</file>

<file path=xl/tables/table4.xml><?xml version="1.0" encoding="utf-8"?>
<table xmlns="http://schemas.openxmlformats.org/spreadsheetml/2006/main" id="4" name="Table849" displayName="Table849" ref="A95:L145" headerRowCount="1" totalsRowShown="0" headerRowDxfId="472">
  <autoFilter ref="A95:L145"/>
  <tableColumns count="12">
    <tableColumn id="1" name="Ranking" dataDxfId="471"/>
    <tableColumn id="2" name="ASIN" dataDxfId="470"/>
    <tableColumn id="3" name="Product Name" dataDxfId="469"/>
    <tableColumn id="4" name="Brand" dataDxfId="468"/>
    <tableColumn id="12" name="Type" dataDxfId="467"/>
    <tableColumn id="5" name="Price" dataDxfId="466"/>
    <tableColumn id="6" name="Est. Monthly Retail Rev" dataDxfId="465"/>
    <tableColumn id="7" name="Est. Monthly Units Sold" dataDxfId="464"/>
    <tableColumn id="8" name="# of Reviews" dataDxfId="463"/>
    <tableColumn id="9" name="Avg. Rating" dataDxfId="462"/>
    <tableColumn id="11" name="Column2" dataDxfId="461"/>
    <tableColumn id="10" name="Link" dataDxfId="460" dataCellStyle="Hyperlink">
      <calculatedColumnFormula>HYPERLINK(K96)</calculatedColumnFormula>
    </tableColumn>
  </tableColumns>
  <tableStyleInfo name="TableStyleLight18" showFirstColumn="0" showLastColumn="0" showRowStripes="1" showColumnStripes="0"/>
</table>
</file>

<file path=xl/tables/table5.xml><?xml version="1.0" encoding="utf-8"?>
<table xmlns="http://schemas.openxmlformats.org/spreadsheetml/2006/main" id="5" name="Table719" displayName="Table719" ref="A46:L56" headerRowCount="1" totalsRowShown="0" headerRowDxfId="459">
  <autoFilter ref="A46:L56"/>
  <tableColumns count="12">
    <tableColumn id="1" name="Ranking" dataDxfId="458"/>
    <tableColumn id="2" name="ASIN" dataDxfId="457"/>
    <tableColumn id="3" name="Product Name" dataDxfId="456"/>
    <tableColumn id="4" name="Brand" dataDxfId="455"/>
    <tableColumn id="12" name="Type" dataDxfId="454"/>
    <tableColumn id="5" name="Price" dataDxfId="453"/>
    <tableColumn id="6" name="Est. Monthly Retail Rev" dataDxfId="452"/>
    <tableColumn id="7" name="Est. Monthly Units Sold" dataDxfId="451"/>
    <tableColumn id="8" name="# of Reviews" dataDxfId="450"/>
    <tableColumn id="9" name="Avg. Rating" dataDxfId="449"/>
    <tableColumn id="11" name="Column2" dataDxfId="448"/>
    <tableColumn id="10" name="Link" dataDxfId="447" dataCellStyle="Hyperlink">
      <calculatedColumnFormula>HYPERLINK(K47)</calculatedColumnFormula>
    </tableColumn>
  </tableColumns>
  <tableStyleInfo name="TableStyleLight18" showFirstColumn="0" showLastColumn="0" showRowStripes="1" showColumnStripes="0"/>
</table>
</file>

<file path=xl/tables/table6.xml><?xml version="1.0" encoding="utf-8"?>
<table xmlns="http://schemas.openxmlformats.org/spreadsheetml/2006/main" id="6" name="Table71920" displayName="Table71920" ref="A59:L69" headerRowCount="1" totalsRowShown="0" headerRowDxfId="446">
  <autoFilter ref="A59:L69"/>
  <tableColumns count="12">
    <tableColumn id="1" name="Ranking" dataDxfId="445"/>
    <tableColumn id="2" name="ASIN" dataDxfId="444"/>
    <tableColumn id="3" name="Product Name" dataDxfId="443"/>
    <tableColumn id="4" name="Brand" dataDxfId="442"/>
    <tableColumn id="12" name="Type" dataDxfId="441"/>
    <tableColumn id="5" name="Price" dataDxfId="440"/>
    <tableColumn id="6" name="Est. Monthly Retail Rev" dataDxfId="439"/>
    <tableColumn id="7" name="Est. Monthly Units Sold" dataDxfId="438"/>
    <tableColumn id="8" name="# of Reviews" dataDxfId="437"/>
    <tableColumn id="9" name="Avg. Rating" dataDxfId="436"/>
    <tableColumn id="11" name="Column2" dataDxfId="435"/>
    <tableColumn id="10" name="Link" dataDxfId="434" dataCellStyle="Hyperlink">
      <calculatedColumnFormula>HYPERLINK(K60)</calculatedColumnFormula>
    </tableColumn>
  </tableColumns>
  <tableStyleInfo name="TableStyleLight18" showFirstColumn="0" showLastColumn="0" showRowStripes="1" showColumnStripes="0"/>
</table>
</file>

<file path=xl/tables/table7.xml><?xml version="1.0" encoding="utf-8"?>
<table xmlns="http://schemas.openxmlformats.org/spreadsheetml/2006/main" id="7" name="Table71921" displayName="Table71921" ref="A44:L54" headerRowCount="1" totalsRowShown="0" headerRowDxfId="433">
  <autoFilter ref="A44:L54"/>
  <tableColumns count="12">
    <tableColumn id="1" name="Ranking" dataDxfId="432"/>
    <tableColumn id="2" name="ASIN" dataDxfId="431"/>
    <tableColumn id="3" name="Product Name" dataDxfId="430"/>
    <tableColumn id="4" name="Brand" dataDxfId="429"/>
    <tableColumn id="12" name="Type" dataDxfId="428"/>
    <tableColumn id="5" name="Price" dataDxfId="427"/>
    <tableColumn id="6" name="Est. Monthly Retail Rev" dataDxfId="426"/>
    <tableColumn id="7" name="Est. Monthly Units Sold" dataDxfId="425"/>
    <tableColumn id="8" name="# of Reviews" dataDxfId="424"/>
    <tableColumn id="9" name="Avg. Rating" dataDxfId="423"/>
    <tableColumn id="11" name="Column2" dataDxfId="422"/>
    <tableColumn id="10" name="Link" dataDxfId="421" dataCellStyle="Hyperlink">
      <calculatedColumnFormula>HYPERLINK(K45)</calculatedColumnFormula>
    </tableColumn>
  </tableColumns>
  <tableStyleInfo name="TableStyleLight18" showFirstColumn="0" showLastColumn="0" showRowStripes="1" showColumnStripes="0"/>
</table>
</file>

<file path=xl/tables/table8.xml><?xml version="1.0" encoding="utf-8"?>
<table xmlns="http://schemas.openxmlformats.org/spreadsheetml/2006/main" id="8" name="Table7192022" displayName="Table7192022" ref="A57:L67" headerRowCount="1" totalsRowShown="0" headerRowDxfId="420">
  <autoFilter ref="A57:L67"/>
  <tableColumns count="12">
    <tableColumn id="1" name="Ranking" dataDxfId="419"/>
    <tableColumn id="2" name="ASIN" dataDxfId="418"/>
    <tableColumn id="3" name="Product Name" dataDxfId="417"/>
    <tableColumn id="4" name="Brand" dataDxfId="416"/>
    <tableColumn id="12" name="Type" dataDxfId="415"/>
    <tableColumn id="5" name="Price" dataDxfId="414"/>
    <tableColumn id="6" name="Est. Monthly Retail Rev" dataDxfId="413"/>
    <tableColumn id="7" name="Est. Monthly Units Sold" dataDxfId="412"/>
    <tableColumn id="8" name="# of Reviews" dataDxfId="411"/>
    <tableColumn id="9" name="Avg. Rating" dataDxfId="410"/>
    <tableColumn id="11" name="Column2" dataDxfId="409"/>
    <tableColumn id="10" name="Link" dataDxfId="408" dataCellStyle="Hyperlink">
      <calculatedColumnFormula>HYPERLINK(K58)</calculatedColumnFormula>
    </tableColumn>
  </tableColumns>
  <tableStyleInfo name="TableStyleLight18" showFirstColumn="0" showLastColumn="0" showRowStripes="1" showColumnStripes="0"/>
</table>
</file>

<file path=xl/tables/table9.xml><?xml version="1.0" encoding="utf-8"?>
<table xmlns="http://schemas.openxmlformats.org/spreadsheetml/2006/main" id="9" name="Table7192124" displayName="Table7192124" ref="A44:L54" headerRowCount="1" totalsRowShown="0" headerRowDxfId="407">
  <autoFilter ref="A44:L54"/>
  <tableColumns count="12">
    <tableColumn id="1" name="Ranking" dataDxfId="406"/>
    <tableColumn id="2" name="ASIN" dataDxfId="405"/>
    <tableColumn id="3" name="Product Name" dataDxfId="404"/>
    <tableColumn id="4" name="Brand" dataDxfId="403"/>
    <tableColumn id="12" name="Type" dataDxfId="402"/>
    <tableColumn id="5" name="Price" dataDxfId="401"/>
    <tableColumn id="6" name="Est. Monthly Retail Rev" dataDxfId="400"/>
    <tableColumn id="7" name="Est. Monthly Units Sold" dataDxfId="399"/>
    <tableColumn id="8" name="# of Reviews" dataDxfId="398"/>
    <tableColumn id="9" name="Avg. Rating" dataDxfId="397"/>
    <tableColumn id="11" name="Column2" dataDxfId="396"/>
    <tableColumn id="10" name="Link" dataDxfId="395" dataCellStyle="Hyperlink">
      <calculatedColumnFormula>HYPERLINK(K45)</calculatedColumnFormula>
    </tableColumn>
  </tableColumns>
  <tableStyleInfo name="TableStyleLight18" showFirstColumn="0" showLastColumn="0" showRowStripes="1" showColumnStripes="0"/>
</table>
</file>

<file path=xl/tables/table10.xml><?xml version="1.0" encoding="utf-8"?>
<table xmlns="http://schemas.openxmlformats.org/spreadsheetml/2006/main" id="10" name="Table719202229" displayName="Table719202229" ref="A57:L67" headerRowCount="1" totalsRowShown="0" headerRowDxfId="394">
  <autoFilter ref="A57:L67"/>
  <tableColumns count="12">
    <tableColumn id="1" name="Ranking" dataDxfId="393"/>
    <tableColumn id="2" name="ASIN" dataDxfId="392"/>
    <tableColumn id="3" name="Product Name" dataDxfId="391"/>
    <tableColumn id="4" name="Brand" dataDxfId="390"/>
    <tableColumn id="12" name="Type" dataDxfId="389"/>
    <tableColumn id="5" name="Price" dataDxfId="388"/>
    <tableColumn id="6" name="Est. Monthly Retail Rev" dataDxfId="387"/>
    <tableColumn id="7" name="Est. Monthly Units Sold" dataDxfId="386"/>
    <tableColumn id="8" name="# of Reviews" dataDxfId="385"/>
    <tableColumn id="9" name="Avg. Rating" dataDxfId="384"/>
    <tableColumn id="11" name="Column2" dataDxfId="383"/>
    <tableColumn id="10" name="Link" dataDxfId="382" dataCellStyle="Hyperlink">
      <calculatedColumnFormula>HYPERLINK(K58)</calculatedColumnFormula>
    </tableColumn>
  </tableColumns>
  <tableStyleInfo name="TableStyleLight18" showFirstColumn="0" showLastColumn="0" showRowStripes="1" showColumnStripes="0"/>
</table>
</file>

<file path=xl/tables/table11.xml><?xml version="1.0" encoding="utf-8"?>
<table xmlns="http://schemas.openxmlformats.org/spreadsheetml/2006/main" id="11" name="Table719212430" displayName="Table719212430" ref="A45:L55" headerRowCount="1" totalsRowShown="0" headerRowDxfId="381">
  <autoFilter ref="A45:L55"/>
  <tableColumns count="12">
    <tableColumn id="1" name="Ranking" dataDxfId="380"/>
    <tableColumn id="2" name="ASIN" dataDxfId="379"/>
    <tableColumn id="3" name="Product Name" dataDxfId="378"/>
    <tableColumn id="4" name="Brand" dataDxfId="377"/>
    <tableColumn id="12" name="Type" dataDxfId="376"/>
    <tableColumn id="5" name="Price" dataDxfId="375"/>
    <tableColumn id="6" name="Est. Monthly Retail Rev" dataDxfId="374"/>
    <tableColumn id="7" name="Est. Monthly Units Sold" dataDxfId="373"/>
    <tableColumn id="8" name="# of Reviews" dataDxfId="372"/>
    <tableColumn id="9" name="Avg. Rating" dataDxfId="371"/>
    <tableColumn id="11" name="Column2" dataDxfId="370"/>
    <tableColumn id="10" name="Link" dataDxfId="369" dataCellStyle="Hyperlink">
      <calculatedColumnFormula>HYPERLINK(K46)</calculatedColumnFormula>
    </tableColumn>
  </tableColumns>
  <tableStyleInfo name="TableStyleLight18" showFirstColumn="0" showLastColumn="0" showRowStripes="1" showColumnStripes="0"/>
</table>
</file>

<file path=xl/tables/table12.xml><?xml version="1.0" encoding="utf-8"?>
<table xmlns="http://schemas.openxmlformats.org/spreadsheetml/2006/main" id="12" name="Table71920222931" displayName="Table71920222931" ref="A58:L68" headerRowCount="1" totalsRowShown="0" headerRowDxfId="368">
  <autoFilter ref="A58:L68"/>
  <tableColumns count="12">
    <tableColumn id="1" name="Ranking" dataDxfId="367"/>
    <tableColumn id="2" name="ASIN" dataDxfId="366"/>
    <tableColumn id="3" name="Product Name" dataDxfId="365"/>
    <tableColumn id="4" name="Brand" dataDxfId="364"/>
    <tableColumn id="12" name="Type" dataDxfId="363"/>
    <tableColumn id="5" name="Price" dataDxfId="362"/>
    <tableColumn id="6" name="Est. Monthly Retail Rev" dataDxfId="361"/>
    <tableColumn id="7" name="Est. Monthly Units Sold" dataDxfId="360"/>
    <tableColumn id="8" name="# of Reviews" dataDxfId="359"/>
    <tableColumn id="9" name="Avg. Rating" dataDxfId="358"/>
    <tableColumn id="11" name="Column2" dataDxfId="357"/>
    <tableColumn id="10" name="Link" dataDxfId="356" dataCellStyle="Hyperlink">
      <calculatedColumnFormula>HYPERLINK(K59)</calculatedColumnFormula>
    </tableColumn>
  </tableColumns>
  <tableStyleInfo name="TableStyleLight18" showFirstColumn="0" showLastColumn="0" showRowStripes="1" showColumnStripes="0"/>
</table>
</file>

<file path=xl/tables/table13.xml><?xml version="1.0" encoding="utf-8"?>
<table xmlns="http://schemas.openxmlformats.org/spreadsheetml/2006/main" id="13" name="Table71932" displayName="Table71932" ref="A45:L55" headerRowCount="1" totalsRowShown="0" headerRowDxfId="355">
  <autoFilter ref="A45:L55"/>
  <tableColumns count="12">
    <tableColumn id="1" name="Ranking" dataDxfId="354"/>
    <tableColumn id="2" name="ASIN" dataDxfId="353"/>
    <tableColumn id="3" name="Product Name" dataDxfId="352"/>
    <tableColumn id="4" name="Brand" dataDxfId="351"/>
    <tableColumn id="12" name="Type" dataDxfId="350"/>
    <tableColumn id="5" name="Price" dataDxfId="349"/>
    <tableColumn id="6" name="Est. Monthly Retail Rev" dataDxfId="348"/>
    <tableColumn id="7" name="Est. Monthly Units Sold" dataDxfId="347"/>
    <tableColumn id="8" name="# of Reviews" dataDxfId="346"/>
    <tableColumn id="9" name="Avg. Rating" dataDxfId="345"/>
    <tableColumn id="11" name="Column2" dataDxfId="344"/>
    <tableColumn id="10" name="Link" dataDxfId="343" dataCellStyle="Hyperlink">
      <calculatedColumnFormula>HYPERLINK(K46)</calculatedColumnFormula>
    </tableColumn>
  </tableColumns>
  <tableStyleInfo name="TableStyleLight18" showFirstColumn="0" showLastColumn="0" showRowStripes="1" showColumnStripes="0"/>
</table>
</file>

<file path=xl/tables/table14.xml><?xml version="1.0" encoding="utf-8"?>
<table xmlns="http://schemas.openxmlformats.org/spreadsheetml/2006/main" id="14" name="Table7192033" displayName="Table7192033" ref="A58:L68" headerRowCount="1" totalsRowShown="0" headerRowDxfId="342">
  <autoFilter ref="A58:L68"/>
  <tableColumns count="12">
    <tableColumn id="1" name="Ranking" dataDxfId="341"/>
    <tableColumn id="2" name="ASIN" dataDxfId="340"/>
    <tableColumn id="3" name="Product Name" dataDxfId="339"/>
    <tableColumn id="4" name="Brand" dataDxfId="338"/>
    <tableColumn id="12" name="Type" dataDxfId="337"/>
    <tableColumn id="5" name="Price" dataDxfId="336"/>
    <tableColumn id="6" name="Est. Monthly Retail Rev" dataDxfId="335"/>
    <tableColumn id="7" name="Est. Monthly Units Sold" dataDxfId="334"/>
    <tableColumn id="8" name="# of Reviews" dataDxfId="333"/>
    <tableColumn id="9" name="Avg. Rating" dataDxfId="332"/>
    <tableColumn id="11" name="Column2" dataDxfId="331"/>
    <tableColumn id="10" name="Link" dataDxfId="330" dataCellStyle="Hyperlink">
      <calculatedColumnFormula>HYPERLINK(K59)</calculatedColumnFormula>
    </tableColumn>
  </tableColumns>
  <tableStyleInfo name="TableStyleLight18" showFirstColumn="0" showLastColumn="0" showRowStripes="1" showColumnStripes="0"/>
</table>
</file>

<file path=xl/tables/table15.xml><?xml version="1.0" encoding="utf-8"?>
<table xmlns="http://schemas.openxmlformats.org/spreadsheetml/2006/main" id="15" name="Table7193234" displayName="Table7193234" ref="A44:L54" headerRowCount="1" totalsRowShown="0" headerRowDxfId="329">
  <autoFilter ref="A44:L54"/>
  <tableColumns count="12">
    <tableColumn id="1" name="Ranking" dataDxfId="328"/>
    <tableColumn id="2" name="ASIN" dataDxfId="327"/>
    <tableColumn id="3" name="Product Name" dataDxfId="326"/>
    <tableColumn id="4" name="Brand" dataDxfId="325"/>
    <tableColumn id="12" name="Type" dataDxfId="324"/>
    <tableColumn id="5" name="Price" dataDxfId="323"/>
    <tableColumn id="6" name="Est. Monthly Retail Rev" dataDxfId="322"/>
    <tableColumn id="7" name="Est. Monthly Units Sold" dataDxfId="321"/>
    <tableColumn id="8" name="# of Reviews" dataDxfId="320"/>
    <tableColumn id="9" name="Avg. Rating" dataDxfId="319"/>
    <tableColumn id="11" name="Column2" dataDxfId="318"/>
    <tableColumn id="10" name="Link" dataDxfId="317" dataCellStyle="Hyperlink">
      <calculatedColumnFormula>HYPERLINK(K45)</calculatedColumnFormula>
    </tableColumn>
  </tableColumns>
  <tableStyleInfo name="TableStyleLight18" showFirstColumn="0" showLastColumn="0" showRowStripes="1" showColumnStripes="0"/>
</table>
</file>

<file path=xl/tables/table16.xml><?xml version="1.0" encoding="utf-8"?>
<table xmlns="http://schemas.openxmlformats.org/spreadsheetml/2006/main" id="16" name="Table719203335" displayName="Table719203335" ref="A57:L67" headerRowCount="1" totalsRowShown="0" headerRowDxfId="316">
  <autoFilter ref="A57:L67"/>
  <tableColumns count="12">
    <tableColumn id="1" name="Ranking" dataDxfId="315"/>
    <tableColumn id="2" name="ASIN" dataDxfId="314"/>
    <tableColumn id="3" name="Product Name" dataDxfId="313"/>
    <tableColumn id="4" name="Brand" dataDxfId="312"/>
    <tableColumn id="12" name="Type" dataDxfId="311"/>
    <tableColumn id="5" name="Price" dataDxfId="310"/>
    <tableColumn id="6" name="Est. Monthly Retail Rev" dataDxfId="309"/>
    <tableColumn id="7" name="Est. Monthly Units Sold" dataDxfId="308"/>
    <tableColumn id="8" name="# of Reviews" dataDxfId="307"/>
    <tableColumn id="9" name="Avg. Rating" dataDxfId="306"/>
    <tableColumn id="11" name="Column2" dataDxfId="305"/>
    <tableColumn id="10" name="Link" dataDxfId="304" dataCellStyle="Hyperlink">
      <calculatedColumnFormula>HYPERLINK(K58)</calculatedColumnFormula>
    </tableColumn>
  </tableColumns>
  <tableStyleInfo name="TableStyleLight18" showFirstColumn="0" showLastColumn="0" showRowStripes="1" showColumnStripes="0"/>
</table>
</file>

<file path=xl/tables/table17.xml><?xml version="1.0" encoding="utf-8"?>
<table xmlns="http://schemas.openxmlformats.org/spreadsheetml/2006/main" id="17" name="Table719323436" displayName="Table719323436" ref="A46:L56" headerRowCount="1" totalsRowShown="0" headerRowDxfId="303">
  <autoFilter ref="A46:L56"/>
  <tableColumns count="12">
    <tableColumn id="1" name="Ranking" dataDxfId="302"/>
    <tableColumn id="2" name="ASIN" dataDxfId="301"/>
    <tableColumn id="3" name="Product Name" dataDxfId="300"/>
    <tableColumn id="4" name="Brand" dataDxfId="299"/>
    <tableColumn id="12" name="Type" dataDxfId="298"/>
    <tableColumn id="5" name="Price" dataDxfId="297"/>
    <tableColumn id="6" name="Est. Monthly Retail Rev" dataDxfId="296"/>
    <tableColumn id="7" name="Est. Monthly Units Sold" dataDxfId="295"/>
    <tableColumn id="8" name="# of Reviews" dataDxfId="294"/>
    <tableColumn id="9" name="Avg. Rating" dataDxfId="293"/>
    <tableColumn id="11" name="Column2" dataDxfId="292"/>
    <tableColumn id="10" name="Link" dataDxfId="291" dataCellStyle="Hyperlink">
      <calculatedColumnFormula>HYPERLINK(K47)</calculatedColumnFormula>
    </tableColumn>
  </tableColumns>
  <tableStyleInfo name="TableStyleLight18" showFirstColumn="0" showLastColumn="0" showRowStripes="1" showColumnStripes="0"/>
</table>
</file>

<file path=xl/tables/table18.xml><?xml version="1.0" encoding="utf-8"?>
<table xmlns="http://schemas.openxmlformats.org/spreadsheetml/2006/main" id="18" name="Table71920333537" displayName="Table71920333537" ref="A59:L69" headerRowCount="1" totalsRowShown="0" headerRowDxfId="290">
  <autoFilter ref="A59:L69"/>
  <tableColumns count="12">
    <tableColumn id="1" name="Ranking" dataDxfId="289"/>
    <tableColumn id="2" name="ASIN" dataDxfId="288"/>
    <tableColumn id="3" name="Product Name" dataDxfId="287"/>
    <tableColumn id="4" name="Brand" dataDxfId="286"/>
    <tableColumn id="12" name="Type" dataDxfId="285"/>
    <tableColumn id="5" name="Price" dataDxfId="284"/>
    <tableColumn id="6" name="Est. Monthly Retail Rev" dataDxfId="283"/>
    <tableColumn id="7" name="Est. Monthly Units Sold" dataDxfId="282"/>
    <tableColumn id="8" name="# of Reviews" dataDxfId="281"/>
    <tableColumn id="9" name="Avg. Rating" dataDxfId="280"/>
    <tableColumn id="11" name="Column2" dataDxfId="279"/>
    <tableColumn id="10" name="Link" dataDxfId="278" dataCellStyle="Hyperlink">
      <calculatedColumnFormula>HYPERLINK(K60)</calculatedColumnFormula>
    </tableColumn>
  </tableColumns>
  <tableStyleInfo name="TableStyleLight18" showFirstColumn="0" showLastColumn="0" showRowStripes="1" showColumnStripes="0"/>
</table>
</file>

<file path=xl/tables/table19.xml><?xml version="1.0" encoding="utf-8"?>
<table xmlns="http://schemas.openxmlformats.org/spreadsheetml/2006/main" id="19" name="Table7193238" displayName="Table7193238" ref="A46:L56" headerRowCount="1" totalsRowShown="0" headerRowDxfId="277">
  <autoFilter ref="A46:L56"/>
  <tableColumns count="12">
    <tableColumn id="1" name="Ranking" dataDxfId="276"/>
    <tableColumn id="2" name="ASIN" dataDxfId="275"/>
    <tableColumn id="3" name="Product Name" dataDxfId="274"/>
    <tableColumn id="4" name="Brand" dataDxfId="273"/>
    <tableColumn id="12" name="Type" dataDxfId="272"/>
    <tableColumn id="5" name="Price" dataDxfId="271"/>
    <tableColumn id="6" name="Est. Monthly Retail Rev" dataDxfId="270"/>
    <tableColumn id="7" name="Est. Monthly Units Sold" dataDxfId="269"/>
    <tableColumn id="8" name="# of Reviews" dataDxfId="268"/>
    <tableColumn id="9" name="Avg. Rating" dataDxfId="267"/>
    <tableColumn id="11" name="Column2" dataDxfId="266"/>
    <tableColumn id="10" name="Link" dataDxfId="265" dataCellStyle="Hyperlink">
      <calculatedColumnFormula>HYPERLINK(K47)</calculatedColumnFormula>
    </tableColumn>
  </tableColumns>
  <tableStyleInfo name="TableStyleLight18" showFirstColumn="0" showLastColumn="0" showRowStripes="1" showColumnStripes="0"/>
</table>
</file>

<file path=xl/tables/table20.xml><?xml version="1.0" encoding="utf-8"?>
<table xmlns="http://schemas.openxmlformats.org/spreadsheetml/2006/main" id="20" name="Table719203339" displayName="Table719203339" ref="A59:L69" headerRowCount="1" totalsRowShown="0" headerRowDxfId="264">
  <autoFilter ref="A59:L69"/>
  <tableColumns count="12">
    <tableColumn id="1" name="Ranking" dataDxfId="263"/>
    <tableColumn id="2" name="ASIN" dataDxfId="262"/>
    <tableColumn id="3" name="Product Name" dataDxfId="261"/>
    <tableColumn id="4" name="Brand" dataDxfId="260"/>
    <tableColumn id="12" name="Type" dataDxfId="259"/>
    <tableColumn id="5" name="Price" dataDxfId="258"/>
    <tableColumn id="6" name="Est. Monthly Retail Rev" dataDxfId="257"/>
    <tableColumn id="7" name="Est. Monthly Units Sold" dataDxfId="256"/>
    <tableColumn id="8" name="# of Reviews" dataDxfId="255"/>
    <tableColumn id="9" name="Avg. Rating" dataDxfId="254"/>
    <tableColumn id="11" name="Column2" dataDxfId="253"/>
    <tableColumn id="10" name="Link" dataDxfId="252" dataCellStyle="Hyperlink">
      <calculatedColumnFormula>HYPERLINK(K60)</calculatedColumnFormula>
    </tableColumn>
  </tableColumns>
  <tableStyleInfo name="TableStyleLight18" showFirstColumn="0" showLastColumn="0" showRowStripes="1" showColumnStripes="0"/>
</table>
</file>

<file path=xl/tables/table21.xml><?xml version="1.0" encoding="utf-8"?>
<table xmlns="http://schemas.openxmlformats.org/spreadsheetml/2006/main" id="21" name="Table719323840" displayName="Table719323840" ref="A45:L55" headerRowCount="1" totalsRowShown="0" headerRowDxfId="251">
  <autoFilter ref="A45:L55"/>
  <tableColumns count="12">
    <tableColumn id="1" name="Ranking" dataDxfId="250"/>
    <tableColumn id="2" name="ASIN" dataDxfId="249"/>
    <tableColumn id="3" name="Product Name" dataDxfId="248"/>
    <tableColumn id="4" name="Brand" dataDxfId="247"/>
    <tableColumn id="12" name="Type" dataDxfId="246"/>
    <tableColumn id="5" name="Price" dataDxfId="245"/>
    <tableColumn id="6" name="Est. Monthly Retail Rev" dataDxfId="244"/>
    <tableColumn id="7" name="Est. Monthly Units Sold" dataDxfId="243"/>
    <tableColumn id="8" name="# of Reviews" dataDxfId="242"/>
    <tableColumn id="9" name="Avg. Rating" dataDxfId="241"/>
    <tableColumn id="11" name="Column2" dataDxfId="240"/>
    <tableColumn id="10" name="Link" dataDxfId="239" dataCellStyle="Hyperlink">
      <calculatedColumnFormula>HYPERLINK(K46)</calculatedColumnFormula>
    </tableColumn>
  </tableColumns>
  <tableStyleInfo name="TableStyleLight18" showFirstColumn="0" showLastColumn="0" showRowStripes="1" showColumnStripes="0"/>
</table>
</file>

<file path=xl/tables/table22.xml><?xml version="1.0" encoding="utf-8"?>
<table xmlns="http://schemas.openxmlformats.org/spreadsheetml/2006/main" id="22" name="Table71920333941" displayName="Table71920333941" ref="A58:L68" headerRowCount="1" totalsRowShown="0" headerRowDxfId="238">
  <autoFilter ref="A58:L68"/>
  <tableColumns count="12">
    <tableColumn id="1" name="Ranking" dataDxfId="237"/>
    <tableColumn id="2" name="ASIN" dataDxfId="236"/>
    <tableColumn id="3" name="Product Name" dataDxfId="235"/>
    <tableColumn id="4" name="Brand" dataDxfId="234"/>
    <tableColumn id="12" name="Type" dataDxfId="233"/>
    <tableColumn id="5" name="Price" dataDxfId="232"/>
    <tableColumn id="6" name="Est. Monthly Retail Rev" dataDxfId="231"/>
    <tableColumn id="7" name="Est. Monthly Units Sold" dataDxfId="230"/>
    <tableColumn id="8" name="# of Reviews" dataDxfId="229"/>
    <tableColumn id="9" name="Avg. Rating" dataDxfId="228"/>
    <tableColumn id="11" name="Column2" dataDxfId="227"/>
    <tableColumn id="10" name="Link" dataDxfId="226" dataCellStyle="Hyperlink">
      <calculatedColumnFormula>HYPERLINK(K59)</calculatedColumnFormula>
    </tableColumn>
  </tableColumns>
  <tableStyleInfo name="TableStyleLight18" showFirstColumn="0" showLastColumn="0" showRowStripes="1" showColumnStripes="0"/>
</table>
</file>

<file path=xl/tables/table23.xml><?xml version="1.0" encoding="utf-8"?>
<table xmlns="http://schemas.openxmlformats.org/spreadsheetml/2006/main" id="23" name="Table544" displayName="Table544" ref="A52:L127" headerRowCount="1" totalsRowShown="0" dataDxfId="212">
  <autoFilter ref="A52:L127"/>
  <tableColumns count="12">
    <tableColumn id="1" name="Product Name" dataDxfId="211"/>
    <tableColumn id="2" name="ASIN" dataDxfId="210"/>
    <tableColumn id="12" name="Type" dataDxfId="209"/>
    <tableColumn id="3" name="Avg Price" dataDxfId="208"/>
    <tableColumn id="4" name="Estimated 12mo Revenue" dataDxfId="207"/>
    <tableColumn id="5" name="Monthly Rev" dataDxfId="206"/>
    <tableColumn id="6" name="Estimated 12mo Units" dataDxfId="205"/>
    <tableColumn id="7" name="Monthly Units" dataDxfId="204"/>
    <tableColumn id="8" name="# of Reviews" dataDxfId="203"/>
    <tableColumn id="9" name="Tool Rating " dataDxfId="202"/>
    <tableColumn id="11" name="Column1" dataDxfId="201"/>
    <tableColumn id="10" name="Link" dataDxfId="200" dataCellStyle="Hyperlink">
      <calculatedColumnFormula>HYPERLINK(Table544[[#This Row],[Column1]])</calculatedColumnFormula>
    </tableColumn>
  </tableColumns>
  <tableStyleInfo name="TableStyleLight18" showFirstColumn="0" showLastColumn="0" showRowStripes="1" showColumnStripes="0"/>
</table>
</file>

<file path=xl/tables/table24.xml><?xml version="1.0" encoding="utf-8"?>
<table xmlns="http://schemas.openxmlformats.org/spreadsheetml/2006/main" id="24" name="Table1410" displayName="Table1410" ref="A624:L1191" headerRowCount="1" totalsRowShown="0" dataDxfId="532">
  <autoFilter ref="A624:L1191"/>
  <tableColumns count="12">
    <tableColumn id="1" name="Product Name" dataDxfId="531"/>
    <tableColumn id="2" name="ASIN" dataDxfId="530"/>
    <tableColumn id="12" name="Type" dataDxfId="529"/>
    <tableColumn id="3" name="Avg Price" dataDxfId="528"/>
    <tableColumn id="4" name="Estimated 12mo Revenue" dataDxfId="527"/>
    <tableColumn id="5" name="Monthly Rev" dataDxfId="526"/>
    <tableColumn id="6" name="Estimated 12mo Units" dataDxfId="525"/>
    <tableColumn id="7" name="Monthly Units" dataDxfId="524"/>
    <tableColumn id="8" name="# of Reviews" dataDxfId="523"/>
    <tableColumn id="9" name="Tool Rating " dataDxfId="522"/>
    <tableColumn id="11" name="Column1" dataDxfId="521"/>
    <tableColumn id="10" name="Link" dataDxfId="520" dataCellStyle="Hyperlink">
      <calculatedColumnFormula>HYPERLINK(Table1410[[#This Row],[Column1]])</calculatedColumnFormula>
    </tableColumn>
  </tableColumns>
  <tableStyleInfo name="TableStyleLight18" showFirstColumn="0" showLastColumn="0" showRowStripes="1" showColumnStripes="0"/>
</table>
</file>

<file path=xl/tables/table25.xml><?xml version="1.0" encoding="utf-8"?>
<table xmlns="http://schemas.openxmlformats.org/spreadsheetml/2006/main" id="25" name="Table1311" displayName="Table1311" ref="A52:L619" headerRowCount="1" totalsRowShown="0" dataDxfId="519">
  <autoFilter ref="A52:L619"/>
  <tableColumns count="12">
    <tableColumn id="1" name="Product Name" dataDxfId="518"/>
    <tableColumn id="2" name="ASIN" dataDxfId="517"/>
    <tableColumn id="12" name="Type" dataDxfId="516"/>
    <tableColumn id="3" name="Avg Price" dataDxfId="515"/>
    <tableColumn id="4" name="Estimated 12mo Revenue" dataDxfId="514"/>
    <tableColumn id="5" name="Monthly Rev" dataDxfId="513"/>
    <tableColumn id="6" name="Estimated 12mo Units" dataDxfId="512"/>
    <tableColumn id="7" name="Monthly Units" dataDxfId="511"/>
    <tableColumn id="8" name="# of Reviews" dataDxfId="510"/>
    <tableColumn id="9" name="Tool Rating " dataDxfId="509"/>
    <tableColumn id="11" name="Column1" dataDxfId="508"/>
    <tableColumn id="10" name="Link" dataDxfId="507" dataCellStyle="Hyperlink">
      <calculatedColumnFormula>HYPERLINK(Table1311[[#This Row],[Column1]])</calculatedColumnFormula>
    </tableColumn>
  </tableColumns>
  <tableStyleInfo name="TableStyleLight18" showFirstColumn="0" showLastColumn="0" showRowStripes="1" showColumnStripes="0"/>
</table>
</file>

<file path=xl/tables/table26.xml><?xml version="1.0" encoding="utf-8"?>
<table xmlns="http://schemas.openxmlformats.org/spreadsheetml/2006/main" id="26" name="Table2720" displayName="Table2720" ref="A49:L95" headerRowCount="1" totalsRowShown="0" dataDxfId="199" headerRowBorderDxfId="197" tableBorderDxfId="198">
  <autoFilter ref="A49:L95"/>
  <tableColumns count="12">
    <tableColumn id="1" name="Product Name" dataDxfId="196"/>
    <tableColumn id="2" name="ASIN" dataDxfId="195"/>
    <tableColumn id="12" name="Type" dataDxfId="194"/>
    <tableColumn id="3" name="Avg Price" dataDxfId="193"/>
    <tableColumn id="4" name="Estimated 12mo Revenue" dataDxfId="192"/>
    <tableColumn id="5" name="Monthly Rev" dataDxfId="191"/>
    <tableColumn id="6" name="Estimated 12mo Units" dataDxfId="190"/>
    <tableColumn id="7" name="Monthly Units" dataDxfId="189"/>
    <tableColumn id="8" name="# of Reviews" dataDxfId="188"/>
    <tableColumn id="9" name="Tool Rating " dataDxfId="187"/>
    <tableColumn id="11" name="Column1" dataDxfId="186"/>
    <tableColumn id="10" name="Link" dataDxfId="185" dataCellStyle="Hyperlink">
      <calculatedColumnFormula>HYPERLINK(Table2720[[#This Row],[Column1]])</calculatedColumnFormula>
    </tableColumn>
  </tableColumns>
  <tableStyleInfo name="TableStyleLight18" showFirstColumn="0" showLastColumn="0" showRowStripes="1" showColumnStripes="0"/>
</table>
</file>

<file path=xl/tables/table27.xml><?xml version="1.0" encoding="utf-8"?>
<table xmlns="http://schemas.openxmlformats.org/spreadsheetml/2006/main" id="27" name="Table3155" displayName="Table3155" ref="A52:L218" headerRowCount="1" totalsRowShown="0" dataDxfId="169" headerRowBorderDxfId="167" tableBorderDxfId="168">
  <autoFilter ref="A52:L218"/>
  <tableColumns count="12">
    <tableColumn id="1" name="Product Name" dataDxfId="166"/>
    <tableColumn id="2" name="ASIN" dataDxfId="165"/>
    <tableColumn id="12" name="Type" dataDxfId="164"/>
    <tableColumn id="3" name="Avg Price" dataDxfId="163"/>
    <tableColumn id="4" name="Estimated 12mo Revenue" dataDxfId="162"/>
    <tableColumn id="5" name="Monthly Rev" dataDxfId="161"/>
    <tableColumn id="6" name="Estimated 12mo Units" dataDxfId="160"/>
    <tableColumn id="7" name="Monthly Units" dataDxfId="159"/>
    <tableColumn id="8" name="# of Reviews" dataDxfId="158"/>
    <tableColumn id="9" name="Tool Rating " dataDxfId="157"/>
    <tableColumn id="11" name="Column1" dataDxfId="156"/>
    <tableColumn id="10" name="Link" dataDxfId="155" dataCellStyle="Hyperlink">
      <calculatedColumnFormula>HYPERLINK(Table3155[[#This Row],[Column1]])</calculatedColumnFormula>
    </tableColumn>
  </tableColumns>
  <tableStyleInfo name="TableStyleLight18" showFirstColumn="0" showLastColumn="0" showRowStripes="1" showColumnStripes="0"/>
</table>
</file>

<file path=xl/tables/table28.xml><?xml version="1.0" encoding="utf-8"?>
<table xmlns="http://schemas.openxmlformats.org/spreadsheetml/2006/main" id="28" name="Table3660" displayName="Table3660" ref="A51:L333" headerRowCount="1" totalsRowShown="0" dataDxfId="124" headerRowBorderDxfId="122" tableBorderDxfId="123">
  <autoFilter ref="A51:L333"/>
  <tableColumns count="12">
    <tableColumn id="1" name="Product Name" dataDxfId="121"/>
    <tableColumn id="2" name="ASIN" dataDxfId="120"/>
    <tableColumn id="12" name="Type" dataDxfId="119"/>
    <tableColumn id="3" name="Avg Price" dataDxfId="118"/>
    <tableColumn id="4" name="Estimated 12mo Revenue" dataDxfId="117"/>
    <tableColumn id="5" name="Monthly Rev" dataDxfId="116"/>
    <tableColumn id="6" name="Estimated 12mo Units" dataDxfId="115"/>
    <tableColumn id="7" name="Monthly Units" dataDxfId="114"/>
    <tableColumn id="8" name="# of Reviews" dataDxfId="113"/>
    <tableColumn id="9" name="Tool Rating " dataDxfId="112"/>
    <tableColumn id="11" name="Column1" dataDxfId="111"/>
    <tableColumn id="10" name="Link" dataDxfId="110" dataCellStyle="Hyperlink">
      <calculatedColumnFormula>HYPERLINK(Table3660[[#This Row],[Column1]])</calculatedColumnFormula>
    </tableColumn>
  </tableColumns>
  <tableStyleInfo name="TableStyleLight18" showFirstColumn="0" showLastColumn="0" showRowStripes="1" showColumnStripes="0"/>
</table>
</file>

<file path=xl/tables/table29.xml><?xml version="1.0" encoding="utf-8"?>
<table xmlns="http://schemas.openxmlformats.org/spreadsheetml/2006/main" id="29" name="Table4779" displayName="Table4779" ref="A50:L107" headerRowCount="1" totalsRowShown="0" dataDxfId="109" headerRowBorderDxfId="107" tableBorderDxfId="108">
  <autoFilter ref="A50:L107"/>
  <tableColumns count="12">
    <tableColumn id="1" name="Product Name" dataDxfId="106"/>
    <tableColumn id="2" name="ASIN" dataDxfId="105"/>
    <tableColumn id="12" name="Type" dataDxfId="104"/>
    <tableColumn id="3" name="Avg Price" dataDxfId="103"/>
    <tableColumn id="4" name="Estimated 12mo Revenue" dataDxfId="102"/>
    <tableColumn id="5" name="Monthly Rev" dataDxfId="101"/>
    <tableColumn id="6" name="Estimated 12mo Units" dataDxfId="100"/>
    <tableColumn id="7" name="Monthly Units" dataDxfId="99"/>
    <tableColumn id="8" name="# of Reviews" dataDxfId="98"/>
    <tableColumn id="9" name="Tool Rating " dataDxfId="97"/>
    <tableColumn id="11" name="Column1" dataDxfId="96"/>
    <tableColumn id="10" name="Link" dataDxfId="95" dataCellStyle="Hyperlink">
      <calculatedColumnFormula>HYPERLINK(Table4779[[#This Row],[Column1]])</calculatedColumnFormula>
    </tableColumn>
  </tableColumns>
  <tableStyleInfo name="TableStyleLight18" showFirstColumn="0" showLastColumn="0" showRowStripes="1" showColumnStripes="0"/>
</table>
</file>

<file path=xl/tables/table30.xml><?xml version="1.0" encoding="utf-8"?>
<table xmlns="http://schemas.openxmlformats.org/spreadsheetml/2006/main" id="30" name="Table4880" displayName="Table4880" ref="A112:L169" headerRowCount="1" totalsRowShown="0" dataDxfId="94" headerRowBorderDxfId="92" tableBorderDxfId="93">
  <autoFilter ref="A112:L169"/>
  <tableColumns count="12">
    <tableColumn id="1" name="Product Name" dataDxfId="91"/>
    <tableColumn id="2" name="ASIN" dataDxfId="90"/>
    <tableColumn id="12" name="Type" dataDxfId="89"/>
    <tableColumn id="3" name="Avg Price" dataDxfId="88"/>
    <tableColumn id="4" name="Estimated 12mo Revenue" dataDxfId="87"/>
    <tableColumn id="5" name="Monthly Rev" dataDxfId="86"/>
    <tableColumn id="6" name="Estimated 12mo Units" dataDxfId="85"/>
    <tableColumn id="7" name="Monthly Units" dataDxfId="84"/>
    <tableColumn id="8" name="# of Reviews" dataDxfId="83"/>
    <tableColumn id="9" name="Tool Rating " dataDxfId="82"/>
    <tableColumn id="11" name="Column1" dataDxfId="81"/>
    <tableColumn id="10" name="Link" dataDxfId="80" dataCellStyle="Hyperlink">
      <calculatedColumnFormula>HYPERLINK(Table4880[[#This Row],[Column1]])</calculatedColumnFormula>
    </tableColumn>
  </tableColumns>
  <tableStyleInfo name="TableStyleLight18" showFirstColumn="0" showLastColumn="0" showRowStripes="1" showColumnStripes="0"/>
</table>
</file>

<file path=xl/tables/table31.xml><?xml version="1.0" encoding="utf-8"?>
<table xmlns="http://schemas.openxmlformats.org/spreadsheetml/2006/main" id="31" name="Table467478" displayName="Table467478" ref="A50:L69" headerRowCount="1" totalsRowShown="0" dataDxfId="64" headerRowBorderDxfId="62" tableBorderDxfId="63">
  <autoFilter ref="A50:L69"/>
  <tableColumns count="12">
    <tableColumn id="1" name="Product Name" dataDxfId="61"/>
    <tableColumn id="2" name="ASIN" dataDxfId="60"/>
    <tableColumn id="12" name="Type" dataDxfId="59"/>
    <tableColumn id="3" name="Avg Price" dataDxfId="58"/>
    <tableColumn id="4" name="Estimated 12mo Revenue" dataDxfId="57"/>
    <tableColumn id="5" name="Monthly Rev" dataDxfId="56"/>
    <tableColumn id="6" name="Estimated 12mo Units" dataDxfId="55"/>
    <tableColumn id="7" name="Monthly Units" dataDxfId="54"/>
    <tableColumn id="8" name="# of Reviews" dataDxfId="53"/>
    <tableColumn id="9" name="Tool Rating " dataDxfId="52"/>
    <tableColumn id="11" name="Column1" dataDxfId="51"/>
    <tableColumn id="10" name="Link" dataDxfId="50" dataCellStyle="Hyperlink">
      <calculatedColumnFormula>HYPERLINK(Table467478[[#This Row],[Column1]])</calculatedColumnFormula>
    </tableColumn>
  </tableColumns>
  <tableStyleInfo name="TableStyleLight18" showFirstColumn="0" showLastColumn="0" showRowStripes="1" showColumnStripes="0"/>
</table>
</file>

<file path=xl/tables/table32.xml><?xml version="1.0" encoding="utf-8"?>
<table xmlns="http://schemas.openxmlformats.org/spreadsheetml/2006/main" id="32" name="Table5383" displayName="Table5383" ref="A123:L193" headerRowCount="1" totalsRowShown="0" dataDxfId="29" headerRowBorderDxfId="27" tableBorderDxfId="28">
  <autoFilter ref="A123:L193"/>
  <tableColumns count="12">
    <tableColumn id="1" name="Product Name" dataDxfId="26"/>
    <tableColumn id="2" name="ASIN" dataDxfId="25"/>
    <tableColumn id="12" name="Type" dataDxfId="24"/>
    <tableColumn id="3" name="Avg Price" dataDxfId="23"/>
    <tableColumn id="4" name="Estimated 12mo Revenue" dataDxfId="22"/>
    <tableColumn id="5" name="Monthly Rev" dataDxfId="21"/>
    <tableColumn id="6" name="Estimated 12mo Units" dataDxfId="20"/>
    <tableColumn id="7" name="Monthly Units" dataDxfId="19"/>
    <tableColumn id="8" name="# of Reviews" dataDxfId="18"/>
    <tableColumn id="9" name="Tool Rating " dataDxfId="17"/>
    <tableColumn id="11" name="Column1" dataDxfId="16"/>
    <tableColumn id="10" name="Link" dataDxfId="15" dataCellStyle="Hyperlink">
      <calculatedColumnFormula>HYPERLINK(Table5383[[#This Row],[Column1]])</calculatedColumnFormula>
    </tableColumn>
  </tableColumns>
  <tableStyleInfo name="TableStyleLight18" showFirstColumn="0" showLastColumn="0" showRowStripes="1" showColumnStripes="0"/>
</table>
</file>

<file path=xl/tables/table33.xml><?xml version="1.0" encoding="utf-8"?>
<table xmlns="http://schemas.openxmlformats.org/spreadsheetml/2006/main" id="33" name="Table543384" displayName="Table543384" ref="A48:L118" headerRowCount="1" totalsRowShown="0" dataDxfId="14" headerRowBorderDxfId="12" tableBorderDxfId="13">
  <autoFilter ref="A48:L118"/>
  <tableColumns count="12">
    <tableColumn id="1" name="Product Name" dataDxfId="11"/>
    <tableColumn id="2" name="ASIN" dataDxfId="10"/>
    <tableColumn id="12" name="Type" dataDxfId="9"/>
    <tableColumn id="3" name="Avg Price" dataDxfId="8"/>
    <tableColumn id="4" name="Estimated 12mo Revenue" dataDxfId="7"/>
    <tableColumn id="5" name="Monthly Rev" dataDxfId="6"/>
    <tableColumn id="6" name="Estimated 12mo Units" dataDxfId="5"/>
    <tableColumn id="7" name="Monthly Units" dataDxfId="4"/>
    <tableColumn id="8" name="# of Reviews" dataDxfId="3"/>
    <tableColumn id="9" name="Tool Rating " dataDxfId="2"/>
    <tableColumn id="11" name="Column1" dataDxfId="1"/>
    <tableColumn id="10" name="Link" dataDxfId="0" dataCellStyle="Hyperlink">
      <calculatedColumnFormula>HYPERLINK(Table543384[[#This Row],[Column1]])</calculatedColumnFormula>
    </tableColumn>
  </tableColumns>
  <tableStyleInfo name="TableStyleLight18" showFirstColumn="0" showLastColumn="0" showRowStripes="1" showColumnStripes="0"/>
</table>
</file>

<file path=xl/tables/table34.xml><?xml version="1.0" encoding="utf-8"?>
<table xmlns="http://schemas.openxmlformats.org/spreadsheetml/2006/main" id="34" name="Innova_1" displayName="Innova_1" ref="A132:L207" headerRowCount="1">
  <autoFilter ref="A132:L207"/>
  <tableColumns count="12">
    <tableColumn id="1" name="Product Name"/>
    <tableColumn id="2" name="ASIN"/>
    <tableColumn id="3" name="Type"/>
    <tableColumn id="4" name="Avg Price"/>
    <tableColumn id="5" name="Estimated 12mo Revenue"/>
    <tableColumn id="6" name="Monthly Rev"/>
    <tableColumn id="7" name="Estimated 12mo Units"/>
    <tableColumn id="8" name="Monthly Units"/>
    <tableColumn id="9" name="# of Reviews"/>
    <tableColumn id="10" name="Tool Rating "/>
    <tableColumn id="11" name="Column1"/>
    <tableColumn id="12" name="Link"/>
  </tableColumns>
  <tableStyleInfo name="TableStyleLight18" showFirstColumn="0" showLastColumn="0" showRowStripes="1" showColumnStripes="0"/>
</table>
</file>

<file path=xl/tables/table35.xml><?xml version="1.0" encoding="utf-8"?>
<table xmlns="http://schemas.openxmlformats.org/spreadsheetml/2006/main" id="35" name="Innova_2" displayName="Innova_2" ref="A52:L127" headerRowCount="1">
  <autoFilter ref="A52:L127"/>
  <tableColumns count="12">
    <tableColumn id="1" name="Product Name"/>
    <tableColumn id="2" name="ASIN"/>
    <tableColumn id="3" name="Type"/>
    <tableColumn id="4" name="Avg Price"/>
    <tableColumn id="5" name="Estimated 12mo Revenue"/>
    <tableColumn id="6" name="Monthly Rev"/>
    <tableColumn id="7" name="Estimated 12mo Units"/>
    <tableColumn id="8" name="Monthly Units"/>
    <tableColumn id="9" name="# of Reviews"/>
    <tableColumn id="10" name="Tool Rating "/>
    <tableColumn id="11" name="Column1"/>
    <tableColumn id="12" name="Link"/>
  </tableColumns>
  <tableStyleInfo name="TableStyleLight18" showFirstColumn="0" showLastColumn="0" showRowStripes="1" showColumnStripes="0"/>
</table>
</file>

<file path=xl/tables/table36.xml><?xml version="1.0" encoding="utf-8"?>
<table xmlns="http://schemas.openxmlformats.org/spreadsheetml/2006/main" id="36" name="Innova1p_1" displayName="Innova1p_1" ref="A132:L207" headerRowCount="1">
  <autoFilter ref="A132:L207"/>
  <tableColumns count="12">
    <tableColumn id="1" name="Product Name"/>
    <tableColumn id="2" name="ASIN"/>
    <tableColumn id="3" name="Type"/>
    <tableColumn id="4" name="Avg Price"/>
    <tableColumn id="5" name="Estimated 12mo Revenue"/>
    <tableColumn id="6" name="Monthly Rev"/>
    <tableColumn id="7" name="Estimated 12mo Units"/>
    <tableColumn id="8" name="Monthly Units"/>
    <tableColumn id="9" name="# of Reviews"/>
    <tableColumn id="10" name="Tool Rating "/>
    <tableColumn id="11" name="Column1"/>
    <tableColumn id="12" name="Link"/>
  </tableColumns>
  <tableStyleInfo name="TableStyleLight18" showFirstColumn="0" showLastColumn="0" showRowStripes="1" showColumnStripes="0"/>
</table>
</file>

<file path=xl/tables/table37.xml><?xml version="1.0" encoding="utf-8"?>
<table xmlns="http://schemas.openxmlformats.org/spreadsheetml/2006/main" id="37" name="Innova1p_2" displayName="Innova1p_2" ref="A52:L127" headerRowCount="1">
  <autoFilter ref="A52:L127"/>
  <tableColumns count="12">
    <tableColumn id="1" name="Product Name"/>
    <tableColumn id="2" name="ASIN"/>
    <tableColumn id="3" name="Type"/>
    <tableColumn id="4" name="Avg Price"/>
    <tableColumn id="5" name="Estimated 12mo Revenue"/>
    <tableColumn id="6" name="Monthly Rev"/>
    <tableColumn id="7" name="Estimated 12mo Units"/>
    <tableColumn id="8" name="Monthly Units"/>
    <tableColumn id="9" name="# of Reviews"/>
    <tableColumn id="10" name="Tool Rating "/>
    <tableColumn id="11" name="Column1"/>
    <tableColumn id="12" name="Link"/>
  </tableColumns>
  <tableStyleInfo name="TableStyleLight18" showFirstColumn="0" showLastColumn="0" showRowStripes="1" showColumnStripes="0"/>
</table>
</file>

<file path=xl/tables/table38.xml><?xml version="1.0" encoding="utf-8"?>
<table xmlns="http://schemas.openxmlformats.org/spreadsheetml/2006/main" id="38" name="Innova3p_1" displayName="Innova3p_1" ref="A132:L207" headerRowCount="1">
  <autoFilter ref="A132:L207"/>
  <tableColumns count="12">
    <tableColumn id="1" name="Product Name"/>
    <tableColumn id="2" name="ASIN"/>
    <tableColumn id="3" name="Type"/>
    <tableColumn id="4" name="Avg Price"/>
    <tableColumn id="5" name="Estimated 12mo Revenue"/>
    <tableColumn id="6" name="Monthly Rev"/>
    <tableColumn id="7" name="Estimated 12mo Units"/>
    <tableColumn id="8" name="Monthly Units"/>
    <tableColumn id="9" name="# of Reviews"/>
    <tableColumn id="10" name="Tool Rating "/>
    <tableColumn id="11" name="Column1"/>
    <tableColumn id="12" name="Link"/>
  </tableColumns>
  <tableStyleInfo name="TableStyleLight18" showFirstColumn="0" showLastColumn="0" showRowStripes="1" showColumnStripes="0"/>
</table>
</file>

<file path=xl/tables/table39.xml><?xml version="1.0" encoding="utf-8"?>
<table xmlns="http://schemas.openxmlformats.org/spreadsheetml/2006/main" id="39" name="Innova3p_2" displayName="Innova3p_2" ref="A52:L127" headerRowCount="1">
  <autoFilter ref="A52:L127"/>
  <tableColumns count="12">
    <tableColumn id="1" name="Product Name"/>
    <tableColumn id="2" name="ASIN"/>
    <tableColumn id="3" name="Type"/>
    <tableColumn id="4" name="Avg Price"/>
    <tableColumn id="5" name="Estimated 12mo Revenue"/>
    <tableColumn id="6" name="Monthly Rev"/>
    <tableColumn id="7" name="Estimated 12mo Units"/>
    <tableColumn id="8" name="Monthly Units"/>
    <tableColumn id="9" name="# of Reviews"/>
    <tableColumn id="10" name="Tool Rating "/>
    <tableColumn id="11" name="Column1"/>
    <tableColumn id="12" name="Link"/>
  </tableColumns>
  <tableStyleInfo name="TableStyleLight18" showFirstColumn="0" showLastColumn="0" showRowStripes="1" showColumnStripes="0"/>
</table>
</file>

<file path=xl/tables/table40.xml><?xml version="1.0" encoding="utf-8"?>
<table xmlns="http://schemas.openxmlformats.org/spreadsheetml/2006/main" id="40" name="BLCKTEC_1" displayName="BLCKTEC_1" ref="A132:L207" headerRowCount="1">
  <autoFilter ref="A132:L207"/>
  <tableColumns count="12">
    <tableColumn id="1" name="Product Name"/>
    <tableColumn id="2" name="ASIN"/>
    <tableColumn id="3" name="Type"/>
    <tableColumn id="4" name="Avg Price"/>
    <tableColumn id="5" name="Estimated 12mo Revenue"/>
    <tableColumn id="6" name="Monthly Rev"/>
    <tableColumn id="7" name="Estimated 12mo Units"/>
    <tableColumn id="8" name="Monthly Units"/>
    <tableColumn id="9" name="# of Reviews"/>
    <tableColumn id="10" name="Tool Rating "/>
    <tableColumn id="11" name="Column1"/>
    <tableColumn id="12" name="Link"/>
  </tableColumns>
  <tableStyleInfo name="TableStyleLight18" showFirstColumn="0" showLastColumn="0" showRowStripes="1" showColumnStripes="0"/>
</table>
</file>

<file path=xl/tables/table41.xml><?xml version="1.0" encoding="utf-8"?>
<table xmlns="http://schemas.openxmlformats.org/spreadsheetml/2006/main" id="41" name="BLCKTEC_2" displayName="BLCKTEC_2" ref="A52:L127" headerRowCount="1">
  <autoFilter ref="A52:L127"/>
  <tableColumns count="12">
    <tableColumn id="1" name="Product Name"/>
    <tableColumn id="2" name="ASIN"/>
    <tableColumn id="3" name="Type"/>
    <tableColumn id="4" name="Avg Price"/>
    <tableColumn id="5" name="Estimated 12mo Revenue"/>
    <tableColumn id="6" name="Monthly Rev"/>
    <tableColumn id="7" name="Estimated 12mo Units"/>
    <tableColumn id="8" name="Monthly Units"/>
    <tableColumn id="9" name="# of Reviews"/>
    <tableColumn id="10" name="Tool Rating "/>
    <tableColumn id="11" name="Column1"/>
    <tableColumn id="12" name="Link"/>
  </tableColumns>
  <tableStyleInfo name="TableStyleLight18" showFirstColumn="0" showLastColumn="0" showRowStripes="1" showColumnStripes="0"/>
</table>
</file>

<file path=xl/tables/table42.xml><?xml version="1.0" encoding="utf-8"?>
<table xmlns="http://schemas.openxmlformats.org/spreadsheetml/2006/main" id="42" name="Bluedriver_1" displayName="Bluedriver_1" ref="A132:L207" headerRowCount="1">
  <autoFilter ref="A132:L207"/>
  <tableColumns count="12">
    <tableColumn id="1" name="Product Name"/>
    <tableColumn id="2" name="ASIN"/>
    <tableColumn id="3" name="Type"/>
    <tableColumn id="4" name="Avg Price"/>
    <tableColumn id="5" name="Estimated 12mo Revenue"/>
    <tableColumn id="6" name="Monthly Rev"/>
    <tableColumn id="7" name="Estimated 12mo Units"/>
    <tableColumn id="8" name="Monthly Units"/>
    <tableColumn id="9" name="# of Reviews"/>
    <tableColumn id="10" name="Tool Rating "/>
    <tableColumn id="11" name="Column1"/>
    <tableColumn id="12" name="Link"/>
  </tableColumns>
  <tableStyleInfo name="TableStyleLight18" showFirstColumn="0" showLastColumn="0" showRowStripes="1" showColumnStripes="0"/>
</table>
</file>

<file path=xl/tables/table43.xml><?xml version="1.0" encoding="utf-8"?>
<table xmlns="http://schemas.openxmlformats.org/spreadsheetml/2006/main" id="43" name="Bluedriver_2" displayName="Bluedriver_2" ref="A52:L127" headerRowCount="1">
  <autoFilter ref="A52:L127"/>
  <tableColumns count="12">
    <tableColumn id="1" name="Product Name"/>
    <tableColumn id="2" name="ASIN"/>
    <tableColumn id="3" name="Type"/>
    <tableColumn id="4" name="Avg Price"/>
    <tableColumn id="5" name="Estimated 12mo Revenue"/>
    <tableColumn id="6" name="Monthly Rev"/>
    <tableColumn id="7" name="Estimated 12mo Units"/>
    <tableColumn id="8" name="Monthly Units"/>
    <tableColumn id="9" name="# of Reviews"/>
    <tableColumn id="10" name="Tool Rating "/>
    <tableColumn id="11" name="Column1"/>
    <tableColumn id="12" name="Link"/>
  </tableColumns>
  <tableStyleInfo name="TableStyleLight18" showFirstColumn="0" showLastColumn="0" showRowStripes="1" showColumnStripes="0"/>
</table>
</file>

<file path=xl/tables/table44.xml><?xml version="1.0" encoding="utf-8"?>
<table xmlns="http://schemas.openxmlformats.org/spreadsheetml/2006/main" id="44" name="DieselLaptops_1" displayName="DieselLaptops_1" ref="A132:L207" headerRowCount="1">
  <autoFilter ref="A132:L207"/>
  <tableColumns count="12">
    <tableColumn id="1" name="Product Name"/>
    <tableColumn id="2" name="ASIN"/>
    <tableColumn id="3" name="Type"/>
    <tableColumn id="4" name="Avg Price"/>
    <tableColumn id="5" name="Estimated 12mo Revenue"/>
    <tableColumn id="6" name="Monthly Rev"/>
    <tableColumn id="7" name="Estimated 12mo Units"/>
    <tableColumn id="8" name="Monthly Units"/>
    <tableColumn id="9" name="# of Reviews"/>
    <tableColumn id="10" name="Tool Rating "/>
    <tableColumn id="11" name="Column1"/>
    <tableColumn id="12" name="Link"/>
  </tableColumns>
  <tableStyleInfo name="TableStyleLight18" showFirstColumn="0" showLastColumn="0" showRowStripes="1" showColumnStripes="0"/>
</table>
</file>

<file path=xl/tables/table45.xml><?xml version="1.0" encoding="utf-8"?>
<table xmlns="http://schemas.openxmlformats.org/spreadsheetml/2006/main" id="45" name="DieselLaptops_2" displayName="DieselLaptops_2" ref="A52:L127" headerRowCount="1">
  <autoFilter ref="A52:L127"/>
  <tableColumns count="12">
    <tableColumn id="1" name="Product Name"/>
    <tableColumn id="2" name="ASIN"/>
    <tableColumn id="3" name="Type"/>
    <tableColumn id="4" name="Avg Price"/>
    <tableColumn id="5" name="Estimated 12mo Revenue"/>
    <tableColumn id="6" name="Monthly Rev"/>
    <tableColumn id="7" name="Estimated 12mo Units"/>
    <tableColumn id="8" name="Monthly Units"/>
    <tableColumn id="9" name="# of Reviews"/>
    <tableColumn id="10" name="Tool Rating "/>
    <tableColumn id="11" name="Column1"/>
    <tableColumn id="12" name="Link"/>
  </tableColumns>
  <tableStyleInfo name="TableStyleLight18" showFirstColumn="0" showLastColumn="0" showRowStripes="1" showColumnStripes="0"/>
</table>
</file>

<file path=xl/tables/table46.xml><?xml version="1.0" encoding="utf-8"?>
<table xmlns="http://schemas.openxmlformats.org/spreadsheetml/2006/main" id="46" name="Edge_1" displayName="Edge_1" ref="A132:L207" headerRowCount="1">
  <autoFilter ref="A132:L207"/>
  <tableColumns count="12">
    <tableColumn id="1" name="Product Name"/>
    <tableColumn id="2" name="ASIN"/>
    <tableColumn id="3" name="Type"/>
    <tableColumn id="4" name="Avg Price"/>
    <tableColumn id="5" name="Estimated 12mo Revenue"/>
    <tableColumn id="6" name="Monthly Rev"/>
    <tableColumn id="7" name="Estimated 12mo Units"/>
    <tableColumn id="8" name="Monthly Units"/>
    <tableColumn id="9" name="# of Reviews"/>
    <tableColumn id="10" name="Tool Rating "/>
    <tableColumn id="11" name="Column1"/>
    <tableColumn id="12" name="Link"/>
  </tableColumns>
  <tableStyleInfo name="TableStyleLight18" showFirstColumn="0" showLastColumn="0" showRowStripes="1" showColumnStripes="0"/>
</table>
</file>

<file path=xl/tables/table47.xml><?xml version="1.0" encoding="utf-8"?>
<table xmlns="http://schemas.openxmlformats.org/spreadsheetml/2006/main" id="47" name="Edge_2" displayName="Edge_2" ref="A52:L127" headerRowCount="1">
  <autoFilter ref="A52:L127"/>
  <tableColumns count="12">
    <tableColumn id="1" name="Product Name"/>
    <tableColumn id="2" name="ASIN"/>
    <tableColumn id="3" name="Type"/>
    <tableColumn id="4" name="Avg Price"/>
    <tableColumn id="5" name="Estimated 12mo Revenue"/>
    <tableColumn id="6" name="Monthly Rev"/>
    <tableColumn id="7" name="Estimated 12mo Units"/>
    <tableColumn id="8" name="Monthly Units"/>
    <tableColumn id="9" name="# of Reviews"/>
    <tableColumn id="10" name="Tool Rating "/>
    <tableColumn id="11" name="Column1"/>
    <tableColumn id="12" name="Link"/>
  </tableColumns>
  <tableStyleInfo name="TableStyleLight18" showFirstColumn="0" showLastColumn="0" showRowStripes="1" showColumnStripes="0"/>
</table>
</file>

<file path=xl/tables/table48.xml><?xml version="1.0" encoding="utf-8"?>
<table xmlns="http://schemas.openxmlformats.org/spreadsheetml/2006/main" id="48" name="FIXD_1" displayName="FIXD_1" ref="A132:L207" headerRowCount="1">
  <autoFilter ref="A132:L207"/>
  <tableColumns count="12">
    <tableColumn id="1" name="Product Name"/>
    <tableColumn id="2" name="ASIN"/>
    <tableColumn id="3" name="Type"/>
    <tableColumn id="4" name="Avg Price"/>
    <tableColumn id="5" name="Estimated 12mo Revenue"/>
    <tableColumn id="6" name="Monthly Rev"/>
    <tableColumn id="7" name="Estimated 12mo Units"/>
    <tableColumn id="8" name="Monthly Units"/>
    <tableColumn id="9" name="# of Reviews"/>
    <tableColumn id="10" name="Tool Rating "/>
    <tableColumn id="11" name="Column1"/>
    <tableColumn id="12" name="Link"/>
  </tableColumns>
  <tableStyleInfo name="TableStyleLight18" showFirstColumn="0" showLastColumn="0" showRowStripes="1" showColumnStripes="0"/>
</table>
</file>

<file path=xl/tables/table49.xml><?xml version="1.0" encoding="utf-8"?>
<table xmlns="http://schemas.openxmlformats.org/spreadsheetml/2006/main" id="49" name="FIXD_2" displayName="FIXD_2" ref="A52:L127" headerRowCount="1">
  <autoFilter ref="A52:L127"/>
  <tableColumns count="12">
    <tableColumn id="1" name="Product Name"/>
    <tableColumn id="2" name="ASIN"/>
    <tableColumn id="3" name="Type"/>
    <tableColumn id="4" name="Avg Price"/>
    <tableColumn id="5" name="Estimated 12mo Revenue"/>
    <tableColumn id="6" name="Monthly Rev"/>
    <tableColumn id="7" name="Estimated 12mo Units"/>
    <tableColumn id="8" name="Monthly Units"/>
    <tableColumn id="9" name="# of Reviews"/>
    <tableColumn id="10" name="Tool Rating "/>
    <tableColumn id="11" name="Column1"/>
    <tableColumn id="12" name="Link"/>
  </tableColumns>
  <tableStyleInfo name="TableStyleLight18" showFirstColumn="0" showLastColumn="0" showRowStripes="1" showColumnStripes="0"/>
</table>
</file>

<file path=xl/tables/table50.xml><?xml version="1.0" encoding="utf-8"?>
<table xmlns="http://schemas.openxmlformats.org/spreadsheetml/2006/main" id="50" name="Generic_2" displayName="Generic_2" ref="A52:L127" headerRowCount="1">
  <autoFilter ref="A52:L127"/>
  <tableColumns count="12">
    <tableColumn id="1" name="Product Name"/>
    <tableColumn id="2" name="ASIN"/>
    <tableColumn id="3" name="Type"/>
    <tableColumn id="4" name="Avg Price"/>
    <tableColumn id="5" name="Estimated 12mo Revenue"/>
    <tableColumn id="6" name="Monthly Rev"/>
    <tableColumn id="7" name="Estimated 12mo Units"/>
    <tableColumn id="8" name="Monthly Units"/>
    <tableColumn id="9" name="# of Reviews"/>
    <tableColumn id="10" name="Tool Rating "/>
    <tableColumn id="11" name="Column1"/>
    <tableColumn id="12" name="Link"/>
  </tableColumns>
  <tableStyleInfo name="TableStyleLight18" showFirstColumn="0" showLastColumn="0" showRowStripes="1" showColumnStripes="0"/>
</table>
</file>

<file path=xl/tables/table51.xml><?xml version="1.0" encoding="utf-8"?>
<table xmlns="http://schemas.openxmlformats.org/spreadsheetml/2006/main" id="51" name="InnovativeProductsOfAmerica_1" displayName="InnovativeProductsOfAmerica_1" ref="A132:L207" headerRowCount="1">
  <autoFilter ref="A132:L207"/>
  <tableColumns count="12">
    <tableColumn id="1" name="Product Name"/>
    <tableColumn id="2" name="ASIN"/>
    <tableColumn id="3" name="Type"/>
    <tableColumn id="4" name="Avg Price"/>
    <tableColumn id="5" name="Estimated 12mo Revenue"/>
    <tableColumn id="6" name="Monthly Rev"/>
    <tableColumn id="7" name="Estimated 12mo Units"/>
    <tableColumn id="8" name="Monthly Units"/>
    <tableColumn id="9" name="# of Reviews"/>
    <tableColumn id="10" name="Tool Rating "/>
    <tableColumn id="11" name="Column1"/>
    <tableColumn id="12" name="Link"/>
  </tableColumns>
  <tableStyleInfo name="TableStyleLight18" showFirstColumn="0" showLastColumn="0" showRowStripes="1" showColumnStripes="0"/>
</table>
</file>

<file path=xl/tables/table52.xml><?xml version="1.0" encoding="utf-8"?>
<table xmlns="http://schemas.openxmlformats.org/spreadsheetml/2006/main" id="52" name="InnovativeProductsOfAmerica_2" displayName="InnovativeProductsOfAmerica_2" ref="A52:L127" headerRowCount="1">
  <autoFilter ref="A52:L127"/>
  <tableColumns count="12">
    <tableColumn id="1" name="Product Name"/>
    <tableColumn id="2" name="ASIN"/>
    <tableColumn id="3" name="Type"/>
    <tableColumn id="4" name="Avg Price"/>
    <tableColumn id="5" name="Estimated 12mo Revenue"/>
    <tableColumn id="6" name="Monthly Rev"/>
    <tableColumn id="7" name="Estimated 12mo Units"/>
    <tableColumn id="8" name="Monthly Units"/>
    <tableColumn id="9" name="# of Reviews"/>
    <tableColumn id="10" name="Tool Rating "/>
    <tableColumn id="11" name="Column1"/>
    <tableColumn id="12" name="Link"/>
  </tableColumns>
  <tableStyleInfo name="TableStyleLight18" showFirstColumn="0" showLastColumn="0" showRowStripes="1" showColumnStripes="0"/>
</table>
</file>

<file path=xl/tables/table53.xml><?xml version="1.0" encoding="utf-8"?>
<table xmlns="http://schemas.openxmlformats.org/spreadsheetml/2006/main" id="53" name="KINGBOLEN_1" displayName="KINGBOLEN_1" ref="A132:L207" headerRowCount="1">
  <autoFilter ref="A132:L207"/>
  <tableColumns count="12">
    <tableColumn id="1" name="Product Name"/>
    <tableColumn id="2" name="ASIN"/>
    <tableColumn id="3" name="Type"/>
    <tableColumn id="4" name="Avg Price"/>
    <tableColumn id="5" name="Estimated 12mo Revenue"/>
    <tableColumn id="6" name="Monthly Rev"/>
    <tableColumn id="7" name="Estimated 12mo Units"/>
    <tableColumn id="8" name="Monthly Units"/>
    <tableColumn id="9" name="# of Reviews"/>
    <tableColumn id="10" name="Tool Rating "/>
    <tableColumn id="11" name="Column1"/>
    <tableColumn id="12" name="Link"/>
  </tableColumns>
  <tableStyleInfo name="TableStyleLight18" showFirstColumn="0" showLastColumn="0" showRowStripes="1" showColumnStripes="0"/>
</table>
</file>

<file path=xl/tables/table54.xml><?xml version="1.0" encoding="utf-8"?>
<table xmlns="http://schemas.openxmlformats.org/spreadsheetml/2006/main" id="54" name="KINGBOLEN_2" displayName="KINGBOLEN_2" ref="A52:L127" headerRowCount="1">
  <autoFilter ref="A52:L127"/>
  <tableColumns count="12">
    <tableColumn id="1" name="Product Name"/>
    <tableColumn id="2" name="ASIN"/>
    <tableColumn id="3" name="Type"/>
    <tableColumn id="4" name="Avg Price"/>
    <tableColumn id="5" name="Estimated 12mo Revenue"/>
    <tableColumn id="6" name="Monthly Rev"/>
    <tableColumn id="7" name="Estimated 12mo Units"/>
    <tableColumn id="8" name="Monthly Units"/>
    <tableColumn id="9" name="# of Reviews"/>
    <tableColumn id="10" name="Tool Rating "/>
    <tableColumn id="11" name="Column1"/>
    <tableColumn id="12" name="Link"/>
  </tableColumns>
  <tableStyleInfo name="TableStyleLight18" showFirstColumn="0" showLastColumn="0" showRowStripes="1" showColumnStripes="0"/>
</table>
</file>

<file path=xl/tables/table55.xml><?xml version="1.0" encoding="utf-8"?>
<table xmlns="http://schemas.openxmlformats.org/spreadsheetml/2006/main" id="55" name="Motopower_1" displayName="Motopower_1" ref="A132:L207" headerRowCount="1">
  <autoFilter ref="A132:L207"/>
  <tableColumns count="12">
    <tableColumn id="1" name="Product Name"/>
    <tableColumn id="2" name="ASIN"/>
    <tableColumn id="3" name="Type"/>
    <tableColumn id="4" name="Avg Price"/>
    <tableColumn id="5" name="Estimated 12mo Revenue"/>
    <tableColumn id="6" name="Monthly Rev"/>
    <tableColumn id="7" name="Estimated 12mo Units"/>
    <tableColumn id="8" name="Monthly Units"/>
    <tableColumn id="9" name="# of Reviews"/>
    <tableColumn id="10" name="Tool Rating "/>
    <tableColumn id="11" name="Column1"/>
    <tableColumn id="12" name="Link"/>
  </tableColumns>
  <tableStyleInfo name="TableStyleLight18" showFirstColumn="0" showLastColumn="0" showRowStripes="1" showColumnStripes="0"/>
</table>
</file>

<file path=xl/tables/table56.xml><?xml version="1.0" encoding="utf-8"?>
<table xmlns="http://schemas.openxmlformats.org/spreadsheetml/2006/main" id="56" name="Motopower_2" displayName="Motopower_2" ref="A52:L127" headerRowCount="1">
  <autoFilter ref="A52:L127"/>
  <tableColumns count="12">
    <tableColumn id="1" name="Product Name"/>
    <tableColumn id="2" name="ASIN"/>
    <tableColumn id="3" name="Type"/>
    <tableColumn id="4" name="Avg Price"/>
    <tableColumn id="5" name="Estimated 12mo Revenue"/>
    <tableColumn id="6" name="Monthly Rev"/>
    <tableColumn id="7" name="Estimated 12mo Units"/>
    <tableColumn id="8" name="Monthly Units"/>
    <tableColumn id="9" name="# of Reviews"/>
    <tableColumn id="10" name="Tool Rating "/>
    <tableColumn id="11" name="Column1"/>
    <tableColumn id="12" name="Link"/>
  </tableColumns>
  <tableStyleInfo name="TableStyleLight18" showFirstColumn="0" showLastColumn="0" showRowStripes="1" showColumnStripes="0"/>
</table>
</file>

<file path=xl/tables/table57.xml><?xml version="1.0" encoding="utf-8"?>
<table xmlns="http://schemas.openxmlformats.org/spreadsheetml/2006/main" id="57" name="Mucar_1" displayName="Mucar_1" ref="A132:L207" headerRowCount="1">
  <autoFilter ref="A132:L207"/>
  <tableColumns count="12">
    <tableColumn id="1" name="Product Name"/>
    <tableColumn id="2" name="ASIN"/>
    <tableColumn id="3" name="Type"/>
    <tableColumn id="4" name="Avg Price"/>
    <tableColumn id="5" name="Estimated 12mo Revenue"/>
    <tableColumn id="6" name="Monthly Rev"/>
    <tableColumn id="7" name="Estimated 12mo Units"/>
    <tableColumn id="8" name="Monthly Units"/>
    <tableColumn id="9" name="# of Reviews"/>
    <tableColumn id="10" name="Tool Rating "/>
    <tableColumn id="11" name="Column1"/>
    <tableColumn id="12" name="Link"/>
  </tableColumns>
  <tableStyleInfo name="TableStyleLight18" showFirstColumn="0" showLastColumn="0" showRowStripes="1" showColumnStripes="0"/>
</table>
</file>

<file path=xl/tables/table58.xml><?xml version="1.0" encoding="utf-8"?>
<table xmlns="http://schemas.openxmlformats.org/spreadsheetml/2006/main" id="58" name="Mucar_2" displayName="Mucar_2" ref="A52:L127" headerRowCount="1">
  <autoFilter ref="A52:L127"/>
  <tableColumns count="12">
    <tableColumn id="1" name="Product Name"/>
    <tableColumn id="2" name="ASIN"/>
    <tableColumn id="3" name="Type"/>
    <tableColumn id="4" name="Avg Price"/>
    <tableColumn id="5" name="Estimated 12mo Revenue"/>
    <tableColumn id="6" name="Monthly Rev"/>
    <tableColumn id="7" name="Estimated 12mo Units"/>
    <tableColumn id="8" name="Monthly Units"/>
    <tableColumn id="9" name="# of Reviews"/>
    <tableColumn id="10" name="Tool Rating "/>
    <tableColumn id="11" name="Column1"/>
    <tableColumn id="12" name="Link"/>
  </tableColumns>
  <tableStyleInfo name="TableStyleLight18" showFirstColumn="0" showLastColumn="0" showRowStripes="1" showColumnStripes="0"/>
</table>
</file>

<file path=xl/tables/table59.xml><?xml version="1.0" encoding="utf-8"?>
<table xmlns="http://schemas.openxmlformats.org/spreadsheetml/2006/main" id="59" name="OBDeleven_1" displayName="OBDeleven_1" ref="A132:L207" headerRowCount="1">
  <autoFilter ref="A132:L207"/>
  <tableColumns count="12">
    <tableColumn id="1" name="Product Name"/>
    <tableColumn id="2" name="ASIN"/>
    <tableColumn id="3" name="Type"/>
    <tableColumn id="4" name="Avg Price"/>
    <tableColumn id="5" name="Estimated 12mo Revenue"/>
    <tableColumn id="6" name="Monthly Rev"/>
    <tableColumn id="7" name="Estimated 12mo Units"/>
    <tableColumn id="8" name="Monthly Units"/>
    <tableColumn id="9" name="# of Reviews"/>
    <tableColumn id="10" name="Tool Rating "/>
    <tableColumn id="11" name="Column1"/>
    <tableColumn id="12" name="Link"/>
  </tableColumns>
  <tableStyleInfo name="TableStyleLight18" showFirstColumn="0" showLastColumn="0" showRowStripes="1" showColumnStripes="0"/>
</table>
</file>

<file path=xl/tables/table60.xml><?xml version="1.0" encoding="utf-8"?>
<table xmlns="http://schemas.openxmlformats.org/spreadsheetml/2006/main" id="60" name="OBDeleven_2" displayName="OBDeleven_2" ref="A52:L127" headerRowCount="1">
  <autoFilter ref="A52:L127"/>
  <tableColumns count="12">
    <tableColumn id="1" name="Product Name"/>
    <tableColumn id="2" name="ASIN"/>
    <tableColumn id="3" name="Type"/>
    <tableColumn id="4" name="Avg Price"/>
    <tableColumn id="5" name="Estimated 12mo Revenue"/>
    <tableColumn id="6" name="Monthly Rev"/>
    <tableColumn id="7" name="Estimated 12mo Units"/>
    <tableColumn id="8" name="Monthly Units"/>
    <tableColumn id="9" name="# of Reviews"/>
    <tableColumn id="10" name="Tool Rating "/>
    <tableColumn id="11" name="Column1"/>
    <tableColumn id="12" name="Link"/>
  </tableColumns>
  <tableStyleInfo name="TableStyleLight18" showFirstColumn="0" showLastColumn="0" showRowStripes="1" showColumnStripes="0"/>
</table>
</file>

<file path=xl/tables/table61.xml><?xml version="1.0" encoding="utf-8"?>
<table xmlns="http://schemas.openxmlformats.org/spreadsheetml/2006/main" id="61" name="OBDLink_1" displayName="OBDLink_1" ref="A132:L207" headerRowCount="1">
  <autoFilter ref="A132:L207"/>
  <tableColumns count="12">
    <tableColumn id="1" name="Product Name"/>
    <tableColumn id="2" name="ASIN"/>
    <tableColumn id="3" name="Type"/>
    <tableColumn id="4" name="Avg Price"/>
    <tableColumn id="5" name="Estimated 12mo Revenue"/>
    <tableColumn id="6" name="Monthly Rev"/>
    <tableColumn id="7" name="Estimated 12mo Units"/>
    <tableColumn id="8" name="Monthly Units"/>
    <tableColumn id="9" name="# of Reviews"/>
    <tableColumn id="10" name="Tool Rating "/>
    <tableColumn id="11" name="Column1"/>
    <tableColumn id="12" name="Link"/>
  </tableColumns>
  <tableStyleInfo name="TableStyleLight18" showFirstColumn="0" showLastColumn="0" showRowStripes="1" showColumnStripes="0"/>
</table>
</file>

<file path=xl/tables/table62.xml><?xml version="1.0" encoding="utf-8"?>
<table xmlns="http://schemas.openxmlformats.org/spreadsheetml/2006/main" id="62" name="OBDLink_2" displayName="OBDLink_2" ref="A52:L127" headerRowCount="1">
  <autoFilter ref="A52:L127"/>
  <tableColumns count="12">
    <tableColumn id="1" name="Product Name"/>
    <tableColumn id="2" name="ASIN"/>
    <tableColumn id="3" name="Type"/>
    <tableColumn id="4" name="Avg Price"/>
    <tableColumn id="5" name="Estimated 12mo Revenue"/>
    <tableColumn id="6" name="Monthly Rev"/>
    <tableColumn id="7" name="Estimated 12mo Units"/>
    <tableColumn id="8" name="Monthly Units"/>
    <tableColumn id="9" name="# of Reviews"/>
    <tableColumn id="10" name="Tool Rating "/>
    <tableColumn id="11" name="Column1"/>
    <tableColumn id="12" name="Link"/>
  </tableColumns>
  <tableStyleInfo name="TableStyleLight18" showFirstColumn="0" showLastColumn="0" showRowStripes="1" showColumnStripes="0"/>
</table>
</file>

<file path=xl/tables/table63.xml><?xml version="1.0" encoding="utf-8"?>
<table xmlns="http://schemas.openxmlformats.org/spreadsheetml/2006/main" id="63" name="OPUSIVS_1" displayName="OPUSIVS_1" ref="A132:L207" headerRowCount="1">
  <autoFilter ref="A132:L207"/>
  <tableColumns count="12">
    <tableColumn id="1" name="Product Name"/>
    <tableColumn id="2" name="ASIN"/>
    <tableColumn id="3" name="Type"/>
    <tableColumn id="4" name="Avg Price"/>
    <tableColumn id="5" name="Estimated 12mo Revenue"/>
    <tableColumn id="6" name="Monthly Rev"/>
    <tableColumn id="7" name="Estimated 12mo Units"/>
    <tableColumn id="8" name="Monthly Units"/>
    <tableColumn id="9" name="# of Reviews"/>
    <tableColumn id="10" name="Tool Rating "/>
    <tableColumn id="11" name="Column1"/>
    <tableColumn id="12" name="Link"/>
  </tableColumns>
  <tableStyleInfo name="TableStyleLight18" showFirstColumn="0" showLastColumn="0" showRowStripes="1" showColumnStripes="0"/>
</table>
</file>

<file path=xl/tables/table64.xml><?xml version="1.0" encoding="utf-8"?>
<table xmlns="http://schemas.openxmlformats.org/spreadsheetml/2006/main" id="64" name="OPUSIVS_2" displayName="OPUSIVS_2" ref="A52:L127" headerRowCount="1">
  <autoFilter ref="A52:L127"/>
  <tableColumns count="12">
    <tableColumn id="1" name="Product Name"/>
    <tableColumn id="2" name="ASIN"/>
    <tableColumn id="3" name="Type"/>
    <tableColumn id="4" name="Avg Price"/>
    <tableColumn id="5" name="Estimated 12mo Revenue"/>
    <tableColumn id="6" name="Monthly Rev"/>
    <tableColumn id="7" name="Estimated 12mo Units"/>
    <tableColumn id="8" name="Monthly Units"/>
    <tableColumn id="9" name="# of Reviews"/>
    <tableColumn id="10" name="Tool Rating "/>
    <tableColumn id="11" name="Column1"/>
    <tableColumn id="12" name="Link"/>
  </tableColumns>
  <tableStyleInfo name="TableStyleLight18" showFirstColumn="0" showLastColumn="0" showRowStripes="1" showColumnStripes="0"/>
</table>
</file>

<file path=xl/tables/table65.xml><?xml version="1.0" encoding="utf-8"?>
<table xmlns="http://schemas.openxmlformats.org/spreadsheetml/2006/main" id="65" name="Veepeak_1" displayName="Veepeak_1" ref="A132:L207" headerRowCount="1">
  <autoFilter ref="A132:L207"/>
  <tableColumns count="12">
    <tableColumn id="1" name="Product Name"/>
    <tableColumn id="2" name="ASIN"/>
    <tableColumn id="3" name="Type"/>
    <tableColumn id="4" name="Avg Price"/>
    <tableColumn id="5" name="Estimated 12mo Revenue"/>
    <tableColumn id="6" name="Monthly Rev"/>
    <tableColumn id="7" name="Estimated 12mo Units"/>
    <tableColumn id="8" name="Monthly Units"/>
    <tableColumn id="9" name="# of Reviews"/>
    <tableColumn id="10" name="Tool Rating "/>
    <tableColumn id="11" name="Column1"/>
    <tableColumn id="12" name="Link"/>
  </tableColumns>
  <tableStyleInfo name="TableStyleLight18" showFirstColumn="0" showLastColumn="0" showRowStripes="1" showColumnStripes="0"/>
</table>
</file>

<file path=xl/tables/table66.xml><?xml version="1.0" encoding="utf-8"?>
<table xmlns="http://schemas.openxmlformats.org/spreadsheetml/2006/main" id="66" name="Veepeak_2" displayName="Veepeak_2" ref="A52:L127" headerRowCount="1">
  <autoFilter ref="A52:L127"/>
  <tableColumns count="12">
    <tableColumn id="1" name="Product Name"/>
    <tableColumn id="2" name="ASIN"/>
    <tableColumn id="3" name="Type"/>
    <tableColumn id="4" name="Avg Price"/>
    <tableColumn id="5" name="Estimated 12mo Revenue"/>
    <tableColumn id="6" name="Monthly Rev"/>
    <tableColumn id="7" name="Estimated 12mo Units"/>
    <tableColumn id="8" name="Monthly Units"/>
    <tableColumn id="9" name="# of Reviews"/>
    <tableColumn id="10" name="Tool Rating "/>
    <tableColumn id="11" name="Column1"/>
    <tableColumn id="12" name="Link"/>
  </tableColumns>
  <tableStyleInfo name="TableStyleLight18" showFirstColumn="0" showLastColumn="0" showRowStripes="1" showColumnStripes="0"/>
</table>
</file>

<file path=xl/tables/table67.xml><?xml version="1.0" encoding="utf-8"?>
<table xmlns="http://schemas.openxmlformats.org/spreadsheetml/2006/main" id="67" name="Vgate_1" displayName="Vgate_1" ref="A132:L207" headerRowCount="1">
  <autoFilter ref="A132:L207"/>
  <tableColumns count="12">
    <tableColumn id="1" name="Product Name"/>
    <tableColumn id="2" name="ASIN"/>
    <tableColumn id="3" name="Type"/>
    <tableColumn id="4" name="Avg Price"/>
    <tableColumn id="5" name="Estimated 12mo Revenue"/>
    <tableColumn id="6" name="Monthly Rev"/>
    <tableColumn id="7" name="Estimated 12mo Units"/>
    <tableColumn id="8" name="Monthly Units"/>
    <tableColumn id="9" name="# of Reviews"/>
    <tableColumn id="10" name="Tool Rating "/>
    <tableColumn id="11" name="Column1"/>
    <tableColumn id="12" name="Link"/>
  </tableColumns>
  <tableStyleInfo name="TableStyleLight18" showFirstColumn="0" showLastColumn="0" showRowStripes="1" showColumnStripes="0"/>
</table>
</file>

<file path=xl/tables/table68.xml><?xml version="1.0" encoding="utf-8"?>
<table xmlns="http://schemas.openxmlformats.org/spreadsheetml/2006/main" id="68" name="Vgate_2" displayName="Vgate_2" ref="A52:L127" headerRowCount="1">
  <autoFilter ref="A52:L127"/>
  <tableColumns count="12">
    <tableColumn id="1" name="Product Name"/>
    <tableColumn id="2" name="ASIN"/>
    <tableColumn id="3" name="Type"/>
    <tableColumn id="4" name="Avg Price"/>
    <tableColumn id="5" name="Estimated 12mo Revenue"/>
    <tableColumn id="6" name="Monthly Rev"/>
    <tableColumn id="7" name="Estimated 12mo Units"/>
    <tableColumn id="8" name="Monthly Units"/>
    <tableColumn id="9" name="# of Reviews"/>
    <tableColumn id="10" name="Tool Rating "/>
    <tableColumn id="11" name="Column1"/>
    <tableColumn id="12" name="Link"/>
  </tableColumns>
  <tableStyleInfo name="TableStyleLight18" showFirstColumn="0" showLastColumn="0" showRowStripes="1" showColumnStripes="0"/>
</table>
</file>

<file path=xl/tables/table69.xml><?xml version="1.0" encoding="utf-8"?>
<table xmlns="http://schemas.openxmlformats.org/spreadsheetml/2006/main" id="69" name="ZAutomotive_1" displayName="ZAutomotive_1" ref="A132:L207" headerRowCount="1">
  <autoFilter ref="A132:L207"/>
  <tableColumns count="12">
    <tableColumn id="1" name="Product Name"/>
    <tableColumn id="2" name="ASIN"/>
    <tableColumn id="3" name="Type"/>
    <tableColumn id="4" name="Avg Price"/>
    <tableColumn id="5" name="Estimated 12mo Revenue"/>
    <tableColumn id="6" name="Monthly Rev"/>
    <tableColumn id="7" name="Estimated 12mo Units"/>
    <tableColumn id="8" name="Monthly Units"/>
    <tableColumn id="9" name="# of Reviews"/>
    <tableColumn id="10" name="Tool Rating "/>
    <tableColumn id="11" name="Column1"/>
    <tableColumn id="12" name="Link"/>
  </tableColumns>
  <tableStyleInfo name="TableStyleLight18" showFirstColumn="0" showLastColumn="0" showRowStripes="1" showColumnStripes="0"/>
</table>
</file>

<file path=xl/tables/table70.xml><?xml version="1.0" encoding="utf-8"?>
<table xmlns="http://schemas.openxmlformats.org/spreadsheetml/2006/main" id="70" name="ZAutomotive_2" displayName="ZAutomotive_2" ref="A52:L127" headerRowCount="1">
  <autoFilter ref="A52:L127"/>
  <tableColumns count="12">
    <tableColumn id="1" name="Product Name"/>
    <tableColumn id="2" name="ASIN"/>
    <tableColumn id="3" name="Type"/>
    <tableColumn id="4" name="Avg Price"/>
    <tableColumn id="5" name="Estimated 12mo Revenue"/>
    <tableColumn id="6" name="Monthly Rev"/>
    <tableColumn id="7" name="Estimated 12mo Units"/>
    <tableColumn id="8" name="Monthly Units"/>
    <tableColumn id="9" name="# of Reviews"/>
    <tableColumn id="10" name="Tool Rating "/>
    <tableColumn id="11" name="Column1"/>
    <tableColumn id="12" name="Link"/>
  </tableColumns>
  <tableStyleInfo name="TableStyleLight18"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Type="http://schemas.openxmlformats.org/officeDocument/2006/relationships/drawing" Target="../drawings/drawing1.xml" Id="rId1" /><Relationship Type="http://schemas.openxmlformats.org/officeDocument/2006/relationships/table" Target="../tables/table1.xml" Id="rId2" /><Relationship Type="http://schemas.openxmlformats.org/officeDocument/2006/relationships/table" Target="../tables/table2.xml" Id="rId3" /></Relationships>
</file>

<file path=xl/worksheets/_rels/sheet2.xml.rels><?xml version="1.0" encoding="UTF-8" standalone="yes"?>
<Relationships xmlns="http://schemas.openxmlformats.org/package/2006/relationships"><Relationship Type="http://schemas.openxmlformats.org/officeDocument/2006/relationships/drawing" Target="../drawings/drawing2.xml" Id="rId1" /><Relationship Type="http://schemas.openxmlformats.org/officeDocument/2006/relationships/table" Target="../tables/table3.xml" Id="rId2" /><Relationship Type="http://schemas.openxmlformats.org/officeDocument/2006/relationships/table" Target="../tables/table4.xml" Id="rId3" /></Relationships>
</file>

<file path=xl/worksheets/_rels/sheet3.xml.rels><?xml version="1.0" encoding="UTF-8" standalone="yes"?>
<Relationships xmlns="http://schemas.openxmlformats.org/package/2006/relationships"><Relationship Type="http://schemas.openxmlformats.org/officeDocument/2006/relationships/drawing" Target="../drawings/drawing3.xml" Id="rId1" /><Relationship Type="http://schemas.openxmlformats.org/officeDocument/2006/relationships/table" Target="../tables/table5.xml" Id="rId2" /><Relationship Type="http://schemas.openxmlformats.org/officeDocument/2006/relationships/table" Target="../tables/table6.xml" Id="rId3" /></Relationships>
</file>

<file path=xl/worksheets/_rels/sheet4.xml.rels><?xml version="1.0" encoding="UTF-8" standalone="yes"?>
<Relationships xmlns="http://schemas.openxmlformats.org/package/2006/relationships"><Relationship Type="http://schemas.openxmlformats.org/officeDocument/2006/relationships/drawing" Target="../drawings/drawing4.xml" Id="rId1" /><Relationship Type="http://schemas.openxmlformats.org/officeDocument/2006/relationships/table" Target="../tables/table7.xml" Id="rId2" /><Relationship Type="http://schemas.openxmlformats.org/officeDocument/2006/relationships/table" Target="../tables/table8.xml" Id="rId3" /></Relationships>
</file>

<file path=xl/worksheets/_rels/sheet5.xml.rels><?xml version="1.0" encoding="UTF-8" standalone="yes"?>
<Relationships xmlns="http://schemas.openxmlformats.org/package/2006/relationships"><Relationship Type="http://schemas.openxmlformats.org/officeDocument/2006/relationships/drawing" Target="../drawings/drawing5.xml" Id="rId1" /><Relationship Type="http://schemas.openxmlformats.org/officeDocument/2006/relationships/table" Target="../tables/table9.xml" Id="rId2" /><Relationship Type="http://schemas.openxmlformats.org/officeDocument/2006/relationships/table" Target="../tables/table10.xml" Id="rId3" /></Relationships>
</file>

<file path=xl/worksheets/_rels/sheet6.xml.rels><?xml version="1.0" encoding="UTF-8" standalone="yes"?>
<Relationships xmlns="http://schemas.openxmlformats.org/package/2006/relationships"><Relationship Type="http://schemas.openxmlformats.org/officeDocument/2006/relationships/drawing" Target="../drawings/drawing6.xml" Id="rId1" /><Relationship Type="http://schemas.openxmlformats.org/officeDocument/2006/relationships/table" Target="../tables/table11.xml" Id="rId2" /><Relationship Type="http://schemas.openxmlformats.org/officeDocument/2006/relationships/table" Target="../tables/table12.xml" Id="rId3" /></Relationships>
</file>

<file path=xl/worksheets/_rels/sheet7.xml.rels><?xml version="1.0" encoding="UTF-8" standalone="yes"?>
<Relationships xmlns="http://schemas.openxmlformats.org/package/2006/relationships"><Relationship Type="http://schemas.openxmlformats.org/officeDocument/2006/relationships/drawing" Target="../drawings/drawing7.xml" Id="rId1" /><Relationship Type="http://schemas.openxmlformats.org/officeDocument/2006/relationships/table" Target="../tables/table13.xml" Id="rId2" /><Relationship Type="http://schemas.openxmlformats.org/officeDocument/2006/relationships/table" Target="../tables/table14.xml" Id="rId3" /></Relationships>
</file>

<file path=xl/worksheets/_rels/sheet8.xml.rels><?xml version="1.0" encoding="UTF-8" standalone="yes"?>
<Relationships xmlns="http://schemas.openxmlformats.org/package/2006/relationships"><Relationship Type="http://schemas.openxmlformats.org/officeDocument/2006/relationships/drawing" Target="../drawings/drawing8.xml" Id="rId1" /><Relationship Type="http://schemas.openxmlformats.org/officeDocument/2006/relationships/table" Target="../tables/table15.xml" Id="rId2" /><Relationship Type="http://schemas.openxmlformats.org/officeDocument/2006/relationships/table" Target="../tables/table16.xml" Id="rId3" /></Relationships>
</file>

<file path=xl/worksheets/_rels/sheet9.xml.rels><?xml version="1.0" encoding="UTF-8" standalone="yes"?>
<Relationships xmlns="http://schemas.openxmlformats.org/package/2006/relationships"><Relationship Type="http://schemas.openxmlformats.org/officeDocument/2006/relationships/drawing" Target="../drawings/drawing9.xml" Id="rId1" /><Relationship Type="http://schemas.openxmlformats.org/officeDocument/2006/relationships/table" Target="../tables/table17.xml" Id="rId2" /><Relationship Type="http://schemas.openxmlformats.org/officeDocument/2006/relationships/table" Target="../tables/table18.xml" Id="rId3" /></Relationships>
</file>

<file path=xl/worksheets/_rels/sheet10.xml.rels><?xml version="1.0" encoding="UTF-8" standalone="yes"?>
<Relationships xmlns="http://schemas.openxmlformats.org/package/2006/relationships"><Relationship Type="http://schemas.openxmlformats.org/officeDocument/2006/relationships/drawing" Target="../drawings/drawing10.xml" Id="rId1" /><Relationship Type="http://schemas.openxmlformats.org/officeDocument/2006/relationships/table" Target="../tables/table19.xml" Id="rId2" /><Relationship Type="http://schemas.openxmlformats.org/officeDocument/2006/relationships/table" Target="../tables/table20.xml" Id="rId3" /></Relationships>
</file>

<file path=xl/worksheets/_rels/sheet11.xml.rels><?xml version="1.0" encoding="UTF-8" standalone="yes"?>
<Relationships xmlns="http://schemas.openxmlformats.org/package/2006/relationships"><Relationship Type="http://schemas.openxmlformats.org/officeDocument/2006/relationships/drawing" Target="../drawings/drawing11.xml" Id="rId1" /><Relationship Type="http://schemas.openxmlformats.org/officeDocument/2006/relationships/table" Target="../tables/table21.xml" Id="rId2" /><Relationship Type="http://schemas.openxmlformats.org/officeDocument/2006/relationships/table" Target="../tables/table22.xml" Id="rId3" /></Relationships>
</file>

<file path=xl/worksheets/_rels/sheet12.xml.rels><?xml version="1.0" encoding="UTF-8" standalone="yes"?>
<Relationships xmlns="http://schemas.openxmlformats.org/package/2006/relationships"><Relationship Type="http://schemas.openxmlformats.org/officeDocument/2006/relationships/drawing" Target="../drawings/drawing12.xml" Id="rId1" /><Relationship Type="http://schemas.openxmlformats.org/officeDocument/2006/relationships/table" Target="../tables/table23.xml" Id="rId2" /></Relationships>
</file>

<file path=xl/worksheets/_rels/sheet13.xml.rels><?xml version="1.0" encoding="UTF-8" standalone="yes"?>
<Relationships xmlns="http://schemas.openxmlformats.org/package/2006/relationships"><Relationship Type="http://schemas.openxmlformats.org/officeDocument/2006/relationships/drawing" Target="../drawings/drawing13.xml" Id="rId1" /><Relationship Type="http://schemas.openxmlformats.org/officeDocument/2006/relationships/table" Target="../tables/table24.xml" Id="rId2" /><Relationship Type="http://schemas.openxmlformats.org/officeDocument/2006/relationships/table" Target="../tables/table25.xml" Id="rId3" /></Relationships>
</file>

<file path=xl/worksheets/_rels/sheet14.xml.rels><?xml version="1.0" encoding="UTF-8" standalone="yes"?>
<Relationships xmlns="http://schemas.openxmlformats.org/package/2006/relationships"><Relationship Type="http://schemas.openxmlformats.org/officeDocument/2006/relationships/drawing" Target="../drawings/drawing14.xml" Id="rId1" /><Relationship Type="http://schemas.openxmlformats.org/officeDocument/2006/relationships/table" Target="../tables/table26.xml" Id="rId2" /></Relationships>
</file>

<file path=xl/worksheets/_rels/sheet15.xml.rels><?xml version="1.0" encoding="UTF-8" standalone="yes"?>
<Relationships xmlns="http://schemas.openxmlformats.org/package/2006/relationships"><Relationship Type="http://schemas.openxmlformats.org/officeDocument/2006/relationships/drawing" Target="../drawings/drawing15.xml" Id="rId1" /><Relationship Type="http://schemas.openxmlformats.org/officeDocument/2006/relationships/table" Target="../tables/table27.xml" Id="rId2" /></Relationships>
</file>

<file path=xl/worksheets/_rels/sheet16.xml.rels><?xml version="1.0" encoding="UTF-8" standalone="yes"?>
<Relationships xmlns="http://schemas.openxmlformats.org/package/2006/relationships"><Relationship Type="http://schemas.openxmlformats.org/officeDocument/2006/relationships/drawing" Target="../drawings/drawing16.xml" Id="rId1" /><Relationship Type="http://schemas.openxmlformats.org/officeDocument/2006/relationships/table" Target="../tables/table28.xml" Id="rId2" /></Relationships>
</file>

<file path=xl/worksheets/_rels/sheet17.xml.rels><?xml version="1.0" encoding="UTF-8" standalone="yes"?>
<Relationships xmlns="http://schemas.openxmlformats.org/package/2006/relationships"><Relationship Type="http://schemas.openxmlformats.org/officeDocument/2006/relationships/drawing" Target="../drawings/drawing17.xml" Id="rId1" /><Relationship Type="http://schemas.openxmlformats.org/officeDocument/2006/relationships/table" Target="../tables/table29.xml" Id="rId2" /><Relationship Type="http://schemas.openxmlformats.org/officeDocument/2006/relationships/table" Target="../tables/table30.xml" Id="rId3" /></Relationships>
</file>

<file path=xl/worksheets/_rels/sheet18.xml.rels><?xml version="1.0" encoding="UTF-8" standalone="yes"?>
<Relationships xmlns="http://schemas.openxmlformats.org/package/2006/relationships"><Relationship Type="http://schemas.openxmlformats.org/officeDocument/2006/relationships/drawing" Target="../drawings/drawing18.xml" Id="rId1" /><Relationship Type="http://schemas.openxmlformats.org/officeDocument/2006/relationships/table" Target="../tables/table31.xml" Id="rId2" /></Relationships>
</file>

<file path=xl/worksheets/_rels/sheet19.xml.rels><?xml version="1.0" encoding="UTF-8" standalone="yes"?>
<Relationships xmlns="http://schemas.openxmlformats.org/package/2006/relationships"><Relationship Type="http://schemas.openxmlformats.org/officeDocument/2006/relationships/drawing" Target="../drawings/drawing19.xml" Id="rId1" /><Relationship Type="http://schemas.openxmlformats.org/officeDocument/2006/relationships/table" Target="../tables/table32.xml" Id="rId2" /><Relationship Type="http://schemas.openxmlformats.org/officeDocument/2006/relationships/table" Target="../tables/table33.xml" Id="rId3" /></Relationships>
</file>

<file path=xl/worksheets/_rels/sheet20.xml.rels><?xml version="1.0" encoding="UTF-8" standalone="yes"?>
<Relationships xmlns="http://schemas.openxmlformats.org/package/2006/relationships"><Relationship Type="http://schemas.openxmlformats.org/officeDocument/2006/relationships/drawing" Target="../drawings/drawing20.xml" Id="rId1" /><Relationship Type="http://schemas.openxmlformats.org/officeDocument/2006/relationships/table" Target="../tables/table34.xml" Id="rId2" /><Relationship Type="http://schemas.openxmlformats.org/officeDocument/2006/relationships/table" Target="../tables/table35.xml" Id="rId3" /></Relationships>
</file>

<file path=xl/worksheets/_rels/sheet21.xml.rels><?xml version="1.0" encoding="UTF-8" standalone="yes"?>
<Relationships xmlns="http://schemas.openxmlformats.org/package/2006/relationships"><Relationship Type="http://schemas.openxmlformats.org/officeDocument/2006/relationships/drawing" Target="../drawings/drawing21.xml" Id="rId1" /><Relationship Type="http://schemas.openxmlformats.org/officeDocument/2006/relationships/table" Target="../tables/table36.xml" Id="rId2" /><Relationship Type="http://schemas.openxmlformats.org/officeDocument/2006/relationships/table" Target="../tables/table37.xml" Id="rId3" /></Relationships>
</file>

<file path=xl/worksheets/_rels/sheet22.xml.rels><?xml version="1.0" encoding="UTF-8" standalone="yes"?>
<Relationships xmlns="http://schemas.openxmlformats.org/package/2006/relationships"><Relationship Type="http://schemas.openxmlformats.org/officeDocument/2006/relationships/drawing" Target="../drawings/drawing22.xml" Id="rId1" /><Relationship Type="http://schemas.openxmlformats.org/officeDocument/2006/relationships/table" Target="../tables/table38.xml" Id="rId2" /><Relationship Type="http://schemas.openxmlformats.org/officeDocument/2006/relationships/table" Target="../tables/table39.xml" Id="rId3" /></Relationships>
</file>

<file path=xl/worksheets/_rels/sheet23.xml.rels><?xml version="1.0" encoding="UTF-8" standalone="yes"?>
<Relationships xmlns="http://schemas.openxmlformats.org/package/2006/relationships"><Relationship Type="http://schemas.openxmlformats.org/officeDocument/2006/relationships/drawing" Target="../drawings/drawing23.xml" Id="rId1" /><Relationship Type="http://schemas.openxmlformats.org/officeDocument/2006/relationships/table" Target="../tables/table40.xml" Id="rId2" /><Relationship Type="http://schemas.openxmlformats.org/officeDocument/2006/relationships/table" Target="../tables/table41.xml" Id="rId3" /></Relationships>
</file>

<file path=xl/worksheets/_rels/sheet24.xml.rels><?xml version="1.0" encoding="UTF-8" standalone="yes"?>
<Relationships xmlns="http://schemas.openxmlformats.org/package/2006/relationships"><Relationship Type="http://schemas.openxmlformats.org/officeDocument/2006/relationships/drawing" Target="../drawings/drawing24.xml" Id="rId1" /><Relationship Type="http://schemas.openxmlformats.org/officeDocument/2006/relationships/table" Target="../tables/table42.xml" Id="rId2" /><Relationship Type="http://schemas.openxmlformats.org/officeDocument/2006/relationships/table" Target="../tables/table43.xml" Id="rId3" /></Relationships>
</file>

<file path=xl/worksheets/_rels/sheet25.xml.rels><?xml version="1.0" encoding="UTF-8" standalone="yes"?>
<Relationships xmlns="http://schemas.openxmlformats.org/package/2006/relationships"><Relationship Type="http://schemas.openxmlformats.org/officeDocument/2006/relationships/drawing" Target="../drawings/drawing25.xml" Id="rId1" /><Relationship Type="http://schemas.openxmlformats.org/officeDocument/2006/relationships/table" Target="../tables/table44.xml" Id="rId2" /><Relationship Type="http://schemas.openxmlformats.org/officeDocument/2006/relationships/table" Target="../tables/table45.xml" Id="rId3" /></Relationships>
</file>

<file path=xl/worksheets/_rels/sheet26.xml.rels><?xml version="1.0" encoding="UTF-8" standalone="yes"?>
<Relationships xmlns="http://schemas.openxmlformats.org/package/2006/relationships"><Relationship Type="http://schemas.openxmlformats.org/officeDocument/2006/relationships/drawing" Target="../drawings/drawing26.xml" Id="rId1" /><Relationship Type="http://schemas.openxmlformats.org/officeDocument/2006/relationships/table" Target="../tables/table46.xml" Id="rId2" /><Relationship Type="http://schemas.openxmlformats.org/officeDocument/2006/relationships/table" Target="../tables/table47.xml" Id="rId3" /></Relationships>
</file>

<file path=xl/worksheets/_rels/sheet27.xml.rels><?xml version="1.0" encoding="UTF-8" standalone="yes"?>
<Relationships xmlns="http://schemas.openxmlformats.org/package/2006/relationships"><Relationship Type="http://schemas.openxmlformats.org/officeDocument/2006/relationships/drawing" Target="../drawings/drawing27.xml" Id="rId1" /><Relationship Type="http://schemas.openxmlformats.org/officeDocument/2006/relationships/table" Target="../tables/table48.xml" Id="rId2" /><Relationship Type="http://schemas.openxmlformats.org/officeDocument/2006/relationships/table" Target="../tables/table49.xml" Id="rId3" /></Relationships>
</file>

<file path=xl/worksheets/_rels/sheet28.xml.rels><?xml version="1.0" encoding="UTF-8" standalone="yes"?>
<Relationships xmlns="http://schemas.openxmlformats.org/package/2006/relationships"><Relationship Type="http://schemas.openxmlformats.org/officeDocument/2006/relationships/drawing" Target="../drawings/drawing28.xml" Id="rId1" /><Relationship Type="http://schemas.openxmlformats.org/officeDocument/2006/relationships/table" Target="../tables/table50.xml" Id="rId2" /></Relationships>
</file>

<file path=xl/worksheets/_rels/sheet29.xml.rels><?xml version="1.0" encoding="UTF-8" standalone="yes"?>
<Relationships xmlns="http://schemas.openxmlformats.org/package/2006/relationships"><Relationship Type="http://schemas.openxmlformats.org/officeDocument/2006/relationships/drawing" Target="../drawings/drawing29.xml" Id="rId1" /><Relationship Type="http://schemas.openxmlformats.org/officeDocument/2006/relationships/table" Target="../tables/table51.xml" Id="rId2" /><Relationship Type="http://schemas.openxmlformats.org/officeDocument/2006/relationships/table" Target="../tables/table52.xml" Id="rId3" /></Relationships>
</file>

<file path=xl/worksheets/_rels/sheet30.xml.rels><?xml version="1.0" encoding="UTF-8" standalone="yes"?>
<Relationships xmlns="http://schemas.openxmlformats.org/package/2006/relationships"><Relationship Type="http://schemas.openxmlformats.org/officeDocument/2006/relationships/drawing" Target="../drawings/drawing30.xml" Id="rId1" /><Relationship Type="http://schemas.openxmlformats.org/officeDocument/2006/relationships/table" Target="../tables/table53.xml" Id="rId2" /><Relationship Type="http://schemas.openxmlformats.org/officeDocument/2006/relationships/table" Target="../tables/table54.xml" Id="rId3" /></Relationships>
</file>

<file path=xl/worksheets/_rels/sheet31.xml.rels><?xml version="1.0" encoding="UTF-8" standalone="yes"?>
<Relationships xmlns="http://schemas.openxmlformats.org/package/2006/relationships"><Relationship Type="http://schemas.openxmlformats.org/officeDocument/2006/relationships/drawing" Target="../drawings/drawing31.xml" Id="rId1" /><Relationship Type="http://schemas.openxmlformats.org/officeDocument/2006/relationships/table" Target="../tables/table55.xml" Id="rId2" /><Relationship Type="http://schemas.openxmlformats.org/officeDocument/2006/relationships/table" Target="../tables/table56.xml" Id="rId3" /></Relationships>
</file>

<file path=xl/worksheets/_rels/sheet32.xml.rels><?xml version="1.0" encoding="UTF-8" standalone="yes"?>
<Relationships xmlns="http://schemas.openxmlformats.org/package/2006/relationships"><Relationship Type="http://schemas.openxmlformats.org/officeDocument/2006/relationships/drawing" Target="../drawings/drawing32.xml" Id="rId1" /><Relationship Type="http://schemas.openxmlformats.org/officeDocument/2006/relationships/table" Target="../tables/table57.xml" Id="rId2" /><Relationship Type="http://schemas.openxmlformats.org/officeDocument/2006/relationships/table" Target="../tables/table58.xml" Id="rId3" /></Relationships>
</file>

<file path=xl/worksheets/_rels/sheet33.xml.rels><?xml version="1.0" encoding="UTF-8" standalone="yes"?>
<Relationships xmlns="http://schemas.openxmlformats.org/package/2006/relationships"><Relationship Type="http://schemas.openxmlformats.org/officeDocument/2006/relationships/drawing" Target="../drawings/drawing33.xml" Id="rId1" /><Relationship Type="http://schemas.openxmlformats.org/officeDocument/2006/relationships/table" Target="../tables/table59.xml" Id="rId2" /><Relationship Type="http://schemas.openxmlformats.org/officeDocument/2006/relationships/table" Target="../tables/table60.xml" Id="rId3" /></Relationships>
</file>

<file path=xl/worksheets/_rels/sheet34.xml.rels><?xml version="1.0" encoding="UTF-8" standalone="yes"?>
<Relationships xmlns="http://schemas.openxmlformats.org/package/2006/relationships"><Relationship Type="http://schemas.openxmlformats.org/officeDocument/2006/relationships/drawing" Target="../drawings/drawing34.xml" Id="rId1" /><Relationship Type="http://schemas.openxmlformats.org/officeDocument/2006/relationships/table" Target="../tables/table61.xml" Id="rId2" /><Relationship Type="http://schemas.openxmlformats.org/officeDocument/2006/relationships/table" Target="../tables/table62.xml" Id="rId3" /></Relationships>
</file>

<file path=xl/worksheets/_rels/sheet35.xml.rels><?xml version="1.0" encoding="UTF-8" standalone="yes"?>
<Relationships xmlns="http://schemas.openxmlformats.org/package/2006/relationships"><Relationship Type="http://schemas.openxmlformats.org/officeDocument/2006/relationships/drawing" Target="../drawings/drawing35.xml" Id="rId1" /><Relationship Type="http://schemas.openxmlformats.org/officeDocument/2006/relationships/table" Target="../tables/table63.xml" Id="rId2" /><Relationship Type="http://schemas.openxmlformats.org/officeDocument/2006/relationships/table" Target="../tables/table64.xml" Id="rId3" /></Relationships>
</file>

<file path=xl/worksheets/_rels/sheet36.xml.rels><?xml version="1.0" encoding="UTF-8" standalone="yes"?>
<Relationships xmlns="http://schemas.openxmlformats.org/package/2006/relationships"><Relationship Type="http://schemas.openxmlformats.org/officeDocument/2006/relationships/drawing" Target="../drawings/drawing36.xml" Id="rId1" /><Relationship Type="http://schemas.openxmlformats.org/officeDocument/2006/relationships/table" Target="../tables/table65.xml" Id="rId2" /><Relationship Type="http://schemas.openxmlformats.org/officeDocument/2006/relationships/table" Target="../tables/table66.xml" Id="rId3" /></Relationships>
</file>

<file path=xl/worksheets/_rels/sheet37.xml.rels><?xml version="1.0" encoding="UTF-8" standalone="yes"?>
<Relationships xmlns="http://schemas.openxmlformats.org/package/2006/relationships"><Relationship Type="http://schemas.openxmlformats.org/officeDocument/2006/relationships/drawing" Target="../drawings/drawing37.xml" Id="rId1" /><Relationship Type="http://schemas.openxmlformats.org/officeDocument/2006/relationships/table" Target="../tables/table67.xml" Id="rId2" /><Relationship Type="http://schemas.openxmlformats.org/officeDocument/2006/relationships/table" Target="../tables/table68.xml" Id="rId3" /></Relationships>
</file>

<file path=xl/worksheets/_rels/sheet38.xml.rels><?xml version="1.0" encoding="UTF-8" standalone="yes"?>
<Relationships xmlns="http://schemas.openxmlformats.org/package/2006/relationships"><Relationship Type="http://schemas.openxmlformats.org/officeDocument/2006/relationships/drawing" Target="../drawings/drawing38.xml" Id="rId1" /><Relationship Type="http://schemas.openxmlformats.org/officeDocument/2006/relationships/table" Target="../tables/table69.xml" Id="rId2" /><Relationship Type="http://schemas.openxmlformats.org/officeDocument/2006/relationships/table" Target="../tables/table70.xml" Id="rId3" /></Relationships>
</file>

<file path=xl/worksheets/sheet1.xml><?xml version="1.0" encoding="utf-8"?>
<worksheet xmlns="http://schemas.openxmlformats.org/spreadsheetml/2006/main">
  <sheetPr codeName="Sheet1">
    <outlinePr summaryBelow="1" summaryRight="1"/>
    <pageSetUpPr/>
  </sheetPr>
  <dimension ref="A1:L104"/>
  <sheetViews>
    <sheetView tabSelected="1" zoomScale="106" zoomScaleNormal="100" workbookViewId="0">
      <selection activeCell="L78" sqref="L78"/>
    </sheetView>
  </sheetViews>
  <sheetFormatPr baseColWidth="10" defaultColWidth="11.1640625" defaultRowHeight="16"/>
  <cols>
    <col width="15.33203125" customWidth="1" style="290" min="1" max="2"/>
    <col width="17.6640625" customWidth="1" style="290" min="3" max="3"/>
    <col width="23.6640625" customWidth="1" style="290" min="4" max="4"/>
    <col width="20.83203125" customWidth="1" style="291" min="5" max="5"/>
    <col width="21.1640625" customWidth="1" style="290" min="6" max="6"/>
    <col width="19.83203125" customWidth="1" style="290" min="7" max="7"/>
    <col width="15.33203125" customWidth="1" style="290" min="8" max="12"/>
  </cols>
  <sheetData>
    <row r="1" ht="26" customHeight="1" s="290">
      <c r="A1" s="289" t="inlineStr">
        <is>
          <t>April '26 Monthly Summary</t>
        </is>
      </c>
    </row>
    <row r="3">
      <c r="A3" s="80" t="n"/>
      <c r="B3" s="81" t="inlineStr">
        <is>
          <t>Avg Price</t>
        </is>
      </c>
      <c r="C3" s="81" t="inlineStr">
        <is>
          <t>Avg Price MoM</t>
        </is>
      </c>
      <c r="D3" s="82" t="inlineStr">
        <is>
          <t>Avg Price YoY</t>
        </is>
      </c>
      <c r="E3" s="81" t="inlineStr">
        <is>
          <t>Quantity/Mo</t>
        </is>
      </c>
      <c r="F3" s="81" t="inlineStr">
        <is>
          <t>Qty by %</t>
        </is>
      </c>
      <c r="G3" s="81" t="inlineStr">
        <is>
          <t>Qty MoM</t>
        </is>
      </c>
      <c r="H3" s="82" t="inlineStr">
        <is>
          <t>Qty YoY</t>
        </is>
      </c>
      <c r="I3" s="81" t="inlineStr">
        <is>
          <t>Revenue/Mo</t>
        </is>
      </c>
      <c r="J3" s="81" t="inlineStr">
        <is>
          <t>Revenue by %</t>
        </is>
      </c>
      <c r="K3" s="81" t="inlineStr">
        <is>
          <t>Revenue MoM</t>
        </is>
      </c>
      <c r="L3" s="82" t="inlineStr">
        <is>
          <t>Revenue YoY</t>
        </is>
      </c>
    </row>
    <row r="4">
      <c r="A4" s="90" t="inlineStr">
        <is>
          <t>Tablet $800+</t>
        </is>
      </c>
      <c r="B4" s="297" t="n">
        <v>1535.950989628349</v>
      </c>
      <c r="C4" s="176" t="n">
        <v>0.004118241749712537</v>
      </c>
      <c r="D4" s="264" t="n">
        <v>0.01550424906367653</v>
      </c>
      <c r="E4" s="265" t="n">
        <v>2314</v>
      </c>
      <c r="F4" s="266" t="n">
        <v>0.007950196178133868</v>
      </c>
      <c r="G4" s="266" t="n">
        <v>-0.02895509861519097</v>
      </c>
      <c r="H4" s="267" t="n">
        <v>-0.01990681914443038</v>
      </c>
      <c r="I4" s="92" t="n">
        <v>3554190.59</v>
      </c>
      <c r="J4" s="266" t="n">
        <v>0.1095250069837785</v>
      </c>
      <c r="K4" s="266" t="n">
        <v>-0.0249561009614625</v>
      </c>
      <c r="L4" s="267" t="n">
        <v>-0.004711210362834728</v>
      </c>
    </row>
    <row r="5">
      <c r="A5" s="93" t="inlineStr">
        <is>
          <t>Tablet $400-$800</t>
        </is>
      </c>
      <c r="B5" s="298" t="n">
        <v>544.2646024114774</v>
      </c>
      <c r="C5" s="177" t="n">
        <v>0.01824851948453166</v>
      </c>
      <c r="D5" s="268" t="n">
        <v>0.06554303683258533</v>
      </c>
      <c r="E5" s="269" t="n">
        <v>13104</v>
      </c>
      <c r="F5" s="270" t="n">
        <v>0.04502133566044348</v>
      </c>
      <c r="G5" s="270" t="n">
        <v>0.06113855372904697</v>
      </c>
      <c r="H5" s="271" t="n">
        <v>0.4603811434302909</v>
      </c>
      <c r="I5" s="95" t="n">
        <v>7132043.35</v>
      </c>
      <c r="J5" s="270" t="n">
        <v>0.2197791812051814</v>
      </c>
      <c r="K5" s="270" t="n">
        <v>0.08050276130255907</v>
      </c>
      <c r="L5" s="271" t="n">
        <v>0.5560989585037552</v>
      </c>
    </row>
    <row r="6">
      <c r="A6" s="96" t="inlineStr">
        <is>
          <t>Tablet $400-</t>
        </is>
      </c>
      <c r="B6" s="299" t="n">
        <v>207.6976088330421</v>
      </c>
      <c r="C6" s="178" t="n">
        <v>-0.01283378485238451</v>
      </c>
      <c r="D6" s="272" t="n">
        <v>0.03918706709556607</v>
      </c>
      <c r="E6" s="273" t="n">
        <v>26899</v>
      </c>
      <c r="F6" s="274" t="n">
        <v>0.09241673595316462</v>
      </c>
      <c r="G6" s="274" t="n">
        <v>-0.02571625194682892</v>
      </c>
      <c r="H6" s="275" t="n">
        <v>0.4746450304259635</v>
      </c>
      <c r="I6" s="98" t="n">
        <v>5586857.98</v>
      </c>
      <c r="J6" s="274" t="n">
        <v>0.1721631532643494</v>
      </c>
      <c r="K6" s="274" t="n">
        <v>-0.03821999995451797</v>
      </c>
      <c r="L6" s="275" t="n">
        <v>0.5324320441754087</v>
      </c>
    </row>
    <row r="7">
      <c r="A7" s="101" t="inlineStr">
        <is>
          <t>Total Tablet</t>
        </is>
      </c>
      <c r="B7" s="300" t="n">
        <v>384.5521166434293</v>
      </c>
      <c r="C7" s="179" t="n">
        <v>0.01417761448982757</v>
      </c>
      <c r="D7" s="104" t="n">
        <v>-0.03617914043837833</v>
      </c>
      <c r="E7" s="116" t="n">
        <v>42317</v>
      </c>
      <c r="F7" s="112" t="n">
        <v>0.145388267791742</v>
      </c>
      <c r="G7" s="112" t="n">
        <v>-0.0005668264802437539</v>
      </c>
      <c r="H7" s="104" t="n">
        <v>0.4308368554522402</v>
      </c>
      <c r="I7" s="103" t="n">
        <v>16273091.92</v>
      </c>
      <c r="J7" s="112" t="n">
        <v>0.5014673414533092</v>
      </c>
      <c r="K7" s="112" t="n">
        <v>0.01360275176226433</v>
      </c>
      <c r="L7" s="104" t="n">
        <v>0.3790704079144258</v>
      </c>
    </row>
    <row r="8">
      <c r="A8" s="93" t="inlineStr">
        <is>
          <t>Handheld $75+</t>
        </is>
      </c>
      <c r="B8" s="298" t="n">
        <v>176.5736133122029</v>
      </c>
      <c r="C8" s="177" t="n">
        <v>-0.007638823360059943</v>
      </c>
      <c r="D8" s="271" t="n">
        <v>0.06440684100007621</v>
      </c>
      <c r="E8" s="269" t="n">
        <v>18930</v>
      </c>
      <c r="F8" s="270" t="n">
        <v>0.0650376895644227</v>
      </c>
      <c r="G8" s="270" t="n">
        <v>-0.04427727571060736</v>
      </c>
      <c r="H8" s="271" t="n">
        <v>0.4910207939508506</v>
      </c>
      <c r="I8" s="95" t="n">
        <v>3342538.5</v>
      </c>
      <c r="J8" s="270" t="n">
        <v>0.1030027915740018</v>
      </c>
      <c r="K8" s="270" t="n">
        <v>-0.05157787278264925</v>
      </c>
      <c r="L8" s="271" t="n">
        <v>0.5870527331546502</v>
      </c>
    </row>
    <row r="9">
      <c r="A9" s="96" t="inlineStr">
        <is>
          <t>Handheld $75-</t>
        </is>
      </c>
      <c r="B9" s="299" t="n">
        <v>30.73398121565869</v>
      </c>
      <c r="C9" s="178" t="n">
        <v>-0.01239023791612159</v>
      </c>
      <c r="D9" s="275" t="n">
        <v>0.009897101724969382</v>
      </c>
      <c r="E9" s="273" t="n">
        <v>105194</v>
      </c>
      <c r="F9" s="274" t="n">
        <v>0.3614144065525558</v>
      </c>
      <c r="G9" s="274" t="n">
        <v>-0.09077236896694785</v>
      </c>
      <c r="H9" s="275" t="n">
        <v>0.05582543761040637</v>
      </c>
      <c r="I9" s="98" t="n">
        <v>3233030.42</v>
      </c>
      <c r="J9" s="274" t="n">
        <v>0.09962821924225178</v>
      </c>
      <c r="K9" s="274" t="n">
        <v>-0.102037915635359</v>
      </c>
      <c r="L9" s="275" t="n">
        <v>0.06627504937024686</v>
      </c>
    </row>
    <row r="10">
      <c r="A10" s="101" t="inlineStr">
        <is>
          <t>Total Handheld</t>
        </is>
      </c>
      <c r="B10" s="300" t="n">
        <v>52.97580580709613</v>
      </c>
      <c r="C10" s="179" t="n">
        <v>0.007531074306944774</v>
      </c>
      <c r="D10" s="104" t="n">
        <v>0.1581207959581552</v>
      </c>
      <c r="E10" s="116" t="n">
        <v>124124</v>
      </c>
      <c r="F10" s="112" t="n">
        <v>0.4264520961169785</v>
      </c>
      <c r="G10" s="112" t="n">
        <v>-0.08397600053135357</v>
      </c>
      <c r="H10" s="104" t="n">
        <v>0.1050138878997222</v>
      </c>
      <c r="I10" s="103" t="n">
        <v>6575568.92</v>
      </c>
      <c r="J10" s="112" t="n">
        <v>0.2026310108162535</v>
      </c>
      <c r="K10" s="112" t="n">
        <v>-0.07707735572441055</v>
      </c>
      <c r="L10" s="104" t="n">
        <v>0.2797395633992421</v>
      </c>
    </row>
    <row r="11">
      <c r="A11" s="78" t="inlineStr">
        <is>
          <t>Total Dongle</t>
        </is>
      </c>
      <c r="B11" s="301" t="n">
        <v>84.74866695637058</v>
      </c>
      <c r="C11" s="180" t="n">
        <v>0.01398642785362547</v>
      </c>
      <c r="D11" s="107" t="n">
        <v>0.2207924061314857</v>
      </c>
      <c r="E11" s="99" t="n">
        <v>57530</v>
      </c>
      <c r="F11" s="113" t="n">
        <v>0.1976554823370966</v>
      </c>
      <c r="G11" s="113" t="n">
        <v>-0.1315570986489546</v>
      </c>
      <c r="H11" s="107" t="n">
        <v>-0.1418556085918854</v>
      </c>
      <c r="I11" s="76" t="n">
        <v>4875590.81</v>
      </c>
      <c r="J11" s="113" t="n">
        <v>0.1502449303134574</v>
      </c>
      <c r="K11" s="113" t="n">
        <v>-0.1194106846642152</v>
      </c>
      <c r="L11" s="107" t="n">
        <v>0.04761615639535144</v>
      </c>
    </row>
    <row r="12">
      <c r="A12" s="78" t="inlineStr">
        <is>
          <t>Total Other Tools</t>
        </is>
      </c>
      <c r="B12" s="301" t="n">
        <v>72.3166944193719</v>
      </c>
      <c r="C12" s="180" t="n">
        <v>0.01975709605709275</v>
      </c>
      <c r="D12" s="107" t="n">
        <v>-0.1648114682706898</v>
      </c>
      <c r="E12" s="99" t="n">
        <v>64258</v>
      </c>
      <c r="F12" s="113" t="n">
        <v>0.2207708323312559</v>
      </c>
      <c r="G12" s="113" t="n">
        <v>0.1410864276454815</v>
      </c>
      <c r="H12" s="107" t="n">
        <v>1.06424877124225</v>
      </c>
      <c r="I12" s="76" t="n">
        <v>4646926.149999999</v>
      </c>
      <c r="J12" s="113" t="n">
        <v>0.1431984599992576</v>
      </c>
      <c r="K12" s="113" t="n">
        <v>0.1636309818059181</v>
      </c>
      <c r="L12" s="107" t="n">
        <v>0.7240369003778475</v>
      </c>
    </row>
    <row r="13">
      <c r="A13" s="86" t="inlineStr">
        <is>
          <t>Total</t>
        </is>
      </c>
      <c r="B13" s="302" t="n">
        <v>112.3106203747715</v>
      </c>
      <c r="C13" s="181" t="n">
        <v>0.0314494652260815</v>
      </c>
      <c r="D13" s="108" t="n">
        <v>0.1101393194413793</v>
      </c>
      <c r="E13" s="100" t="n">
        <v>288229</v>
      </c>
      <c r="F13" s="109" t="n">
        <v>0.990266678577073</v>
      </c>
      <c r="G13" s="109" t="n">
        <v>-0.04052236669529496</v>
      </c>
      <c r="H13" s="108" t="n">
        <v>0.2005939884701256</v>
      </c>
      <c r="I13" s="85" t="n">
        <v>32371177.8</v>
      </c>
      <c r="J13" s="109" t="n">
        <v>0.9975417425822779</v>
      </c>
      <c r="K13" s="109" t="n">
        <v>-0.01034730823147578</v>
      </c>
      <c r="L13" s="108" t="n">
        <v>0.3328265932856365</v>
      </c>
    </row>
    <row r="45" ht="26" customHeight="1" s="290">
      <c r="A45" s="289" t="inlineStr">
        <is>
          <t xml:space="preserve">April '26 Monthly Summary - Revenue </t>
        </is>
      </c>
    </row>
    <row r="46">
      <c r="A46" s="1" t="inlineStr">
        <is>
          <t>Brand</t>
        </is>
      </c>
      <c r="B46" s="2" t="inlineStr">
        <is>
          <t># of Listings</t>
        </is>
      </c>
      <c r="C46" s="23" t="inlineStr">
        <is>
          <t>Monthly Rev</t>
        </is>
      </c>
      <c r="D46" s="19" t="inlineStr">
        <is>
          <t>Estimated 12mo Revenue</t>
        </is>
      </c>
      <c r="E46" s="24" t="inlineStr">
        <is>
          <t>Monthly Units</t>
        </is>
      </c>
      <c r="F46" s="2" t="inlineStr">
        <is>
          <t>Monthly Rev Market Share %</t>
        </is>
      </c>
      <c r="G46" s="2" t="inlineStr">
        <is>
          <t>Price Per Unit</t>
        </is>
      </c>
      <c r="H46" s="2" t="inlineStr">
        <is>
          <t>Total Reviews</t>
        </is>
      </c>
      <c r="I46" s="4" t="inlineStr">
        <is>
          <t>Avg Rating</t>
        </is>
      </c>
    </row>
    <row r="47">
      <c r="A47" s="155" t="inlineStr">
        <is>
          <t>autel</t>
        </is>
      </c>
      <c r="B47" s="157" t="n">
        <v>558</v>
      </c>
      <c r="C47" s="159" t="n">
        <v>5675693.04</v>
      </c>
      <c r="D47" s="158" t="n">
        <v>63992398.17373007</v>
      </c>
      <c r="E47" s="160" t="n">
        <v>20351</v>
      </c>
      <c r="F47" s="161" t="n">
        <v>0.1749</v>
      </c>
      <c r="G47" s="303" t="n">
        <v>278.89</v>
      </c>
      <c r="H47" s="160" t="n">
        <v>133657</v>
      </c>
      <c r="I47" s="163" t="n">
        <v>4.6</v>
      </c>
    </row>
    <row r="48">
      <c r="A48" s="166" t="inlineStr">
        <is>
          <t>topdon</t>
        </is>
      </c>
      <c r="B48" s="157" t="n">
        <v>53</v>
      </c>
      <c r="C48" s="159" t="n">
        <v>3250373.1</v>
      </c>
      <c r="D48" s="158" t="n">
        <v>34995854.15076923</v>
      </c>
      <c r="E48" s="160" t="n">
        <v>12898</v>
      </c>
      <c r="F48" s="161" t="n">
        <v>0.1002</v>
      </c>
      <c r="G48" s="303" t="n">
        <v>252.01</v>
      </c>
      <c r="H48" s="160" t="n">
        <v>26884</v>
      </c>
      <c r="I48" s="163" t="n">
        <v>4.3</v>
      </c>
    </row>
    <row r="49">
      <c r="A49" s="155" t="inlineStr">
        <is>
          <t>ancel</t>
        </is>
      </c>
      <c r="B49" s="157" t="n">
        <v>76</v>
      </c>
      <c r="C49" s="159" t="n">
        <v>2653788.21</v>
      </c>
      <c r="D49" s="158" t="n">
        <v>32554319.30538461</v>
      </c>
      <c r="E49" s="160" t="n">
        <v>42431</v>
      </c>
      <c r="F49" s="161" t="n">
        <v>0.0818</v>
      </c>
      <c r="G49" s="303" t="n">
        <v>62.54</v>
      </c>
      <c r="H49" s="160" t="n">
        <v>131060</v>
      </c>
      <c r="I49" s="163" t="n">
        <v>4.1</v>
      </c>
    </row>
    <row r="50" customFormat="1" s="26">
      <c r="A50" s="155" t="inlineStr">
        <is>
          <t>launch</t>
        </is>
      </c>
      <c r="B50" s="157" t="n">
        <v>287</v>
      </c>
      <c r="C50" s="159" t="n">
        <v>2642413.14</v>
      </c>
      <c r="D50" s="158" t="n">
        <v>32145579.16953868</v>
      </c>
      <c r="E50" s="160" t="n">
        <v>8505</v>
      </c>
      <c r="F50" s="161" t="n">
        <v>0.0814</v>
      </c>
      <c r="G50" s="303" t="n">
        <v>310.69</v>
      </c>
      <c r="H50" s="160" t="n">
        <v>75422</v>
      </c>
      <c r="I50" s="163" t="n">
        <v>4.2</v>
      </c>
      <c r="K50" s="27" t="n"/>
    </row>
    <row r="51">
      <c r="A51" s="209" t="inlineStr">
        <is>
          <t>foxwell</t>
        </is>
      </c>
      <c r="B51" s="157" t="n">
        <v>47</v>
      </c>
      <c r="C51" s="159" t="n">
        <v>1938069.76</v>
      </c>
      <c r="D51" s="158" t="n">
        <v>21474903.98861539</v>
      </c>
      <c r="E51" s="160" t="n">
        <v>14404</v>
      </c>
      <c r="F51" s="161" t="n">
        <v>0.0597</v>
      </c>
      <c r="G51" s="303" t="n">
        <v>134.55</v>
      </c>
      <c r="H51" s="160" t="n">
        <v>71565</v>
      </c>
      <c r="I51" s="163" t="n">
        <v>4.3</v>
      </c>
    </row>
    <row r="52" customFormat="1" s="26">
      <c r="A52" s="219" t="inlineStr">
        <is>
          <t>innova</t>
        </is>
      </c>
      <c r="B52" s="220" t="n">
        <v>42</v>
      </c>
      <c r="C52" s="221" t="n">
        <v>1902016.68</v>
      </c>
      <c r="D52" s="226" t="n">
        <v>16832909.64307754</v>
      </c>
      <c r="E52" s="222" t="n">
        <v>12781</v>
      </c>
      <c r="F52" s="223" t="n">
        <v>0.0586</v>
      </c>
      <c r="G52" s="304" t="n">
        <v>148.82</v>
      </c>
      <c r="H52" s="222" t="n">
        <v>32185</v>
      </c>
      <c r="I52" s="225" t="n">
        <v>4.3</v>
      </c>
    </row>
    <row r="53">
      <c r="A53" s="200" t="inlineStr">
        <is>
          <t>xtool</t>
        </is>
      </c>
      <c r="B53" s="201" t="n">
        <v>69</v>
      </c>
      <c r="C53" s="203" t="n">
        <v>1544861.27</v>
      </c>
      <c r="D53" s="202" t="n">
        <v>16636284.03692308</v>
      </c>
      <c r="E53" s="204" t="n">
        <v>6209</v>
      </c>
      <c r="F53" s="205" t="n">
        <v>0.0476</v>
      </c>
      <c r="G53" s="305" t="n">
        <v>248.81</v>
      </c>
      <c r="H53" s="204" t="n">
        <v>11932</v>
      </c>
      <c r="I53" s="207" t="n">
        <v>4.4</v>
      </c>
    </row>
    <row r="54">
      <c r="A54" s="155" t="inlineStr">
        <is>
          <t>obdlink</t>
        </is>
      </c>
      <c r="B54" s="157" t="n">
        <v>4</v>
      </c>
      <c r="C54" s="159" t="n">
        <v>1496129.26</v>
      </c>
      <c r="D54" s="158" t="n">
        <v>14641206.07384615</v>
      </c>
      <c r="E54" s="160" t="n">
        <v>15245</v>
      </c>
      <c r="F54" s="161" t="n">
        <v>0.0461</v>
      </c>
      <c r="G54" s="303" t="n">
        <v>98.14</v>
      </c>
      <c r="H54" s="160" t="n">
        <v>36986</v>
      </c>
      <c r="I54" s="163" t="n">
        <v>4.6</v>
      </c>
    </row>
    <row r="55">
      <c r="A55" s="200" t="inlineStr">
        <is>
          <t>thinkcar</t>
        </is>
      </c>
      <c r="B55" s="201" t="n">
        <v>22</v>
      </c>
      <c r="C55" s="203" t="n">
        <v>843205.54</v>
      </c>
      <c r="D55" s="202" t="n">
        <v>9319292.621538462</v>
      </c>
      <c r="E55" s="204" t="n">
        <v>3049</v>
      </c>
      <c r="F55" s="205" t="n">
        <v>0.026</v>
      </c>
      <c r="G55" s="305" t="n">
        <v>276.55</v>
      </c>
      <c r="H55" s="204" t="n">
        <v>13351</v>
      </c>
      <c r="I55" s="207" t="n">
        <v>4.4</v>
      </c>
    </row>
    <row r="56">
      <c r="A56" s="155" t="inlineStr">
        <is>
          <t>diesel laptops</t>
        </is>
      </c>
      <c r="B56" s="157" t="n">
        <v>21</v>
      </c>
      <c r="C56" s="159" t="n">
        <v>794209.2000000001</v>
      </c>
      <c r="D56" s="158" t="n">
        <v>7420561.564615383</v>
      </c>
      <c r="E56" s="160" t="n">
        <v>1194</v>
      </c>
      <c r="F56" s="161" t="n">
        <v>0.0245</v>
      </c>
      <c r="G56" s="303" t="n">
        <v>665.17</v>
      </c>
      <c r="H56" s="160" t="n">
        <v>683</v>
      </c>
      <c r="I56" s="163" t="n">
        <v>4.1</v>
      </c>
    </row>
    <row r="57">
      <c r="A57" s="155" t="inlineStr">
        <is>
          <t>generic</t>
        </is>
      </c>
      <c r="B57" s="157" t="n">
        <v>201</v>
      </c>
      <c r="C57" s="159" t="n">
        <v>685242.95</v>
      </c>
      <c r="D57" s="158" t="n">
        <v>4308446.335384616</v>
      </c>
      <c r="E57" s="160" t="n">
        <v>3301</v>
      </c>
      <c r="F57" s="161" t="n">
        <v>0.0211</v>
      </c>
      <c r="G57" s="303" t="n">
        <v>207.59</v>
      </c>
      <c r="H57" s="160" t="n">
        <v>1343</v>
      </c>
      <c r="I57" s="163" t="n">
        <v>4</v>
      </c>
    </row>
    <row r="58">
      <c r="A58" s="200" t="inlineStr">
        <is>
          <t>mucar</t>
        </is>
      </c>
      <c r="B58" s="201" t="n">
        <v>15</v>
      </c>
      <c r="C58" s="203" t="n">
        <v>595805.5600000001</v>
      </c>
      <c r="D58" s="202" t="n">
        <v>4397777.399999999</v>
      </c>
      <c r="E58" s="204" t="n">
        <v>1692</v>
      </c>
      <c r="F58" s="205" t="n">
        <v>0.0184</v>
      </c>
      <c r="G58" s="305" t="n">
        <v>352.13</v>
      </c>
      <c r="H58" s="204" t="n">
        <v>2265</v>
      </c>
      <c r="I58" s="207" t="n">
        <v>4.3</v>
      </c>
    </row>
    <row r="59">
      <c r="A59" s="209" t="inlineStr">
        <is>
          <t>fixd</t>
        </is>
      </c>
      <c r="B59" s="157" t="n">
        <v>3</v>
      </c>
      <c r="C59" s="159" t="n">
        <v>504400.77</v>
      </c>
      <c r="D59" s="158" t="n">
        <v>5488427.427692308</v>
      </c>
      <c r="E59" s="160" t="n">
        <v>6873</v>
      </c>
      <c r="F59" s="161" t="n">
        <v>0.0155</v>
      </c>
      <c r="G59" s="303" t="n">
        <v>73.39</v>
      </c>
      <c r="H59" s="160" t="n">
        <v>37525</v>
      </c>
      <c r="I59" s="163" t="n">
        <v>4.1</v>
      </c>
    </row>
    <row r="60" customFormat="1" s="258">
      <c r="A60" s="250" t="inlineStr">
        <is>
          <t>blcktec</t>
        </is>
      </c>
      <c r="B60" s="251" t="n">
        <v>7</v>
      </c>
      <c r="C60" s="252" t="n">
        <v>440783.7</v>
      </c>
      <c r="D60" s="253" t="n">
        <v>4869092.815384615</v>
      </c>
      <c r="E60" s="254" t="n">
        <v>3717</v>
      </c>
      <c r="F60" s="255" t="n">
        <v>0.0136</v>
      </c>
      <c r="G60" s="306" t="n">
        <v>118.59</v>
      </c>
      <c r="H60" s="254" t="n">
        <v>7978</v>
      </c>
      <c r="I60" s="257" t="n">
        <v>4.4</v>
      </c>
    </row>
    <row r="61">
      <c r="A61" s="209" t="inlineStr">
        <is>
          <t>opus | ivs</t>
        </is>
      </c>
      <c r="B61" s="157" t="n">
        <v>26</v>
      </c>
      <c r="C61" s="159" t="n">
        <v>439857.36</v>
      </c>
      <c r="D61" s="158" t="n">
        <v>3871402.513846153</v>
      </c>
      <c r="E61" s="160" t="n">
        <v>608</v>
      </c>
      <c r="F61" s="161" t="n">
        <v>0.0136</v>
      </c>
      <c r="G61" s="303" t="n">
        <v>723.45</v>
      </c>
      <c r="H61" s="160" t="n">
        <v>5644</v>
      </c>
      <c r="I61" s="163" t="n">
        <v>4.4</v>
      </c>
    </row>
    <row r="62">
      <c r="A62" s="155" t="inlineStr">
        <is>
          <t>icarsoft</t>
        </is>
      </c>
      <c r="B62" s="157" t="n">
        <v>173</v>
      </c>
      <c r="C62" s="159" t="n">
        <v>434833.8</v>
      </c>
      <c r="D62" s="158" t="n">
        <v>4706418.36923077</v>
      </c>
      <c r="E62" s="160" t="n">
        <v>2225</v>
      </c>
      <c r="F62" s="161" t="n">
        <v>0.0134</v>
      </c>
      <c r="G62" s="303" t="n">
        <v>195.43</v>
      </c>
      <c r="H62" s="160" t="n">
        <v>17140</v>
      </c>
      <c r="I62" s="163" t="n">
        <v>3.9</v>
      </c>
    </row>
    <row r="63">
      <c r="A63" s="155" t="inlineStr">
        <is>
          <t>kingbolen</t>
        </is>
      </c>
      <c r="B63" s="157" t="n">
        <v>25</v>
      </c>
      <c r="C63" s="159" t="n">
        <v>325903.98</v>
      </c>
      <c r="D63" s="158" t="n">
        <v>3426052.855384615</v>
      </c>
      <c r="E63" s="160" t="n">
        <v>2081</v>
      </c>
      <c r="F63" s="161" t="n">
        <v>0.01</v>
      </c>
      <c r="G63" s="303" t="n">
        <v>156.61</v>
      </c>
      <c r="H63" s="160" t="n">
        <v>5087</v>
      </c>
      <c r="I63" s="163" t="n">
        <v>4.3</v>
      </c>
    </row>
    <row r="64" customFormat="1" s="208">
      <c r="A64" s="200" t="inlineStr">
        <is>
          <t>motopower</t>
        </is>
      </c>
      <c r="B64" s="201" t="n">
        <v>7</v>
      </c>
      <c r="C64" s="203" t="n">
        <v>305178.69</v>
      </c>
      <c r="D64" s="202" t="n">
        <v>3021363.473852308</v>
      </c>
      <c r="E64" s="204" t="n">
        <v>13739</v>
      </c>
      <c r="F64" s="205" t="n">
        <v>0.0094</v>
      </c>
      <c r="G64" s="305" t="n">
        <v>22.21</v>
      </c>
      <c r="H64" s="204" t="n">
        <v>59021</v>
      </c>
      <c r="I64" s="207" t="n">
        <v>4.5</v>
      </c>
    </row>
    <row r="65">
      <c r="A65" s="155" t="inlineStr">
        <is>
          <t>vgate</t>
        </is>
      </c>
      <c r="B65" s="157" t="n">
        <v>34</v>
      </c>
      <c r="C65" s="159" t="n">
        <v>287201.08</v>
      </c>
      <c r="D65" s="158" t="n">
        <v>2718998.834436923</v>
      </c>
      <c r="E65" s="160" t="n">
        <v>7189</v>
      </c>
      <c r="F65" s="161" t="n">
        <v>0.0089</v>
      </c>
      <c r="G65" s="303" t="n">
        <v>39.95</v>
      </c>
      <c r="H65" s="160" t="n">
        <v>22582</v>
      </c>
      <c r="I65" s="163" t="n">
        <v>4.4</v>
      </c>
    </row>
    <row r="66">
      <c r="A66" s="155" t="inlineStr">
        <is>
          <t>veepeak</t>
        </is>
      </c>
      <c r="B66" s="157" t="n">
        <v>4</v>
      </c>
      <c r="C66" s="159" t="n">
        <v>285079.53</v>
      </c>
      <c r="D66" s="158" t="n">
        <v>2610410.972307692</v>
      </c>
      <c r="E66" s="160" t="n">
        <v>8873</v>
      </c>
      <c r="F66" s="161" t="n">
        <v>0.008800000000000001</v>
      </c>
      <c r="G66" s="303" t="n">
        <v>32.13</v>
      </c>
      <c r="H66" s="160" t="n">
        <v>53073</v>
      </c>
      <c r="I66" s="163" t="n">
        <v>4.5</v>
      </c>
    </row>
    <row r="67">
      <c r="A67" s="155" t="inlineStr">
        <is>
          <t>z automotive</t>
        </is>
      </c>
      <c r="B67" s="157" t="n">
        <v>15</v>
      </c>
      <c r="C67" s="159" t="n">
        <v>246557</v>
      </c>
      <c r="D67" s="158" t="n">
        <v>2936554.467692308</v>
      </c>
      <c r="E67" s="160" t="n">
        <v>937</v>
      </c>
      <c r="F67" s="161" t="n">
        <v>0.0076</v>
      </c>
      <c r="G67" s="303" t="n">
        <v>263.13</v>
      </c>
      <c r="H67" s="160" t="n">
        <v>1903</v>
      </c>
      <c r="I67" s="163" t="n">
        <v>4.4</v>
      </c>
    </row>
    <row r="68">
      <c r="A68" s="155" t="inlineStr">
        <is>
          <t>obdeleven</t>
        </is>
      </c>
      <c r="B68" s="157" t="n">
        <v>5</v>
      </c>
      <c r="C68" s="159" t="n">
        <v>215102.39</v>
      </c>
      <c r="D68" s="158" t="n">
        <v>2564607.332307693</v>
      </c>
      <c r="E68" s="160" t="n">
        <v>1352</v>
      </c>
      <c r="F68" s="161" t="n">
        <v>0.0066</v>
      </c>
      <c r="G68" s="303" t="n">
        <v>159.1</v>
      </c>
      <c r="H68" s="160" t="n">
        <v>17396</v>
      </c>
      <c r="I68" s="163" t="n">
        <v>3.8</v>
      </c>
    </row>
    <row r="69">
      <c r="A69" s="155" t="inlineStr">
        <is>
          <t>innovative products of america</t>
        </is>
      </c>
      <c r="B69" s="157" t="n">
        <v>19</v>
      </c>
      <c r="C69" s="159" t="n">
        <v>210303.84</v>
      </c>
      <c r="D69" s="158" t="n">
        <v>1688080.56</v>
      </c>
      <c r="E69" s="160" t="n">
        <v>804</v>
      </c>
      <c r="F69" s="161" t="n">
        <v>0.0065</v>
      </c>
      <c r="G69" s="303" t="n">
        <v>261.57</v>
      </c>
      <c r="H69" s="160" t="n">
        <v>813</v>
      </c>
      <c r="I69" s="163" t="n">
        <v>4.6</v>
      </c>
    </row>
    <row r="70" customFormat="1" s="156">
      <c r="A70" s="155" t="inlineStr">
        <is>
          <t>bluedriver</t>
        </is>
      </c>
      <c r="B70" s="157" t="n">
        <v>3</v>
      </c>
      <c r="C70" s="159" t="n">
        <v>207440.21</v>
      </c>
      <c r="D70" s="158" t="n">
        <v>12301181.19692308</v>
      </c>
      <c r="E70" s="160" t="n">
        <v>2238</v>
      </c>
      <c r="F70" s="161" t="n">
        <v>0.0064</v>
      </c>
      <c r="G70" s="303" t="n">
        <v>92.69</v>
      </c>
      <c r="H70" s="160" t="n">
        <v>124425</v>
      </c>
      <c r="I70" s="163" t="n">
        <v>4.5</v>
      </c>
    </row>
    <row r="71">
      <c r="A71" s="155" t="inlineStr">
        <is>
          <t>edge</t>
        </is>
      </c>
      <c r="B71" s="157" t="n">
        <v>1</v>
      </c>
      <c r="C71" s="159" t="n">
        <v>194779.05</v>
      </c>
      <c r="D71" s="158" t="n">
        <v>665569.4492307692</v>
      </c>
      <c r="E71" s="160" t="n">
        <v>436</v>
      </c>
      <c r="F71" s="161" t="n">
        <v>0.006</v>
      </c>
      <c r="G71" s="303" t="n">
        <v>446.74</v>
      </c>
      <c r="H71" s="160" t="n">
        <v>1055</v>
      </c>
      <c r="I71" s="163" t="n">
        <v>4.3</v>
      </c>
    </row>
    <row r="72" ht="17" customHeight="1" s="290" thickBot="1">
      <c r="C72" s="20" t="n"/>
      <c r="D72" s="6" t="n"/>
      <c r="F72" s="7" t="n"/>
      <c r="G72" s="7" t="n"/>
      <c r="I72" s="8" t="n"/>
    </row>
    <row r="73" ht="17" customHeight="1" s="290" thickTop="1">
      <c r="A73" s="9" t="inlineStr">
        <is>
          <t>Total</t>
        </is>
      </c>
      <c r="B73" s="10">
        <f>SUM(B46:B71)</f>
        <v/>
      </c>
      <c r="C73" s="21">
        <f>SUM(C47:C71)</f>
        <v/>
      </c>
      <c r="D73" s="11">
        <f>SUM(D47:D71)</f>
        <v/>
      </c>
      <c r="E73" s="13">
        <f>SUM(E47:E71)</f>
        <v/>
      </c>
      <c r="F73" s="12">
        <f>SUM(F47:F71)</f>
        <v/>
      </c>
      <c r="G73" s="307">
        <f>AVERAGE(G47:G71)</f>
        <v/>
      </c>
      <c r="H73" s="13">
        <f>SUM(H47:H71)</f>
        <v/>
      </c>
      <c r="I73" s="14">
        <f>AVERAGE(I47:I71)</f>
        <v/>
      </c>
    </row>
    <row r="76" ht="26" customHeight="1" s="290">
      <c r="A76" s="289" t="inlineStr">
        <is>
          <t>April '26 Summary - Units</t>
        </is>
      </c>
    </row>
    <row r="77">
      <c r="A77" s="1" t="inlineStr">
        <is>
          <t>Brand</t>
        </is>
      </c>
      <c r="B77" s="2" t="inlineStr">
        <is>
          <t># of Listings</t>
        </is>
      </c>
      <c r="C77" s="3" t="inlineStr">
        <is>
          <t>Monthly Rev</t>
        </is>
      </c>
      <c r="D77" s="23" t="inlineStr">
        <is>
          <t>Estimated 12mo Units</t>
        </is>
      </c>
      <c r="E77" s="24" t="inlineStr">
        <is>
          <t>Monthly Units</t>
        </is>
      </c>
      <c r="F77" s="2" t="inlineStr">
        <is>
          <t>Monthly Unit Market Share %</t>
        </is>
      </c>
      <c r="G77" s="2" t="inlineStr">
        <is>
          <t>Price Per Unit</t>
        </is>
      </c>
      <c r="H77" s="2" t="inlineStr">
        <is>
          <t>Reviews</t>
        </is>
      </c>
      <c r="I77" s="4" t="inlineStr">
        <is>
          <t>Avg Rating</t>
        </is>
      </c>
    </row>
    <row r="78">
      <c r="A78" s="155" t="inlineStr">
        <is>
          <t>ancel</t>
        </is>
      </c>
      <c r="B78" s="157" t="n">
        <v>76</v>
      </c>
      <c r="C78" s="158" t="n">
        <v>2653788.21</v>
      </c>
      <c r="D78" s="259" t="n">
        <v>583710.4615384615</v>
      </c>
      <c r="E78" s="227" t="n">
        <v>42431</v>
      </c>
      <c r="F78" s="161" t="n">
        <v>0.1458</v>
      </c>
      <c r="G78" s="303" t="n">
        <v>62.54</v>
      </c>
      <c r="H78" s="160" t="n">
        <v>131060</v>
      </c>
      <c r="I78" s="163" t="n">
        <v>4.1</v>
      </c>
    </row>
    <row r="79">
      <c r="A79" s="166" t="inlineStr">
        <is>
          <t>autel</t>
        </is>
      </c>
      <c r="B79" s="157" t="n">
        <v>558</v>
      </c>
      <c r="C79" s="158" t="n">
        <v>5675693.04</v>
      </c>
      <c r="D79" s="259" t="n">
        <v>222962.7692307692</v>
      </c>
      <c r="E79" s="227" t="n">
        <v>20351</v>
      </c>
      <c r="F79" s="161" t="n">
        <v>0.0699</v>
      </c>
      <c r="G79" s="303" t="n">
        <v>278.89</v>
      </c>
      <c r="H79" s="160" t="n">
        <v>133657</v>
      </c>
      <c r="I79" s="163" t="n">
        <v>4.6</v>
      </c>
    </row>
    <row r="80">
      <c r="A80" s="155" t="inlineStr">
        <is>
          <t>obdlink</t>
        </is>
      </c>
      <c r="B80" s="157" t="n">
        <v>4</v>
      </c>
      <c r="C80" s="158" t="n">
        <v>1496129.26</v>
      </c>
      <c r="D80" s="259" t="n">
        <v>151934.7692307692</v>
      </c>
      <c r="E80" s="227" t="n">
        <v>15245</v>
      </c>
      <c r="F80" s="161" t="n">
        <v>0.0524</v>
      </c>
      <c r="G80" s="303" t="n">
        <v>98.14</v>
      </c>
      <c r="H80" s="160" t="n">
        <v>36986</v>
      </c>
      <c r="I80" s="163" t="n">
        <v>4.6</v>
      </c>
    </row>
    <row r="81">
      <c r="A81" s="155" t="inlineStr">
        <is>
          <t>foxwell</t>
        </is>
      </c>
      <c r="B81" s="157" t="n">
        <v>47</v>
      </c>
      <c r="C81" s="158" t="n">
        <v>1938069.76</v>
      </c>
      <c r="D81" s="259" t="n">
        <v>171217.8461538462</v>
      </c>
      <c r="E81" s="227" t="n">
        <v>14404</v>
      </c>
      <c r="F81" s="161" t="n">
        <v>0.0495</v>
      </c>
      <c r="G81" s="303" t="n">
        <v>134.55</v>
      </c>
      <c r="H81" s="160" t="n">
        <v>71565</v>
      </c>
      <c r="I81" s="163" t="n">
        <v>4.3</v>
      </c>
    </row>
    <row r="82">
      <c r="A82" s="192" t="inlineStr">
        <is>
          <t>motopower</t>
        </is>
      </c>
      <c r="B82" s="193" t="n">
        <v>7</v>
      </c>
      <c r="C82" s="194" t="n">
        <v>305178.69</v>
      </c>
      <c r="D82" s="260" t="n">
        <v>126432.9230769231</v>
      </c>
      <c r="E82" s="228" t="n">
        <v>13739</v>
      </c>
      <c r="F82" s="196" t="n">
        <v>0.0472</v>
      </c>
      <c r="G82" s="308" t="n">
        <v>22.21</v>
      </c>
      <c r="H82" s="195" t="n">
        <v>59021</v>
      </c>
      <c r="I82" s="198" t="n">
        <v>4.5</v>
      </c>
    </row>
    <row r="83">
      <c r="A83" s="155" t="inlineStr">
        <is>
          <t>topdon</t>
        </is>
      </c>
      <c r="B83" s="157" t="n">
        <v>53</v>
      </c>
      <c r="C83" s="158" t="n">
        <v>3250373.1</v>
      </c>
      <c r="D83" s="259" t="n">
        <v>149243.0769230769</v>
      </c>
      <c r="E83" s="227" t="n">
        <v>12898</v>
      </c>
      <c r="F83" s="161" t="n">
        <v>0.0443</v>
      </c>
      <c r="G83" s="303" t="n">
        <v>252.01</v>
      </c>
      <c r="H83" s="160" t="n">
        <v>26884</v>
      </c>
      <c r="I83" s="163" t="n">
        <v>4.3</v>
      </c>
    </row>
    <row r="84" customFormat="1" s="199">
      <c r="A84" s="209" t="inlineStr">
        <is>
          <t>innova</t>
        </is>
      </c>
      <c r="B84" s="157" t="n">
        <v>42</v>
      </c>
      <c r="C84" s="158" t="n">
        <v>1902016.68</v>
      </c>
      <c r="D84" s="259" t="n">
        <v>92570.76923076923</v>
      </c>
      <c r="E84" s="227" t="n">
        <v>12781</v>
      </c>
      <c r="F84" s="161" t="n">
        <v>0.0439</v>
      </c>
      <c r="G84" s="303" t="n">
        <v>148.82</v>
      </c>
      <c r="H84" s="160" t="n">
        <v>32185</v>
      </c>
      <c r="I84" s="163" t="n">
        <v>4.3</v>
      </c>
    </row>
    <row r="85">
      <c r="A85" s="209" t="inlineStr">
        <is>
          <t>veepeak</t>
        </is>
      </c>
      <c r="B85" s="157" t="n">
        <v>4</v>
      </c>
      <c r="C85" s="158" t="n">
        <v>285079.53</v>
      </c>
      <c r="D85" s="259" t="n">
        <v>85440</v>
      </c>
      <c r="E85" s="227" t="n">
        <v>8873</v>
      </c>
      <c r="F85" s="161" t="n">
        <v>0.0305</v>
      </c>
      <c r="G85" s="303" t="n">
        <v>32.13</v>
      </c>
      <c r="H85" s="160" t="n">
        <v>53073</v>
      </c>
      <c r="I85" s="163" t="n">
        <v>4.5</v>
      </c>
    </row>
    <row r="86">
      <c r="A86" s="155" t="inlineStr">
        <is>
          <t>launch</t>
        </is>
      </c>
      <c r="B86" s="157" t="n">
        <v>287</v>
      </c>
      <c r="C86" s="158" t="n">
        <v>2642413.14</v>
      </c>
      <c r="D86" s="259" t="n">
        <v>105671.0769230769</v>
      </c>
      <c r="E86" s="227" t="n">
        <v>8505</v>
      </c>
      <c r="F86" s="161" t="n">
        <v>0.0292</v>
      </c>
      <c r="G86" s="303" t="n">
        <v>310.69</v>
      </c>
      <c r="H86" s="160" t="n">
        <v>75422</v>
      </c>
      <c r="I86" s="163" t="n">
        <v>4.2</v>
      </c>
    </row>
    <row r="87">
      <c r="A87" s="209" t="inlineStr">
        <is>
          <t>vgate</t>
        </is>
      </c>
      <c r="B87" s="157" t="n">
        <v>34</v>
      </c>
      <c r="C87" s="158" t="n">
        <v>287201.08</v>
      </c>
      <c r="D87" s="259" t="n">
        <v>69779.07692307692</v>
      </c>
      <c r="E87" s="227" t="n">
        <v>7189</v>
      </c>
      <c r="F87" s="161" t="n">
        <v>0.0247</v>
      </c>
      <c r="G87" s="303" t="n">
        <v>39.95</v>
      </c>
      <c r="H87" s="160" t="n">
        <v>22582</v>
      </c>
      <c r="I87" s="163" t="n">
        <v>4.4</v>
      </c>
    </row>
    <row r="88">
      <c r="A88" s="200" t="inlineStr">
        <is>
          <t>vdiagtool</t>
        </is>
      </c>
      <c r="B88" s="201" t="n">
        <v>10</v>
      </c>
      <c r="C88" s="202" t="n">
        <v>188103.62</v>
      </c>
      <c r="D88" s="261" t="n">
        <v>54706.15384615384</v>
      </c>
      <c r="E88" s="229" t="n">
        <v>7004</v>
      </c>
      <c r="F88" s="205" t="n">
        <v>0.0241</v>
      </c>
      <c r="G88" s="305" t="n">
        <v>26.86</v>
      </c>
      <c r="H88" s="204" t="n">
        <v>4162</v>
      </c>
      <c r="I88" s="207" t="n">
        <v>4.5</v>
      </c>
    </row>
    <row r="89">
      <c r="A89" s="155" t="inlineStr">
        <is>
          <t>fixd</t>
        </is>
      </c>
      <c r="B89" s="157" t="n">
        <v>3</v>
      </c>
      <c r="C89" s="158" t="n">
        <v>504400.77</v>
      </c>
      <c r="D89" s="259" t="n">
        <v>109849.8461538462</v>
      </c>
      <c r="E89" s="227" t="n">
        <v>6873</v>
      </c>
      <c r="F89" s="161" t="n">
        <v>0.0236</v>
      </c>
      <c r="G89" s="303" t="n">
        <v>73.39</v>
      </c>
      <c r="H89" s="160" t="n">
        <v>37525</v>
      </c>
      <c r="I89" s="163" t="n">
        <v>4.1</v>
      </c>
    </row>
    <row r="90">
      <c r="A90" s="155" t="inlineStr">
        <is>
          <t>xtool</t>
        </is>
      </c>
      <c r="B90" s="157" t="n">
        <v>69</v>
      </c>
      <c r="C90" s="158" t="n">
        <v>1544861.27</v>
      </c>
      <c r="D90" s="259" t="n">
        <v>63385.84615384616</v>
      </c>
      <c r="E90" s="227" t="n">
        <v>6209</v>
      </c>
      <c r="F90" s="161" t="n">
        <v>0.0213</v>
      </c>
      <c r="G90" s="303" t="n">
        <v>248.81</v>
      </c>
      <c r="H90" s="160" t="n">
        <v>11932</v>
      </c>
      <c r="I90" s="163" t="n">
        <v>4.4</v>
      </c>
    </row>
    <row r="91">
      <c r="A91" s="209" t="inlineStr">
        <is>
          <t>bbfly</t>
        </is>
      </c>
      <c r="B91" s="157" t="n">
        <v>28</v>
      </c>
      <c r="C91" s="158" t="n">
        <v>78945.86</v>
      </c>
      <c r="D91" s="259" t="n">
        <v>41416.61538461538</v>
      </c>
      <c r="E91" s="227" t="n">
        <v>3807</v>
      </c>
      <c r="F91" s="161" t="n">
        <v>0.0131</v>
      </c>
      <c r="G91" s="303" t="n">
        <v>20.74</v>
      </c>
      <c r="H91" s="160" t="n">
        <v>15699</v>
      </c>
      <c r="I91" s="163" t="n">
        <v>4.4</v>
      </c>
    </row>
    <row r="92" customFormat="1" s="210">
      <c r="A92" s="250" t="inlineStr">
        <is>
          <t>blcktec</t>
        </is>
      </c>
      <c r="B92" s="251" t="n">
        <v>7</v>
      </c>
      <c r="C92" s="253" t="n">
        <v>440783.7</v>
      </c>
      <c r="D92" s="262" t="n">
        <v>48503.07692307692</v>
      </c>
      <c r="E92" s="263" t="n">
        <v>3717</v>
      </c>
      <c r="F92" s="255" t="n">
        <v>0.0128</v>
      </c>
      <c r="G92" s="306" t="n">
        <v>118.59</v>
      </c>
      <c r="H92" s="254" t="n">
        <v>7978</v>
      </c>
      <c r="I92" s="257" t="n">
        <v>4.4</v>
      </c>
    </row>
    <row r="93">
      <c r="A93" s="200" t="inlineStr">
        <is>
          <t>ohp</t>
        </is>
      </c>
      <c r="B93" s="201" t="n">
        <v>6</v>
      </c>
      <c r="C93" s="202" t="n">
        <v>114243.77</v>
      </c>
      <c r="D93" s="261" t="n">
        <v>24694.15384615385</v>
      </c>
      <c r="E93" s="229" t="n">
        <v>3364</v>
      </c>
      <c r="F93" s="205" t="n">
        <v>0.0116</v>
      </c>
      <c r="G93" s="305" t="n">
        <v>33.96</v>
      </c>
      <c r="H93" s="204" t="n">
        <v>6954</v>
      </c>
      <c r="I93" s="207" t="n">
        <v>4.3</v>
      </c>
    </row>
    <row r="94" customFormat="1" s="208">
      <c r="A94" s="200" t="inlineStr">
        <is>
          <t>generic</t>
        </is>
      </c>
      <c r="B94" s="201" t="n">
        <v>201</v>
      </c>
      <c r="C94" s="202" t="n">
        <v>685242.95</v>
      </c>
      <c r="D94" s="261" t="n">
        <v>20998.15384615385</v>
      </c>
      <c r="E94" s="229" t="n">
        <v>3301</v>
      </c>
      <c r="F94" s="205" t="n">
        <v>0.0113</v>
      </c>
      <c r="G94" s="305" t="n">
        <v>207.59</v>
      </c>
      <c r="H94" s="204" t="n">
        <v>1343</v>
      </c>
      <c r="I94" s="207" t="n">
        <v>4</v>
      </c>
    </row>
    <row r="95">
      <c r="A95" s="155" t="inlineStr">
        <is>
          <t>thinkcar</t>
        </is>
      </c>
      <c r="B95" s="157" t="n">
        <v>22</v>
      </c>
      <c r="C95" s="158" t="n">
        <v>843205.54</v>
      </c>
      <c r="D95" s="259" t="n">
        <v>32651.07692307692</v>
      </c>
      <c r="E95" s="227" t="n">
        <v>3049</v>
      </c>
      <c r="F95" s="161" t="n">
        <v>0.0105</v>
      </c>
      <c r="G95" s="303" t="n">
        <v>276.55</v>
      </c>
      <c r="H95" s="160" t="n">
        <v>13351</v>
      </c>
      <c r="I95" s="163" t="n">
        <v>4.4</v>
      </c>
    </row>
    <row r="96">
      <c r="A96" s="155" t="inlineStr">
        <is>
          <t>ikkegol</t>
        </is>
      </c>
      <c r="B96" s="157" t="n">
        <v>55</v>
      </c>
      <c r="C96" s="158" t="n">
        <v>32834.43</v>
      </c>
      <c r="D96" s="259" t="n">
        <v>22034.76923076923</v>
      </c>
      <c r="E96" s="227" t="n">
        <v>2573</v>
      </c>
      <c r="F96" s="161" t="n">
        <v>0.008800000000000001</v>
      </c>
      <c r="G96" s="303" t="n">
        <v>12.76</v>
      </c>
      <c r="H96" s="160" t="n">
        <v>9869</v>
      </c>
      <c r="I96" s="163" t="n">
        <v>4.3</v>
      </c>
    </row>
    <row r="97">
      <c r="A97" s="155" t="inlineStr">
        <is>
          <t>umeija</t>
        </is>
      </c>
      <c r="B97" s="157" t="n">
        <v>7</v>
      </c>
      <c r="C97" s="158" t="n">
        <v>50730.68</v>
      </c>
      <c r="D97" s="259" t="n">
        <v>44890.15384615384</v>
      </c>
      <c r="E97" s="227" t="n">
        <v>2324</v>
      </c>
      <c r="F97" s="161" t="n">
        <v>0.008</v>
      </c>
      <c r="G97" s="303" t="n">
        <v>21.83</v>
      </c>
      <c r="H97" s="160" t="n">
        <v>10335</v>
      </c>
      <c r="I97" s="163" t="n">
        <v>4.5</v>
      </c>
    </row>
    <row r="98">
      <c r="A98" s="155" t="inlineStr">
        <is>
          <t>bluedriver</t>
        </is>
      </c>
      <c r="B98" s="157" t="n">
        <v>3</v>
      </c>
      <c r="C98" s="158" t="n">
        <v>207440.21</v>
      </c>
      <c r="D98" s="259" t="n">
        <v>145627.3846153846</v>
      </c>
      <c r="E98" s="227" t="n">
        <v>2238</v>
      </c>
      <c r="F98" s="161" t="n">
        <v>0.0077</v>
      </c>
      <c r="G98" s="303" t="n">
        <v>92.69</v>
      </c>
      <c r="H98" s="160" t="n">
        <v>124425</v>
      </c>
      <c r="I98" s="163" t="n">
        <v>4.5</v>
      </c>
    </row>
    <row r="99">
      <c r="A99" s="155" t="inlineStr">
        <is>
          <t>icarsoft</t>
        </is>
      </c>
      <c r="B99" s="157" t="n">
        <v>173</v>
      </c>
      <c r="C99" s="158" t="n">
        <v>434833.8</v>
      </c>
      <c r="D99" s="259" t="n">
        <v>23493.23076923077</v>
      </c>
      <c r="E99" s="227" t="n">
        <v>2225</v>
      </c>
      <c r="F99" s="161" t="n">
        <v>0.0076</v>
      </c>
      <c r="G99" s="303" t="n">
        <v>195.43</v>
      </c>
      <c r="H99" s="160" t="n">
        <v>17140</v>
      </c>
      <c r="I99" s="163" t="n">
        <v>3.9</v>
      </c>
    </row>
    <row r="100">
      <c r="A100" s="155" t="inlineStr">
        <is>
          <t>kingbolen</t>
        </is>
      </c>
      <c r="B100" s="157" t="n">
        <v>25</v>
      </c>
      <c r="C100" s="158" t="n">
        <v>325903.98</v>
      </c>
      <c r="D100" s="259" t="n">
        <v>23099.07692307692</v>
      </c>
      <c r="E100" s="227" t="n">
        <v>2081</v>
      </c>
      <c r="F100" s="161" t="n">
        <v>0.0071</v>
      </c>
      <c r="G100" s="303" t="n">
        <v>156.61</v>
      </c>
      <c r="H100" s="160" t="n">
        <v>5087</v>
      </c>
      <c r="I100" s="163" t="n">
        <v>4.3</v>
      </c>
    </row>
    <row r="101">
      <c r="A101" s="155" t="inlineStr">
        <is>
          <t>parannic</t>
        </is>
      </c>
      <c r="B101" s="157" t="n">
        <v>79</v>
      </c>
      <c r="C101" s="158" t="n">
        <v>61244.15</v>
      </c>
      <c r="D101" s="259" t="n">
        <v>17922.46153846154</v>
      </c>
      <c r="E101" s="227" t="n">
        <v>2039</v>
      </c>
      <c r="F101" s="161" t="n">
        <v>0.007</v>
      </c>
      <c r="G101" s="303" t="n">
        <v>30.04</v>
      </c>
      <c r="H101" s="160" t="n">
        <v>1890</v>
      </c>
      <c r="I101" s="163" t="n">
        <v>4.1</v>
      </c>
    </row>
    <row r="102">
      <c r="A102" s="155" t="inlineStr">
        <is>
          <t>cgsulit</t>
        </is>
      </c>
      <c r="B102" s="157" t="n">
        <v>13</v>
      </c>
      <c r="C102" s="158" t="n">
        <v>78799.55</v>
      </c>
      <c r="D102" s="259" t="n">
        <v>22501.84615384615</v>
      </c>
      <c r="E102" s="227" t="n">
        <v>1876</v>
      </c>
      <c r="F102" s="161" t="n">
        <v>0.0064</v>
      </c>
      <c r="G102" s="303" t="n">
        <v>42</v>
      </c>
      <c r="H102" s="160" t="n">
        <v>6045</v>
      </c>
      <c r="I102" s="163" t="n">
        <v>4.2</v>
      </c>
    </row>
    <row r="103" ht="17" customHeight="1" s="290" thickBot="1">
      <c r="C103" s="6" t="n"/>
      <c r="D103" s="6" t="n"/>
      <c r="E103" s="230" t="n"/>
      <c r="F103" s="7" t="n"/>
      <c r="G103" s="7" t="n"/>
      <c r="I103" s="8" t="n"/>
    </row>
    <row r="104" ht="17" customHeight="1" s="290" thickTop="1">
      <c r="A104" s="9" t="inlineStr">
        <is>
          <t>Total</t>
        </is>
      </c>
      <c r="B104" s="10">
        <f>SUM(B78:B102)</f>
        <v/>
      </c>
      <c r="C104" s="11">
        <f>SUM(C78:C102)</f>
        <v/>
      </c>
      <c r="D104" s="232">
        <f>SUM(D78:D102)</f>
        <v/>
      </c>
      <c r="E104" s="231">
        <f>SUM(E78:E102)</f>
        <v/>
      </c>
      <c r="F104" s="12">
        <f>SUM(F78:F102)</f>
        <v/>
      </c>
      <c r="G104" s="307">
        <f>AVERAGE(G78:G102)</f>
        <v/>
      </c>
      <c r="H104" s="13">
        <f>SUM(H78:H102)</f>
        <v/>
      </c>
      <c r="I104" s="14">
        <f>AVERAGE(I78:I102)</f>
        <v/>
      </c>
    </row>
  </sheetData>
  <mergeCells count="3">
    <mergeCell ref="A45:I45"/>
    <mergeCell ref="A76:I76"/>
    <mergeCell ref="A1:L1"/>
  </mergeCells>
  <conditionalFormatting sqref="C4:L13">
    <cfRule type="expression" priority="1" dxfId="30">
      <formula>C4&lt;0</formula>
    </cfRule>
  </conditionalFormatting>
  <pageMargins left="0.7" right="0.7" top="0.75" bottom="0.75" header="0.3" footer="0.3"/>
  <pageSetup orientation="portrait" horizontalDpi="1200" verticalDpi="1200"/>
  <drawing xmlns:r="http://schemas.openxmlformats.org/officeDocument/2006/relationships" r:id="rId1"/>
  <tableParts count="2">
    <tablePart xmlns:r="http://schemas.openxmlformats.org/officeDocument/2006/relationships" r:id="rId2"/>
    <tablePart xmlns:r="http://schemas.openxmlformats.org/officeDocument/2006/relationships" r:id="rId3"/>
  </tableParts>
</worksheet>
</file>

<file path=xl/worksheets/sheet2.xml><?xml version="1.0" encoding="utf-8"?>
<worksheet xmlns="http://schemas.openxmlformats.org/spreadsheetml/2006/main">
  <sheetPr codeName="Sheet3">
    <outlinePr summaryBelow="1" summaryRight="1"/>
    <pageSetUpPr/>
  </sheetPr>
  <dimension ref="A1:M145"/>
  <sheetViews>
    <sheetView topLeftCell="A3" zoomScale="90" workbookViewId="0">
      <selection activeCell="M20" sqref="M20"/>
    </sheetView>
  </sheetViews>
  <sheetFormatPr baseColWidth="10" defaultColWidth="11.1640625" defaultRowHeight="16"/>
  <cols>
    <col width="9.6640625" customWidth="1" style="290" min="1" max="1"/>
    <col width="12.1640625" customWidth="1" style="290" min="2" max="2"/>
    <col width="38.33203125" customWidth="1" style="290" min="3" max="3"/>
    <col width="13.5" bestFit="1" customWidth="1" style="290" min="4" max="4"/>
    <col width="12.6640625" customWidth="1" style="290" min="5" max="5"/>
    <col width="7" bestFit="1" customWidth="1" style="290" min="6" max="6"/>
    <col width="21.1640625" bestFit="1" customWidth="1" style="290" min="7" max="8"/>
    <col width="12.83203125" bestFit="1" customWidth="1" style="290" min="9" max="9"/>
    <col width="12" bestFit="1" customWidth="1" style="290" min="10" max="10"/>
    <col hidden="1" width="30.6640625" customWidth="1" style="290" min="11" max="11"/>
    <col width="35.6640625" customWidth="1" style="290" min="12" max="12"/>
    <col width="15.33203125" customWidth="1" style="290" min="13" max="13"/>
  </cols>
  <sheetData>
    <row r="1" ht="26" customHeight="1" s="290">
      <c r="A1" s="289" t="inlineStr">
        <is>
          <t>Top 50 Products - April '26 ONLY</t>
        </is>
      </c>
    </row>
    <row r="3" ht="32" customHeight="1" s="290">
      <c r="A3" s="80" t="n"/>
      <c r="B3" s="81" t="inlineStr">
        <is>
          <t>Avg Price</t>
        </is>
      </c>
      <c r="C3" s="81" t="inlineStr">
        <is>
          <t>Avg Price MoM</t>
        </is>
      </c>
      <c r="D3" s="82" t="inlineStr">
        <is>
          <t>Avg Price YoY</t>
        </is>
      </c>
      <c r="E3" s="81" t="inlineStr">
        <is>
          <t>Quantity/Mo</t>
        </is>
      </c>
      <c r="F3" s="84" t="inlineStr">
        <is>
          <t>Qty by %</t>
        </is>
      </c>
      <c r="G3" s="84" t="inlineStr">
        <is>
          <t>Qty MoM</t>
        </is>
      </c>
      <c r="H3" s="82" t="inlineStr">
        <is>
          <t>Qty YoY</t>
        </is>
      </c>
      <c r="I3" s="309" t="inlineStr">
        <is>
          <t>Revenue/Mo</t>
        </is>
      </c>
      <c r="J3" s="126" t="inlineStr">
        <is>
          <t>Revenue by %</t>
        </is>
      </c>
      <c r="K3" s="173" t="n"/>
      <c r="L3" s="126" t="inlineStr">
        <is>
          <t>Revenue MoM</t>
        </is>
      </c>
      <c r="M3" s="310" t="inlineStr">
        <is>
          <t>Revenue YoY</t>
        </is>
      </c>
    </row>
    <row r="4">
      <c r="A4" s="77" t="inlineStr">
        <is>
          <t>Tablets</t>
        </is>
      </c>
      <c r="B4" s="301" t="n">
        <v>381.6736030646516</v>
      </c>
      <c r="C4" s="180" t="n">
        <v>0.07723704343765858</v>
      </c>
      <c r="D4" s="107" t="n">
        <v>0.05081217254132819</v>
      </c>
      <c r="E4" s="99" t="n">
        <v>19056</v>
      </c>
      <c r="F4" s="113" t="n">
        <v>0.1764166751529852</v>
      </c>
      <c r="G4" s="113" t="n">
        <v>-0.03674872365162007</v>
      </c>
      <c r="H4" s="107" t="n">
        <v>0.4001469507714916</v>
      </c>
      <c r="I4" s="76" t="n">
        <v>7273172.18</v>
      </c>
      <c r="J4" s="130" t="n">
        <v>0.5098191557599411</v>
      </c>
      <c r="K4" s="174" t="n"/>
      <c r="L4" s="174" t="n">
        <v>0.03764995702107976</v>
      </c>
      <c r="M4" s="174" t="n">
        <v>0.4712914592173072</v>
      </c>
    </row>
    <row r="5">
      <c r="A5" s="88" t="inlineStr">
        <is>
          <t>Handheld</t>
        </is>
      </c>
      <c r="B5" s="311" t="n">
        <v>54.16107946949976</v>
      </c>
      <c r="C5" s="182" t="n">
        <v>0.04046429328622869</v>
      </c>
      <c r="D5" s="276" t="n">
        <v>0.2990266053189079</v>
      </c>
      <c r="E5" s="277" t="n">
        <v>56852</v>
      </c>
      <c r="F5" s="278" t="n">
        <v>0.5263245600229594</v>
      </c>
      <c r="G5" s="278" t="n">
        <v>-0.1813259604861471</v>
      </c>
      <c r="H5" s="276" t="n">
        <v>-0.0781554027759761</v>
      </c>
      <c r="I5" s="279" t="n">
        <v>3079165.69</v>
      </c>
      <c r="J5" s="280" t="n">
        <v>0.2158367234640081</v>
      </c>
      <c r="K5" s="281" t="n"/>
      <c r="L5" s="281" t="n">
        <v>-0.148198894045437</v>
      </c>
      <c r="M5" s="281" t="n">
        <v>0.1975006577634997</v>
      </c>
    </row>
    <row r="6">
      <c r="A6" s="78" t="inlineStr">
        <is>
          <t>Dongle</t>
        </is>
      </c>
      <c r="B6" s="301" t="n">
        <v>112.8218414658435</v>
      </c>
      <c r="C6" s="180" t="n">
        <v>0.05732991569920109</v>
      </c>
      <c r="D6" s="107" t="n">
        <v>0.4060935731578639</v>
      </c>
      <c r="E6" s="99" t="n">
        <v>25105</v>
      </c>
      <c r="F6" s="113" t="n">
        <v>0.2324171195274818</v>
      </c>
      <c r="G6" s="113" t="n">
        <v>-0.2500821459509514</v>
      </c>
      <c r="H6" s="107" t="n">
        <v>-0.3950165072173892</v>
      </c>
      <c r="I6" s="76" t="n">
        <v>2832392.33</v>
      </c>
      <c r="J6" s="130" t="n">
        <v>0.1985389360686815</v>
      </c>
      <c r="K6" s="174" t="n"/>
      <c r="L6" s="174" t="n">
        <v>-0.2070894185969937</v>
      </c>
      <c r="M6" s="174" t="n">
        <v>-0.1493365989317742</v>
      </c>
    </row>
    <row r="7" ht="32" customHeight="1" s="290">
      <c r="A7" s="89" t="inlineStr">
        <is>
          <t>Other Tools</t>
        </is>
      </c>
      <c r="B7" s="311" t="n">
        <v>154.4046916047973</v>
      </c>
      <c r="C7" s="182" t="n">
        <v>-0.1142249914031841</v>
      </c>
      <c r="D7" s="276" t="n">
        <v>0.01843001764525387</v>
      </c>
      <c r="E7" s="277" t="n">
        <v>7004</v>
      </c>
      <c r="F7" s="278" t="n">
        <v>0.06484164529657369</v>
      </c>
      <c r="G7" s="278" t="n">
        <v>0.02878965922444188</v>
      </c>
      <c r="H7" s="276" t="n">
        <v>0.0966024737748552</v>
      </c>
      <c r="I7" s="279" t="n">
        <v>1081450.46</v>
      </c>
      <c r="J7" s="280" t="n">
        <v>0.07580518470736931</v>
      </c>
      <c r="K7" s="281" t="n"/>
      <c r="L7" s="281" t="n">
        <v>-0.08872383075615475</v>
      </c>
      <c r="M7" s="281" t="n">
        <v>0.1168128767163548</v>
      </c>
    </row>
    <row r="8">
      <c r="A8" s="86" t="inlineStr">
        <is>
          <t>Total</t>
        </is>
      </c>
      <c r="B8" s="312" t="n">
        <v>132.0734760269217</v>
      </c>
      <c r="C8" s="183" t="n">
        <v>0.1119446247871501</v>
      </c>
      <c r="D8" s="118" t="n">
        <v>0.3770758382083461</v>
      </c>
      <c r="E8" s="100" t="n">
        <v>108017</v>
      </c>
      <c r="F8" s="119" t="n">
        <v>1</v>
      </c>
      <c r="G8" s="119" t="n">
        <v>-0.165969176601396</v>
      </c>
      <c r="H8" s="118" t="n">
        <v>-0.1229966062062582</v>
      </c>
      <c r="I8" s="85" t="n">
        <v>14266180.66</v>
      </c>
      <c r="J8" s="132" t="n">
        <v>1</v>
      </c>
      <c r="K8" s="175" t="n"/>
      <c r="L8" s="175" t="n">
        <v>-0.07260390901512148</v>
      </c>
      <c r="M8" s="175" t="n">
        <v>0.2077001836200811</v>
      </c>
    </row>
    <row r="40" ht="26" customHeight="1" s="290">
      <c r="A40" s="289" t="inlineStr">
        <is>
          <t>Rank By Monthly Revenue - Mar '26 ONLY</t>
        </is>
      </c>
    </row>
    <row r="41">
      <c r="A41" s="62" t="inlineStr">
        <is>
          <t>Ranking</t>
        </is>
      </c>
      <c r="B41" s="63" t="inlineStr">
        <is>
          <t>ASIN</t>
        </is>
      </c>
      <c r="C41" s="63" t="inlineStr">
        <is>
          <t>Product Name</t>
        </is>
      </c>
      <c r="D41" s="63" t="inlineStr">
        <is>
          <t>Brand</t>
        </is>
      </c>
      <c r="E41" s="63" t="inlineStr">
        <is>
          <t>Type</t>
        </is>
      </c>
      <c r="F41" s="64" t="inlineStr">
        <is>
          <t>Price</t>
        </is>
      </c>
      <c r="G41" s="65" t="inlineStr">
        <is>
          <t>Est. Monthly Retail Rev</t>
        </is>
      </c>
      <c r="H41" s="66" t="inlineStr">
        <is>
          <t>Est. Monthly Units Sold</t>
        </is>
      </c>
      <c r="I41" s="67" t="inlineStr">
        <is>
          <t># of Reviews</t>
        </is>
      </c>
      <c r="J41" s="313" t="inlineStr">
        <is>
          <t>Avg. Rating</t>
        </is>
      </c>
      <c r="K41" s="313" t="inlineStr">
        <is>
          <t>Column2</t>
        </is>
      </c>
      <c r="L41" s="313" t="inlineStr">
        <is>
          <t>Link</t>
        </is>
      </c>
    </row>
    <row r="42" ht="17" customHeight="1" s="290">
      <c r="A42" s="147" t="n">
        <v>1</v>
      </c>
      <c r="B42" s="148" t="inlineStr">
        <is>
          <t>B07Z481NJM</t>
        </is>
      </c>
      <c r="C42" s="149" t="inlineStr">
        <is>
          <t>Innova 5610 OBD2 Bidirectional Scan Tool - Understand Your Vehicle, Pinpoint What's Wrong, and Complete Your Repairs with Less Headache, Updates Included, US-Based Technical Support</t>
        </is>
      </c>
      <c r="D42" s="149" t="inlineStr">
        <is>
          <t>innova</t>
        </is>
      </c>
      <c r="E42" s="149" t="inlineStr">
        <is>
          <t>Handheld</t>
        </is>
      </c>
      <c r="F42" s="150" t="n">
        <v>292.6118611449452</v>
      </c>
      <c r="G42" s="236" t="n">
        <v>1201171.69</v>
      </c>
      <c r="H42" s="151" t="n">
        <v>4105</v>
      </c>
      <c r="I42" s="151" t="n">
        <v>3435</v>
      </c>
      <c r="J42" s="149" t="n">
        <v>4.4</v>
      </c>
      <c r="K42" s="149" t="inlineStr">
        <is>
          <t>https://amazon.com/dp/B07Z481NJM</t>
        </is>
      </c>
      <c r="L42" s="152">
        <f>HYPERLINK(K42)</f>
        <v/>
      </c>
    </row>
    <row r="43" ht="17" customHeight="1" s="290">
      <c r="A43" s="15" t="n">
        <v>2</v>
      </c>
      <c r="B43" s="16" t="inlineStr">
        <is>
          <t>B07JFRFJG6</t>
        </is>
      </c>
      <c r="C43" s="5" t="inlineStr">
        <is>
          <t>OBDLink MX+ OBD2 Bluetooth Scanner for iPhone, Android, and Windows</t>
        </is>
      </c>
      <c r="D43" s="5" t="inlineStr">
        <is>
          <t>obdlink</t>
        </is>
      </c>
      <c r="E43" s="5" t="inlineStr">
        <is>
          <t>Dongle</t>
        </is>
      </c>
      <c r="F43" s="6" t="n">
        <v>139.9370678733032</v>
      </c>
      <c r="G43" s="20" t="n">
        <v>773152.3</v>
      </c>
      <c r="H43" s="17" t="n">
        <v>5525</v>
      </c>
      <c r="I43" s="17" t="n">
        <v>15161</v>
      </c>
      <c r="J43" s="5" t="n">
        <v>4.6</v>
      </c>
      <c r="K43" s="5" t="inlineStr">
        <is>
          <t>https://amazon.com/dp/B07JFRFJG6</t>
        </is>
      </c>
      <c r="L43" s="211">
        <f>HYPERLINK(K43)</f>
        <v/>
      </c>
    </row>
    <row r="44" ht="17" customFormat="1" customHeight="1" s="26">
      <c r="A44" s="15" t="n">
        <v>3</v>
      </c>
      <c r="B44" s="16" t="inlineStr">
        <is>
          <t>B01G5EA74I</t>
        </is>
      </c>
      <c r="C44" s="5" t="inlineStr">
        <is>
          <t>ANCEL AD310 Classic Enhanced Universal OBD II Scanner Car Engine Fault Code Reader CAN Diagnostic Scan Tool, Read and Clear Error Codes for 1996 or Newer OBD2 Protocol Vehicle (Black)</t>
        </is>
      </c>
      <c r="D44" s="5" t="inlineStr">
        <is>
          <t>ancel</t>
        </is>
      </c>
      <c r="E44" s="5" t="inlineStr">
        <is>
          <t>Handheld</t>
        </is>
      </c>
      <c r="F44" s="6" t="n">
        <v>28.93877341320998</v>
      </c>
      <c r="G44" s="20" t="n">
        <v>763231.21</v>
      </c>
      <c r="H44" s="17" t="n">
        <v>26374</v>
      </c>
      <c r="I44" s="17" t="n">
        <v>63860</v>
      </c>
      <c r="J44" s="5" t="n">
        <v>4.6</v>
      </c>
      <c r="K44" s="5" t="inlineStr">
        <is>
          <t>https://amazon.com/dp/B01G5EA74I</t>
        </is>
      </c>
      <c r="L44" s="211">
        <f>HYPERLINK(K44)</f>
        <v/>
      </c>
    </row>
    <row r="45" ht="17" customHeight="1" s="290">
      <c r="A45" s="15" t="n">
        <v>4</v>
      </c>
      <c r="B45" s="16" t="inlineStr">
        <is>
          <t>B0744B55QV</t>
        </is>
      </c>
      <c r="C45" s="5" t="inlineStr">
        <is>
          <t>Autel Scanner MaxiCOM MK808S: 2026 Bidirectional Tool as MX808S MK808BT Pro M808Z, Work as MaxiCheck MX900 MK900BT, 28+ Service, 3000+ Active Tests, All System OBD2 Diagnostics, OS 11, 10X Faster</t>
        </is>
      </c>
      <c r="D45" s="5" t="inlineStr">
        <is>
          <t>autel</t>
        </is>
      </c>
      <c r="E45" s="5" t="inlineStr">
        <is>
          <t>Tablet</t>
        </is>
      </c>
      <c r="F45" s="6" t="n">
        <v>455.0867040358744</v>
      </c>
      <c r="G45" s="20" t="n">
        <v>608906.01</v>
      </c>
      <c r="H45" s="17" t="n">
        <v>1338</v>
      </c>
      <c r="I45" s="17" t="n">
        <v>3847</v>
      </c>
      <c r="J45" s="5" t="n">
        <v>4.4</v>
      </c>
      <c r="K45" s="5" t="inlineStr">
        <is>
          <t>https://amazon.com/dp/B0744B55QV</t>
        </is>
      </c>
      <c r="L45" s="34">
        <f>HYPERLINK(K45)</f>
        <v/>
      </c>
    </row>
    <row r="46" ht="17" customHeight="1" s="290">
      <c r="A46" s="15" t="n">
        <v>5</v>
      </c>
      <c r="B46" s="16" t="inlineStr">
        <is>
          <t>B098PYB8XG</t>
        </is>
      </c>
      <c r="C46" s="5" t="inlineStr">
        <is>
          <t>Autel Scanner MaxiCOM MK900BT, 2026 MK900-BT V2.0 Bidirectional Diagnostic Tool, 8in Up of MK900 MX900 MK808S MK808BT MX808S MK808Z, 3000+ Active Tests, 40+ Service, CAN-FD&amp;DOIP, All System, FCA 11 OS</t>
        </is>
      </c>
      <c r="D46" s="5" t="inlineStr">
        <is>
          <t>autel</t>
        </is>
      </c>
      <c r="E46" s="5" t="inlineStr">
        <is>
          <t>Tablet</t>
        </is>
      </c>
      <c r="F46" s="6" t="n">
        <v>658.7687378640776</v>
      </c>
      <c r="G46" s="20" t="n">
        <v>542825.4399999999</v>
      </c>
      <c r="H46" s="17" t="n">
        <v>824</v>
      </c>
      <c r="I46" s="17" t="n">
        <v>708</v>
      </c>
      <c r="J46" s="5" t="n">
        <v>4.5</v>
      </c>
      <c r="K46" s="5" t="inlineStr">
        <is>
          <t>https://amazon.com/dp/B098PYB8XG</t>
        </is>
      </c>
      <c r="L46" s="153">
        <f>HYPERLINK(K46)</f>
        <v/>
      </c>
    </row>
    <row r="47" ht="17" customHeight="1" s="290">
      <c r="A47" s="15" t="n">
        <v>6</v>
      </c>
      <c r="B47" s="16" t="inlineStr">
        <is>
          <t>B0BPYPNDVP</t>
        </is>
      </c>
      <c r="C47" s="5" t="inlineStr">
        <is>
          <t>Diesel Laptops Nexiq USB Link 3 Wired Edition with Repair Information &amp; Diagnostic Software</t>
        </is>
      </c>
      <c r="D47" s="5" t="inlineStr">
        <is>
          <t>diesel laptops</t>
        </is>
      </c>
      <c r="E47" s="5" t="inlineStr">
        <is>
          <t>VCI</t>
        </is>
      </c>
      <c r="F47" s="6" t="n">
        <v>749.3213831478538</v>
      </c>
      <c r="G47" s="20" t="n">
        <v>471323.15</v>
      </c>
      <c r="H47" s="17" t="n">
        <v>629</v>
      </c>
      <c r="I47" s="17" t="n">
        <v>252</v>
      </c>
      <c r="J47" s="5" t="n">
        <v>4.6</v>
      </c>
      <c r="K47" s="5" t="inlineStr">
        <is>
          <t>https://amazon.com/dp/B0BPYPNDVP</t>
        </is>
      </c>
      <c r="L47" s="34">
        <f>HYPERLINK(K47)</f>
        <v/>
      </c>
    </row>
    <row r="48" ht="17" customHeight="1" s="290">
      <c r="A48" s="15" t="n">
        <v>7</v>
      </c>
      <c r="B48" s="16" t="inlineStr">
        <is>
          <t>B081VQVD3F</t>
        </is>
      </c>
      <c r="C48" s="5" t="inlineStr">
        <is>
          <t>OBDLink EX FORScan OBD Adapter</t>
        </is>
      </c>
      <c r="D48" s="5" t="inlineStr">
        <is>
          <t>obdlink</t>
        </is>
      </c>
      <c r="E48" s="5" t="inlineStr">
        <is>
          <t>Cable/Adapter</t>
        </is>
      </c>
      <c r="F48" s="6" t="n">
        <v>69.9357231857215</v>
      </c>
      <c r="G48" s="20" t="n">
        <v>415348.26</v>
      </c>
      <c r="H48" s="17" t="n">
        <v>5939</v>
      </c>
      <c r="I48" s="17" t="n">
        <v>9945</v>
      </c>
      <c r="J48" s="5" t="n">
        <v>4.8</v>
      </c>
      <c r="K48" s="5" t="inlineStr">
        <is>
          <t>https://amazon.com/dp/B081VQVD3F</t>
        </is>
      </c>
      <c r="L48" s="34">
        <f>HYPERLINK(K48)</f>
        <v/>
      </c>
    </row>
    <row r="49" ht="17" customHeight="1" s="290">
      <c r="A49" s="15" t="n">
        <v>8</v>
      </c>
      <c r="B49" s="16" t="inlineStr">
        <is>
          <t>B08PFJMTY3</t>
        </is>
      </c>
      <c r="C49" s="5" t="inlineStr">
        <is>
          <t>FOXWELL Car Scanner NT604 Elite OBD2 Scanner ABS SRS Transmission, Check Engine Code Reader for Cars and Trucks, Diagnostic Scan Tool with SRS Airbag, Automotive Diagnostic Tool with Live Data</t>
        </is>
      </c>
      <c r="D49" s="5" t="inlineStr">
        <is>
          <t>foxwell</t>
        </is>
      </c>
      <c r="E49" s="5" t="inlineStr">
        <is>
          <t>Tablet</t>
        </is>
      </c>
      <c r="F49" s="6" t="n">
        <v>151.7840725806452</v>
      </c>
      <c r="G49" s="20" t="n">
        <v>414066.95</v>
      </c>
      <c r="H49" s="17" t="n">
        <v>2728</v>
      </c>
      <c r="I49" s="17" t="n">
        <v>4855</v>
      </c>
      <c r="J49" s="5" t="n">
        <v>4.4</v>
      </c>
      <c r="K49" s="5" t="inlineStr">
        <is>
          <t>https://amazon.com/dp/B08PFJMTY3</t>
        </is>
      </c>
      <c r="L49" s="34">
        <f>HYPERLINK(K49)</f>
        <v/>
      </c>
    </row>
    <row r="50" ht="17" customHeight="1" s="290">
      <c r="A50" s="15" t="n">
        <v>9</v>
      </c>
      <c r="B50" s="16" t="inlineStr">
        <is>
          <t>B0DTK24XKB</t>
        </is>
      </c>
      <c r="C50" s="5" t="inlineStr">
        <is>
          <t>MUCAR 892BT AI-Assisted Bidirectional Scan Tool, Full System OBD2 Scanner, Bi-Directional OBD2 Scanner Diagnostic Tool,ECU Coding, 35 Services, FCA Autoauth, CANFD and DOIP, Free Lifetime Upgrade</t>
        </is>
      </c>
      <c r="D50" s="5" t="inlineStr">
        <is>
          <t>mucar</t>
        </is>
      </c>
      <c r="E50" s="5" t="inlineStr">
        <is>
          <t>Tablet</t>
        </is>
      </c>
      <c r="F50" s="6" t="n">
        <v>644.8325789473685</v>
      </c>
      <c r="G50" s="20" t="n">
        <v>367554.57</v>
      </c>
      <c r="H50" s="17" t="n">
        <v>570</v>
      </c>
      <c r="I50" s="17" t="n">
        <v>394</v>
      </c>
      <c r="J50" s="5" t="n">
        <v>4.3</v>
      </c>
      <c r="K50" s="5" t="inlineStr">
        <is>
          <t>https://amazon.com/dp/B0DTK24XKB</t>
        </is>
      </c>
      <c r="L50" s="211">
        <f>HYPERLINK(K50)</f>
        <v/>
      </c>
    </row>
    <row r="51" ht="17" customHeight="1" s="290">
      <c r="A51" s="15" t="n">
        <v>10</v>
      </c>
      <c r="B51" s="16" t="inlineStr">
        <is>
          <t>B0C33Y285Y</t>
        </is>
      </c>
      <c r="C51" s="5" t="inlineStr">
        <is>
          <t>TOPDON Bidirectional Scan Tool, 2026 New ArtiDiag900 Lite Automotive Diagnostic Tool for Full System, Scanner for Car with Active Test, 8 Reset, Wireless OBD2 Scanner Diagnostic Tool for All Vehicles</t>
        </is>
      </c>
      <c r="D51" s="5" t="inlineStr">
        <is>
          <t>topdon</t>
        </is>
      </c>
      <c r="E51" s="5" t="inlineStr">
        <is>
          <t>Tablet</t>
        </is>
      </c>
      <c r="F51" s="6" t="n">
        <v>318.9840625</v>
      </c>
      <c r="G51" s="20" t="n">
        <v>367469.64</v>
      </c>
      <c r="H51" s="17" t="n">
        <v>1152</v>
      </c>
      <c r="I51" s="17" t="n">
        <v>1230</v>
      </c>
      <c r="J51" s="5" t="n">
        <v>4.3</v>
      </c>
      <c r="K51" s="5" t="inlineStr">
        <is>
          <t>https://amazon.com/dp/B0C33Y285Y</t>
        </is>
      </c>
      <c r="L51" s="34">
        <f>HYPERLINK(K51)</f>
        <v/>
      </c>
    </row>
    <row r="52" ht="17" customHeight="1" s="290">
      <c r="A52" s="15" t="n">
        <v>11</v>
      </c>
      <c r="B52" s="16" t="inlineStr">
        <is>
          <t>B00UJV3E12</t>
        </is>
      </c>
      <c r="C52" s="5" t="inlineStr">
        <is>
          <t>FOXWELL NT301 OBD2 Scanner Live Data Professional Mechanic OBDII Diagnostic Code Reader Tool for Check Engine Light</t>
        </is>
      </c>
      <c r="D52" s="5" t="inlineStr">
        <is>
          <t>foxwell</t>
        </is>
      </c>
      <c r="E52" s="5" t="inlineStr">
        <is>
          <t>Handheld</t>
        </is>
      </c>
      <c r="F52" s="6" t="n">
        <v>65.66388878793386</v>
      </c>
      <c r="G52" s="20" t="n">
        <v>361348.38</v>
      </c>
      <c r="H52" s="17" t="n">
        <v>5503</v>
      </c>
      <c r="I52" s="17" t="n">
        <v>29739</v>
      </c>
      <c r="J52" s="5" t="n">
        <v>4.5</v>
      </c>
      <c r="K52" s="5" t="inlineStr">
        <is>
          <t>https://amazon.com/dp/B00UJV3E12</t>
        </is>
      </c>
      <c r="L52" s="211">
        <f>HYPERLINK(K52)</f>
        <v/>
      </c>
    </row>
    <row r="53" ht="17" customHeight="1" s="290">
      <c r="A53" s="212" t="n">
        <v>12</v>
      </c>
      <c r="B53" s="218" t="inlineStr">
        <is>
          <t>B0GK9G6YDL</t>
        </is>
      </c>
      <c r="C53" s="213" t="inlineStr">
        <is>
          <t>TOPDON ONE Bidirectional Scan Tool, 10.1" OBD2 Scanner with J2534 Pass-Thru and ECU Coding, Over 50 Resets, Topology Mapping Car Diagnostic Tool for All Vehicles</t>
        </is>
      </c>
      <c r="D53" s="213" t="inlineStr">
        <is>
          <t>topdon</t>
        </is>
      </c>
      <c r="E53" s="213" t="inlineStr">
        <is>
          <t>Tablet</t>
        </is>
      </c>
      <c r="F53" s="216" t="n">
        <v>745.0893534482759</v>
      </c>
      <c r="G53" s="237" t="n">
        <v>345721.46</v>
      </c>
      <c r="H53" s="217" t="n">
        <v>464</v>
      </c>
      <c r="I53" s="217" t="n">
        <v>90</v>
      </c>
      <c r="J53" s="213" t="n">
        <v>4.7</v>
      </c>
      <c r="K53" s="213" t="inlineStr">
        <is>
          <t>https://amazon.com/dp/B0GK9G6YDL</t>
        </is>
      </c>
      <c r="L53" s="211">
        <f>HYPERLINK(K53)</f>
        <v/>
      </c>
    </row>
    <row r="54" ht="17" customHeight="1" s="290">
      <c r="A54" s="15" t="n">
        <v>13</v>
      </c>
      <c r="B54" s="16" t="inlineStr">
        <is>
          <t>B0DCFRF2TF</t>
        </is>
      </c>
      <c r="C54" s="5" t="inlineStr">
        <is>
          <t>THINKCAR Bidirectional Scan Tool, THINKSCAN 689BT All System Automotive Diagnostic Tool, Bi Directional OBD2 Scanner with ECU Coding, 34 Services, FCA Autoauth, CANFD and DoIP, Wireless Update</t>
        </is>
      </c>
      <c r="D54" s="5" t="inlineStr">
        <is>
          <t>thinkcar</t>
        </is>
      </c>
      <c r="E54" s="5" t="inlineStr">
        <is>
          <t>Tablet</t>
        </is>
      </c>
      <c r="F54" s="6" t="n">
        <v>536.3024100156495</v>
      </c>
      <c r="G54" s="20" t="n">
        <v>342697.24</v>
      </c>
      <c r="H54" s="17" t="n">
        <v>639</v>
      </c>
      <c r="I54" s="17" t="n">
        <v>574</v>
      </c>
      <c r="J54" s="5" t="n">
        <v>4.5</v>
      </c>
      <c r="K54" s="5" t="inlineStr">
        <is>
          <t>https://amazon.com/dp/B0DCFRF2TF</t>
        </is>
      </c>
      <c r="L54" s="211">
        <f>HYPERLINK(K54)</f>
        <v/>
      </c>
    </row>
    <row r="55" ht="17" customHeight="1" s="290">
      <c r="A55" s="15" t="n">
        <v>14</v>
      </c>
      <c r="B55" s="16" t="inlineStr">
        <is>
          <t>B0DV2N2FND</t>
        </is>
      </c>
      <c r="C55" s="5" t="inlineStr">
        <is>
          <t>BLCKTEC 460T OBD2 Scanner Car Code Reader Engine ABS SRS Transmission Diagnostic Tool, 12 Reset Services, Oil/TPMS/EPB/BMS/SAS/DPF/Throttle Reset, ABS Bleeding, Battery Test, Auto VIN, Free Update</t>
        </is>
      </c>
      <c r="D55" s="5" t="inlineStr">
        <is>
          <t>blcktec</t>
        </is>
      </c>
      <c r="E55" s="5" t="inlineStr">
        <is>
          <t>Tablet</t>
        </is>
      </c>
      <c r="F55" s="6" t="n">
        <v>189.17418997669</v>
      </c>
      <c r="G55" s="20" t="n">
        <v>324622.91</v>
      </c>
      <c r="H55" s="17" t="n">
        <v>1716</v>
      </c>
      <c r="I55" s="17" t="n">
        <v>608</v>
      </c>
      <c r="J55" s="5" t="n">
        <v>4.4</v>
      </c>
      <c r="K55" s="5" t="inlineStr">
        <is>
          <t>https://amazon.com/dp/B0DV2N2FND</t>
        </is>
      </c>
      <c r="L55" s="34">
        <f>HYPERLINK(K55)</f>
        <v/>
      </c>
    </row>
    <row r="56" ht="17" customHeight="1" s="290">
      <c r="A56" s="15" t="n">
        <v>15</v>
      </c>
      <c r="B56" s="16" t="inlineStr">
        <is>
          <t>B091BQNR3S</t>
        </is>
      </c>
      <c r="C56" s="5" t="inlineStr">
        <is>
          <t>TOPDON Phoenix Plus 2, ECU Coding TOPDON Scanner V2.0, Bidirectional Scan Tool, Topology Map, CANFD, High-End OEM Full System, 42+ Service, FCA SGW AutoAuth, V.A.G Guided, 2 Years Free Update</t>
        </is>
      </c>
      <c r="D56" s="5" t="inlineStr">
        <is>
          <t>topdon</t>
        </is>
      </c>
      <c r="E56" s="5" t="inlineStr">
        <is>
          <t>Tablet</t>
        </is>
      </c>
      <c r="F56" s="6" t="n">
        <v>1014.280512820513</v>
      </c>
      <c r="G56" s="20" t="n">
        <v>276898.58</v>
      </c>
      <c r="H56" s="17" t="n">
        <v>273</v>
      </c>
      <c r="I56" s="17" t="n">
        <v>492</v>
      </c>
      <c r="J56" s="5" t="n">
        <v>4.4</v>
      </c>
      <c r="K56" s="5" t="inlineStr">
        <is>
          <t>https://amazon.com/dp/B091BQNR3S</t>
        </is>
      </c>
      <c r="L56" s="34">
        <f>HYPERLINK(K56)</f>
        <v/>
      </c>
    </row>
    <row r="57" ht="17" customFormat="1" customHeight="1" s="210">
      <c r="A57" s="15" t="n">
        <v>16</v>
      </c>
      <c r="B57" s="16" t="inlineStr">
        <is>
          <t>B0BSFTHFC1</t>
        </is>
      </c>
      <c r="C57" s="5" t="inlineStr">
        <is>
          <t>Diesel Laptops Nexiq USB Link 3 Wireless Edition with Repair Information &amp; Diagnostic Software Bluetooth WiFi</t>
        </is>
      </c>
      <c r="D57" s="5" t="inlineStr">
        <is>
          <t>diesel laptops</t>
        </is>
      </c>
      <c r="E57" s="5" t="inlineStr">
        <is>
          <t>Dongle</t>
        </is>
      </c>
      <c r="F57" s="6" t="n">
        <v>798.2018208092486</v>
      </c>
      <c r="G57" s="20" t="n">
        <v>276177.83</v>
      </c>
      <c r="H57" s="17" t="n">
        <v>346</v>
      </c>
      <c r="I57" s="17" t="n">
        <v>130</v>
      </c>
      <c r="J57" s="5" t="n">
        <v>4.6</v>
      </c>
      <c r="K57" s="5" t="inlineStr">
        <is>
          <t>https://amazon.com/dp/B0BSFTHFC1</t>
        </is>
      </c>
      <c r="L57" s="211">
        <f>HYPERLINK(K57)</f>
        <v/>
      </c>
    </row>
    <row r="58" ht="17" customHeight="1" s="290">
      <c r="A58" s="15" t="n">
        <v>17</v>
      </c>
      <c r="B58" s="16" t="inlineStr">
        <is>
          <t>B07CFVD2P3</t>
        </is>
      </c>
      <c r="C58" s="5" t="inlineStr">
        <is>
          <t>FIXD Bluetooth OBD2 Scanner for iPhone &amp; Android - Diagnostic Scan Tool for Repairs and Car Buying - Check Engine Code Reader &amp; Enhanced Codes - (2 Pack w/Free 14-Day FIXD Premium Bundle)</t>
        </is>
      </c>
      <c r="D58" s="5" t="inlineStr">
        <is>
          <t>fixd</t>
        </is>
      </c>
      <c r="E58" s="5" t="inlineStr">
        <is>
          <t>Dongle</t>
        </is>
      </c>
      <c r="F58" s="6" t="n">
        <v>97.98624688722876</v>
      </c>
      <c r="G58" s="20" t="n">
        <v>275439.34</v>
      </c>
      <c r="H58" s="17" t="n">
        <v>2811</v>
      </c>
      <c r="I58" s="17" t="n">
        <v>1243</v>
      </c>
      <c r="J58" s="5" t="n">
        <v>4.1</v>
      </c>
      <c r="K58" s="5" t="inlineStr">
        <is>
          <t>https://amazon.com/dp/B07CFVD2P3</t>
        </is>
      </c>
      <c r="L58" s="34">
        <f>HYPERLINK(K58)</f>
        <v/>
      </c>
    </row>
    <row r="59" ht="17" customHeight="1" s="290">
      <c r="A59" s="147" t="n">
        <v>18</v>
      </c>
      <c r="B59" s="148" t="inlineStr">
        <is>
          <t>B0BZ82WQ4Q</t>
        </is>
      </c>
      <c r="C59" s="149" t="inlineStr">
        <is>
          <t>ANCEL X7HD 10'' Heavy Duty Truck Scanner, Semi Trucks Full System Diagnostic Tool, Bidirectional Diesel Scan Tool with DPF, ECU Coding, 40+ Reset for Cummins, Detroit, Caterpillar, Volvo, Paccar etc</t>
        </is>
      </c>
      <c r="D59" s="149" t="inlineStr">
        <is>
          <t>ancel</t>
        </is>
      </c>
      <c r="E59" s="149" t="inlineStr">
        <is>
          <t>Tablet</t>
        </is>
      </c>
      <c r="F59" s="150" t="n">
        <v>774.4419436619719</v>
      </c>
      <c r="G59" s="236" t="n">
        <v>274926.89</v>
      </c>
      <c r="H59" s="151" t="n">
        <v>355</v>
      </c>
      <c r="I59" s="151" t="n">
        <v>786</v>
      </c>
      <c r="J59" s="149" t="n">
        <v>3.8</v>
      </c>
      <c r="K59" s="149" t="inlineStr">
        <is>
          <t>https://amazon.com/dp/B0BZ82WQ4Q</t>
        </is>
      </c>
      <c r="L59" s="152">
        <f>HYPERLINK(K59)</f>
        <v/>
      </c>
    </row>
    <row r="60" ht="17" customHeight="1" s="290">
      <c r="A60" s="15" t="n">
        <v>19</v>
      </c>
      <c r="B60" s="16" t="inlineStr">
        <is>
          <t>B0FZ26RBDC</t>
        </is>
      </c>
      <c r="C60" s="5" t="inlineStr">
        <is>
          <t>HPT MPVI4 Diagnostic Code Reader Scanner and Tool</t>
        </is>
      </c>
      <c r="D60" s="5" t="inlineStr">
        <is>
          <t>generic</t>
        </is>
      </c>
      <c r="E60" s="5" t="inlineStr">
        <is>
          <t>Dongle</t>
        </is>
      </c>
      <c r="F60" s="6" t="n">
        <v>399.9256140350877</v>
      </c>
      <c r="G60" s="20" t="n">
        <v>273549.12</v>
      </c>
      <c r="H60" s="17" t="n">
        <v>684</v>
      </c>
      <c r="I60" s="17" t="n">
        <v>139</v>
      </c>
      <c r="J60" s="5" t="n">
        <v>4.8</v>
      </c>
      <c r="K60" s="5" t="inlineStr">
        <is>
          <t>https://amazon.com/dp/B0FZ26RBDC</t>
        </is>
      </c>
      <c r="L60" s="211">
        <f>HYPERLINK(K60)</f>
        <v/>
      </c>
    </row>
    <row r="61" ht="17" customHeight="1" s="290">
      <c r="A61" s="15" t="n">
        <v>20</v>
      </c>
      <c r="B61" s="16" t="inlineStr">
        <is>
          <t>B071FSNL73</t>
        </is>
      </c>
      <c r="C61" s="5" t="inlineStr">
        <is>
          <t>ANCEL AD410 Enhanced OBD2 Scanner, Vehicle Code Reader for Check Engine Light, Automotive OBD II Scanner Fault Diagnosis, OBDII Scan Tool for All OBDII Cars 1996+, Black/Yellow</t>
        </is>
      </c>
      <c r="D61" s="5" t="inlineStr">
        <is>
          <t>ancel</t>
        </is>
      </c>
      <c r="E61" s="5" t="inlineStr">
        <is>
          <t>Handheld</t>
        </is>
      </c>
      <c r="F61" s="6" t="n">
        <v>43.56900433622415</v>
      </c>
      <c r="G61" s="20" t="n">
        <v>261239.75</v>
      </c>
      <c r="H61" s="17" t="n">
        <v>5996</v>
      </c>
      <c r="I61" s="17" t="n">
        <v>15054</v>
      </c>
      <c r="J61" s="5" t="n">
        <v>4.5</v>
      </c>
      <c r="K61" s="5" t="inlineStr">
        <is>
          <t>https://amazon.com/dp/B071FSNL73</t>
        </is>
      </c>
      <c r="L61" s="153">
        <f>HYPERLINK(K61)</f>
        <v/>
      </c>
    </row>
    <row r="62" ht="17" customHeight="1" s="290">
      <c r="A62" s="15" t="n">
        <v>21</v>
      </c>
      <c r="B62" s="5" t="inlineStr">
        <is>
          <t>B08NFLL3NT</t>
        </is>
      </c>
      <c r="C62" s="5" t="inlineStr">
        <is>
          <t>OBDLink CX Bimmercode Bluetooth 5.1 OBD2 Adapter for BMW/Mini, Works with iPhone/iOS &amp; Android, Car Coding, OBD II Diagnostic Scanner</t>
        </is>
      </c>
      <c r="D62" s="5" t="inlineStr">
        <is>
          <t>obdlink</t>
        </is>
      </c>
      <c r="E62" s="5" t="inlineStr">
        <is>
          <t>Dongle</t>
        </is>
      </c>
      <c r="F62" s="6" t="n">
        <v>79.93206907184705</v>
      </c>
      <c r="G62" s="20" t="n">
        <v>259219.7</v>
      </c>
      <c r="H62" s="17" t="n">
        <v>3243</v>
      </c>
      <c r="I62" s="17" t="n">
        <v>4326</v>
      </c>
      <c r="J62" s="5" t="n">
        <v>4.6</v>
      </c>
      <c r="K62" s="5" t="inlineStr">
        <is>
          <t>https://amazon.com/dp/B08NFLL3NT</t>
        </is>
      </c>
      <c r="L62" s="211">
        <f>HYPERLINK(K62)</f>
        <v/>
      </c>
    </row>
    <row r="63" ht="17" customFormat="1" customHeight="1" s="26">
      <c r="A63" s="15" t="n">
        <v>22</v>
      </c>
      <c r="B63" s="5" t="inlineStr">
        <is>
          <t>B07Z3HB7DR</t>
        </is>
      </c>
      <c r="C63" s="5" t="inlineStr">
        <is>
          <t>MOTOPOWER MP69033 Car OBD2 Scanner Code Reader Engine Fault Scanner CAN Diagnostic Scan Tool for All OBD II Protocol Cars Since 1996, Yellow</t>
        </is>
      </c>
      <c r="D63" s="5" t="inlineStr">
        <is>
          <t>motopower</t>
        </is>
      </c>
      <c r="E63" s="5" t="inlineStr">
        <is>
          <t>Handheld</t>
        </is>
      </c>
      <c r="F63" s="6" t="n">
        <v>20.86620090572252</v>
      </c>
      <c r="G63" s="20" t="n">
        <v>253420.01</v>
      </c>
      <c r="H63" s="17" t="n">
        <v>12145</v>
      </c>
      <c r="I63" s="17" t="n">
        <v>50750</v>
      </c>
      <c r="J63" s="5" t="n">
        <v>4.6</v>
      </c>
      <c r="K63" s="5" t="inlineStr">
        <is>
          <t>https://amazon.com/dp/B07Z3HB7DR</t>
        </is>
      </c>
      <c r="L63" s="211">
        <f>HYPERLINK(K63)</f>
        <v/>
      </c>
    </row>
    <row r="64" ht="17" customHeight="1" s="290">
      <c r="A64" s="15" t="n">
        <v>23</v>
      </c>
      <c r="B64" s="5" t="inlineStr">
        <is>
          <t>B09KZTYD18</t>
        </is>
      </c>
      <c r="C64" s="5" t="inlineStr">
        <is>
          <t>OBD2 Scanner TOPDON AD600S Scan Tool, Code Reader, Diagnostics Scanner for ABS/SRS/AT/Engine, 9 Reset Services, Oil/Brake/BMS/SAS/DPF/TPMS/ETS Reset/ABS Bleeding/Injector Coding, Free Lifetime Upgrade</t>
        </is>
      </c>
      <c r="D64" s="5" t="inlineStr">
        <is>
          <t>topdon</t>
        </is>
      </c>
      <c r="E64" s="5" t="inlineStr">
        <is>
          <t>Tablet</t>
        </is>
      </c>
      <c r="F64" s="6" t="n">
        <v>194.0666122766123</v>
      </c>
      <c r="G64" s="20" t="n">
        <v>249763.73</v>
      </c>
      <c r="H64" s="17" t="n">
        <v>1287</v>
      </c>
      <c r="I64" s="17" t="n">
        <v>1836</v>
      </c>
      <c r="J64" s="5" t="n">
        <v>4.5</v>
      </c>
      <c r="K64" s="5" t="inlineStr">
        <is>
          <t>https://amazon.com/dp/B09KZTYD18</t>
        </is>
      </c>
      <c r="L64" s="211">
        <f>HYPERLINK(K64)</f>
        <v/>
      </c>
    </row>
    <row r="65" ht="17" customHeight="1" s="290">
      <c r="A65" s="15" t="n">
        <v>24</v>
      </c>
      <c r="B65" s="5" t="inlineStr">
        <is>
          <t>B07Z46L5FG</t>
        </is>
      </c>
      <c r="C65" s="5" t="inlineStr">
        <is>
          <t>Innova 5210 OBD2 Scanner &amp; Engine Code Reader, Battery Tester, Live Data, Oil Reset, Car Diagnostic Tool for Most Vehicles, Bluetooth Compatible with America's Top Car Repair App</t>
        </is>
      </c>
      <c r="D65" s="5" t="inlineStr">
        <is>
          <t>innova</t>
        </is>
      </c>
      <c r="E65" s="5" t="inlineStr">
        <is>
          <t>Handheld</t>
        </is>
      </c>
      <c r="F65" s="6" t="n">
        <v>87.48796262367168</v>
      </c>
      <c r="G65" s="20" t="n">
        <v>238754.65</v>
      </c>
      <c r="H65" s="17" t="n">
        <v>2729</v>
      </c>
      <c r="I65" s="17" t="n">
        <v>3977</v>
      </c>
      <c r="J65" s="5" t="n">
        <v>4.5</v>
      </c>
      <c r="K65" s="5" t="inlineStr">
        <is>
          <t>https://amazon.com/dp/B07Z46L5FG</t>
        </is>
      </c>
      <c r="L65" s="34">
        <f>HYPERLINK(K65)</f>
        <v/>
      </c>
    </row>
    <row r="66" ht="17" customHeight="1" s="290">
      <c r="A66" s="15" t="n">
        <v>25</v>
      </c>
      <c r="B66" s="5" t="inlineStr">
        <is>
          <t>B08TR5PS5V</t>
        </is>
      </c>
      <c r="C66" s="5" t="inlineStr">
        <is>
          <t>TOPDON AD800BT 2 OBD2 Scanner, 2026 Bidirectional Scan Tool, Function as AD900 Lite AD Pro, All System Automotive Diagnostic Scanner, Active Test, 28+ Reset Service, FCA Autoauth, 2 Years Free Update</t>
        </is>
      </c>
      <c r="D66" s="5" t="inlineStr">
        <is>
          <t>topdon</t>
        </is>
      </c>
      <c r="E66" s="5" t="inlineStr">
        <is>
          <t>Tablet</t>
        </is>
      </c>
      <c r="F66" s="6" t="n">
        <v>330.3861891117479</v>
      </c>
      <c r="G66" s="20" t="n">
        <v>230609.56</v>
      </c>
      <c r="H66" s="17" t="n">
        <v>698</v>
      </c>
      <c r="I66" s="17" t="n">
        <v>828</v>
      </c>
      <c r="J66" s="5" t="n">
        <v>4.4</v>
      </c>
      <c r="K66" s="5" t="inlineStr">
        <is>
          <t>https://amazon.com/dp/B08TR5PS5V</t>
        </is>
      </c>
      <c r="L66" s="34">
        <f>HYPERLINK(K66)</f>
        <v/>
      </c>
    </row>
    <row r="67" ht="17" customHeight="1" s="290">
      <c r="A67" s="15" t="n">
        <v>26</v>
      </c>
      <c r="B67" s="5" t="inlineStr">
        <is>
          <t>B0BNKHCXVC</t>
        </is>
      </c>
      <c r="C67" s="5" t="inlineStr">
        <is>
          <t>TOPDON ArtiDiag Pro OBD2 Scanner Diagnostic Tool, Bidirectional Scan Tool with ECU Coding, 35+ Services, V.A.G Guided, FCA SGW, Can FD DoIP/All System Diagnosis</t>
        </is>
      </c>
      <c r="D67" s="5" t="inlineStr">
        <is>
          <t>topdon</t>
        </is>
      </c>
      <c r="E67" s="5" t="inlineStr">
        <is>
          <t>Tablet</t>
        </is>
      </c>
      <c r="F67" s="6" t="n">
        <v>429.9311553030303</v>
      </c>
      <c r="G67" s="20" t="n">
        <v>227003.65</v>
      </c>
      <c r="H67" s="17" t="n">
        <v>528</v>
      </c>
      <c r="I67" s="17" t="n">
        <v>774</v>
      </c>
      <c r="J67" s="5" t="n">
        <v>4.3</v>
      </c>
      <c r="K67" s="5" t="inlineStr">
        <is>
          <t>https://amazon.com/dp/B0BNKHCXVC</t>
        </is>
      </c>
      <c r="L67" s="34">
        <f>HYPERLINK(K67)</f>
        <v/>
      </c>
    </row>
    <row r="68" ht="17" customHeight="1" s="290">
      <c r="A68" s="15" t="n">
        <v>27</v>
      </c>
      <c r="B68" s="5" t="inlineStr">
        <is>
          <t>B08ML7T7KZ</t>
        </is>
      </c>
      <c r="C68" s="5" t="inlineStr">
        <is>
          <t>Autel Scanner MaxiCheck MX808S, 2026 US Ver. of MaxiCOM MK808S MK808Z, Bidirectional 3000+ Active Test 11OS as MK900 MK900BT MX900, 28+ Service, OE All Systems OBD2 Diagnostic Tool, FCA, 10X Faster</t>
        </is>
      </c>
      <c r="D68" s="5" t="inlineStr">
        <is>
          <t>autel</t>
        </is>
      </c>
      <c r="E68" s="5" t="inlineStr">
        <is>
          <t>Tablet</t>
        </is>
      </c>
      <c r="F68" s="6" t="n">
        <v>430.9935983263599</v>
      </c>
      <c r="G68" s="20" t="n">
        <v>206014.94</v>
      </c>
      <c r="H68" s="17" t="n">
        <v>478</v>
      </c>
      <c r="I68" s="17" t="n">
        <v>711</v>
      </c>
      <c r="J68" s="5" t="n">
        <v>4.7</v>
      </c>
      <c r="K68" s="5" t="inlineStr">
        <is>
          <t>https://amazon.com/dp/B08ML7T7KZ</t>
        </is>
      </c>
      <c r="L68" s="34">
        <f>HYPERLINK(K68)</f>
        <v/>
      </c>
    </row>
    <row r="69" ht="17" customFormat="1" customHeight="1" s="26">
      <c r="A69" s="15" t="n">
        <v>28</v>
      </c>
      <c r="B69" s="5" t="inlineStr">
        <is>
          <t>B09KT9XNML</t>
        </is>
      </c>
      <c r="C69" s="5" t="inlineStr">
        <is>
          <t>OBD2 Scanner Diagnostic Tool XTOOL Anyscan A30M V2.0, 2026 Wireless Bidirectional Scan Tool with Free Updates, 26 Resets, All System for Android &amp; iPhone, Crank Sensor Relearn, EPB, Throttle Relearn</t>
        </is>
      </c>
      <c r="D69" s="5" t="inlineStr">
        <is>
          <t>xtool</t>
        </is>
      </c>
      <c r="E69" s="5" t="inlineStr">
        <is>
          <t>Dongle</t>
        </is>
      </c>
      <c r="F69" s="6" t="n">
        <v>151.2937490377213</v>
      </c>
      <c r="G69" s="20" t="n">
        <v>196530.58</v>
      </c>
      <c r="H69" s="17" t="n">
        <v>1299</v>
      </c>
      <c r="I69" s="17" t="n">
        <v>1409</v>
      </c>
      <c r="J69" s="5" t="n">
        <v>4.3</v>
      </c>
      <c r="K69" s="5" t="inlineStr">
        <is>
          <t>https://amazon.com/dp/B09KT9XNML</t>
        </is>
      </c>
      <c r="L69" s="211">
        <f>HYPERLINK(K69)</f>
        <v/>
      </c>
    </row>
    <row r="70" ht="17" customHeight="1" s="290">
      <c r="A70" s="15" t="n">
        <v>29</v>
      </c>
      <c r="B70" s="5" t="inlineStr">
        <is>
          <t>B087WMGLF1</t>
        </is>
      </c>
      <c r="C70" s="5" t="inlineStr">
        <is>
          <t>Krazy On Highways Edge Insight CTS3 Digital Gauge, Compatible with 1996 &amp; Up OBD-II Vehicles. 84130-3</t>
        </is>
      </c>
      <c r="D70" s="5" t="inlineStr">
        <is>
          <t>edge</t>
        </is>
      </c>
      <c r="E70" s="5" t="inlineStr">
        <is>
          <t>Other</t>
        </is>
      </c>
      <c r="F70" s="6" t="n">
        <v>446.7409403669724</v>
      </c>
      <c r="G70" s="20" t="n">
        <v>194779.05</v>
      </c>
      <c r="H70" s="17" t="n">
        <v>436</v>
      </c>
      <c r="I70" s="17" t="n">
        <v>1055</v>
      </c>
      <c r="J70" s="5" t="n">
        <v>4.3</v>
      </c>
      <c r="K70" s="5" t="inlineStr">
        <is>
          <t>https://amazon.com/dp/B087WMGLF1</t>
        </is>
      </c>
      <c r="L70" s="153">
        <f>HYPERLINK(K70)</f>
        <v/>
      </c>
    </row>
    <row r="71" ht="17" customHeight="1" s="290">
      <c r="A71" s="15" t="n">
        <v>30</v>
      </c>
      <c r="B71" s="5" t="inlineStr">
        <is>
          <t>B09712X5CW</t>
        </is>
      </c>
      <c r="C71" s="5" t="inlineStr">
        <is>
          <t>Autel Scanner MaxiCOM MK900BT, 2026 MK900-BT Bidirectional Diagnostic Scan Tool, 2.0 BT Ver. of MK900 MX900, 8in Up of MK808S MK808BT PRO MX808S MK808Z, 40+ Reset, 3K+ Active Tests, CAN FD &amp; DoIP, FCA</t>
        </is>
      </c>
      <c r="D71" s="5" t="inlineStr">
        <is>
          <t>autel</t>
        </is>
      </c>
      <c r="E71" s="5" t="inlineStr">
        <is>
          <t>Tablet</t>
        </is>
      </c>
      <c r="F71" s="6" t="n">
        <v>658.3624742268041</v>
      </c>
      <c r="G71" s="20" t="n">
        <v>191583.48</v>
      </c>
      <c r="H71" s="17" t="n">
        <v>291</v>
      </c>
      <c r="I71" s="17" t="n">
        <v>208</v>
      </c>
      <c r="J71" s="5" t="n">
        <v>4.6</v>
      </c>
      <c r="K71" s="5" t="inlineStr">
        <is>
          <t>https://amazon.com/dp/B09712X5CW</t>
        </is>
      </c>
      <c r="L71" s="34">
        <f>HYPERLINK(K71)</f>
        <v/>
      </c>
    </row>
    <row r="72" ht="17" customHeight="1" s="290">
      <c r="A72" s="15" t="n">
        <v>31</v>
      </c>
      <c r="B72" s="5" t="inlineStr">
        <is>
          <t>B08TBRDH7W</t>
        </is>
      </c>
      <c r="C72" s="5" t="inlineStr">
        <is>
          <t>TOPDON Scanner AD800BT V2.0, Bidirectional Scan Tool, Full Systems Diagnostic Tool for All Vehicles, Automotive Diagnostic Scanner for Car, 28+ Services, FCA AutoAuth, CANFD, 2 Years Free Update</t>
        </is>
      </c>
      <c r="D72" s="5" t="inlineStr">
        <is>
          <t>topdon</t>
        </is>
      </c>
      <c r="E72" s="5" t="inlineStr">
        <is>
          <t>Tablet</t>
        </is>
      </c>
      <c r="F72" s="6" t="n">
        <v>321.1128621291449</v>
      </c>
      <c r="G72" s="20" t="n">
        <v>183997.67</v>
      </c>
      <c r="H72" s="17" t="n">
        <v>573</v>
      </c>
      <c r="I72" s="17" t="n">
        <v>664</v>
      </c>
      <c r="J72" s="5" t="n">
        <v>4.4</v>
      </c>
      <c r="K72" s="5" t="inlineStr">
        <is>
          <t>https://amazon.com/dp/B08TBRDH7W</t>
        </is>
      </c>
      <c r="L72" s="34">
        <f>HYPERLINK(K72)</f>
        <v/>
      </c>
    </row>
    <row r="73" ht="17" customHeight="1" s="290">
      <c r="A73" s="15" t="n">
        <v>32</v>
      </c>
      <c r="B73" s="5" t="inlineStr">
        <is>
          <t>B00652G4TS</t>
        </is>
      </c>
      <c r="C73" s="5" t="inlineStr">
        <is>
          <t>BlueDriver Bluetooth Pro OBDII Scan Tool for iPhone &amp; Android - No Subscription Fee - OBD2 Car Scanner and Code Reader - Diagnose Check Engine, ABS, SRS, Airbag &amp; 7000+ Issues on Vehicles 1996+</t>
        </is>
      </c>
      <c r="D73" s="5" t="inlineStr">
        <is>
          <t>bluedriver</t>
        </is>
      </c>
      <c r="E73" s="5" t="inlineStr">
        <is>
          <t>Dongle</t>
        </is>
      </c>
      <c r="F73" s="6" t="n">
        <v>89.95980835380836</v>
      </c>
      <c r="G73" s="20" t="n">
        <v>183068.21</v>
      </c>
      <c r="H73" s="17" t="n">
        <v>2035</v>
      </c>
      <c r="I73" s="17" t="n">
        <v>62211</v>
      </c>
      <c r="J73" s="5" t="n">
        <v>4.5</v>
      </c>
      <c r="K73" s="5" t="inlineStr">
        <is>
          <t>https://amazon.com/dp/B00652G4TS</t>
        </is>
      </c>
      <c r="L73" s="34">
        <f>HYPERLINK(K73)</f>
        <v/>
      </c>
    </row>
    <row r="74" ht="17" customHeight="1" s="290">
      <c r="A74" s="15" t="n">
        <v>33</v>
      </c>
      <c r="B74" s="5" t="inlineStr">
        <is>
          <t>B098LF38DS</t>
        </is>
      </c>
      <c r="C74" s="5" t="inlineStr">
        <is>
          <t>XTOOL D7 Bidirectional Scan Tool: 2026 Ai-Assisted OBD2 Scanner Diagnostic Tool with 36+ Resets, Full System Car Scanner with EPB, Injector Test, Throttle, Crank Sensor Relearn, FCA, CANFD &amp; DoIP</t>
        </is>
      </c>
      <c r="D74" s="5" t="inlineStr">
        <is>
          <t>xtool</t>
        </is>
      </c>
      <c r="E74" s="5" t="inlineStr">
        <is>
          <t>Tablet</t>
        </is>
      </c>
      <c r="F74" s="6" t="n">
        <v>402.4123234624146</v>
      </c>
      <c r="G74" s="20" t="n">
        <v>176659.01</v>
      </c>
      <c r="H74" s="17" t="n">
        <v>439</v>
      </c>
      <c r="I74" s="17" t="n">
        <v>1648</v>
      </c>
      <c r="J74" s="5" t="n">
        <v>4.4</v>
      </c>
      <c r="K74" s="5" t="inlineStr">
        <is>
          <t>https://amazon.com/dp/B098LF38DS</t>
        </is>
      </c>
      <c r="L74" s="153">
        <f>HYPERLINK(K74)</f>
        <v/>
      </c>
    </row>
    <row r="75" ht="17" customHeight="1" s="290">
      <c r="A75" s="15" t="n">
        <v>34</v>
      </c>
      <c r="B75" s="5" t="inlineStr">
        <is>
          <t>B073CQMF25</t>
        </is>
      </c>
      <c r="C75" s="5" t="inlineStr">
        <is>
          <t>Autel Scanner MaxiCOM MK900: 2026 Updated as MK900BT MK900-BT MX900 Bidirectional Diagnostic Tool, 8in Up of MK808S MK808BT Pro MX808S 808Z, 3K+ Active Tests, 40+ Service, CAN-FD&amp;DOIP, All System, FCA</t>
        </is>
      </c>
      <c r="D75" s="5" t="inlineStr">
        <is>
          <t>autel</t>
        </is>
      </c>
      <c r="E75" s="5" t="inlineStr">
        <is>
          <t>Tablet</t>
        </is>
      </c>
      <c r="F75" s="6" t="n">
        <v>559.1208823529412</v>
      </c>
      <c r="G75" s="20" t="n">
        <v>171090.99</v>
      </c>
      <c r="H75" s="17" t="n">
        <v>306</v>
      </c>
      <c r="I75" s="17" t="n">
        <v>371</v>
      </c>
      <c r="J75" s="5" t="n">
        <v>4.4</v>
      </c>
      <c r="K75" s="5" t="inlineStr">
        <is>
          <t>https://amazon.com/dp/B073CQMF25</t>
        </is>
      </c>
      <c r="L75" s="34">
        <f>HYPERLINK(K75)</f>
        <v/>
      </c>
    </row>
    <row r="76" ht="17" customHeight="1" s="290">
      <c r="A76" s="15" t="n">
        <v>35</v>
      </c>
      <c r="B76" s="5" t="inlineStr">
        <is>
          <t>B0DTTTJWYH</t>
        </is>
      </c>
      <c r="C76" s="5" t="inlineStr">
        <is>
          <t>Launch X431 PRO3 V+ Elite, 2026 SmartlinkC 2.0 Bidirectional Scan Tool with J2534 Portocol, HD Trucks Scanner, 10.1 inch, Topology Map, 60+Service, Online Code, CANFD/DoIP/D-PDU, FCA, 2 Yrs Update</t>
        </is>
      </c>
      <c r="D76" s="5" t="inlineStr">
        <is>
          <t>launch</t>
        </is>
      </c>
      <c r="E76" s="5" t="inlineStr">
        <is>
          <t>Tablet</t>
        </is>
      </c>
      <c r="F76" s="6" t="n">
        <v>1343.731951219512</v>
      </c>
      <c r="G76" s="20" t="n">
        <v>165279.03</v>
      </c>
      <c r="H76" s="17" t="n">
        <v>123</v>
      </c>
      <c r="I76" s="17" t="n">
        <v>96</v>
      </c>
      <c r="J76" s="5" t="n">
        <v>4.6</v>
      </c>
      <c r="K76" s="5" t="inlineStr">
        <is>
          <t>https://amazon.com/dp/B0DTTTJWYH</t>
        </is>
      </c>
      <c r="L76" s="211">
        <f>HYPERLINK(K76)</f>
        <v/>
      </c>
    </row>
    <row r="77" ht="17" customHeight="1" s="290">
      <c r="A77" s="15" t="n">
        <v>36</v>
      </c>
      <c r="B77" s="5" t="inlineStr">
        <is>
          <t>B07PGYY8SS</t>
        </is>
      </c>
      <c r="C77" s="5" t="inlineStr">
        <is>
          <t>Autel Scanner MaxiCOM MK900BT: 2026 8in MK900-BT V2.0 Bidirectional Scan Tool, 33ft BT Ver. of MK900 MX900 MK808S MK808BT PRO MX808S MK808Z, 40+ Service, 3K+ Active Tests, DOIP CANFD, All System, FCA</t>
        </is>
      </c>
      <c r="D77" s="5" t="inlineStr">
        <is>
          <t>autel</t>
        </is>
      </c>
      <c r="E77" s="5" t="inlineStr">
        <is>
          <t>Tablet</t>
        </is>
      </c>
      <c r="F77" s="6" t="n">
        <v>658.3173469387755</v>
      </c>
      <c r="G77" s="20" t="n">
        <v>161287.75</v>
      </c>
      <c r="H77" s="17" t="n">
        <v>245</v>
      </c>
      <c r="I77" s="17" t="n">
        <v>173</v>
      </c>
      <c r="J77" s="5" t="n">
        <v>4.5</v>
      </c>
      <c r="K77" s="5" t="inlineStr">
        <is>
          <t>https://amazon.com/dp/B07PGYY8SS</t>
        </is>
      </c>
      <c r="L77" s="211">
        <f>HYPERLINK(K77)</f>
        <v/>
      </c>
    </row>
    <row r="78" ht="17" customHeight="1" s="290">
      <c r="A78" s="15" t="n">
        <v>37</v>
      </c>
      <c r="B78" s="5" t="inlineStr">
        <is>
          <t>B09N9RMVFP</t>
        </is>
      </c>
      <c r="C78" s="5" t="inlineStr">
        <is>
          <t>Z Automotive Tazer Mini Programmer | Fits 2018-2026 Jeep Wrangler JL and Gladiator JT | Customize Over 70 Settings | Activates Anti-Theft Pin Lock, Rock Crawl, Winch Mode and More!</t>
        </is>
      </c>
      <c r="D78" s="5" t="inlineStr">
        <is>
          <t>z automotive</t>
        </is>
      </c>
      <c r="E78" s="5" t="inlineStr">
        <is>
          <t>Dongle</t>
        </is>
      </c>
      <c r="F78" s="6" t="n">
        <v>328.8725357873211</v>
      </c>
      <c r="G78" s="20" t="n">
        <v>160818.67</v>
      </c>
      <c r="H78" s="17" t="n">
        <v>489</v>
      </c>
      <c r="I78" s="17" t="n">
        <v>985</v>
      </c>
      <c r="J78" s="5" t="n">
        <v>4.6</v>
      </c>
      <c r="K78" s="5" t="inlineStr">
        <is>
          <t>https://amazon.com/dp/B09N9RMVFP</t>
        </is>
      </c>
      <c r="L78" s="34">
        <f>HYPERLINK(K78)</f>
        <v/>
      </c>
    </row>
    <row r="79" ht="17" customHeight="1" s="290">
      <c r="A79" s="15" t="n">
        <v>38</v>
      </c>
      <c r="B79" s="5" t="inlineStr">
        <is>
          <t>B073XKQQQW</t>
        </is>
      </c>
      <c r="C79" s="5" t="inlineStr">
        <is>
          <t>Veepeak OBDCheck BLE Bluetooth OBD II Scanner for iOS &amp; Android, Car Wireless Check Engine Light Code Reader Diagnostic Tool</t>
        </is>
      </c>
      <c r="D79" s="5" t="inlineStr">
        <is>
          <t>veepeak</t>
        </is>
      </c>
      <c r="E79" s="5" t="inlineStr">
        <is>
          <t>Dongle</t>
        </is>
      </c>
      <c r="F79" s="6" t="n">
        <v>31.51586355616546</v>
      </c>
      <c r="G79" s="20" t="n">
        <v>160762.42</v>
      </c>
      <c r="H79" s="17" t="n">
        <v>5101</v>
      </c>
      <c r="I79" s="17" t="n">
        <v>23468</v>
      </c>
      <c r="J79" s="5" t="n">
        <v>4.5</v>
      </c>
      <c r="K79" s="5" t="inlineStr">
        <is>
          <t>https://amazon.com/dp/B073XKQQQW</t>
        </is>
      </c>
      <c r="L79" s="34">
        <f>HYPERLINK(K79)</f>
        <v/>
      </c>
    </row>
    <row r="80" ht="17" customHeight="1" s="290">
      <c r="A80" s="15" t="n">
        <v>39</v>
      </c>
      <c r="B80" s="5" t="inlineStr">
        <is>
          <t>B0D7VS8SHS</t>
        </is>
      </c>
      <c r="C80" s="5" t="inlineStr">
        <is>
          <t>LAUNCH X431 PRO3S+ Elite, 2026 All-in-One Bidirectional Scan Tool with J2534 Protocols, HD Trucks Scanner, Topology Map, 60+Service, ECU Code Full Function Scanner, CANFD/DoIP/D-PDU/FCA, 2 Yrs Update</t>
        </is>
      </c>
      <c r="D80" s="5" t="inlineStr">
        <is>
          <t>launch</t>
        </is>
      </c>
      <c r="E80" s="5" t="inlineStr">
        <is>
          <t>Tablet</t>
        </is>
      </c>
      <c r="F80" s="6" t="n">
        <v>1260.146721311475</v>
      </c>
      <c r="G80" s="20" t="n">
        <v>153737.9</v>
      </c>
      <c r="H80" s="17" t="n">
        <v>122</v>
      </c>
      <c r="I80" s="17" t="n">
        <v>157</v>
      </c>
      <c r="J80" s="5" t="n">
        <v>4.3</v>
      </c>
      <c r="K80" s="5" t="inlineStr">
        <is>
          <t>https://amazon.com/dp/B0D7VS8SHS</t>
        </is>
      </c>
      <c r="L80" s="34">
        <f>HYPERLINK(K80)</f>
        <v/>
      </c>
    </row>
    <row r="81" ht="17" customHeight="1" s="290">
      <c r="A81" s="15" t="n">
        <v>40</v>
      </c>
      <c r="B81" s="5" t="inlineStr">
        <is>
          <t>B0CJDTPDPB</t>
        </is>
      </c>
      <c r="C81" s="5" t="inlineStr">
        <is>
          <t>LAUNCH X431 CRP919XBT OBD2 Scanner, 2026 Wireless Bidirectional Scan Tool with ECU Coding, 35+ Services, All Systems Diagnostic, FCA AutoAuth, 2Yrs Free Update, V.A.G Guide, CANFD, Upgraded of CRP919X</t>
        </is>
      </c>
      <c r="D81" s="5" t="inlineStr">
        <is>
          <t>launch</t>
        </is>
      </c>
      <c r="E81" s="5" t="inlineStr">
        <is>
          <t>Tablet</t>
        </is>
      </c>
      <c r="F81" s="6" t="n">
        <v>502.6669836065574</v>
      </c>
      <c r="G81" s="20" t="n">
        <v>153313.43</v>
      </c>
      <c r="H81" s="17" t="n">
        <v>305</v>
      </c>
      <c r="I81" s="17" t="n">
        <v>381</v>
      </c>
      <c r="J81" s="5" t="n">
        <v>4.4</v>
      </c>
      <c r="K81" s="5" t="inlineStr">
        <is>
          <t>https://amazon.com/dp/B0CJDTPDPB</t>
        </is>
      </c>
      <c r="L81" s="211">
        <f>HYPERLINK(K81)</f>
        <v/>
      </c>
    </row>
    <row r="82" ht="17" customHeight="1" s="290">
      <c r="A82" s="15" t="n">
        <v>41</v>
      </c>
      <c r="B82" s="5" t="inlineStr">
        <is>
          <t>B0CTHJW813</t>
        </is>
      </c>
      <c r="C82" s="5" t="inlineStr">
        <is>
          <t>TOPDON Upgraded AD600S OBD2 Scanner, Diagnostic Tool, ABS SRS Transmission Engine Code Reader, 9 Reset Services Scan Tool, Oil/Brake/BMS/SAS/DPF/TPMS/ETS Reset, Injector Coding, Lifetime Free Update</t>
        </is>
      </c>
      <c r="D82" s="5" t="inlineStr">
        <is>
          <t>topdon</t>
        </is>
      </c>
      <c r="E82" s="5" t="inlineStr">
        <is>
          <t>Tablet</t>
        </is>
      </c>
      <c r="F82" s="6" t="n">
        <v>196.5306924101198</v>
      </c>
      <c r="G82" s="20" t="n">
        <v>147594.55</v>
      </c>
      <c r="H82" s="17" t="n">
        <v>751</v>
      </c>
      <c r="I82" s="17" t="n">
        <v>876</v>
      </c>
      <c r="J82" s="5" t="n">
        <v>4.5</v>
      </c>
      <c r="K82" s="5" t="inlineStr">
        <is>
          <t>https://amazon.com/dp/B0CTHJW813</t>
        </is>
      </c>
      <c r="L82" s="34">
        <f>HYPERLINK(K82)</f>
        <v/>
      </c>
    </row>
    <row r="83" ht="17" customHeight="1" s="290">
      <c r="A83" s="15" t="n">
        <v>42</v>
      </c>
      <c r="B83" s="5" t="inlineStr">
        <is>
          <t>B08V59JNYP</t>
        </is>
      </c>
      <c r="C83" s="5" t="inlineStr">
        <is>
          <t>LAUNCH X431 PRO3S+ Smartlink HD Heavy Duty Truck Scanner,2026 Diesel&amp;Gasoline Bidirectional Diagnostic Scan Tool with J2534 Protocols,Topology Map,60+Service,ECU Code,CANFD &amp;DOIP,2 Yrs Free Update</t>
        </is>
      </c>
      <c r="D83" s="5" t="inlineStr">
        <is>
          <t>launch</t>
        </is>
      </c>
      <c r="E83" s="5" t="inlineStr">
        <is>
          <t>Tablet</t>
        </is>
      </c>
      <c r="F83" s="6" t="n">
        <v>1909.047012987013</v>
      </c>
      <c r="G83" s="20" t="n">
        <v>146996.62</v>
      </c>
      <c r="H83" s="17" t="n">
        <v>77</v>
      </c>
      <c r="I83" s="17" t="n">
        <v>180</v>
      </c>
      <c r="J83" s="5" t="n">
        <v>4.2</v>
      </c>
      <c r="K83" s="5" t="inlineStr">
        <is>
          <t>https://amazon.com/dp/B08V59JNYP</t>
        </is>
      </c>
      <c r="L83" s="34">
        <f>HYPERLINK(K83)</f>
        <v/>
      </c>
    </row>
    <row r="84" ht="17" customHeight="1" s="290">
      <c r="A84" s="15" t="n">
        <v>43</v>
      </c>
      <c r="B84" s="5" t="inlineStr">
        <is>
          <t>B08XK3DJ42</t>
        </is>
      </c>
      <c r="C84" s="5" t="inlineStr">
        <is>
          <t>TOPDON AD500 OBD2 Scanner, Oil SAS Throttle TPMS BMS EPB Reset, Engine ABS SRS Transmission, Diagnostic Scan Tool, AutoVIN, Car Check Engine Code Reader with Battery Test, Lifetime Wi-Fi Free Update</t>
        </is>
      </c>
      <c r="D84" s="5" t="inlineStr">
        <is>
          <t>topdon</t>
        </is>
      </c>
      <c r="E84" s="5" t="inlineStr">
        <is>
          <t>Tablet</t>
        </is>
      </c>
      <c r="F84" s="6" t="n">
        <v>158.4307592190889</v>
      </c>
      <c r="G84" s="20" t="n">
        <v>146073.16</v>
      </c>
      <c r="H84" s="17" t="n">
        <v>922</v>
      </c>
      <c r="I84" s="17" t="n">
        <v>1727</v>
      </c>
      <c r="J84" s="5" t="n">
        <v>4.5</v>
      </c>
      <c r="K84" s="5" t="inlineStr">
        <is>
          <t>https://amazon.com/dp/B08XK3DJ42</t>
        </is>
      </c>
      <c r="L84" s="34">
        <f>HYPERLINK(K84)</f>
        <v/>
      </c>
    </row>
    <row r="85" ht="17" customHeight="1" s="290">
      <c r="A85" s="15" t="n">
        <v>44</v>
      </c>
      <c r="B85" s="5" t="inlineStr">
        <is>
          <t>B0FY7MYBX7</t>
        </is>
      </c>
      <c r="C85" s="5" t="inlineStr">
        <is>
          <t>HPT MPVI4 Diagnostic Code Reader Scanner and Tool</t>
        </is>
      </c>
      <c r="D85" s="5" t="inlineStr">
        <is>
          <t>generic</t>
        </is>
      </c>
      <c r="E85" s="5" t="inlineStr">
        <is>
          <t>Dongle</t>
        </is>
      </c>
      <c r="F85" s="6" t="n">
        <v>400.4040771349862</v>
      </c>
      <c r="G85" s="20" t="n">
        <v>145346.68</v>
      </c>
      <c r="H85" s="17" t="n">
        <v>363</v>
      </c>
      <c r="I85" s="17" t="n">
        <v>31</v>
      </c>
      <c r="J85" s="5" t="n">
        <v>4.8</v>
      </c>
      <c r="K85" s="5" t="inlineStr">
        <is>
          <t>https://amazon.com/dp/B0FY7MYBX7</t>
        </is>
      </c>
      <c r="L85" s="34">
        <f>HYPERLINK(K85)</f>
        <v/>
      </c>
    </row>
    <row r="86" ht="17" customHeight="1" s="290">
      <c r="A86" s="15" t="n">
        <v>45</v>
      </c>
      <c r="B86" s="5" t="inlineStr">
        <is>
          <t>B08DCNDFVK</t>
        </is>
      </c>
      <c r="C86" s="5" t="inlineStr">
        <is>
          <t>2026 FOXWELL NT614 Elite OBD2 Scanner with 5 Resets ABS Bleeding, SAS Calibration, Oil, EPB, Throttle, Upgrade of NT604 Code Reader Scan Tools, ABS SRS Engine Transmission Battery Test Car Scanner</t>
        </is>
      </c>
      <c r="D86" s="5" t="inlineStr">
        <is>
          <t>foxwell</t>
        </is>
      </c>
      <c r="E86" s="5" t="inlineStr">
        <is>
          <t>Tablet</t>
        </is>
      </c>
      <c r="F86" s="6" t="n">
        <v>172.0034824667473</v>
      </c>
      <c r="G86" s="20" t="n">
        <v>142246.88</v>
      </c>
      <c r="H86" s="17" t="n">
        <v>827</v>
      </c>
      <c r="I86" s="17" t="n">
        <v>714</v>
      </c>
      <c r="J86" s="5" t="n">
        <v>4.3</v>
      </c>
      <c r="K86" s="5" t="inlineStr">
        <is>
          <t>https://amazon.com/dp/B08DCNDFVK</t>
        </is>
      </c>
      <c r="L86" s="34">
        <f>HYPERLINK(K86)</f>
        <v/>
      </c>
    </row>
    <row r="87" ht="17" customHeight="1" s="290">
      <c r="A87" s="15" t="n">
        <v>46</v>
      </c>
      <c r="B87" s="5" t="inlineStr">
        <is>
          <t>B07MBSZH48</t>
        </is>
      </c>
      <c r="C87" s="5" t="inlineStr">
        <is>
          <t>Autel Scanner MaxiCOM MK808BT PRO, 2026 Bidirectional Tool as MK900BT, Up Ver. of MK900 MaxiCheck MX900 MK808S MX808S, 3000+ Test, 28+ Service, All System Diagnostic, Injector Coding, FCA Android 11</t>
        </is>
      </c>
      <c r="D87" s="5" t="inlineStr">
        <is>
          <t>autel</t>
        </is>
      </c>
      <c r="E87" s="5" t="inlineStr">
        <is>
          <t>Tablet</t>
        </is>
      </c>
      <c r="F87" s="6" t="n">
        <v>548.6857421875</v>
      </c>
      <c r="G87" s="20" t="n">
        <v>140463.55</v>
      </c>
      <c r="H87" s="17" t="n">
        <v>256</v>
      </c>
      <c r="I87" s="17" t="n">
        <v>1785</v>
      </c>
      <c r="J87" s="5" t="n">
        <v>4.6</v>
      </c>
      <c r="K87" s="5" t="inlineStr">
        <is>
          <t>https://amazon.com/dp/B07MBSZH48</t>
        </is>
      </c>
      <c r="L87" s="34">
        <f>HYPERLINK(K87)</f>
        <v/>
      </c>
    </row>
    <row r="88" ht="17" customHeight="1" s="290">
      <c r="A88" s="15" t="n">
        <v>47</v>
      </c>
      <c r="B88" s="5" t="inlineStr">
        <is>
          <t>B0DCFF7VGF</t>
        </is>
      </c>
      <c r="C88" s="5" t="inlineStr">
        <is>
          <t>THINKCAR THINKSCAN 689 OBD2 Scanner, Bidirectional Scan Tool with Lifetime Free Update, 34+ Reset, 3000+ Active Test, ECU Coding, PMI, Wired All System Diagnostic Scanner for Cars, CANFD/DOIP, FCA SGW</t>
        </is>
      </c>
      <c r="D88" s="5" t="inlineStr">
        <is>
          <t>thinkcar</t>
        </is>
      </c>
      <c r="E88" s="5" t="inlineStr">
        <is>
          <t>Tablet</t>
        </is>
      </c>
      <c r="F88" s="6" t="n">
        <v>438.63075</v>
      </c>
      <c r="G88" s="20" t="n">
        <v>140361.84</v>
      </c>
      <c r="H88" s="17" t="n">
        <v>320</v>
      </c>
      <c r="I88" s="17" t="n">
        <v>281</v>
      </c>
      <c r="J88" s="5" t="n">
        <v>4.3</v>
      </c>
      <c r="K88" s="5" t="inlineStr">
        <is>
          <t>https://amazon.com/dp/B0DCFF7VGF</t>
        </is>
      </c>
      <c r="L88" s="153">
        <f>HYPERLINK(K88)</f>
        <v/>
      </c>
    </row>
    <row r="89" ht="17" customHeight="1" s="290">
      <c r="A89" s="15" t="n">
        <v>48</v>
      </c>
      <c r="B89" s="5" t="inlineStr">
        <is>
          <t>B0GDY7WJB7</t>
        </is>
      </c>
      <c r="C89" s="5" t="inlineStr">
        <is>
          <t>Autel MaxiCOM MK900 Bidirectional Scanner: 2026 Up of MaxiCheck MX808S MK808S, Work as MK900-BT MK900BT MX900 OBD2 Diagnostic Tool w/ 3000+ Active Test, 40+ Service, CAN-FD&amp;DOIP, All System, FCA 11 OS</t>
        </is>
      </c>
      <c r="D89" s="5" t="inlineStr">
        <is>
          <t>autel</t>
        </is>
      </c>
      <c r="E89" s="5" t="inlineStr">
        <is>
          <t>Tablet</t>
        </is>
      </c>
      <c r="F89" s="6" t="n">
        <v>589.6067948717948</v>
      </c>
      <c r="G89" s="20" t="n">
        <v>137967.99</v>
      </c>
      <c r="H89" s="17" t="n">
        <v>234</v>
      </c>
      <c r="I89" s="17" t="n">
        <v>23</v>
      </c>
      <c r="J89" s="5" t="n">
        <v>5</v>
      </c>
      <c r="K89" s="5" t="inlineStr">
        <is>
          <t>https://amazon.com/dp/B0GDY7WJB7</t>
        </is>
      </c>
      <c r="L89" s="34">
        <f>HYPERLINK(K89)</f>
        <v/>
      </c>
    </row>
    <row r="90" ht="17" customHeight="1" s="290">
      <c r="A90" s="15" t="n">
        <v>49</v>
      </c>
      <c r="B90" s="5" t="inlineStr">
        <is>
          <t>B092YL7M8P</t>
        </is>
      </c>
      <c r="C90" s="5" t="inlineStr">
        <is>
          <t>Launch X431 PROS Elite 2026 New Bidirectional Scan Tool, 38+ Services, ECU Coding, All-in-One Full System Diagnostic Scanner, Support CANFD&amp;DoIP, FCA AutoAuth, V.A.G Guided, 2 Years Free Update</t>
        </is>
      </c>
      <c r="D90" s="5" t="inlineStr">
        <is>
          <t>launch</t>
        </is>
      </c>
      <c r="E90" s="5" t="inlineStr">
        <is>
          <t>Tablet</t>
        </is>
      </c>
      <c r="F90" s="6" t="n">
        <v>629.9384186046512</v>
      </c>
      <c r="G90" s="20" t="n">
        <v>135436.76</v>
      </c>
      <c r="H90" s="17" t="n">
        <v>215</v>
      </c>
      <c r="I90" s="17" t="n">
        <v>386</v>
      </c>
      <c r="J90" s="5" t="n">
        <v>4.5</v>
      </c>
      <c r="K90" s="5" t="inlineStr">
        <is>
          <t>https://amazon.com/dp/B092YL7M8P</t>
        </is>
      </c>
      <c r="L90" s="34">
        <f>HYPERLINK(K90)</f>
        <v/>
      </c>
    </row>
    <row r="91" ht="17" customHeight="1" s="290">
      <c r="A91" s="15" t="n">
        <v>50</v>
      </c>
      <c r="B91" s="5" t="inlineStr">
        <is>
          <t>B013RIQMEO</t>
        </is>
      </c>
      <c r="C91" s="5" t="inlineStr">
        <is>
          <t>FIXD Bluetooth OBD2 Scanner for iPhone &amp; Android - Diagnostic Scan Tool for Repairs and Car Buying - Check Engine Code Reader &amp; Enhanced Codes - (1 Pack w/Free 14-Day FIXD Premium Bundle)</t>
        </is>
      </c>
      <c r="D91" s="5" t="inlineStr">
        <is>
          <t>fixd</t>
        </is>
      </c>
      <c r="E91" s="5" t="inlineStr">
        <is>
          <t>Dongle</t>
        </is>
      </c>
      <c r="F91" s="6" t="n">
        <v>39.98986600186974</v>
      </c>
      <c r="G91" s="20" t="n">
        <v>128327.48</v>
      </c>
      <c r="H91" s="17" t="n">
        <v>3209</v>
      </c>
      <c r="I91" s="17" t="n">
        <v>35039</v>
      </c>
      <c r="J91" s="5" t="n">
        <v>4.2</v>
      </c>
      <c r="K91" s="5" t="inlineStr">
        <is>
          <t>https://amazon.com/dp/B013RIQMEO</t>
        </is>
      </c>
      <c r="L91" s="34">
        <f>HYPERLINK(K91)</f>
        <v/>
      </c>
    </row>
    <row r="92">
      <c r="E92" s="6" t="n"/>
      <c r="F92" s="6" t="n"/>
      <c r="G92" s="17" t="n"/>
      <c r="H92" s="17" t="n"/>
      <c r="J92" s="25" t="n"/>
    </row>
    <row r="93">
      <c r="E93" s="6" t="n"/>
      <c r="F93" s="6" t="n"/>
      <c r="G93" s="17" t="n"/>
      <c r="H93" s="17" t="n"/>
    </row>
    <row r="94" ht="26" customHeight="1" s="290">
      <c r="A94" s="289" t="inlineStr">
        <is>
          <t>Rank By Monthly Units - Mar '26 ONLY</t>
        </is>
      </c>
    </row>
    <row r="95">
      <c r="A95" s="62" t="inlineStr">
        <is>
          <t>Ranking</t>
        </is>
      </c>
      <c r="B95" s="63" t="inlineStr">
        <is>
          <t>ASIN</t>
        </is>
      </c>
      <c r="C95" s="63" t="inlineStr">
        <is>
          <t>Product Name</t>
        </is>
      </c>
      <c r="D95" s="63" t="inlineStr">
        <is>
          <t>Brand</t>
        </is>
      </c>
      <c r="E95" s="63" t="inlineStr">
        <is>
          <t>Type</t>
        </is>
      </c>
      <c r="F95" s="64" t="inlineStr">
        <is>
          <t>Price</t>
        </is>
      </c>
      <c r="G95" s="65" t="inlineStr">
        <is>
          <t>Est. Monthly Retail Rev</t>
        </is>
      </c>
      <c r="H95" s="66" t="inlineStr">
        <is>
          <t>Est. Monthly Units Sold</t>
        </is>
      </c>
      <c r="I95" s="67" t="inlineStr">
        <is>
          <t># of Reviews</t>
        </is>
      </c>
      <c r="J95" s="313" t="inlineStr">
        <is>
          <t>Avg. Rating</t>
        </is>
      </c>
      <c r="K95" s="313" t="inlineStr">
        <is>
          <t>Column2</t>
        </is>
      </c>
      <c r="L95" s="313" t="inlineStr">
        <is>
          <t>Link</t>
        </is>
      </c>
    </row>
    <row r="96" ht="17" customHeight="1" s="290">
      <c r="A96" s="15" t="n">
        <v>1</v>
      </c>
      <c r="B96" s="5" t="inlineStr">
        <is>
          <t>B01G5EA74I</t>
        </is>
      </c>
      <c r="C96" s="164" t="inlineStr">
        <is>
          <t>ANCEL AD310 Classic Enhanced Universal OBD II Scanner Car Engine Fault Code Reader CAN Diagnostic Scan Tool, Read and Clear Error Codes for 1996 or Newer OBD2 Protocol Vehicle (Black)</t>
        </is>
      </c>
      <c r="D96" s="314" t="inlineStr">
        <is>
          <t>ancel</t>
        </is>
      </c>
      <c r="E96" s="314" t="inlineStr">
        <is>
          <t>Handheld</t>
        </is>
      </c>
      <c r="F96" s="6" t="n">
        <v>28.93877341320998</v>
      </c>
      <c r="G96" s="6" t="n">
        <v>763231.21</v>
      </c>
      <c r="H96" s="233" t="n">
        <v>26374</v>
      </c>
      <c r="I96" s="17" t="n">
        <v>63860</v>
      </c>
      <c r="J96" s="5" t="n">
        <v>4.6</v>
      </c>
      <c r="K96" s="5" t="inlineStr">
        <is>
          <t>https://amazon.com/dp/B01G5EA74I</t>
        </is>
      </c>
      <c r="L96" s="34">
        <f>HYPERLINK(K96)</f>
        <v/>
      </c>
    </row>
    <row r="97" ht="17" customHeight="1" s="290">
      <c r="A97" s="15" t="n">
        <v>2</v>
      </c>
      <c r="B97" s="5" t="inlineStr">
        <is>
          <t>B07Z3HB7DR</t>
        </is>
      </c>
      <c r="C97" s="164" t="inlineStr">
        <is>
          <t>MOTOPOWER MP69033 Car OBD2 Scanner Code Reader Engine Fault Scanner CAN Diagnostic Scan Tool for All OBD II Protocol Cars Since 1996, Yellow</t>
        </is>
      </c>
      <c r="D97" s="314" t="inlineStr">
        <is>
          <t>motopower</t>
        </is>
      </c>
      <c r="E97" s="314" t="inlineStr">
        <is>
          <t>Handheld</t>
        </is>
      </c>
      <c r="F97" s="6" t="n">
        <v>20.86620090572252</v>
      </c>
      <c r="G97" s="6" t="n">
        <v>253420.01</v>
      </c>
      <c r="H97" s="233" t="n">
        <v>12145</v>
      </c>
      <c r="I97" s="17" t="n">
        <v>50750</v>
      </c>
      <c r="J97" s="5" t="n">
        <v>4.6</v>
      </c>
      <c r="K97" s="5" t="inlineStr">
        <is>
          <t>https://amazon.com/dp/B07Z3HB7DR</t>
        </is>
      </c>
      <c r="L97" s="34">
        <f>HYPERLINK(K97)</f>
        <v/>
      </c>
    </row>
    <row r="98" ht="17" customHeight="1" s="290">
      <c r="A98" s="15" t="n">
        <v>3</v>
      </c>
      <c r="B98" s="5" t="inlineStr">
        <is>
          <t>B0BY1TS725</t>
        </is>
      </c>
      <c r="C98" s="164" t="inlineStr">
        <is>
          <t>VDIAGTOOL VD10 OBD2 Scanner Code Reader Car Diagnostic Tool Engine Fault Code Reader for Turn Off CEL with Freeze Frame/I/M Readiness for All OBDII Protocol Cars, OBD2 Scanner Diagnostic Tool</t>
        </is>
      </c>
      <c r="D98" s="314" t="inlineStr">
        <is>
          <t>vdiagtool</t>
        </is>
      </c>
      <c r="E98" s="314" t="inlineStr">
        <is>
          <t>Handheld</t>
        </is>
      </c>
      <c r="F98" s="6" t="n">
        <v>16.26340530242896</v>
      </c>
      <c r="G98" s="6" t="n">
        <v>102443.19</v>
      </c>
      <c r="H98" s="233" t="n">
        <v>6299</v>
      </c>
      <c r="I98" s="17" t="n">
        <v>2555</v>
      </c>
      <c r="J98" s="5" t="n">
        <v>4.6</v>
      </c>
      <c r="K98" s="5" t="inlineStr">
        <is>
          <t>https://amazon.com/dp/B0BY1TS725</t>
        </is>
      </c>
      <c r="L98" s="34">
        <f>HYPERLINK(K98)</f>
        <v/>
      </c>
    </row>
    <row r="99" ht="17" customHeight="1" s="290">
      <c r="A99" s="15" t="n">
        <v>4</v>
      </c>
      <c r="B99" s="5" t="inlineStr">
        <is>
          <t>B071FSNL73</t>
        </is>
      </c>
      <c r="C99" s="164" t="inlineStr">
        <is>
          <t>ANCEL AD410 Enhanced OBD2 Scanner, Vehicle Code Reader for Check Engine Light, Automotive OBD II Scanner Fault Diagnosis, OBDII Scan Tool for All OBDII Cars 1996+, Black/Yellow</t>
        </is>
      </c>
      <c r="D99" s="314" t="inlineStr">
        <is>
          <t>ancel</t>
        </is>
      </c>
      <c r="E99" s="314" t="inlineStr">
        <is>
          <t>Handheld</t>
        </is>
      </c>
      <c r="F99" s="6" t="n">
        <v>43.56900433622415</v>
      </c>
      <c r="G99" s="6" t="n">
        <v>261239.75</v>
      </c>
      <c r="H99" s="233" t="n">
        <v>5996</v>
      </c>
      <c r="I99" s="17" t="n">
        <v>15054</v>
      </c>
      <c r="J99" s="5" t="n">
        <v>4.5</v>
      </c>
      <c r="K99" s="5" t="inlineStr">
        <is>
          <t>https://amazon.com/dp/B071FSNL73</t>
        </is>
      </c>
      <c r="L99" s="34">
        <f>HYPERLINK(K99)</f>
        <v/>
      </c>
    </row>
    <row r="100" ht="17" customHeight="1" s="290">
      <c r="A100" s="15" t="n">
        <v>5</v>
      </c>
      <c r="B100" s="5" t="inlineStr">
        <is>
          <t>B081VQVD3F</t>
        </is>
      </c>
      <c r="C100" s="164" t="inlineStr">
        <is>
          <t>OBDLink EX FORScan OBD Adapter</t>
        </is>
      </c>
      <c r="D100" s="314" t="inlineStr">
        <is>
          <t>obdlink</t>
        </is>
      </c>
      <c r="E100" s="314" t="inlineStr">
        <is>
          <t>Cable/Adapter</t>
        </is>
      </c>
      <c r="F100" s="6" t="n">
        <v>69.9357231857215</v>
      </c>
      <c r="G100" s="6" t="n">
        <v>415348.26</v>
      </c>
      <c r="H100" s="233" t="n">
        <v>5939</v>
      </c>
      <c r="I100" s="17" t="n">
        <v>9945</v>
      </c>
      <c r="J100" s="5" t="n">
        <v>4.8</v>
      </c>
      <c r="K100" s="5" t="inlineStr">
        <is>
          <t>https://amazon.com/dp/B081VQVD3F</t>
        </is>
      </c>
      <c r="L100" s="34">
        <f>HYPERLINK(K100)</f>
        <v/>
      </c>
    </row>
    <row r="101" ht="17" customHeight="1" s="290">
      <c r="A101" s="15" t="n">
        <v>6</v>
      </c>
      <c r="B101" s="5" t="inlineStr">
        <is>
          <t>B07JFRFJG6</t>
        </is>
      </c>
      <c r="C101" s="164" t="inlineStr">
        <is>
          <t>OBDLink MX+ OBD2 Bluetooth Scanner for iPhone, Android, and Windows</t>
        </is>
      </c>
      <c r="D101" s="314" t="inlineStr">
        <is>
          <t>obdlink</t>
        </is>
      </c>
      <c r="E101" s="314" t="inlineStr">
        <is>
          <t>Dongle</t>
        </is>
      </c>
      <c r="F101" s="6" t="n">
        <v>139.9370678733032</v>
      </c>
      <c r="G101" s="6" t="n">
        <v>773152.3</v>
      </c>
      <c r="H101" s="233" t="n">
        <v>5525</v>
      </c>
      <c r="I101" s="17" t="n">
        <v>15161</v>
      </c>
      <c r="J101" s="5" t="n">
        <v>4.6</v>
      </c>
      <c r="K101" s="5" t="inlineStr">
        <is>
          <t>https://amazon.com/dp/B07JFRFJG6</t>
        </is>
      </c>
      <c r="L101" s="34">
        <f>HYPERLINK(K101)</f>
        <v/>
      </c>
    </row>
    <row r="102" ht="17" customHeight="1" s="290">
      <c r="A102" s="15" t="n">
        <v>7</v>
      </c>
      <c r="B102" s="5" t="inlineStr">
        <is>
          <t>B00UJV3E12</t>
        </is>
      </c>
      <c r="C102" s="164" t="inlineStr">
        <is>
          <t>FOXWELL NT301 OBD2 Scanner Live Data Professional Mechanic OBDII Diagnostic Code Reader Tool for Check Engine Light</t>
        </is>
      </c>
      <c r="D102" s="314" t="inlineStr">
        <is>
          <t>foxwell</t>
        </is>
      </c>
      <c r="E102" s="314" t="inlineStr">
        <is>
          <t>Handheld</t>
        </is>
      </c>
      <c r="F102" s="6" t="n">
        <v>65.66388878793386</v>
      </c>
      <c r="G102" s="6" t="n">
        <v>361348.38</v>
      </c>
      <c r="H102" s="233" t="n">
        <v>5503</v>
      </c>
      <c r="I102" s="17" t="n">
        <v>29739</v>
      </c>
      <c r="J102" s="5" t="n">
        <v>4.5</v>
      </c>
      <c r="K102" s="5" t="inlineStr">
        <is>
          <t>https://amazon.com/dp/B00UJV3E12</t>
        </is>
      </c>
      <c r="L102" s="34">
        <f>HYPERLINK(K102)</f>
        <v/>
      </c>
    </row>
    <row r="103" ht="17" customHeight="1" s="290">
      <c r="A103" s="15" t="n">
        <v>8</v>
      </c>
      <c r="B103" s="5" t="inlineStr">
        <is>
          <t>B073XKQQQW</t>
        </is>
      </c>
      <c r="C103" s="164" t="inlineStr">
        <is>
          <t>Veepeak OBDCheck BLE Bluetooth OBD II Scanner for iOS &amp; Android, Car Wireless Check Engine Light Code Reader Diagnostic Tool</t>
        </is>
      </c>
      <c r="D103" s="314" t="inlineStr">
        <is>
          <t>veepeak</t>
        </is>
      </c>
      <c r="E103" s="314" t="inlineStr">
        <is>
          <t>Dongle</t>
        </is>
      </c>
      <c r="F103" s="6" t="n">
        <v>31.51586355616546</v>
      </c>
      <c r="G103" s="6" t="n">
        <v>160762.42</v>
      </c>
      <c r="H103" s="233" t="n">
        <v>5101</v>
      </c>
      <c r="I103" s="17" t="n">
        <v>23468</v>
      </c>
      <c r="J103" s="5" t="n">
        <v>4.5</v>
      </c>
      <c r="K103" s="5" t="inlineStr">
        <is>
          <t>https://amazon.com/dp/B073XKQQQW</t>
        </is>
      </c>
      <c r="L103" s="34">
        <f>HYPERLINK(K103)</f>
        <v/>
      </c>
    </row>
    <row r="104" ht="17" customHeight="1" s="290">
      <c r="A104" s="15" t="n">
        <v>9</v>
      </c>
      <c r="B104" s="5" t="inlineStr">
        <is>
          <t>B07Z481NJM</t>
        </is>
      </c>
      <c r="C104" s="164" t="inlineStr">
        <is>
          <t>Innova 5610 OBD2 Bidirectional Scan Tool - Understand Your Vehicle, Pinpoint What's Wrong, and Complete Your Repairs with Less Headache, Updates Included, US-Based Technical Support</t>
        </is>
      </c>
      <c r="D104" s="314" t="inlineStr">
        <is>
          <t>innova</t>
        </is>
      </c>
      <c r="E104" s="314" t="inlineStr">
        <is>
          <t>Handheld</t>
        </is>
      </c>
      <c r="F104" s="6" t="n">
        <v>292.6118611449452</v>
      </c>
      <c r="G104" s="6" t="n">
        <v>1201171.69</v>
      </c>
      <c r="H104" s="233" t="n">
        <v>4105</v>
      </c>
      <c r="I104" s="17" t="n">
        <v>3435</v>
      </c>
      <c r="J104" s="5" t="n">
        <v>4.4</v>
      </c>
      <c r="K104" s="5" t="inlineStr">
        <is>
          <t>https://amazon.com/dp/B07Z481NJM</t>
        </is>
      </c>
      <c r="L104" s="34">
        <f>HYPERLINK(K104)</f>
        <v/>
      </c>
    </row>
    <row r="105" ht="17" customHeight="1" s="290">
      <c r="A105" s="15" t="n">
        <v>10</v>
      </c>
      <c r="B105" s="5" t="inlineStr">
        <is>
          <t>B08NFLL3NT</t>
        </is>
      </c>
      <c r="C105" s="164" t="inlineStr">
        <is>
          <t>OBDLink CX Bimmercode Bluetooth 5.1 OBD2 Adapter for BMW/Mini, Works with iPhone/iOS &amp; Android, Car Coding, OBD II Diagnostic Scanner</t>
        </is>
      </c>
      <c r="D105" s="314" t="inlineStr">
        <is>
          <t>obdlink</t>
        </is>
      </c>
      <c r="E105" s="314" t="inlineStr">
        <is>
          <t>Dongle</t>
        </is>
      </c>
      <c r="F105" s="6" t="n">
        <v>79.93206907184705</v>
      </c>
      <c r="G105" s="6" t="n">
        <v>259219.7</v>
      </c>
      <c r="H105" s="233" t="n">
        <v>3243</v>
      </c>
      <c r="I105" s="17" t="n">
        <v>4326</v>
      </c>
      <c r="J105" s="5" t="n">
        <v>4.6</v>
      </c>
      <c r="K105" s="5" t="inlineStr">
        <is>
          <t>https://amazon.com/dp/B08NFLL3NT</t>
        </is>
      </c>
      <c r="L105" s="211">
        <f>HYPERLINK(K105)</f>
        <v/>
      </c>
    </row>
    <row r="106" ht="17" customFormat="1" customHeight="1" s="26">
      <c r="A106" s="147" t="n">
        <v>11</v>
      </c>
      <c r="B106" s="149" t="inlineStr">
        <is>
          <t>B013RIQMEO</t>
        </is>
      </c>
      <c r="C106" s="165" t="inlineStr">
        <is>
          <t>FIXD Bluetooth OBD2 Scanner for iPhone &amp; Android - Diagnostic Scan Tool for Repairs and Car Buying - Check Engine Code Reader &amp; Enhanced Codes - (1 Pack w/Free 14-Day FIXD Premium Bundle)</t>
        </is>
      </c>
      <c r="D106" s="315" t="inlineStr">
        <is>
          <t>fixd</t>
        </is>
      </c>
      <c r="E106" s="315" t="inlineStr">
        <is>
          <t>Dongle</t>
        </is>
      </c>
      <c r="F106" s="150" t="n">
        <v>39.98986600186974</v>
      </c>
      <c r="G106" s="150" t="n">
        <v>128327.48</v>
      </c>
      <c r="H106" s="234" t="n">
        <v>3209</v>
      </c>
      <c r="I106" s="151" t="n">
        <v>35039</v>
      </c>
      <c r="J106" s="149" t="n">
        <v>4.2</v>
      </c>
      <c r="K106" s="149" t="inlineStr">
        <is>
          <t>https://amazon.com/dp/B013RIQMEO</t>
        </is>
      </c>
      <c r="L106" s="152">
        <f>HYPERLINK(K106)</f>
        <v/>
      </c>
    </row>
    <row r="107" ht="17" customHeight="1" s="290">
      <c r="A107" s="147" t="n">
        <v>12</v>
      </c>
      <c r="B107" s="149" t="inlineStr">
        <is>
          <t>B07CFVD2P3</t>
        </is>
      </c>
      <c r="C107" s="165" t="inlineStr">
        <is>
          <t>FIXD Bluetooth OBD2 Scanner for iPhone &amp; Android - Diagnostic Scan Tool for Repairs and Car Buying - Check Engine Code Reader &amp; Enhanced Codes - (2 Pack w/Free 14-Day FIXD Premium Bundle)</t>
        </is>
      </c>
      <c r="D107" s="315" t="inlineStr">
        <is>
          <t>fixd</t>
        </is>
      </c>
      <c r="E107" s="315" t="inlineStr">
        <is>
          <t>Dongle</t>
        </is>
      </c>
      <c r="F107" s="150" t="n">
        <v>97.98624688722876</v>
      </c>
      <c r="G107" s="150" t="n">
        <v>275439.34</v>
      </c>
      <c r="H107" s="234" t="n">
        <v>2811</v>
      </c>
      <c r="I107" s="151" t="n">
        <v>1243</v>
      </c>
      <c r="J107" s="149" t="n">
        <v>4.1</v>
      </c>
      <c r="K107" s="149" t="inlineStr">
        <is>
          <t>https://amazon.com/dp/B07CFVD2P3</t>
        </is>
      </c>
      <c r="L107" s="152">
        <f>HYPERLINK(K107)</f>
        <v/>
      </c>
    </row>
    <row r="108" ht="17" customHeight="1" s="290">
      <c r="A108" s="15" t="n">
        <v>13</v>
      </c>
      <c r="B108" s="5" t="inlineStr">
        <is>
          <t>B07Z46L5FG</t>
        </is>
      </c>
      <c r="C108" s="164" t="inlineStr">
        <is>
          <t>Innova 5210 OBD2 Scanner &amp; Engine Code Reader, Battery Tester, Live Data, Oil Reset, Car Diagnostic Tool for Most Vehicles, Bluetooth Compatible with America's Top Car Repair App</t>
        </is>
      </c>
      <c r="D108" s="314" t="inlineStr">
        <is>
          <t>innova</t>
        </is>
      </c>
      <c r="E108" s="314" t="inlineStr">
        <is>
          <t>Handheld</t>
        </is>
      </c>
      <c r="F108" s="6" t="n">
        <v>87.48796262367168</v>
      </c>
      <c r="G108" s="6" t="n">
        <v>238754.65</v>
      </c>
      <c r="H108" s="233" t="n">
        <v>2729</v>
      </c>
      <c r="I108" s="17" t="n">
        <v>3977</v>
      </c>
      <c r="J108" s="5" t="n">
        <v>4.5</v>
      </c>
      <c r="K108" s="5" t="inlineStr">
        <is>
          <t>https://amazon.com/dp/B07Z46L5FG</t>
        </is>
      </c>
      <c r="L108" s="211">
        <f>HYPERLINK(K108)</f>
        <v/>
      </c>
    </row>
    <row r="109" ht="17" customFormat="1" customHeight="1" s="26">
      <c r="A109" s="15" t="n">
        <v>14</v>
      </c>
      <c r="B109" s="5" t="inlineStr">
        <is>
          <t>B08PFJMTY3</t>
        </is>
      </c>
      <c r="C109" s="164" t="inlineStr">
        <is>
          <t>FOXWELL Car Scanner NT604 Elite OBD2 Scanner ABS SRS Transmission, Check Engine Code Reader for Cars and Trucks, Diagnostic Scan Tool with SRS Airbag, Automotive Diagnostic Tool with Live Data</t>
        </is>
      </c>
      <c r="D109" s="314" t="inlineStr">
        <is>
          <t>foxwell</t>
        </is>
      </c>
      <c r="E109" s="314" t="inlineStr">
        <is>
          <t>Tablet</t>
        </is>
      </c>
      <c r="F109" s="6" t="n">
        <v>151.7840725806452</v>
      </c>
      <c r="G109" s="6" t="n">
        <v>414066.95</v>
      </c>
      <c r="H109" s="233" t="n">
        <v>2728</v>
      </c>
      <c r="I109" s="17" t="n">
        <v>4855</v>
      </c>
      <c r="J109" s="5" t="n">
        <v>4.4</v>
      </c>
      <c r="K109" s="5" t="inlineStr">
        <is>
          <t>https://amazon.com/dp/B08PFJMTY3</t>
        </is>
      </c>
      <c r="L109" s="211">
        <f>HYPERLINK(K109)</f>
        <v/>
      </c>
    </row>
    <row r="110" ht="17" customHeight="1" s="290">
      <c r="A110" s="15" t="n">
        <v>15</v>
      </c>
      <c r="B110" s="5" t="inlineStr">
        <is>
          <t>B007XE8C74</t>
        </is>
      </c>
      <c r="C110" s="164" t="inlineStr">
        <is>
          <t>Autel Professional OBD2 Scanner AL319 Code Reader, Enhanced Check and Reset Engine Fault Code, Live Data, Freeze Frame, CAN Car Diagnostic Scan Tools for All OBDII Vehicles After 1996, 2026 Upgraded</t>
        </is>
      </c>
      <c r="D110" s="314" t="inlineStr">
        <is>
          <t>autel</t>
        </is>
      </c>
      <c r="E110" s="314" t="inlineStr">
        <is>
          <t>Handheld</t>
        </is>
      </c>
      <c r="F110" s="6" t="n">
        <v>33.92090459901178</v>
      </c>
      <c r="G110" s="6" t="n">
        <v>89245.89999999999</v>
      </c>
      <c r="H110" s="233" t="n">
        <v>2631</v>
      </c>
      <c r="I110" s="17" t="n">
        <v>25897</v>
      </c>
      <c r="J110" s="5" t="n">
        <v>4.6</v>
      </c>
      <c r="K110" s="5" t="inlineStr">
        <is>
          <t>https://amazon.com/dp/B007XE8C74</t>
        </is>
      </c>
      <c r="L110" s="34">
        <f>HYPERLINK(K110)</f>
        <v/>
      </c>
    </row>
    <row r="111" ht="17" customHeight="1" s="290">
      <c r="A111" s="212" t="n">
        <v>16</v>
      </c>
      <c r="B111" s="213" t="inlineStr">
        <is>
          <t>B076XVQMVS</t>
        </is>
      </c>
      <c r="C111" s="214" t="inlineStr">
        <is>
          <t>Veepeak OBDCheck BLE+ Bluetooth OBD II Scanner for iOS &amp; Android, Car Check Engine Code Reader Wireless OBD Diagnostic Scan Tool</t>
        </is>
      </c>
      <c r="D111" s="316" t="inlineStr">
        <is>
          <t>veepeak</t>
        </is>
      </c>
      <c r="E111" s="316" t="inlineStr">
        <is>
          <t>Dongle</t>
        </is>
      </c>
      <c r="F111" s="216" t="n">
        <v>41.43043495145631</v>
      </c>
      <c r="G111" s="216" t="n">
        <v>106683.37</v>
      </c>
      <c r="H111" s="235" t="n">
        <v>2575</v>
      </c>
      <c r="I111" s="217" t="n">
        <v>10842</v>
      </c>
      <c r="J111" s="213" t="n">
        <v>4.6</v>
      </c>
      <c r="K111" s="213" t="inlineStr">
        <is>
          <t>https://amazon.com/dp/B076XVQMVS</t>
        </is>
      </c>
      <c r="L111" s="211">
        <f>HYPERLINK(K111)</f>
        <v/>
      </c>
    </row>
    <row r="112" ht="17" customHeight="1" s="290">
      <c r="A112" s="15" t="n">
        <v>17</v>
      </c>
      <c r="B112" s="5" t="inlineStr">
        <is>
          <t>B00652G4TS</t>
        </is>
      </c>
      <c r="C112" s="164" t="inlineStr">
        <is>
          <t>BlueDriver Bluetooth Pro OBDII Scan Tool for iPhone &amp; Android - No Subscription Fee - OBD2 Car Scanner and Code Reader - Diagnose Check Engine, ABS, SRS, Airbag &amp; 7000+ Issues on Vehicles 1996+</t>
        </is>
      </c>
      <c r="D112" s="314" t="inlineStr">
        <is>
          <t>bluedriver</t>
        </is>
      </c>
      <c r="E112" s="314" t="inlineStr">
        <is>
          <t>Dongle</t>
        </is>
      </c>
      <c r="F112" s="6" t="n">
        <v>89.95980835380836</v>
      </c>
      <c r="G112" s="6" t="n">
        <v>183068.21</v>
      </c>
      <c r="H112" s="233" t="n">
        <v>2035</v>
      </c>
      <c r="I112" s="17" t="n">
        <v>62211</v>
      </c>
      <c r="J112" s="5" t="n">
        <v>4.5</v>
      </c>
      <c r="K112" s="5" t="inlineStr">
        <is>
          <t>https://amazon.com/dp/B00652G4TS</t>
        </is>
      </c>
      <c r="L112" s="153">
        <f>HYPERLINK(K112)</f>
        <v/>
      </c>
    </row>
    <row r="113" ht="17" customHeight="1" s="290">
      <c r="A113" s="15" t="n">
        <v>18</v>
      </c>
      <c r="B113" s="5" t="inlineStr">
        <is>
          <t>B01F0GVBWY</t>
        </is>
      </c>
      <c r="C113" s="164" t="inlineStr">
        <is>
          <t>OHP FORScan ELM327-based OBD2 to USB Diagnostic Scan Tool with MS-Can/HS-Can Switch for Ford Lincoln Mazda Mercury Vehicles</t>
        </is>
      </c>
      <c r="D113" s="314" t="inlineStr">
        <is>
          <t>ohp</t>
        </is>
      </c>
      <c r="E113" s="314" t="inlineStr">
        <is>
          <t>Cable/Adapter</t>
        </is>
      </c>
      <c r="F113" s="6" t="n">
        <v>34.881197327852</v>
      </c>
      <c r="G113" s="6" t="n">
        <v>67878.81</v>
      </c>
      <c r="H113" s="233" t="n">
        <v>1946</v>
      </c>
      <c r="I113" s="17" t="n">
        <v>4918</v>
      </c>
      <c r="J113" s="5" t="n">
        <v>4.5</v>
      </c>
      <c r="K113" s="5" t="inlineStr">
        <is>
          <t>https://amazon.com/dp/B01F0GVBWY</t>
        </is>
      </c>
      <c r="L113" s="211">
        <f>HYPERLINK(K113)</f>
        <v/>
      </c>
    </row>
    <row r="114" ht="17" customFormat="1" customHeight="1" s="26">
      <c r="A114" s="15" t="n">
        <v>19</v>
      </c>
      <c r="B114" s="5" t="inlineStr">
        <is>
          <t>B0DV2N2FND</t>
        </is>
      </c>
      <c r="C114" s="164" t="inlineStr">
        <is>
          <t>BLCKTEC 460T OBD2 Scanner Car Code Reader Engine ABS SRS Transmission Diagnostic Tool, 12 Reset Services, Oil/TPMS/EPB/BMS/SAS/DPF/Throttle Reset, ABS Bleeding, Battery Test, Auto VIN, Free Update</t>
        </is>
      </c>
      <c r="D114" s="314" t="inlineStr">
        <is>
          <t>blcktec</t>
        </is>
      </c>
      <c r="E114" s="314" t="inlineStr">
        <is>
          <t>Tablet</t>
        </is>
      </c>
      <c r="F114" s="6" t="n">
        <v>189.17418997669</v>
      </c>
      <c r="G114" s="6" t="n">
        <v>324622.91</v>
      </c>
      <c r="H114" s="233" t="n">
        <v>1716</v>
      </c>
      <c r="I114" s="17" t="n">
        <v>608</v>
      </c>
      <c r="J114" s="5" t="n">
        <v>4.4</v>
      </c>
      <c r="K114" s="5" t="inlineStr">
        <is>
          <t>https://amazon.com/dp/B0DV2N2FND</t>
        </is>
      </c>
      <c r="L114" s="211">
        <f>HYPERLINK(K114)</f>
        <v/>
      </c>
    </row>
    <row r="115" ht="17" customHeight="1" s="290">
      <c r="A115" s="15" t="n">
        <v>20</v>
      </c>
      <c r="B115" s="5" t="inlineStr">
        <is>
          <t>B094Z7PBLS</t>
        </is>
      </c>
      <c r="C115" s="164" t="inlineStr">
        <is>
          <t>Vgate vLinker FS OBD2 USB Adapter for FORScan HS/MS-CAN Auto Switch</t>
        </is>
      </c>
      <c r="D115" s="314" t="inlineStr">
        <is>
          <t>vgate</t>
        </is>
      </c>
      <c r="E115" s="314" t="inlineStr">
        <is>
          <t>Cable/Adapter</t>
        </is>
      </c>
      <c r="F115" s="6" t="n">
        <v>34.99058479532164</v>
      </c>
      <c r="G115" s="6" t="n">
        <v>59833.9</v>
      </c>
      <c r="H115" s="233" t="n">
        <v>1710</v>
      </c>
      <c r="I115" s="17" t="n">
        <v>2686</v>
      </c>
      <c r="J115" s="5" t="n">
        <v>4.7</v>
      </c>
      <c r="K115" s="5" t="inlineStr">
        <is>
          <t>https://amazon.com/dp/B094Z7PBLS</t>
        </is>
      </c>
      <c r="L115" s="211">
        <f>HYPERLINK(K115)</f>
        <v/>
      </c>
    </row>
    <row r="116" ht="17" customHeight="1" s="290">
      <c r="A116" s="15" t="n">
        <v>21</v>
      </c>
      <c r="B116" s="5" t="inlineStr">
        <is>
          <t>B06XGB4873</t>
        </is>
      </c>
      <c r="C116" s="164" t="inlineStr">
        <is>
          <t>Vgate iCar Pro Bluetooth 4.0 (BLE) OBD2 Fault Code Reader OBDII Code Scanner Car Check Engine Light for iOS/Android</t>
        </is>
      </c>
      <c r="D116" s="314" t="inlineStr">
        <is>
          <t>vgate</t>
        </is>
      </c>
      <c r="E116" s="314" t="inlineStr">
        <is>
          <t>Dongle</t>
        </is>
      </c>
      <c r="F116" s="6" t="n">
        <v>31.98785039941902</v>
      </c>
      <c r="G116" s="6" t="n">
        <v>44047.27</v>
      </c>
      <c r="H116" s="233" t="n">
        <v>1377</v>
      </c>
      <c r="I116" s="17" t="n">
        <v>7098</v>
      </c>
      <c r="J116" s="5" t="n">
        <v>4.6</v>
      </c>
      <c r="K116" s="5" t="inlineStr">
        <is>
          <t>https://amazon.com/dp/B06XGB4873</t>
        </is>
      </c>
      <c r="L116" s="211">
        <f>HYPERLINK(K116)</f>
        <v/>
      </c>
    </row>
    <row r="117" ht="17" customFormat="1" customHeight="1" s="210">
      <c r="A117" s="15" t="n">
        <v>22</v>
      </c>
      <c r="B117" s="5" t="inlineStr">
        <is>
          <t>B0D4YZG7Q6</t>
        </is>
      </c>
      <c r="C117" s="164" t="inlineStr">
        <is>
          <t>OBD2 Scanner, CGSULIT SC103 Car Code Reader Diagnose Check Engine Light Smog Check DTCs Scan Tool Live Data Stream Voltage Test for Vehicles Since 1996</t>
        </is>
      </c>
      <c r="D117" s="314" t="inlineStr">
        <is>
          <t>cgsulit</t>
        </is>
      </c>
      <c r="E117" s="314" t="inlineStr">
        <is>
          <t>Handheld</t>
        </is>
      </c>
      <c r="F117" s="6" t="n">
        <v>17.38283636363636</v>
      </c>
      <c r="G117" s="6" t="n">
        <v>23901.4</v>
      </c>
      <c r="H117" s="233" t="n">
        <v>1375</v>
      </c>
      <c r="I117" s="17" t="n">
        <v>1084</v>
      </c>
      <c r="J117" s="5" t="n">
        <v>4.5</v>
      </c>
      <c r="K117" s="5" t="inlineStr">
        <is>
          <t>https://amazon.com/dp/B0D4YZG7Q6</t>
        </is>
      </c>
      <c r="L117" s="211">
        <f>HYPERLINK(K117)</f>
        <v/>
      </c>
    </row>
    <row r="118" ht="17" customHeight="1" s="290">
      <c r="A118" s="15" t="n">
        <v>23</v>
      </c>
      <c r="B118" s="5" t="inlineStr">
        <is>
          <t>B0C3QQYQ1B</t>
        </is>
      </c>
      <c r="C118" s="164" t="inlineStr">
        <is>
          <t>TOPDON TopScan Lite OBD2 Scanner Bluetooth, Bi-Directional Scanner Wireless All System Diagnostic Tool for iOS &amp; Android, 8+ Hot Reset, Repair Guides, Check Engine Car Code Reader, Performance Test</t>
        </is>
      </c>
      <c r="D118" s="314" t="inlineStr">
        <is>
          <t>topdon</t>
        </is>
      </c>
      <c r="E118" s="314" t="inlineStr">
        <is>
          <t>Dongle</t>
        </is>
      </c>
      <c r="F118" s="6" t="n">
        <v>51.95718309859155</v>
      </c>
      <c r="G118" s="6" t="n">
        <v>70090.24000000001</v>
      </c>
      <c r="H118" s="233" t="n">
        <v>1349</v>
      </c>
      <c r="I118" s="17" t="n">
        <v>7230</v>
      </c>
      <c r="J118" s="5" t="n">
        <v>4</v>
      </c>
      <c r="K118" s="5" t="inlineStr">
        <is>
          <t>https://amazon.com/dp/B0C3QQYQ1B</t>
        </is>
      </c>
      <c r="L118" s="153">
        <f>HYPERLINK(K118)</f>
        <v/>
      </c>
    </row>
    <row r="119" ht="17" customHeight="1" s="290">
      <c r="A119" s="15" t="n">
        <v>24</v>
      </c>
      <c r="B119" s="5" t="inlineStr">
        <is>
          <t>B0744B55QV</t>
        </is>
      </c>
      <c r="C119" s="164" t="inlineStr">
        <is>
          <t>Autel Scanner MaxiCOM MK808S: 2026 Bidirectional Tool as MX808S MK808BT Pro M808Z, Work as MaxiCheck MX900 MK900BT, 28+ Service, 3000+ Active Tests, All System OBD2 Diagnostics, OS 11, 10X Faster</t>
        </is>
      </c>
      <c r="D119" s="314" t="inlineStr">
        <is>
          <t>autel</t>
        </is>
      </c>
      <c r="E119" s="314" t="inlineStr">
        <is>
          <t>Tablet</t>
        </is>
      </c>
      <c r="F119" s="6" t="n">
        <v>455.0867040358744</v>
      </c>
      <c r="G119" s="6" t="n">
        <v>608906.01</v>
      </c>
      <c r="H119" s="233" t="n">
        <v>1338</v>
      </c>
      <c r="I119" s="17" t="n">
        <v>3847</v>
      </c>
      <c r="J119" s="5" t="n">
        <v>4.4</v>
      </c>
      <c r="K119" s="5" t="inlineStr">
        <is>
          <t>https://amazon.com/dp/B0744B55QV</t>
        </is>
      </c>
      <c r="L119" s="34">
        <f>HYPERLINK(K119)</f>
        <v/>
      </c>
    </row>
    <row r="120" ht="17" customHeight="1" s="290">
      <c r="A120" s="15" t="n">
        <v>25</v>
      </c>
      <c r="B120" s="5" t="inlineStr">
        <is>
          <t>B0CM9W4MCW</t>
        </is>
      </c>
      <c r="C120" s="164" t="inlineStr">
        <is>
          <t>Carista EVO - Bluetooth OBD2 Scanner - Car Diagnostic Tool &amp; Code Reader with Access to Diagnostics, Customizations, Service Tools &amp; Live Data (Subscription Required)</t>
        </is>
      </c>
      <c r="D120" s="314" t="inlineStr">
        <is>
          <t>carista</t>
        </is>
      </c>
      <c r="E120" s="314" t="inlineStr">
        <is>
          <t>Dongle</t>
        </is>
      </c>
      <c r="F120" s="6" t="n">
        <v>58.7683779648049</v>
      </c>
      <c r="G120" s="6" t="n">
        <v>76810.27</v>
      </c>
      <c r="H120" s="233" t="n">
        <v>1307</v>
      </c>
      <c r="I120" s="17" t="n">
        <v>1715</v>
      </c>
      <c r="J120" s="5" t="n">
        <v>4.1</v>
      </c>
      <c r="K120" s="5" t="inlineStr">
        <is>
          <t>https://amazon.com/dp/B0CM9W4MCW</t>
        </is>
      </c>
      <c r="L120" s="153">
        <f>HYPERLINK(K120)</f>
        <v/>
      </c>
    </row>
    <row r="121" ht="17" customHeight="1" s="290">
      <c r="A121" s="15" t="n">
        <v>26</v>
      </c>
      <c r="B121" s="5" t="inlineStr">
        <is>
          <t>B09KT9XNML</t>
        </is>
      </c>
      <c r="C121" s="164" t="inlineStr">
        <is>
          <t>OBD2 Scanner Diagnostic Tool XTOOL Anyscan A30M V2.0, 2026 Wireless Bidirectional Scan Tool with Free Updates, 26 Resets, All System for Android &amp; iPhone, Crank Sensor Relearn, EPB, Throttle Relearn</t>
        </is>
      </c>
      <c r="D121" s="314" t="inlineStr">
        <is>
          <t>xtool</t>
        </is>
      </c>
      <c r="E121" s="314" t="inlineStr">
        <is>
          <t>Dongle</t>
        </is>
      </c>
      <c r="F121" s="6" t="n">
        <v>151.2937490377213</v>
      </c>
      <c r="G121" s="6" t="n">
        <v>196530.58</v>
      </c>
      <c r="H121" s="233" t="n">
        <v>1299</v>
      </c>
      <c r="I121" s="17" t="n">
        <v>1409</v>
      </c>
      <c r="J121" s="5" t="n">
        <v>4.3</v>
      </c>
      <c r="K121" s="5" t="inlineStr">
        <is>
          <t>https://amazon.com/dp/B09KT9XNML</t>
        </is>
      </c>
      <c r="L121" s="34">
        <f>HYPERLINK(K121)</f>
        <v/>
      </c>
    </row>
    <row r="122" ht="17" customHeight="1" s="290">
      <c r="A122" s="15" t="n">
        <v>27</v>
      </c>
      <c r="B122" s="5" t="inlineStr">
        <is>
          <t>B09KZTYD18</t>
        </is>
      </c>
      <c r="C122" s="164" t="inlineStr">
        <is>
          <t>OBD2 Scanner TOPDON AD600S Scan Tool, Code Reader, Diagnostics Scanner for ABS/SRS/AT/Engine, 9 Reset Services, Oil/Brake/BMS/SAS/DPF/TPMS/ETS Reset/ABS Bleeding/Injector Coding, Free Lifetime Upgrade</t>
        </is>
      </c>
      <c r="D122" s="314" t="inlineStr">
        <is>
          <t>topdon</t>
        </is>
      </c>
      <c r="E122" s="314" t="inlineStr">
        <is>
          <t>Tablet</t>
        </is>
      </c>
      <c r="F122" s="6" t="n">
        <v>194.0666122766123</v>
      </c>
      <c r="G122" s="6" t="n">
        <v>249763.73</v>
      </c>
      <c r="H122" s="233" t="n">
        <v>1287</v>
      </c>
      <c r="I122" s="17" t="n">
        <v>1836</v>
      </c>
      <c r="J122" s="5" t="n">
        <v>4.5</v>
      </c>
      <c r="K122" s="5" t="inlineStr">
        <is>
          <t>https://amazon.com/dp/B09KZTYD18</t>
        </is>
      </c>
      <c r="L122" s="34">
        <f>HYPERLINK(K122)</f>
        <v/>
      </c>
    </row>
    <row r="123" ht="17" customHeight="1" s="290">
      <c r="A123" s="15" t="n">
        <v>28</v>
      </c>
      <c r="B123" s="5" t="inlineStr">
        <is>
          <t>B0C2V3RYLY</t>
        </is>
      </c>
      <c r="C123" s="164" t="inlineStr">
        <is>
          <t>ZMOON ZM201 Professional OBD2 Scanner Diagnostic Tool, Enhanced Check Engine Code Reader with Reset OBDII/EOBD Car Diagnostic Scan Tools for All Vehicles After 1996, 2026 Upgraded</t>
        </is>
      </c>
      <c r="D123" s="314" t="inlineStr">
        <is>
          <t>zmoon</t>
        </is>
      </c>
      <c r="E123" s="314" t="inlineStr">
        <is>
          <t>Handheld</t>
        </is>
      </c>
      <c r="F123" s="6" t="n">
        <v>36.46699530516432</v>
      </c>
      <c r="G123" s="6" t="n">
        <v>46604.82</v>
      </c>
      <c r="H123" s="233" t="n">
        <v>1278</v>
      </c>
      <c r="I123" s="17" t="n">
        <v>2716</v>
      </c>
      <c r="J123" s="5" t="n">
        <v>4.5</v>
      </c>
      <c r="K123" s="5" t="inlineStr">
        <is>
          <t>https://amazon.com/dp/B0C2V3RYLY</t>
        </is>
      </c>
      <c r="L123" s="153">
        <f>HYPERLINK(K123)</f>
        <v/>
      </c>
    </row>
    <row r="124" ht="17" customHeight="1" s="290">
      <c r="A124" s="15" t="n">
        <v>29</v>
      </c>
      <c r="B124" s="5" t="inlineStr">
        <is>
          <t>B011NSX27A</t>
        </is>
      </c>
      <c r="C124" s="164" t="inlineStr">
        <is>
          <t>Veepeak Mini Bluetooth OBD2 Scanner for Android ONLY (NOT for iOS) – Car Wireless Check Engine Light Code Reader &amp; Diagnostic Tool</t>
        </is>
      </c>
      <c r="D124" s="314" t="inlineStr">
        <is>
          <t>veepeak</t>
        </is>
      </c>
      <c r="E124" s="314" t="inlineStr">
        <is>
          <t>Dongle</t>
        </is>
      </c>
      <c r="F124" s="6" t="n">
        <v>14.47829914529914</v>
      </c>
      <c r="G124" s="6" t="n">
        <v>16939.61</v>
      </c>
      <c r="H124" s="233" t="n">
        <v>1170</v>
      </c>
      <c r="I124" s="17" t="n">
        <v>18622</v>
      </c>
      <c r="J124" s="5" t="n">
        <v>4.4</v>
      </c>
      <c r="K124" s="5" t="inlineStr">
        <is>
          <t>https://amazon.com/dp/B011NSX27A</t>
        </is>
      </c>
      <c r="L124" s="34">
        <f>HYPERLINK(K124)</f>
        <v/>
      </c>
    </row>
    <row r="125" ht="17" customHeight="1" s="290">
      <c r="A125" s="15" t="n">
        <v>30</v>
      </c>
      <c r="B125" s="5" t="inlineStr">
        <is>
          <t>B0C33Y285Y</t>
        </is>
      </c>
      <c r="C125" s="164" t="inlineStr">
        <is>
          <t>TOPDON Bidirectional Scan Tool, 2026 New ArtiDiag900 Lite Automotive Diagnostic Tool for Full System, Scanner for Car with Active Test, 8 Reset, Wireless OBD2 Scanner Diagnostic Tool for All Vehicles</t>
        </is>
      </c>
      <c r="D125" s="314" t="inlineStr">
        <is>
          <t>topdon</t>
        </is>
      </c>
      <c r="E125" s="314" t="inlineStr">
        <is>
          <t>Tablet</t>
        </is>
      </c>
      <c r="F125" s="6" t="n">
        <v>318.9840625</v>
      </c>
      <c r="G125" s="6" t="n">
        <v>367469.64</v>
      </c>
      <c r="H125" s="233" t="n">
        <v>1152</v>
      </c>
      <c r="I125" s="17" t="n">
        <v>1230</v>
      </c>
      <c r="J125" s="5" t="n">
        <v>4.3</v>
      </c>
      <c r="K125" s="5" t="inlineStr">
        <is>
          <t>https://amazon.com/dp/B0C33Y285Y</t>
        </is>
      </c>
      <c r="L125" s="34">
        <f>HYPERLINK(K125)</f>
        <v/>
      </c>
    </row>
    <row r="126" ht="17" customHeight="1" s="290">
      <c r="A126" s="15" t="n">
        <v>31</v>
      </c>
      <c r="B126" s="5" t="inlineStr">
        <is>
          <t>B0BX3K8VGJ</t>
        </is>
      </c>
      <c r="C126" s="164" t="inlineStr">
        <is>
          <t>ANCEL AD410 PRO OBD2 Scanner and Battery Tester, 2-in-1 Car Diagnostic Tool, Check Engine Light, EVAP Test, Live Data, 12V Battery Analyzer with Cranking &amp; Charging System Test for Car Motorcycle</t>
        </is>
      </c>
      <c r="D126" s="314" t="inlineStr">
        <is>
          <t>ancel</t>
        </is>
      </c>
      <c r="E126" s="314" t="inlineStr">
        <is>
          <t>Handheld</t>
        </is>
      </c>
      <c r="F126" s="6" t="n">
        <v>62.35547598253275</v>
      </c>
      <c r="G126" s="6" t="n">
        <v>71397.02</v>
      </c>
      <c r="H126" s="233" t="n">
        <v>1145</v>
      </c>
      <c r="I126" s="17" t="n">
        <v>4093</v>
      </c>
      <c r="J126" s="5" t="n">
        <v>4.6</v>
      </c>
      <c r="K126" s="5" t="inlineStr">
        <is>
          <t>https://amazon.com/dp/B0BX3K8VGJ</t>
        </is>
      </c>
      <c r="L126" s="211">
        <f>HYPERLINK(K126)</f>
        <v/>
      </c>
    </row>
    <row r="127" ht="17" customHeight="1" s="290">
      <c r="A127" s="15" t="n">
        <v>32</v>
      </c>
      <c r="B127" s="5" t="inlineStr">
        <is>
          <t>B0DHQSQYTR</t>
        </is>
      </c>
      <c r="C127" s="164" t="inlineStr">
        <is>
          <t>MOTOPOWER MP69033 Pro OBD2 Scanner Code Reader Check Engine Fault Light Diagnostic Scan Tool with Battery Tester</t>
        </is>
      </c>
      <c r="D127" s="314" t="inlineStr">
        <is>
          <t>motopower</t>
        </is>
      </c>
      <c r="E127" s="314" t="inlineStr">
        <is>
          <t>Handheld</t>
        </is>
      </c>
      <c r="F127" s="6" t="n">
        <v>31.00490990990991</v>
      </c>
      <c r="G127" s="6" t="n">
        <v>34415.45</v>
      </c>
      <c r="H127" s="233" t="n">
        <v>1110</v>
      </c>
      <c r="I127" s="17" t="n">
        <v>826</v>
      </c>
      <c r="J127" s="5" t="n">
        <v>4.6</v>
      </c>
      <c r="K127" s="5" t="inlineStr">
        <is>
          <t>https://amazon.com/dp/B0DHQSQYTR</t>
        </is>
      </c>
      <c r="L127" s="34">
        <f>HYPERLINK(K127)</f>
        <v/>
      </c>
    </row>
    <row r="128" ht="17" customHeight="1" s="290">
      <c r="A128" s="15" t="n">
        <v>33</v>
      </c>
      <c r="B128" s="5" t="inlineStr">
        <is>
          <t>B0D44C1F7Y</t>
        </is>
      </c>
      <c r="C128" s="164" t="inlineStr">
        <is>
          <t>OBD2 Scanner Reader Bluetooth Wireless Auto Diagnostic Scan Tool for iOS &amp; Android for Performance Test Bluetooth 5.4 Car Check Engine Car Code Reader, Clear Error Code Live Data Reset Exclusive APP</t>
        </is>
      </c>
      <c r="D128" s="314" t="inlineStr">
        <is>
          <t>umeija</t>
        </is>
      </c>
      <c r="E128" s="314" t="inlineStr">
        <is>
          <t>Dongle</t>
        </is>
      </c>
      <c r="F128" s="6" t="n">
        <v>21.4903880866426</v>
      </c>
      <c r="G128" s="6" t="n">
        <v>23811.35</v>
      </c>
      <c r="H128" s="233" t="n">
        <v>1108</v>
      </c>
      <c r="I128" s="17" t="n">
        <v>2049</v>
      </c>
      <c r="J128" s="5" t="n">
        <v>4.3</v>
      </c>
      <c r="K128" s="5" t="inlineStr">
        <is>
          <t>https://amazon.com/dp/B0D44C1F7Y</t>
        </is>
      </c>
      <c r="L128" s="34">
        <f>HYPERLINK(K128)</f>
        <v/>
      </c>
    </row>
    <row r="129" ht="17" customHeight="1" s="290">
      <c r="A129" s="15" t="n">
        <v>34</v>
      </c>
      <c r="B129" s="5" t="inlineStr">
        <is>
          <t>B07Q5H7M5S</t>
        </is>
      </c>
      <c r="C129" s="164" t="inlineStr">
        <is>
          <t>Autel OBD2 Scanner MS309 Universal Car Engine Fault Code Reader, Check Engine Light and Emission Monitor Status, OBDII CAN Diagnostic Scan Tool</t>
        </is>
      </c>
      <c r="D129" s="314" t="inlineStr">
        <is>
          <t>autel</t>
        </is>
      </c>
      <c r="E129" s="314" t="inlineStr">
        <is>
          <t>Handheld</t>
        </is>
      </c>
      <c r="F129" s="6" t="n">
        <v>22.98575278810409</v>
      </c>
      <c r="G129" s="6" t="n">
        <v>24732.67</v>
      </c>
      <c r="H129" s="233" t="n">
        <v>1076</v>
      </c>
      <c r="I129" s="17" t="n">
        <v>17084</v>
      </c>
      <c r="J129" s="5" t="n">
        <v>4.6</v>
      </c>
      <c r="K129" s="5" t="inlineStr">
        <is>
          <t>https://amazon.com/dp/B07Q5H7M5S</t>
        </is>
      </c>
      <c r="L129" s="34">
        <f>HYPERLINK(K129)</f>
        <v/>
      </c>
    </row>
    <row r="130" ht="17" customHeight="1" s="290">
      <c r="A130" s="15" t="n">
        <v>35</v>
      </c>
      <c r="B130" s="5" t="inlineStr">
        <is>
          <t>B000EVYGV4</t>
        </is>
      </c>
      <c r="C130" s="164" t="inlineStr">
        <is>
          <t>Innova 3568 Digital Timing Light</t>
        </is>
      </c>
      <c r="D130" s="314" t="inlineStr">
        <is>
          <t>innova</t>
        </is>
      </c>
      <c r="E130" s="314" t="inlineStr">
        <is>
          <t>Other</t>
        </is>
      </c>
      <c r="F130" s="6" t="n">
        <v>79.89569668246446</v>
      </c>
      <c r="G130" s="6" t="n">
        <v>84289.96000000001</v>
      </c>
      <c r="H130" s="233" t="n">
        <v>1055</v>
      </c>
      <c r="I130" s="17" t="n"/>
      <c r="J130" s="5" t="n"/>
      <c r="K130" s="5" t="inlineStr">
        <is>
          <t>https://www.amazon.com/dp/B000EVYGV4</t>
        </is>
      </c>
      <c r="L130" s="153">
        <f>HYPERLINK(K130)</f>
        <v/>
      </c>
    </row>
    <row r="131" ht="17" customHeight="1" s="290">
      <c r="A131" s="15" t="n">
        <v>36</v>
      </c>
      <c r="B131" s="5" t="inlineStr">
        <is>
          <t>B0D9VPW238</t>
        </is>
      </c>
      <c r="C131" s="164" t="inlineStr">
        <is>
          <t>TOPDON Carpal OBD2 Scanner Bluetooth - Scanner for Car, AI-Assisted All System Diagnostic Tool for iOS &amp; Android, Vehicle Health Check, 6 Maintenance Services, Smog Check, Repair Guide</t>
        </is>
      </c>
      <c r="D131" s="314" t="inlineStr">
        <is>
          <t>topdon</t>
        </is>
      </c>
      <c r="E131" s="314" t="inlineStr">
        <is>
          <t>Dongle</t>
        </is>
      </c>
      <c r="F131" s="6" t="n">
        <v>40.38472140762463</v>
      </c>
      <c r="G131" s="6" t="n">
        <v>41313.57</v>
      </c>
      <c r="H131" s="233" t="n">
        <v>1023</v>
      </c>
      <c r="I131" s="17" t="n">
        <v>3030</v>
      </c>
      <c r="J131" s="5" t="n">
        <v>4.3</v>
      </c>
      <c r="K131" s="5" t="inlineStr">
        <is>
          <t>https://amazon.com/dp/B0D9VPW238</t>
        </is>
      </c>
      <c r="L131" s="34">
        <f>HYPERLINK(K131)</f>
        <v/>
      </c>
    </row>
    <row r="132" ht="17" customHeight="1" s="290">
      <c r="A132" s="15" t="n">
        <v>37</v>
      </c>
      <c r="B132" s="5" t="inlineStr">
        <is>
          <t>B07BS7PDC2</t>
        </is>
      </c>
      <c r="C132" s="164" t="inlineStr">
        <is>
          <t>ANCEL VD500 OBD2 Scanner Diagnostic Tool for Volkswagen VW Audi Skoda Seat Diagnosis Check Engine Light EPB ABS SRS Code Reader Oil Throttle Position Adaption Brake Pad Reset</t>
        </is>
      </c>
      <c r="D132" s="314" t="inlineStr">
        <is>
          <t>ancel</t>
        </is>
      </c>
      <c r="E132" s="314" t="inlineStr">
        <is>
          <t>Handheld</t>
        </is>
      </c>
      <c r="F132" s="6" t="n">
        <v>65.69651651651652</v>
      </c>
      <c r="G132" s="6" t="n">
        <v>65630.82000000001</v>
      </c>
      <c r="H132" s="233" t="n">
        <v>999</v>
      </c>
      <c r="I132" s="17" t="n">
        <v>6329</v>
      </c>
      <c r="J132" s="5" t="n">
        <v>4.5</v>
      </c>
      <c r="K132" s="5" t="inlineStr">
        <is>
          <t>https://amazon.com/dp/B07BS7PDC2</t>
        </is>
      </c>
      <c r="L132" s="211">
        <f>HYPERLINK(K132)</f>
        <v/>
      </c>
    </row>
    <row r="133" ht="17" customHeight="1" s="290">
      <c r="A133" s="15" t="n">
        <v>38</v>
      </c>
      <c r="B133" s="5" t="inlineStr">
        <is>
          <t>B071L8W7Q7</t>
        </is>
      </c>
      <c r="C133" s="164" t="inlineStr">
        <is>
          <t>bbfly-B6 OBD2 Splitter 16 Pin OBD II Splitter Extension 1x Male and 2X Female Extension Cable Adapter (1FT/30CM) (1Pack)</t>
        </is>
      </c>
      <c r="D133" s="314" t="inlineStr">
        <is>
          <t>bbfly</t>
        </is>
      </c>
      <c r="E133" s="314" t="inlineStr">
        <is>
          <t>Cable/Adapter</t>
        </is>
      </c>
      <c r="F133" s="6" t="n">
        <v>10.89475392670157</v>
      </c>
      <c r="G133" s="6" t="n">
        <v>10404.49</v>
      </c>
      <c r="H133" s="233" t="n">
        <v>955</v>
      </c>
      <c r="I133" s="17" t="n">
        <v>2113</v>
      </c>
      <c r="J133" s="5" t="n">
        <v>4.6</v>
      </c>
      <c r="K133" s="5" t="inlineStr">
        <is>
          <t>https://amazon.com/dp/B071L8W7Q7</t>
        </is>
      </c>
      <c r="L133" s="211">
        <f>HYPERLINK(K133)</f>
        <v/>
      </c>
    </row>
    <row r="134" ht="17" customHeight="1" s="290">
      <c r="A134" s="15" t="n">
        <v>39</v>
      </c>
      <c r="B134" s="5" t="inlineStr">
        <is>
          <t>B0FPQ4BVR3</t>
        </is>
      </c>
      <c r="C134" s="164" t="inlineStr">
        <is>
          <t>BluSon YM319 OBD2 Scanner Diagnostic Tool with Battery Tester, Check Engine Fault Code Reader with Live Data, Cloud Printing, DTC Lookup, Freeze Frame, Scan Tool for All OBDII Protocol Cars Since 1996</t>
        </is>
      </c>
      <c r="D134" s="314" t="inlineStr">
        <is>
          <t>bluson</t>
        </is>
      </c>
      <c r="E134" s="314" t="inlineStr">
        <is>
          <t>Handheld</t>
        </is>
      </c>
      <c r="F134" s="6" t="n">
        <v>33.04344017094017</v>
      </c>
      <c r="G134" s="6" t="n">
        <v>30928.66</v>
      </c>
      <c r="H134" s="233" t="n">
        <v>936</v>
      </c>
      <c r="I134" s="17" t="n">
        <v>176</v>
      </c>
      <c r="J134" s="5" t="n">
        <v>4.4</v>
      </c>
      <c r="K134" s="5" t="inlineStr">
        <is>
          <t>https://amazon.com/dp/B0FPQ4BVR3</t>
        </is>
      </c>
      <c r="L134" s="34">
        <f>HYPERLINK(K134)</f>
        <v/>
      </c>
    </row>
    <row r="135" ht="17" customHeight="1" s="290">
      <c r="A135" s="15" t="n">
        <v>40</v>
      </c>
      <c r="B135" s="5" t="inlineStr">
        <is>
          <t>B08XK3DJ42</t>
        </is>
      </c>
      <c r="C135" s="164" t="inlineStr">
        <is>
          <t>TOPDON AD500 OBD2 Scanner, Oil SAS Throttle TPMS BMS EPB Reset, Engine ABS SRS Transmission, Diagnostic Scan Tool, AutoVIN, Car Check Engine Code Reader with Battery Test, Lifetime Wi-Fi Free Update</t>
        </is>
      </c>
      <c r="D135" s="314" t="inlineStr">
        <is>
          <t>topdon</t>
        </is>
      </c>
      <c r="E135" s="314" t="inlineStr">
        <is>
          <t>Tablet</t>
        </is>
      </c>
      <c r="F135" s="6" t="n">
        <v>158.4307592190889</v>
      </c>
      <c r="G135" s="6" t="n">
        <v>146073.16</v>
      </c>
      <c r="H135" s="233" t="n">
        <v>922</v>
      </c>
      <c r="I135" s="17" t="n">
        <v>1727</v>
      </c>
      <c r="J135" s="5" t="n">
        <v>4.5</v>
      </c>
      <c r="K135" s="5" t="inlineStr">
        <is>
          <t>https://amazon.com/dp/B08XK3DJ42</t>
        </is>
      </c>
      <c r="L135" s="153">
        <f>HYPERLINK(K135)</f>
        <v/>
      </c>
    </row>
    <row r="136" ht="17" customHeight="1" s="290">
      <c r="A136" s="212" t="n">
        <v>41</v>
      </c>
      <c r="B136" s="213" t="inlineStr">
        <is>
          <t>B0CZ92SLDY</t>
        </is>
      </c>
      <c r="C136" s="214" t="inlineStr">
        <is>
          <t>VGATE vLinker FS USB FORScan OBD2 Adapter for HS/MS-CAN Auto Switch, Wire OBD2 USB FORScan Adapter Code Readers &amp; Scanner Diagnostic Tools</t>
        </is>
      </c>
      <c r="D136" s="316" t="inlineStr">
        <is>
          <t>vlinker</t>
        </is>
      </c>
      <c r="E136" s="316" t="inlineStr">
        <is>
          <t>Cable/Adapter</t>
        </is>
      </c>
      <c r="F136" s="216" t="n">
        <v>33.20383947939262</v>
      </c>
      <c r="G136" s="216" t="n">
        <v>30613.94</v>
      </c>
      <c r="H136" s="235" t="n">
        <v>922</v>
      </c>
      <c r="I136" s="217" t="n">
        <v>357</v>
      </c>
      <c r="J136" s="213" t="n">
        <v>4.5</v>
      </c>
      <c r="K136" s="213" t="inlineStr">
        <is>
          <t>https://amazon.com/dp/B0CZ92SLDY</t>
        </is>
      </c>
      <c r="L136" s="211">
        <f>HYPERLINK(K136)</f>
        <v/>
      </c>
    </row>
    <row r="137" ht="17" customHeight="1" s="290">
      <c r="A137" s="15" t="n">
        <v>42</v>
      </c>
      <c r="B137" s="5" t="inlineStr">
        <is>
          <t>B08JGK8PPM</t>
        </is>
      </c>
      <c r="C137" s="164" t="inlineStr">
        <is>
          <t>FOXWELL NT301 Plus 2-in-1 OBD2 Scanner Car Battery Tester, Professional Code Reader Check Engine Diagnostic Tool, 12V Automotive Cranking Charging Analyzer for 1996+ Vehicle, Upgrade from NT301</t>
        </is>
      </c>
      <c r="D137" s="314" t="inlineStr">
        <is>
          <t>foxwell</t>
        </is>
      </c>
      <c r="E137" s="314" t="inlineStr">
        <is>
          <t>Handheld</t>
        </is>
      </c>
      <c r="F137" s="6" t="n">
        <v>88.99382252559728</v>
      </c>
      <c r="G137" s="6" t="n">
        <v>78225.57000000001</v>
      </c>
      <c r="H137" s="233" t="n">
        <v>879</v>
      </c>
      <c r="I137" s="17" t="n">
        <v>2623</v>
      </c>
      <c r="J137" s="5" t="n">
        <v>4.5</v>
      </c>
      <c r="K137" s="5" t="inlineStr">
        <is>
          <t>https://amazon.com/dp/B08JGK8PPM</t>
        </is>
      </c>
      <c r="L137" s="34">
        <f>HYPERLINK(K137)</f>
        <v/>
      </c>
    </row>
    <row r="138" ht="17" customHeight="1" s="290">
      <c r="A138" s="15" t="n">
        <v>43</v>
      </c>
      <c r="B138" s="5" t="inlineStr">
        <is>
          <t>B07C472G5Z</t>
        </is>
      </c>
      <c r="C138" s="164" t="inlineStr">
        <is>
          <t>FIXD Bluetooth OBD2 Scanner for iPhone &amp; Android - Diagnostic Scan Tool for Repairs and Car Buying - Check Engine Code Reader &amp; Enhanced Codes - (3 Pack w/Free 14-Day FIXD Premium Bundle)</t>
        </is>
      </c>
      <c r="D138" s="314" t="inlineStr">
        <is>
          <t>fixd</t>
        </is>
      </c>
      <c r="E138" s="314" t="inlineStr">
        <is>
          <t>Dongle</t>
        </is>
      </c>
      <c r="F138" s="6" t="n">
        <v>117.9764947245017</v>
      </c>
      <c r="G138" s="6" t="n">
        <v>100633.95</v>
      </c>
      <c r="H138" s="233" t="n">
        <v>853</v>
      </c>
      <c r="I138" s="17" t="n">
        <v>1243</v>
      </c>
      <c r="J138" s="5" t="n">
        <v>4.1</v>
      </c>
      <c r="K138" s="5" t="inlineStr">
        <is>
          <t>https://amazon.com/dp/B07C472G5Z</t>
        </is>
      </c>
      <c r="L138" s="34">
        <f>HYPERLINK(K138)</f>
        <v/>
      </c>
    </row>
    <row r="139" ht="17" customHeight="1" s="290">
      <c r="A139" s="15" t="n">
        <v>44</v>
      </c>
      <c r="B139" s="5" t="inlineStr">
        <is>
          <t>B08DCNDFVK</t>
        </is>
      </c>
      <c r="C139" s="164" t="inlineStr">
        <is>
          <t>2026 FOXWELL NT614 Elite OBD2 Scanner with 5 Resets ABS Bleeding, SAS Calibration, Oil, EPB, Throttle, Upgrade of NT604 Code Reader Scan Tools, ABS SRS Engine Transmission Battery Test Car Scanner</t>
        </is>
      </c>
      <c r="D139" s="314" t="inlineStr">
        <is>
          <t>foxwell</t>
        </is>
      </c>
      <c r="E139" s="314" t="inlineStr">
        <is>
          <t>Tablet</t>
        </is>
      </c>
      <c r="F139" s="6" t="n">
        <v>172.0034824667473</v>
      </c>
      <c r="G139" s="6" t="n">
        <v>142246.88</v>
      </c>
      <c r="H139" s="233" t="n">
        <v>827</v>
      </c>
      <c r="I139" s="17" t="n">
        <v>714</v>
      </c>
      <c r="J139" s="5" t="n">
        <v>4.3</v>
      </c>
      <c r="K139" s="5" t="inlineStr">
        <is>
          <t>https://amazon.com/dp/B08DCNDFVK</t>
        </is>
      </c>
      <c r="L139" s="34">
        <f>HYPERLINK(K139)</f>
        <v/>
      </c>
    </row>
    <row r="140" ht="17" customHeight="1" s="290">
      <c r="A140" s="15" t="n">
        <v>45</v>
      </c>
      <c r="B140" s="5" t="inlineStr">
        <is>
          <t>B098PYB8XG</t>
        </is>
      </c>
      <c r="C140" s="164" t="inlineStr">
        <is>
          <t>Autel Scanner MaxiCOM MK900BT, 2026 MK900-BT V2.0 Bidirectional Diagnostic Tool, 8in Up of MK900 MX900 MK808S MK808BT MX808S MK808Z, 3000+ Active Tests, 40+ Service, CAN-FD&amp;DOIP, All System, FCA 11 OS</t>
        </is>
      </c>
      <c r="D140" s="314" t="inlineStr">
        <is>
          <t>autel</t>
        </is>
      </c>
      <c r="E140" s="314" t="inlineStr">
        <is>
          <t>Tablet</t>
        </is>
      </c>
      <c r="F140" s="6" t="n">
        <v>658.7687378640776</v>
      </c>
      <c r="G140" s="6" t="n">
        <v>542825.4399999999</v>
      </c>
      <c r="H140" s="233" t="n">
        <v>824</v>
      </c>
      <c r="I140" s="17" t="n">
        <v>708</v>
      </c>
      <c r="J140" s="5" t="n">
        <v>4.5</v>
      </c>
      <c r="K140" s="5" t="inlineStr">
        <is>
          <t>https://amazon.com/dp/B098PYB8XG</t>
        </is>
      </c>
      <c r="L140" s="211">
        <f>HYPERLINK(K140)</f>
        <v/>
      </c>
    </row>
    <row r="141" ht="17" customHeight="1" s="290">
      <c r="A141" s="15" t="n">
        <v>46</v>
      </c>
      <c r="B141" s="5" t="inlineStr">
        <is>
          <t>B0711LGRGQ</t>
        </is>
      </c>
      <c r="C141" s="164" t="inlineStr">
        <is>
          <t>bbfly-A9 OBD II OBD2 16 Pin Splitter Extension 1x Male and 2X Female Extension Cable Adapter (2FT/60CM)</t>
        </is>
      </c>
      <c r="D141" s="314" t="inlineStr">
        <is>
          <t>bbfly</t>
        </is>
      </c>
      <c r="E141" s="314" t="inlineStr">
        <is>
          <t>Cable/Adapter</t>
        </is>
      </c>
      <c r="F141" s="6" t="n">
        <v>9.888845208845209</v>
      </c>
      <c r="G141" s="6" t="n">
        <v>8049.52</v>
      </c>
      <c r="H141" s="233" t="n">
        <v>814</v>
      </c>
      <c r="I141" s="17" t="n">
        <v>3075</v>
      </c>
      <c r="J141" s="5" t="n">
        <v>4.5</v>
      </c>
      <c r="K141" s="5" t="inlineStr">
        <is>
          <t>https://amazon.com/dp/B0711LGRGQ</t>
        </is>
      </c>
      <c r="L141" s="211">
        <f>HYPERLINK(K141)</f>
        <v/>
      </c>
    </row>
    <row r="142" ht="17" customHeight="1" s="290">
      <c r="A142" s="15" t="n">
        <v>47</v>
      </c>
      <c r="B142" s="5" t="inlineStr">
        <is>
          <t>B0DP8PH63Q</t>
        </is>
      </c>
      <c r="C142" s="164" t="inlineStr">
        <is>
          <t>KINGBOLEN Ediag Elite OBD2 Scanner Bluetooth, Bidirectional Test Scanner All System Diagnostic Tool for iOS &amp; Android, 15+ Hot Reset, CANFD Protocol, FCA AutoAuth, No Subscriptions Lifetime Update</t>
        </is>
      </c>
      <c r="D142" s="314" t="inlineStr">
        <is>
          <t>kingbolen</t>
        </is>
      </c>
      <c r="E142" s="314" t="inlineStr">
        <is>
          <t>Dongle</t>
        </is>
      </c>
      <c r="F142" s="6" t="n">
        <v>99.80950186799502</v>
      </c>
      <c r="G142" s="6" t="n">
        <v>80147.03</v>
      </c>
      <c r="H142" s="233" t="n">
        <v>803</v>
      </c>
      <c r="I142" s="17" t="n">
        <v>705</v>
      </c>
      <c r="J142" s="5" t="n">
        <v>4.2</v>
      </c>
      <c r="K142" s="5" t="inlineStr">
        <is>
          <t>https://amazon.com/dp/B0DP8PH63Q</t>
        </is>
      </c>
      <c r="L142" s="34">
        <f>HYPERLINK(K142)</f>
        <v/>
      </c>
    </row>
    <row r="143" ht="17" customHeight="1" s="290">
      <c r="A143" s="15" t="n">
        <v>48</v>
      </c>
      <c r="B143" s="5" t="inlineStr">
        <is>
          <t>B0FH794MQC</t>
        </is>
      </c>
      <c r="C143" s="164" t="inlineStr">
        <is>
          <t>OBDeleven 3 Diagnostic Tool Scanner for Audi Seat Cupra Skoda Volkswagen BMW Mini Toyota Ford Mercedes-Benz (Android &amp; iOS)</t>
        </is>
      </c>
      <c r="D143" s="314" t="inlineStr">
        <is>
          <t>obdeleven</t>
        </is>
      </c>
      <c r="E143" s="314" t="inlineStr">
        <is>
          <t>Dongle</t>
        </is>
      </c>
      <c r="F143" s="6" t="n">
        <v>127.6966708542714</v>
      </c>
      <c r="G143" s="6" t="n">
        <v>101646.55</v>
      </c>
      <c r="H143" s="233" t="n">
        <v>796</v>
      </c>
      <c r="I143" s="17" t="n">
        <v>180</v>
      </c>
      <c r="J143" s="5" t="n">
        <v>3.8</v>
      </c>
      <c r="K143" s="5" t="inlineStr">
        <is>
          <t>https://amazon.com/dp/B0FH794MQC</t>
        </is>
      </c>
      <c r="L143" s="34">
        <f>HYPERLINK(K143)</f>
        <v/>
      </c>
    </row>
    <row r="144" ht="17" customHeight="1" s="290">
      <c r="A144" s="212" t="n">
        <v>49</v>
      </c>
      <c r="B144" s="213" t="inlineStr">
        <is>
          <t>B0C8XSKFX8</t>
        </is>
      </c>
      <c r="C144" s="214" t="inlineStr">
        <is>
          <t>BLCKTEC 440 Bluetooth OBD2 Scanner Diagnostic Tool - Car Code Reader and Scanner for Car - Comes with Live Data - Battery/Charging System Test - Works for All OBD Compliant Cars 1996 &amp; Newer</t>
        </is>
      </c>
      <c r="D144" s="316" t="inlineStr">
        <is>
          <t>blcktec</t>
        </is>
      </c>
      <c r="E144" s="316" t="inlineStr">
        <is>
          <t>Handheld</t>
        </is>
      </c>
      <c r="F144" s="216" t="n">
        <v>68.15849176172371</v>
      </c>
      <c r="G144" s="216" t="n">
        <v>53777.05</v>
      </c>
      <c r="H144" s="235" t="n">
        <v>789</v>
      </c>
      <c r="I144" s="217" t="n">
        <v>1064</v>
      </c>
      <c r="J144" s="213" t="n">
        <v>4.5</v>
      </c>
      <c r="K144" s="213" t="inlineStr">
        <is>
          <t>https://amazon.com/dp/B0C8XSKFX8</t>
        </is>
      </c>
      <c r="L144" s="211">
        <f>HYPERLINK(K144)</f>
        <v/>
      </c>
    </row>
    <row r="145" ht="17" customHeight="1" s="290">
      <c r="A145" s="15" t="n">
        <v>50</v>
      </c>
      <c r="B145" s="5" t="inlineStr">
        <is>
          <t>B07J51W9NS</t>
        </is>
      </c>
      <c r="C145" s="164" t="inlineStr">
        <is>
          <t>ANCEL BD310 Bluetooth OBD2 Scanner, 2-in-1 Car Diagnostic Scan Tool &amp; Code Reader with App, Battery Test, Trip Analysis, Performance Test, for iPhone &amp; Android, All 1996+ Vehicles</t>
        </is>
      </c>
      <c r="D145" s="314" t="inlineStr">
        <is>
          <t>ancel</t>
        </is>
      </c>
      <c r="E145" s="314" t="inlineStr">
        <is>
          <t>Handheld</t>
        </is>
      </c>
      <c r="F145" s="6" t="n">
        <v>59.07334630350195</v>
      </c>
      <c r="G145" s="6" t="n">
        <v>45545.55</v>
      </c>
      <c r="H145" s="233" t="n">
        <v>771</v>
      </c>
      <c r="I145" s="17" t="n">
        <v>1574</v>
      </c>
      <c r="J145" s="5" t="n">
        <v>4.4</v>
      </c>
      <c r="K145" s="5" t="inlineStr">
        <is>
          <t>https://amazon.com/dp/B07J51W9NS</t>
        </is>
      </c>
      <c r="L145" s="153">
        <f>HYPERLINK(K145)</f>
        <v/>
      </c>
    </row>
  </sheetData>
  <mergeCells count="3">
    <mergeCell ref="A40:L40"/>
    <mergeCell ref="A94:L94"/>
    <mergeCell ref="A1:M1"/>
  </mergeCells>
  <conditionalFormatting sqref="C4:M8">
    <cfRule type="expression" priority="1" dxfId="30">
      <formula>C4&lt;0</formula>
    </cfRule>
  </conditionalFormatting>
  <pageMargins left="0.7" right="0.7" top="0.75" bottom="0.75" header="0.3" footer="0.3"/>
  <drawing xmlns:r="http://schemas.openxmlformats.org/officeDocument/2006/relationships" r:id="rId1"/>
  <tableParts count="2">
    <tablePart xmlns:r="http://schemas.openxmlformats.org/officeDocument/2006/relationships" r:id="rId2"/>
    <tablePart xmlns:r="http://schemas.openxmlformats.org/officeDocument/2006/relationships" r:id="rId3"/>
  </tableParts>
</worksheet>
</file>

<file path=xl/worksheets/sheet3.xml><?xml version="1.0" encoding="utf-8"?>
<worksheet xmlns="http://schemas.openxmlformats.org/spreadsheetml/2006/main">
  <sheetPr>
    <outlinePr summaryBelow="1" summaryRight="1"/>
    <pageSetUpPr/>
  </sheetPr>
  <dimension ref="A1:M100"/>
  <sheetViews>
    <sheetView topLeftCell="A67" workbookViewId="0">
      <selection activeCell="A93" sqref="A93:M99"/>
    </sheetView>
  </sheetViews>
  <sheetFormatPr baseColWidth="10" defaultColWidth="11.1640625" defaultRowHeight="16"/>
  <cols>
    <col width="10.6640625" customWidth="1" style="290" min="1" max="1"/>
    <col width="12.1640625" customWidth="1" style="290" min="2" max="2"/>
    <col width="14.83203125" customWidth="1" style="290" min="3" max="3"/>
    <col width="12.6640625" customWidth="1" style="290" min="5" max="5"/>
    <col width="10.6640625" customWidth="1" style="290" min="6" max="6"/>
    <col width="21.1640625" bestFit="1" customWidth="1" style="290" min="7" max="8"/>
    <col width="12.83203125" bestFit="1" customWidth="1" style="290" min="9" max="9"/>
    <col width="13" bestFit="1" customWidth="1" style="290" min="10" max="10"/>
    <col hidden="1" width="28.1640625" customWidth="1" style="290" min="11" max="11"/>
    <col width="35.6640625" customWidth="1" style="290" min="12" max="12"/>
  </cols>
  <sheetData>
    <row r="1" ht="26" customHeight="1" s="290">
      <c r="A1" s="289" t="inlineStr">
        <is>
          <t>Tablet Monthly Summary</t>
        </is>
      </c>
    </row>
    <row r="3" ht="21" customHeight="1" s="290">
      <c r="A3" s="294" t="inlineStr">
        <is>
          <t>Tablet Overall</t>
        </is>
      </c>
      <c r="B3" s="317" t="n"/>
      <c r="C3" s="317" t="n"/>
      <c r="D3" s="317" t="n"/>
      <c r="E3" s="317" t="n"/>
      <c r="F3" s="317" t="n"/>
      <c r="G3" s="317" t="n"/>
      <c r="H3" s="317" t="n"/>
      <c r="I3" s="317" t="n"/>
      <c r="J3" s="317" t="n"/>
      <c r="K3" s="317" t="n"/>
      <c r="L3" s="317" t="n"/>
      <c r="M3" s="317" t="n"/>
    </row>
    <row r="4" ht="32" customHeight="1" s="290">
      <c r="A4" s="80" t="n"/>
      <c r="B4" s="81" t="inlineStr">
        <is>
          <t>Avg Price</t>
        </is>
      </c>
      <c r="C4" s="81" t="inlineStr">
        <is>
          <t>Avg Price MoM</t>
        </is>
      </c>
      <c r="D4" s="82" t="inlineStr">
        <is>
          <t>Avg Price YoY</t>
        </is>
      </c>
      <c r="E4" s="81" t="inlineStr">
        <is>
          <t>Quantity/Mo</t>
        </is>
      </c>
      <c r="F4" s="84" t="inlineStr">
        <is>
          <t>Qty by %</t>
        </is>
      </c>
      <c r="G4" s="84" t="inlineStr">
        <is>
          <t>Qty MoM</t>
        </is>
      </c>
      <c r="H4" s="82" t="inlineStr">
        <is>
          <t>Qty YoY</t>
        </is>
      </c>
      <c r="I4" s="309" t="inlineStr">
        <is>
          <t>Revenue/Mo</t>
        </is>
      </c>
      <c r="J4" s="126" t="inlineStr">
        <is>
          <t>Revenue by %</t>
        </is>
      </c>
      <c r="K4" s="173" t="n"/>
      <c r="L4" s="126" t="inlineStr">
        <is>
          <t>Revenue MoM</t>
        </is>
      </c>
      <c r="M4" s="310" t="inlineStr">
        <is>
          <t>Revenue YoY</t>
        </is>
      </c>
    </row>
    <row r="5">
      <c r="A5" s="133" t="inlineStr">
        <is>
          <t>autel</t>
        </is>
      </c>
      <c r="B5" s="318" t="n">
        <v>731.4889332529757</v>
      </c>
      <c r="C5" s="186" t="n">
        <v>-0.01585013790236767</v>
      </c>
      <c r="D5" s="135" t="n">
        <v>-0.06375588719026304</v>
      </c>
      <c r="E5" s="136" t="n">
        <v>6637</v>
      </c>
      <c r="F5" s="137" t="n">
        <v>0.1568400406456034</v>
      </c>
      <c r="G5" s="137" t="n">
        <v>0.09485318376773333</v>
      </c>
      <c r="H5" s="135" t="n">
        <v>0.3597623437820119</v>
      </c>
      <c r="I5" s="138" t="n">
        <v>4854892.05</v>
      </c>
      <c r="J5" s="139" t="n">
        <v>0.2983386361895509</v>
      </c>
      <c r="L5" s="139" t="n">
        <v>0.07749960982216852</v>
      </c>
      <c r="M5" s="139" t="n">
        <v>0.2730694891862784</v>
      </c>
    </row>
    <row r="6">
      <c r="A6" s="140" t="inlineStr">
        <is>
          <t>topdon</t>
        </is>
      </c>
      <c r="B6" s="319" t="n">
        <v>336.4216215244487</v>
      </c>
      <c r="C6" s="187" t="n">
        <v>-0.007833189214606073</v>
      </c>
      <c r="D6" s="142" t="n">
        <v>0.03958142740795756</v>
      </c>
      <c r="E6" s="143" t="n">
        <v>8344</v>
      </c>
      <c r="F6" s="144" t="n">
        <v>0.1971784389252546</v>
      </c>
      <c r="G6" s="144" t="n">
        <v>-0.0005988741166607081</v>
      </c>
      <c r="H6" s="142" t="n">
        <v>0.3481984165454839</v>
      </c>
      <c r="I6" s="145" t="n">
        <v>2807102.01</v>
      </c>
      <c r="J6" s="146" t="n">
        <v>0.1724996100187948</v>
      </c>
      <c r="L6" s="146" t="n">
        <v>-0.008427372236995079</v>
      </c>
      <c r="M6" s="146" t="n">
        <v>0.4015620343015025</v>
      </c>
    </row>
    <row r="7">
      <c r="A7" s="133" t="inlineStr">
        <is>
          <t>launch</t>
        </is>
      </c>
      <c r="B7" s="318" t="n">
        <v>406.0987859159608</v>
      </c>
      <c r="C7" s="186" t="n">
        <v>0.03638865947769099</v>
      </c>
      <c r="D7" s="135" t="n">
        <v>0.02526052035895021</v>
      </c>
      <c r="E7" s="136" t="n">
        <v>6021</v>
      </c>
      <c r="F7" s="137" t="n">
        <v>0.1422832431410544</v>
      </c>
      <c r="G7" s="137" t="n">
        <v>-0.03710219094834477</v>
      </c>
      <c r="H7" s="135" t="n">
        <v>-0.005450941526263575</v>
      </c>
      <c r="I7" s="138" t="n">
        <v>2445120.79</v>
      </c>
      <c r="J7" s="139" t="n">
        <v>0.1502554524991585</v>
      </c>
      <c r="L7" s="139" t="n">
        <v>-0.002063630462949551</v>
      </c>
      <c r="M7" s="139" t="n">
        <v>0.01967188521328689</v>
      </c>
    </row>
    <row r="8">
      <c r="A8" s="140" t="inlineStr">
        <is>
          <t>xtool</t>
        </is>
      </c>
      <c r="B8" s="319" t="n">
        <v>337.1606590788777</v>
      </c>
      <c r="C8" s="187" t="n">
        <v>-0.03032858419235418</v>
      </c>
      <c r="D8" s="142" t="n">
        <v>-0.1164630654658769</v>
      </c>
      <c r="E8" s="143" t="n">
        <v>3778</v>
      </c>
      <c r="F8" s="144" t="n">
        <v>0.08927854053926318</v>
      </c>
      <c r="G8" s="144" t="n">
        <v>0.08625646923519259</v>
      </c>
      <c r="H8" s="142" t="n">
        <v>0.8085208233604595</v>
      </c>
      <c r="I8" s="145" t="n">
        <v>1273792.97</v>
      </c>
      <c r="J8" s="146" t="n">
        <v>0.07827602623165175</v>
      </c>
      <c r="L8" s="146" t="n">
        <v>0.05331184845350379</v>
      </c>
      <c r="M8" s="146" t="n">
        <v>0.5978949443130286</v>
      </c>
    </row>
    <row r="9">
      <c r="A9" s="133" t="inlineStr">
        <is>
          <t>foxwell</t>
        </is>
      </c>
      <c r="B9" s="318" t="n">
        <v>208.8176331797235</v>
      </c>
      <c r="C9" s="186" t="n">
        <v>-0.04139563648200306</v>
      </c>
      <c r="D9" s="135" t="n">
        <v>-0.01555434399193878</v>
      </c>
      <c r="E9" s="136" t="n">
        <v>5425</v>
      </c>
      <c r="F9" s="137" t="n">
        <v>0.1281990689321077</v>
      </c>
      <c r="G9" s="137" t="n">
        <v>0.007989594946116618</v>
      </c>
      <c r="H9" s="135" t="n">
        <v>0.3535429141716566</v>
      </c>
      <c r="I9" s="138" t="n">
        <v>1132835.66</v>
      </c>
      <c r="J9" s="139" t="n">
        <v>0.06961403927226142</v>
      </c>
      <c r="L9" s="139" t="n">
        <v>-0.03373677590391433</v>
      </c>
      <c r="M9" s="139" t="n">
        <v>0.3324894420767794</v>
      </c>
    </row>
    <row r="10">
      <c r="A10" s="140" t="inlineStr">
        <is>
          <t>blcktec</t>
        </is>
      </c>
      <c r="B10" s="319" t="n">
        <v>189.17418997669</v>
      </c>
      <c r="C10" s="187" t="n">
        <v>-0.003751073686855455</v>
      </c>
      <c r="D10" s="142" t="n">
        <v>0.01219638019674996</v>
      </c>
      <c r="E10" s="143" t="n">
        <v>1716</v>
      </c>
      <c r="F10" s="144" t="n">
        <v>0.04055107876267221</v>
      </c>
      <c r="G10" s="144" t="n">
        <v>0.03249097472924189</v>
      </c>
      <c r="H10" s="142" t="n">
        <v>2.72234273318872</v>
      </c>
      <c r="I10" s="145" t="n">
        <v>324622.91</v>
      </c>
      <c r="J10" s="146" t="n">
        <v>0.01994844689600942</v>
      </c>
      <c r="L10" s="146" t="n">
        <v>0.02861802500201915</v>
      </c>
      <c r="M10" s="146" t="n">
        <v>2.767741840385299</v>
      </c>
    </row>
    <row r="11">
      <c r="A11" s="133" t="inlineStr">
        <is>
          <t>innova</t>
        </is>
      </c>
      <c r="B11" s="318" t="n">
        <v>163.9359672131148</v>
      </c>
      <c r="C11" s="186" t="n">
        <v>0.07465106468302607</v>
      </c>
      <c r="D11" s="135" t="inlineStr">
        <is>
          <t>inf</t>
        </is>
      </c>
      <c r="E11" s="136" t="n">
        <v>305</v>
      </c>
      <c r="F11" s="137" t="n">
        <v>0.007207505257934164</v>
      </c>
      <c r="G11" s="137" t="n">
        <v>-0.6573033707865168</v>
      </c>
      <c r="H11" s="135" t="n">
        <v>6.261904761904762</v>
      </c>
      <c r="I11" s="138" t="n">
        <v>50000.47</v>
      </c>
      <c r="J11" s="139" t="n">
        <v>0.003072585728994027</v>
      </c>
      <c r="L11" s="139" t="n">
        <v>-0.6317207025524461</v>
      </c>
      <c r="M11" s="139" t="inlineStr">
        <is>
          <t>inf</t>
        </is>
      </c>
    </row>
    <row r="12">
      <c r="A12" s="140" t="inlineStr">
        <is>
          <t>Other</t>
        </is>
      </c>
      <c r="B12" s="319" t="n">
        <v>335.4201823406996</v>
      </c>
      <c r="C12" s="187" t="n">
        <v>0.002414140900946826</v>
      </c>
      <c r="D12" s="142" t="n">
        <v>0.05955591433701768</v>
      </c>
      <c r="E12" s="143" t="n">
        <v>10091</v>
      </c>
      <c r="F12" s="144" t="n">
        <v>0.2384620837961103</v>
      </c>
      <c r="G12" s="144" t="n">
        <v>-0.01695080370189961</v>
      </c>
      <c r="H12" s="142" t="n">
        <v>0.7246624508631003</v>
      </c>
      <c r="I12" s="145" t="n">
        <v>3384725.06</v>
      </c>
      <c r="J12" s="146" t="n">
        <v>0.2079952031635793</v>
      </c>
      <c r="L12" s="146" t="n">
        <v>-0.01457758442947343</v>
      </c>
      <c r="M12" s="146" t="n">
        <v>0.827376300046974</v>
      </c>
    </row>
    <row r="13">
      <c r="A13" s="86" t="inlineStr">
        <is>
          <t>Total</t>
        </is>
      </c>
      <c r="B13" s="312" t="n">
        <v>384.5521166434293</v>
      </c>
      <c r="C13" s="183" t="n">
        <v>0.01417761448982757</v>
      </c>
      <c r="D13" s="118" t="n">
        <v>-0.03617914043837833</v>
      </c>
      <c r="E13" s="100" t="n">
        <v>42317</v>
      </c>
      <c r="F13" s="119" t="n">
        <v>0.145388267791742</v>
      </c>
      <c r="G13" s="119" t="n">
        <v>-0.0005668264802437539</v>
      </c>
      <c r="H13" s="118" t="n">
        <v>0.4308368554522402</v>
      </c>
      <c r="I13" s="85" t="n">
        <v>16273091.92</v>
      </c>
      <c r="J13" s="132" t="n">
        <v>0.5014673414533092</v>
      </c>
      <c r="L13" s="132" t="n">
        <v>0.01360275176226433</v>
      </c>
      <c r="M13" s="132" t="n">
        <v>0.3790704079144258</v>
      </c>
    </row>
    <row r="45" ht="26" customHeight="1" s="290">
      <c r="A45" s="289" t="inlineStr">
        <is>
          <t>Rank By Monthly Revenue - Mar '26 ONLY</t>
        </is>
      </c>
    </row>
    <row r="46">
      <c r="A46" s="62" t="inlineStr">
        <is>
          <t>Ranking</t>
        </is>
      </c>
      <c r="B46" s="63" t="inlineStr">
        <is>
          <t>ASIN</t>
        </is>
      </c>
      <c r="C46" s="63" t="inlineStr">
        <is>
          <t>Product Name</t>
        </is>
      </c>
      <c r="D46" s="63" t="inlineStr">
        <is>
          <t>Brand</t>
        </is>
      </c>
      <c r="E46" s="63" t="inlineStr">
        <is>
          <t>Type</t>
        </is>
      </c>
      <c r="F46" s="64" t="inlineStr">
        <is>
          <t>Price</t>
        </is>
      </c>
      <c r="G46" s="65" t="inlineStr">
        <is>
          <t>Est. Monthly Retail Rev</t>
        </is>
      </c>
      <c r="H46" s="66" t="inlineStr">
        <is>
          <t>Est. Monthly Units Sold</t>
        </is>
      </c>
      <c r="I46" s="67" t="inlineStr">
        <is>
          <t># of Reviews</t>
        </is>
      </c>
      <c r="J46" s="313" t="inlineStr">
        <is>
          <t>Avg. Rating</t>
        </is>
      </c>
      <c r="K46" s="313" t="inlineStr">
        <is>
          <t>Column2</t>
        </is>
      </c>
      <c r="L46" s="313" t="inlineStr">
        <is>
          <t>Link</t>
        </is>
      </c>
    </row>
    <row r="47" ht="17" customHeight="1" s="290">
      <c r="A47" s="15" t="n">
        <v>1</v>
      </c>
      <c r="B47" s="16" t="inlineStr">
        <is>
          <t>B0744B55QV</t>
        </is>
      </c>
      <c r="C47" s="5" t="inlineStr">
        <is>
          <t>Autel Scanner MaxiCOM MK808S: 2026 Bidirectional Tool as MX808S MK808BT Pro M808Z, Work as MaxiCheck MX900 MK900BT, 28+ Service, 3000+ Active Tests, All System OBD2 Diagnostics, OS 11, 10X Faster</t>
        </is>
      </c>
      <c r="D47" s="5" t="inlineStr">
        <is>
          <t>autel</t>
        </is>
      </c>
      <c r="E47" s="5" t="inlineStr">
        <is>
          <t>Tablet</t>
        </is>
      </c>
      <c r="F47" s="6" t="n">
        <v>455.0867040358744</v>
      </c>
      <c r="G47" s="6" t="n">
        <v>608906.01</v>
      </c>
      <c r="H47" s="17" t="n">
        <v>1338</v>
      </c>
      <c r="I47" s="17" t="n">
        <v>3847</v>
      </c>
      <c r="J47" s="5" t="n">
        <v>4.4</v>
      </c>
      <c r="K47" s="5" t="inlineStr">
        <is>
          <t>https://amazon.com/dp/B0744B55QV</t>
        </is>
      </c>
      <c r="L47" s="34">
        <f>HYPERLINK(K47)</f>
        <v/>
      </c>
    </row>
    <row r="48" ht="17" customHeight="1" s="290">
      <c r="A48" s="15" t="n">
        <v>2</v>
      </c>
      <c r="B48" s="16" t="inlineStr">
        <is>
          <t>B098PYB8XG</t>
        </is>
      </c>
      <c r="C48" s="5" t="inlineStr">
        <is>
          <t>Autel Scanner MaxiCOM MK900BT, 2026 MK900-BT V2.0 Bidirectional Diagnostic Tool, 8in Up of MK900 MX900 MK808S MK808BT MX808S MK808Z, 3000+ Active Tests, 40+ Service, CAN-FD&amp;DOIP, All System, FCA 11 OS</t>
        </is>
      </c>
      <c r="D48" s="5" t="inlineStr">
        <is>
          <t>autel</t>
        </is>
      </c>
      <c r="E48" s="5" t="inlineStr">
        <is>
          <t>Tablet</t>
        </is>
      </c>
      <c r="F48" s="6" t="n">
        <v>658.7687378640776</v>
      </c>
      <c r="G48" s="6" t="n">
        <v>542825.4399999999</v>
      </c>
      <c r="H48" s="17" t="n">
        <v>824</v>
      </c>
      <c r="I48" s="17" t="n">
        <v>708</v>
      </c>
      <c r="J48" s="5" t="n">
        <v>4.5</v>
      </c>
      <c r="K48" s="5" t="inlineStr">
        <is>
          <t>https://amazon.com/dp/B098PYB8XG</t>
        </is>
      </c>
      <c r="L48" s="34">
        <f>HYPERLINK(K48)</f>
        <v/>
      </c>
    </row>
    <row r="49" ht="17" customHeight="1" s="290">
      <c r="A49" s="15" t="n">
        <v>3</v>
      </c>
      <c r="B49" s="16" t="inlineStr">
        <is>
          <t>B08PFJMTY3</t>
        </is>
      </c>
      <c r="C49" s="5" t="inlineStr">
        <is>
          <t>FOXWELL Car Scanner NT604 Elite OBD2 Scanner ABS SRS Transmission, Check Engine Code Reader for Cars and Trucks, Diagnostic Scan Tool with SRS Airbag, Automotive Diagnostic Tool with Live Data</t>
        </is>
      </c>
      <c r="D49" s="5" t="inlineStr">
        <is>
          <t>foxwell</t>
        </is>
      </c>
      <c r="E49" s="5" t="inlineStr">
        <is>
          <t>Tablet</t>
        </is>
      </c>
      <c r="F49" s="6" t="n">
        <v>151.7840725806452</v>
      </c>
      <c r="G49" s="6" t="n">
        <v>414066.95</v>
      </c>
      <c r="H49" s="17" t="n">
        <v>2728</v>
      </c>
      <c r="I49" s="17" t="n">
        <v>4855</v>
      </c>
      <c r="J49" s="5" t="n">
        <v>4.4</v>
      </c>
      <c r="K49" s="5" t="inlineStr">
        <is>
          <t>https://amazon.com/dp/B08PFJMTY3</t>
        </is>
      </c>
      <c r="L49" s="34">
        <f>HYPERLINK(K49)</f>
        <v/>
      </c>
    </row>
    <row r="50" ht="17" customHeight="1" s="290">
      <c r="A50" s="15" t="n">
        <v>4</v>
      </c>
      <c r="B50" s="16" t="inlineStr">
        <is>
          <t>B0DTK24XKB</t>
        </is>
      </c>
      <c r="C50" s="5" t="inlineStr">
        <is>
          <t>MUCAR 892BT AI-Assisted Bidirectional Scan Tool, Full System OBD2 Scanner, Bi-Directional OBD2 Scanner Diagnostic Tool,ECU Coding, 35 Services, FCA Autoauth, CANFD and DOIP, Free Lifetime Upgrade</t>
        </is>
      </c>
      <c r="D50" s="5" t="inlineStr">
        <is>
          <t>mucar</t>
        </is>
      </c>
      <c r="E50" s="5" t="inlineStr">
        <is>
          <t>Tablet</t>
        </is>
      </c>
      <c r="F50" s="6" t="n">
        <v>644.8325789473685</v>
      </c>
      <c r="G50" s="6" t="n">
        <v>367554.57</v>
      </c>
      <c r="H50" s="17" t="n">
        <v>570</v>
      </c>
      <c r="I50" s="17" t="n">
        <v>394</v>
      </c>
      <c r="J50" s="5" t="n">
        <v>4.3</v>
      </c>
      <c r="K50" s="5" t="inlineStr">
        <is>
          <t>https://amazon.com/dp/B0DTK24XKB</t>
        </is>
      </c>
      <c r="L50" s="34">
        <f>HYPERLINK(K50)</f>
        <v/>
      </c>
    </row>
    <row r="51" ht="17" customHeight="1" s="290">
      <c r="A51" s="15" t="n">
        <v>5</v>
      </c>
      <c r="B51" s="16" t="inlineStr">
        <is>
          <t>B0C33Y285Y</t>
        </is>
      </c>
      <c r="C51" s="5" t="inlineStr">
        <is>
          <t>TOPDON Bidirectional Scan Tool, 2026 New ArtiDiag900 Lite Automotive Diagnostic Tool for Full System, Scanner for Car with Active Test, 8 Reset, Wireless OBD2 Scanner Diagnostic Tool for All Vehicles</t>
        </is>
      </c>
      <c r="D51" s="5" t="inlineStr">
        <is>
          <t>topdon</t>
        </is>
      </c>
      <c r="E51" s="5" t="inlineStr">
        <is>
          <t>Tablet</t>
        </is>
      </c>
      <c r="F51" s="6" t="n">
        <v>318.9840625</v>
      </c>
      <c r="G51" s="6" t="n">
        <v>367469.64</v>
      </c>
      <c r="H51" s="17" t="n">
        <v>1152</v>
      </c>
      <c r="I51" s="17" t="n">
        <v>1230</v>
      </c>
      <c r="J51" s="5" t="n">
        <v>4.3</v>
      </c>
      <c r="K51" s="5" t="inlineStr">
        <is>
          <t>https://amazon.com/dp/B0C33Y285Y</t>
        </is>
      </c>
      <c r="L51" s="34">
        <f>HYPERLINK(K51)</f>
        <v/>
      </c>
    </row>
    <row r="52" ht="17" customHeight="1" s="290">
      <c r="A52" s="15" t="n">
        <v>6</v>
      </c>
      <c r="B52" s="16" t="inlineStr">
        <is>
          <t>B0GK9G6YDL</t>
        </is>
      </c>
      <c r="C52" s="5" t="inlineStr">
        <is>
          <t>TOPDON ONE Bidirectional Scan Tool, 10.1" OBD2 Scanner with J2534 Pass-Thru and ECU Coding, Over 50 Resets, Topology Mapping Car Diagnostic Tool for All Vehicles</t>
        </is>
      </c>
      <c r="D52" s="5" t="inlineStr">
        <is>
          <t>topdon</t>
        </is>
      </c>
      <c r="E52" s="5" t="inlineStr">
        <is>
          <t>Tablet</t>
        </is>
      </c>
      <c r="F52" s="6" t="n">
        <v>745.0893534482759</v>
      </c>
      <c r="G52" s="6" t="n">
        <v>345721.46</v>
      </c>
      <c r="H52" s="17" t="n">
        <v>464</v>
      </c>
      <c r="I52" s="17" t="n">
        <v>90</v>
      </c>
      <c r="J52" s="5" t="n">
        <v>4.7</v>
      </c>
      <c r="K52" s="5" t="inlineStr">
        <is>
          <t>https://amazon.com/dp/B0GK9G6YDL</t>
        </is>
      </c>
      <c r="L52" s="34">
        <f>HYPERLINK(K52)</f>
        <v/>
      </c>
    </row>
    <row r="53" ht="17" customHeight="1" s="290">
      <c r="A53" s="15" t="n">
        <v>7</v>
      </c>
      <c r="B53" s="16" t="inlineStr">
        <is>
          <t>B0DCFRF2TF</t>
        </is>
      </c>
      <c r="C53" s="5" t="inlineStr">
        <is>
          <t>THINKCAR Bidirectional Scan Tool, THINKSCAN 689BT All System Automotive Diagnostic Tool, Bi Directional OBD2 Scanner with ECU Coding, 34 Services, FCA Autoauth, CANFD and DoIP, Wireless Update</t>
        </is>
      </c>
      <c r="D53" s="5" t="inlineStr">
        <is>
          <t>thinkcar</t>
        </is>
      </c>
      <c r="E53" s="5" t="inlineStr">
        <is>
          <t>Tablet</t>
        </is>
      </c>
      <c r="F53" s="6" t="n">
        <v>536.3024100156495</v>
      </c>
      <c r="G53" s="6" t="n">
        <v>342697.24</v>
      </c>
      <c r="H53" s="17" t="n">
        <v>639</v>
      </c>
      <c r="I53" s="17" t="n">
        <v>574</v>
      </c>
      <c r="J53" s="5" t="n">
        <v>4.5</v>
      </c>
      <c r="K53" s="5" t="inlineStr">
        <is>
          <t>https://amazon.com/dp/B0DCFRF2TF</t>
        </is>
      </c>
      <c r="L53" s="34">
        <f>HYPERLINK(K53)</f>
        <v/>
      </c>
    </row>
    <row r="54" ht="17" customHeight="1" s="290">
      <c r="A54" s="15" t="n">
        <v>8</v>
      </c>
      <c r="B54" s="16" t="inlineStr">
        <is>
          <t>B0DV2N2FND</t>
        </is>
      </c>
      <c r="C54" s="5" t="inlineStr">
        <is>
          <t>BLCKTEC 460T OBD2 Scanner Car Code Reader Engine ABS SRS Transmission Diagnostic Tool, 12 Reset Services, Oil/TPMS/EPB/BMS/SAS/DPF/Throttle Reset, ABS Bleeding, Battery Test, Auto VIN, Free Update</t>
        </is>
      </c>
      <c r="D54" s="5" t="inlineStr">
        <is>
          <t>blcktec</t>
        </is>
      </c>
      <c r="E54" s="5" t="inlineStr">
        <is>
          <t>Tablet</t>
        </is>
      </c>
      <c r="F54" s="6" t="n">
        <v>189.17418997669</v>
      </c>
      <c r="G54" s="6" t="n">
        <v>324622.91</v>
      </c>
      <c r="H54" s="17" t="n">
        <v>1716</v>
      </c>
      <c r="I54" s="17" t="n">
        <v>608</v>
      </c>
      <c r="J54" s="5" t="n">
        <v>4.4</v>
      </c>
      <c r="K54" s="5" t="inlineStr">
        <is>
          <t>https://amazon.com/dp/B0DV2N2FND</t>
        </is>
      </c>
      <c r="L54" s="34">
        <f>HYPERLINK(K54)</f>
        <v/>
      </c>
    </row>
    <row r="55" ht="17" customHeight="1" s="290">
      <c r="A55" s="15" t="n">
        <v>9</v>
      </c>
      <c r="B55" s="16" t="inlineStr">
        <is>
          <t>B091BQNR3S</t>
        </is>
      </c>
      <c r="C55" s="5" t="inlineStr">
        <is>
          <t>TOPDON Phoenix Plus 2, ECU Coding TOPDON Scanner V2.0, Bidirectional Scan Tool, Topology Map, CANFD, High-End OEM Full System, 42+ Service, FCA SGW AutoAuth, V.A.G Guided, 2 Years Free Update</t>
        </is>
      </c>
      <c r="D55" s="5" t="inlineStr">
        <is>
          <t>topdon</t>
        </is>
      </c>
      <c r="E55" s="5" t="inlineStr">
        <is>
          <t>Tablet</t>
        </is>
      </c>
      <c r="F55" s="6" t="n">
        <v>1014.280512820513</v>
      </c>
      <c r="G55" s="6" t="n">
        <v>276898.58</v>
      </c>
      <c r="H55" s="17" t="n">
        <v>273</v>
      </c>
      <c r="I55" s="17" t="n">
        <v>492</v>
      </c>
      <c r="J55" s="5" t="n">
        <v>4.4</v>
      </c>
      <c r="K55" s="5" t="inlineStr">
        <is>
          <t>https://amazon.com/dp/B091BQNR3S</t>
        </is>
      </c>
      <c r="L55" s="34">
        <f>HYPERLINK(K55)</f>
        <v/>
      </c>
    </row>
    <row r="56" ht="17" customHeight="1" s="290">
      <c r="A56" s="15" t="n">
        <v>10</v>
      </c>
      <c r="B56" s="16" t="inlineStr">
        <is>
          <t>B0BZ82WQ4Q</t>
        </is>
      </c>
      <c r="C56" s="5" t="inlineStr">
        <is>
          <t>ANCEL X7HD 10'' Heavy Duty Truck Scanner, Semi Trucks Full System Diagnostic Tool, Bidirectional Diesel Scan Tool with DPF, ECU Coding, 40+ Reset for Cummins, Detroit, Caterpillar, Volvo, Paccar etc</t>
        </is>
      </c>
      <c r="D56" s="5" t="inlineStr">
        <is>
          <t>ancel</t>
        </is>
      </c>
      <c r="E56" s="5" t="inlineStr">
        <is>
          <t>Tablet</t>
        </is>
      </c>
      <c r="F56" s="6" t="n">
        <v>774.4419436619719</v>
      </c>
      <c r="G56" s="6" t="n">
        <v>274926.89</v>
      </c>
      <c r="H56" s="17" t="n">
        <v>355</v>
      </c>
      <c r="I56" s="17" t="n">
        <v>786</v>
      </c>
      <c r="J56" s="5" t="n">
        <v>3.8</v>
      </c>
      <c r="K56" s="5" t="inlineStr">
        <is>
          <t>https://amazon.com/dp/B0BZ82WQ4Q</t>
        </is>
      </c>
      <c r="L56" s="34">
        <f>HYPERLINK(K56)</f>
        <v/>
      </c>
    </row>
    <row r="58" ht="26" customHeight="1" s="290">
      <c r="A58" s="289" t="inlineStr">
        <is>
          <t>Rank By Monthly Units - Mar '26 ONLY</t>
        </is>
      </c>
    </row>
    <row r="59">
      <c r="A59" s="62" t="inlineStr">
        <is>
          <t>Ranking</t>
        </is>
      </c>
      <c r="B59" s="63" t="inlineStr">
        <is>
          <t>ASIN</t>
        </is>
      </c>
      <c r="C59" s="63" t="inlineStr">
        <is>
          <t>Product Name</t>
        </is>
      </c>
      <c r="D59" s="63" t="inlineStr">
        <is>
          <t>Brand</t>
        </is>
      </c>
      <c r="E59" s="63" t="inlineStr">
        <is>
          <t>Type</t>
        </is>
      </c>
      <c r="F59" s="64" t="inlineStr">
        <is>
          <t>Price</t>
        </is>
      </c>
      <c r="G59" s="65" t="inlineStr">
        <is>
          <t>Est. Monthly Retail Rev</t>
        </is>
      </c>
      <c r="H59" s="66" t="inlineStr">
        <is>
          <t>Est. Monthly Units Sold</t>
        </is>
      </c>
      <c r="I59" s="67" t="inlineStr">
        <is>
          <t># of Reviews</t>
        </is>
      </c>
      <c r="J59" s="313" t="inlineStr">
        <is>
          <t>Avg. Rating</t>
        </is>
      </c>
      <c r="K59" s="313" t="inlineStr">
        <is>
          <t>Column2</t>
        </is>
      </c>
      <c r="L59" s="313" t="inlineStr">
        <is>
          <t>Link</t>
        </is>
      </c>
    </row>
    <row r="60" ht="17" customHeight="1" s="290">
      <c r="A60" s="15" t="n">
        <v>1</v>
      </c>
      <c r="B60" s="16" t="inlineStr">
        <is>
          <t>B08PFJMTY3</t>
        </is>
      </c>
      <c r="C60" s="5" t="inlineStr">
        <is>
          <t>FOXWELL Car Scanner NT604 Elite OBD2 Scanner ABS SRS Transmission, Check Engine Code Reader for Cars and Trucks, Diagnostic Scan Tool with SRS Airbag, Automotive Diagnostic Tool with Live Data</t>
        </is>
      </c>
      <c r="D60" s="5" t="inlineStr">
        <is>
          <t>foxwell</t>
        </is>
      </c>
      <c r="E60" s="5" t="inlineStr">
        <is>
          <t>Tablet</t>
        </is>
      </c>
      <c r="F60" s="6" t="n">
        <v>151.7840725806452</v>
      </c>
      <c r="G60" s="6" t="n">
        <v>414066.95</v>
      </c>
      <c r="H60" s="17" t="n">
        <v>2728</v>
      </c>
      <c r="I60" s="17" t="n">
        <v>4855</v>
      </c>
      <c r="J60" s="5" t="n">
        <v>4.4</v>
      </c>
      <c r="K60" s="5" t="inlineStr">
        <is>
          <t>https://amazon.com/dp/B08PFJMTY3</t>
        </is>
      </c>
      <c r="L60" s="34">
        <f>HYPERLINK(K60)</f>
        <v/>
      </c>
    </row>
    <row r="61" ht="17" customHeight="1" s="290">
      <c r="A61" s="15" t="n">
        <v>2</v>
      </c>
      <c r="B61" s="16" t="inlineStr">
        <is>
          <t>B0DV2N2FND</t>
        </is>
      </c>
      <c r="C61" s="5" t="inlineStr">
        <is>
          <t>BLCKTEC 460T OBD2 Scanner Car Code Reader Engine ABS SRS Transmission Diagnostic Tool, 12 Reset Services, Oil/TPMS/EPB/BMS/SAS/DPF/Throttle Reset, ABS Bleeding, Battery Test, Auto VIN, Free Update</t>
        </is>
      </c>
      <c r="D61" s="5" t="inlineStr">
        <is>
          <t>blcktec</t>
        </is>
      </c>
      <c r="E61" s="5" t="inlineStr">
        <is>
          <t>Tablet</t>
        </is>
      </c>
      <c r="F61" s="6" t="n">
        <v>189.17418997669</v>
      </c>
      <c r="G61" s="6" t="n">
        <v>324622.91</v>
      </c>
      <c r="H61" s="17" t="n">
        <v>1716</v>
      </c>
      <c r="I61" s="17" t="n">
        <v>608</v>
      </c>
      <c r="J61" s="5" t="n">
        <v>4.4</v>
      </c>
      <c r="K61" s="5" t="inlineStr">
        <is>
          <t>https://amazon.com/dp/B0DV2N2FND</t>
        </is>
      </c>
      <c r="L61" s="34">
        <f>HYPERLINK(K61)</f>
        <v/>
      </c>
    </row>
    <row r="62" ht="17" customHeight="1" s="290">
      <c r="A62" s="15" t="n">
        <v>3</v>
      </c>
      <c r="B62" s="16" t="inlineStr">
        <is>
          <t>B0744B55QV</t>
        </is>
      </c>
      <c r="C62" s="5" t="inlineStr">
        <is>
          <t>Autel Scanner MaxiCOM MK808S: 2026 Bidirectional Tool as MX808S MK808BT Pro M808Z, Work as MaxiCheck MX900 MK900BT, 28+ Service, 3000+ Active Tests, All System OBD2 Diagnostics, OS 11, 10X Faster</t>
        </is>
      </c>
      <c r="D62" s="5" t="inlineStr">
        <is>
          <t>autel</t>
        </is>
      </c>
      <c r="E62" s="5" t="inlineStr">
        <is>
          <t>Tablet</t>
        </is>
      </c>
      <c r="F62" s="6" t="n">
        <v>455.0867040358744</v>
      </c>
      <c r="G62" s="6" t="n">
        <v>608906.01</v>
      </c>
      <c r="H62" s="17" t="n">
        <v>1338</v>
      </c>
      <c r="I62" s="17" t="n">
        <v>3847</v>
      </c>
      <c r="J62" s="5" t="n">
        <v>4.4</v>
      </c>
      <c r="K62" s="5" t="inlineStr">
        <is>
          <t>https://amazon.com/dp/B0744B55QV</t>
        </is>
      </c>
      <c r="L62" s="34">
        <f>HYPERLINK(K62)</f>
        <v/>
      </c>
    </row>
    <row r="63" ht="17" customHeight="1" s="290">
      <c r="A63" s="15" t="n">
        <v>4</v>
      </c>
      <c r="B63" s="16" t="inlineStr">
        <is>
          <t>B09KZTYD18</t>
        </is>
      </c>
      <c r="C63" s="5" t="inlineStr">
        <is>
          <t>OBD2 Scanner TOPDON AD600S Scan Tool, Code Reader, Diagnostics Scanner for ABS/SRS/AT/Engine, 9 Reset Services, Oil/Brake/BMS/SAS/DPF/TPMS/ETS Reset/ABS Bleeding/Injector Coding, Free Lifetime Upgrade</t>
        </is>
      </c>
      <c r="D63" s="5" t="inlineStr">
        <is>
          <t>topdon</t>
        </is>
      </c>
      <c r="E63" s="5" t="inlineStr">
        <is>
          <t>Tablet</t>
        </is>
      </c>
      <c r="F63" s="6" t="n">
        <v>194.0666122766123</v>
      </c>
      <c r="G63" s="6" t="n">
        <v>249763.73</v>
      </c>
      <c r="H63" s="17" t="n">
        <v>1287</v>
      </c>
      <c r="I63" s="17" t="n">
        <v>1836</v>
      </c>
      <c r="J63" s="5" t="n">
        <v>4.5</v>
      </c>
      <c r="K63" s="5" t="inlineStr">
        <is>
          <t>https://amazon.com/dp/B09KZTYD18</t>
        </is>
      </c>
      <c r="L63" s="34">
        <f>HYPERLINK(K63)</f>
        <v/>
      </c>
    </row>
    <row r="64" ht="17" customHeight="1" s="290">
      <c r="A64" s="15" t="n">
        <v>5</v>
      </c>
      <c r="B64" s="16" t="inlineStr">
        <is>
          <t>B0C33Y285Y</t>
        </is>
      </c>
      <c r="C64" s="5" t="inlineStr">
        <is>
          <t>TOPDON Bidirectional Scan Tool, 2026 New ArtiDiag900 Lite Automotive Diagnostic Tool for Full System, Scanner for Car with Active Test, 8 Reset, Wireless OBD2 Scanner Diagnostic Tool for All Vehicles</t>
        </is>
      </c>
      <c r="D64" s="5" t="inlineStr">
        <is>
          <t>topdon</t>
        </is>
      </c>
      <c r="E64" s="5" t="inlineStr">
        <is>
          <t>Tablet</t>
        </is>
      </c>
      <c r="F64" s="6" t="n">
        <v>318.9840625</v>
      </c>
      <c r="G64" s="6" t="n">
        <v>367469.64</v>
      </c>
      <c r="H64" s="17" t="n">
        <v>1152</v>
      </c>
      <c r="I64" s="17" t="n">
        <v>1230</v>
      </c>
      <c r="J64" s="5" t="n">
        <v>4.3</v>
      </c>
      <c r="K64" s="5" t="inlineStr">
        <is>
          <t>https://amazon.com/dp/B0C33Y285Y</t>
        </is>
      </c>
      <c r="L64" s="34">
        <f>HYPERLINK(K64)</f>
        <v/>
      </c>
    </row>
    <row r="65" ht="17" customHeight="1" s="290">
      <c r="A65" s="15" t="n">
        <v>6</v>
      </c>
      <c r="B65" s="16" t="inlineStr">
        <is>
          <t>B08XK3DJ42</t>
        </is>
      </c>
      <c r="C65" s="5" t="inlineStr">
        <is>
          <t>TOPDON AD500 OBD2 Scanner, Oil SAS Throttle TPMS BMS EPB Reset, Engine ABS SRS Transmission, Diagnostic Scan Tool, AutoVIN, Car Check Engine Code Reader with Battery Test, Lifetime Wi-Fi Free Update</t>
        </is>
      </c>
      <c r="D65" s="5" t="inlineStr">
        <is>
          <t>topdon</t>
        </is>
      </c>
      <c r="E65" s="5" t="inlineStr">
        <is>
          <t>Tablet</t>
        </is>
      </c>
      <c r="F65" s="6" t="n">
        <v>158.4307592190889</v>
      </c>
      <c r="G65" s="6" t="n">
        <v>146073.16</v>
      </c>
      <c r="H65" s="17" t="n">
        <v>922</v>
      </c>
      <c r="I65" s="17" t="n">
        <v>1727</v>
      </c>
      <c r="J65" s="5" t="n">
        <v>4.5</v>
      </c>
      <c r="K65" s="5" t="inlineStr">
        <is>
          <t>https://amazon.com/dp/B08XK3DJ42</t>
        </is>
      </c>
      <c r="L65" s="34">
        <f>HYPERLINK(K65)</f>
        <v/>
      </c>
    </row>
    <row r="66" ht="17" customHeight="1" s="290">
      <c r="A66" s="15" t="n">
        <v>7</v>
      </c>
      <c r="B66" s="16" t="inlineStr">
        <is>
          <t>B08DCNDFVK</t>
        </is>
      </c>
      <c r="C66" s="5" t="inlineStr">
        <is>
          <t>2026 FOXWELL NT614 Elite OBD2 Scanner with 5 Resets ABS Bleeding, SAS Calibration, Oil, EPB, Throttle, Upgrade of NT604 Code Reader Scan Tools, ABS SRS Engine Transmission Battery Test Car Scanner</t>
        </is>
      </c>
      <c r="D66" s="5" t="inlineStr">
        <is>
          <t>foxwell</t>
        </is>
      </c>
      <c r="E66" s="5" t="inlineStr">
        <is>
          <t>Tablet</t>
        </is>
      </c>
      <c r="F66" s="6" t="n">
        <v>172.0034824667473</v>
      </c>
      <c r="G66" s="6" t="n">
        <v>142246.88</v>
      </c>
      <c r="H66" s="17" t="n">
        <v>827</v>
      </c>
      <c r="I66" s="17" t="n">
        <v>714</v>
      </c>
      <c r="J66" s="5" t="n">
        <v>4.3</v>
      </c>
      <c r="K66" s="5" t="inlineStr">
        <is>
          <t>https://amazon.com/dp/B08DCNDFVK</t>
        </is>
      </c>
      <c r="L66" s="34">
        <f>HYPERLINK(K66)</f>
        <v/>
      </c>
    </row>
    <row r="67" ht="17" customHeight="1" s="290">
      <c r="A67" s="15" t="n">
        <v>8</v>
      </c>
      <c r="B67" s="16" t="inlineStr">
        <is>
          <t>B098PYB8XG</t>
        </is>
      </c>
      <c r="C67" s="5" t="inlineStr">
        <is>
          <t>Autel Scanner MaxiCOM MK900BT, 2026 MK900-BT V2.0 Bidirectional Diagnostic Tool, 8in Up of MK900 MX900 MK808S MK808BT MX808S MK808Z, 3000+ Active Tests, 40+ Service, CAN-FD&amp;DOIP, All System, FCA 11 OS</t>
        </is>
      </c>
      <c r="D67" s="5" t="inlineStr">
        <is>
          <t>autel</t>
        </is>
      </c>
      <c r="E67" s="5" t="inlineStr">
        <is>
          <t>Tablet</t>
        </is>
      </c>
      <c r="F67" s="6" t="n">
        <v>658.7687378640776</v>
      </c>
      <c r="G67" s="6" t="n">
        <v>542825.4399999999</v>
      </c>
      <c r="H67" s="17" t="n">
        <v>824</v>
      </c>
      <c r="I67" s="17" t="n">
        <v>708</v>
      </c>
      <c r="J67" s="5" t="n">
        <v>4.5</v>
      </c>
      <c r="K67" s="5" t="inlineStr">
        <is>
          <t>https://amazon.com/dp/B098PYB8XG</t>
        </is>
      </c>
      <c r="L67" s="34">
        <f>HYPERLINK(K67)</f>
        <v/>
      </c>
    </row>
    <row r="68" ht="17" customHeight="1" s="290">
      <c r="A68" s="15" t="n"/>
      <c r="B68" s="16" t="n"/>
      <c r="C68" s="5" t="n"/>
      <c r="D68" s="5" t="n"/>
      <c r="E68" s="5" t="n"/>
      <c r="F68" s="6" t="n"/>
      <c r="G68" s="6" t="n"/>
      <c r="H68" s="17" t="n"/>
      <c r="I68" s="17" t="n"/>
      <c r="J68" s="5" t="n"/>
      <c r="K68" s="5" t="n"/>
      <c r="L68" s="34">
        <f>HYPERLINK(K68)</f>
        <v/>
      </c>
    </row>
    <row r="69" ht="17" customHeight="1" s="290">
      <c r="A69" s="15" t="n"/>
      <c r="B69" s="16" t="n"/>
      <c r="C69" s="5" t="n"/>
      <c r="D69" s="5" t="n"/>
      <c r="E69" s="5" t="n"/>
      <c r="F69" s="6" t="n"/>
      <c r="G69" s="6" t="n"/>
      <c r="H69" s="17" t="n"/>
      <c r="I69" s="17" t="n"/>
      <c r="J69" s="5" t="n"/>
      <c r="K69" s="5" t="n"/>
      <c r="L69" s="34">
        <f>HYPERLINK(K69)</f>
        <v/>
      </c>
    </row>
    <row r="71" ht="21" customHeight="1" s="290">
      <c r="A71" s="292" t="n"/>
    </row>
    <row r="72" ht="32" customHeight="1" s="290">
      <c r="A72" s="80" t="n"/>
      <c r="B72" s="81" t="n"/>
      <c r="C72" s="81" t="n"/>
      <c r="D72" s="82" t="n"/>
      <c r="E72" s="81" t="n"/>
      <c r="F72" s="84" t="n"/>
      <c r="G72" s="84" t="n"/>
      <c r="H72" s="82" t="n"/>
      <c r="I72" s="309" t="n"/>
      <c r="J72" s="126" t="n"/>
      <c r="K72" s="173" t="n"/>
      <c r="L72" s="126" t="inlineStr">
        <is>
          <t>Revenue MoM</t>
        </is>
      </c>
      <c r="M72" s="310" t="inlineStr">
        <is>
          <t>Revenue YoY</t>
        </is>
      </c>
    </row>
    <row r="73">
      <c r="A73" s="133" t="n"/>
      <c r="B73" s="318" t="n"/>
      <c r="C73" s="137" t="n"/>
      <c r="D73" s="135" t="n"/>
      <c r="E73" s="136" t="n"/>
      <c r="F73" s="137" t="n"/>
      <c r="G73" s="137" t="n"/>
      <c r="H73" s="135" t="n"/>
      <c r="I73" s="138" t="n"/>
      <c r="J73" s="139" t="n"/>
      <c r="L73" s="184" t="n">
        <v>0.02512834853537171</v>
      </c>
      <c r="M73" s="184" t="n">
        <v>-0.03249160755109914</v>
      </c>
    </row>
    <row r="74">
      <c r="A74" s="140" t="n"/>
      <c r="B74" s="319" t="n"/>
      <c r="C74" s="144" t="n"/>
      <c r="D74" s="142" t="n"/>
      <c r="E74" s="143" t="n"/>
      <c r="F74" s="144" t="n"/>
      <c r="G74" s="144" t="n"/>
      <c r="H74" s="142" t="n"/>
      <c r="I74" s="145" t="n"/>
      <c r="J74" s="146" t="n"/>
      <c r="L74" s="185" t="n">
        <v>-0.06700351016720385</v>
      </c>
      <c r="M74" s="185" t="n">
        <v>-0.02724608643238924</v>
      </c>
    </row>
    <row r="75">
      <c r="A75" s="133" t="n"/>
      <c r="B75" s="318" t="n"/>
      <c r="C75" s="137" t="n"/>
      <c r="D75" s="135" t="n"/>
      <c r="E75" s="136" t="n"/>
      <c r="F75" s="137" t="n"/>
      <c r="G75" s="137" t="n"/>
      <c r="H75" s="135" t="n"/>
      <c r="I75" s="138" t="n"/>
      <c r="J75" s="139" t="n"/>
      <c r="L75" s="184" t="n">
        <v>-0.1392142437813403</v>
      </c>
      <c r="M75" s="184" t="n">
        <v>0.2866032159592748</v>
      </c>
    </row>
    <row r="76">
      <c r="A76" s="140" t="n"/>
      <c r="B76" s="319" t="n"/>
      <c r="C76" s="144" t="n"/>
      <c r="D76" s="142" t="n"/>
      <c r="E76" s="143" t="n"/>
      <c r="F76" s="144" t="n"/>
      <c r="G76" s="144" t="n"/>
      <c r="H76" s="142" t="n"/>
      <c r="I76" s="145" t="n"/>
      <c r="J76" s="146" t="n"/>
      <c r="L76" s="185" t="n">
        <v>0.02881884840841531</v>
      </c>
      <c r="M76" s="185" t="n">
        <v>0.4420451788693351</v>
      </c>
    </row>
    <row r="77">
      <c r="A77" s="133" t="n"/>
      <c r="B77" s="318" t="n"/>
      <c r="C77" s="137" t="n"/>
      <c r="D77" s="135" t="n"/>
      <c r="E77" s="136" t="n"/>
      <c r="F77" s="137" t="n"/>
      <c r="G77" s="137" t="n"/>
      <c r="H77" s="135" t="n"/>
      <c r="I77" s="138" t="n"/>
      <c r="J77" s="139" t="n"/>
      <c r="L77" s="184" t="n">
        <v>1.026274483269612</v>
      </c>
      <c r="M77" s="184" t="n">
        <v>-0.1847011068141268</v>
      </c>
    </row>
    <row r="78">
      <c r="A78" s="140" t="n"/>
      <c r="B78" s="319" t="n"/>
      <c r="C78" s="144" t="n"/>
      <c r="D78" s="142" t="n"/>
      <c r="E78" s="143" t="n"/>
      <c r="F78" s="144" t="n"/>
      <c r="G78" s="144" t="n"/>
      <c r="H78" s="142" t="n"/>
      <c r="I78" s="145" t="n"/>
      <c r="J78" s="146" t="n"/>
      <c r="L78" s="185" t="n">
        <v>-0.01968604472927704</v>
      </c>
      <c r="M78" s="185" t="n">
        <v>-0.4016944852600909</v>
      </c>
    </row>
    <row r="79">
      <c r="A79" s="86" t="inlineStr">
        <is>
          <t>Total</t>
        </is>
      </c>
      <c r="B79" s="312">
        <f>Summary!B4</f>
        <v/>
      </c>
      <c r="C79" s="119">
        <f>Summary!C4</f>
        <v/>
      </c>
      <c r="D79" s="118">
        <f>Summary!D4</f>
        <v/>
      </c>
      <c r="E79" s="100">
        <f>Summary!E4</f>
        <v/>
      </c>
      <c r="F79" s="119">
        <f>SUM(F73:F78)</f>
        <v/>
      </c>
      <c r="G79" s="119">
        <f>Summary!G4</f>
        <v/>
      </c>
      <c r="H79" s="118">
        <f>Summary!H4</f>
        <v/>
      </c>
      <c r="I79" s="85">
        <f>Summary!I4</f>
        <v/>
      </c>
      <c r="J79" s="132">
        <f>SUM(J73:J78)</f>
        <v/>
      </c>
      <c r="K79" s="175" t="n"/>
      <c r="L79" s="132">
        <f>Summary!K4</f>
        <v/>
      </c>
      <c r="M79" s="118">
        <f>Summary!L4</f>
        <v/>
      </c>
    </row>
    <row r="81" ht="21" customHeight="1" s="290">
      <c r="A81" s="292" t="inlineStr">
        <is>
          <t>Tablet $400-$800</t>
        </is>
      </c>
    </row>
    <row r="82" ht="32" customHeight="1" s="290">
      <c r="A82" s="80" t="n"/>
      <c r="B82" s="81" t="inlineStr">
        <is>
          <t>Avg Price</t>
        </is>
      </c>
      <c r="C82" s="81" t="inlineStr">
        <is>
          <t>Avg Price MoM</t>
        </is>
      </c>
      <c r="D82" s="82" t="inlineStr">
        <is>
          <t>Avg Price YoY</t>
        </is>
      </c>
      <c r="E82" s="81" t="inlineStr">
        <is>
          <t>Quantity/Mo</t>
        </is>
      </c>
      <c r="F82" s="84" t="inlineStr">
        <is>
          <t>Qty by %</t>
        </is>
      </c>
      <c r="G82" s="84" t="inlineStr">
        <is>
          <t>Qty MoM</t>
        </is>
      </c>
      <c r="H82" s="82" t="inlineStr">
        <is>
          <t>Qty YoY</t>
        </is>
      </c>
      <c r="I82" s="309" t="inlineStr">
        <is>
          <t>Revenue/Mo</t>
        </is>
      </c>
      <c r="J82" s="126" t="inlineStr">
        <is>
          <t>Revenue by %</t>
        </is>
      </c>
      <c r="K82" s="173" t="n"/>
      <c r="L82" s="126" t="inlineStr">
        <is>
          <t>Revenue MoM</t>
        </is>
      </c>
      <c r="M82" s="310" t="inlineStr">
        <is>
          <t>Revenue YoY</t>
        </is>
      </c>
    </row>
    <row r="83">
      <c r="A83" s="133" t="inlineStr">
        <is>
          <t>autel</t>
        </is>
      </c>
      <c r="B83" s="318" t="n">
        <v>540.0820794435292</v>
      </c>
      <c r="C83" s="137" t="n">
        <v>0.008942642021537495</v>
      </c>
      <c r="D83" s="135" t="n">
        <v>0.1004086071531582</v>
      </c>
      <c r="E83" s="136" t="n">
        <v>5463</v>
      </c>
      <c r="F83" s="137" t="n">
        <v>0.4168956043956044</v>
      </c>
      <c r="G83" s="137" t="n">
        <v>0.1078888663557087</v>
      </c>
      <c r="H83" s="135" t="n">
        <v>0.427115987460815</v>
      </c>
      <c r="I83" s="138" t="n">
        <v>2950468.4</v>
      </c>
      <c r="J83" s="139" t="n">
        <v>0.4136918769569734</v>
      </c>
      <c r="L83" s="184" t="n">
        <v>0.1177963198871748</v>
      </c>
      <c r="M83" s="184" t="n">
        <v>0.5704107160077594</v>
      </c>
    </row>
    <row r="84">
      <c r="A84" s="140" t="inlineStr">
        <is>
          <t>topdon</t>
        </is>
      </c>
      <c r="B84" s="319" t="n">
        <v>585.9066179861645</v>
      </c>
      <c r="C84" s="144" t="n">
        <v>0.003745823903086087</v>
      </c>
      <c r="D84" s="142" t="n">
        <v>0.199081526726538</v>
      </c>
      <c r="E84" s="143" t="n">
        <v>1301</v>
      </c>
      <c r="F84" s="144" t="n">
        <v>0.09928266178266178</v>
      </c>
      <c r="G84" s="144" t="n">
        <v>0.05344129554655863</v>
      </c>
      <c r="H84" s="142" t="n">
        <v>-0.2214242968282466</v>
      </c>
      <c r="I84" s="145" t="n">
        <v>762264.51</v>
      </c>
      <c r="J84" s="146" t="n">
        <v>0.1068788385869808</v>
      </c>
      <c r="L84" s="185" t="n">
        <v>0.05738730113191504</v>
      </c>
      <c r="M84" s="185" t="n">
        <v>-0.0664242571686261</v>
      </c>
    </row>
    <row r="85">
      <c r="A85" s="133" t="inlineStr">
        <is>
          <t>launch</t>
        </is>
      </c>
      <c r="B85" s="318" t="n">
        <v>542.1755302013422</v>
      </c>
      <c r="C85" s="137" t="n">
        <v>0.05258320414291462</v>
      </c>
      <c r="D85" s="135" t="n">
        <v>-0.0281814539984937</v>
      </c>
      <c r="E85" s="136" t="n">
        <v>1490</v>
      </c>
      <c r="F85" s="137" t="n">
        <v>0.1137057387057387</v>
      </c>
      <c r="G85" s="137" t="n">
        <v>0.09237536656891487</v>
      </c>
      <c r="H85" s="135" t="n">
        <v>0.1313591495823843</v>
      </c>
      <c r="I85" s="138" t="n">
        <v>807841.5399999999</v>
      </c>
      <c r="J85" s="139" t="n">
        <v>0.1132692975008347</v>
      </c>
      <c r="L85" s="184" t="n">
        <v>0.1498159634698994</v>
      </c>
      <c r="M85" s="184" t="n">
        <v>0.09947580375265352</v>
      </c>
    </row>
    <row r="86">
      <c r="A86" s="140" t="inlineStr">
        <is>
          <t>xtool</t>
        </is>
      </c>
      <c r="B86" s="319" t="n">
        <v>478.1838258961229</v>
      </c>
      <c r="C86" s="144" t="n">
        <v>0.01293632064389327</v>
      </c>
      <c r="D86" s="142" t="n">
        <v>-0.1287530801986915</v>
      </c>
      <c r="E86" s="143" t="n">
        <v>1367</v>
      </c>
      <c r="F86" s="144" t="n">
        <v>0.1043192918192918</v>
      </c>
      <c r="G86" s="144" t="n">
        <v>0.008112094395280156</v>
      </c>
      <c r="H86" s="142" t="n">
        <v>0.8058124174372523</v>
      </c>
      <c r="I86" s="145" t="n">
        <v>653677.29</v>
      </c>
      <c r="J86" s="146" t="n">
        <v>0.09165357779268127</v>
      </c>
      <c r="L86" s="185" t="n">
        <v>0.02115335569336452</v>
      </c>
      <c r="M86" s="185" t="n">
        <v>0.5733085064311609</v>
      </c>
    </row>
    <row r="87">
      <c r="A87" s="133" t="inlineStr">
        <is>
          <t>ancel</t>
        </is>
      </c>
      <c r="B87" s="318" t="n">
        <v>589.8677690972222</v>
      </c>
      <c r="C87" s="137" t="n">
        <v>0.0201182464928622</v>
      </c>
      <c r="D87" s="135" t="n">
        <v>0.1098418786875772</v>
      </c>
      <c r="E87" s="136" t="n">
        <v>1152</v>
      </c>
      <c r="F87" s="137" t="n">
        <v>0.08791208791208792</v>
      </c>
      <c r="G87" s="137" t="n">
        <v>0.09401709401709413</v>
      </c>
      <c r="H87" s="135" t="n">
        <v>4.565217391304348</v>
      </c>
      <c r="I87" s="138" t="n">
        <v>679527.67</v>
      </c>
      <c r="J87" s="139" t="n">
        <v>0.09527811829691138</v>
      </c>
      <c r="L87" s="184" t="n">
        <v>0.1160267995819348</v>
      </c>
      <c r="M87" s="184" t="n">
        <v>5.176511324869995</v>
      </c>
    </row>
    <row r="88">
      <c r="A88" s="140" t="inlineStr">
        <is>
          <t>Other</t>
        </is>
      </c>
      <c r="B88" s="319" t="n">
        <v>548.3757786357786</v>
      </c>
      <c r="C88" s="144" t="n">
        <v>0.02556957329216636</v>
      </c>
      <c r="D88" s="142" t="n">
        <v>0.04215870675042455</v>
      </c>
      <c r="E88" s="143" t="n">
        <v>2331</v>
      </c>
      <c r="F88" s="144" t="n">
        <v>0.0550842451024411</v>
      </c>
      <c r="G88" s="144" t="n">
        <v>-0.03278008298755186</v>
      </c>
      <c r="H88" s="142" t="n">
        <v>0.9538977367979882</v>
      </c>
      <c r="I88" s="145" t="n">
        <v>1278263.94</v>
      </c>
      <c r="J88" s="146" t="n">
        <v>0.07855077242137276</v>
      </c>
      <c r="L88" s="185" t="n">
        <v>-0.008048682429859011</v>
      </c>
      <c r="M88" s="185" t="n">
        <v>1.036271538503973</v>
      </c>
    </row>
    <row r="89">
      <c r="A89" s="86" t="inlineStr">
        <is>
          <t>Total</t>
        </is>
      </c>
      <c r="B89" s="312">
        <f>Summary!B5</f>
        <v/>
      </c>
      <c r="C89" s="119">
        <f>Summary!C5</f>
        <v/>
      </c>
      <c r="D89" s="118">
        <f>Summary!D5</f>
        <v/>
      </c>
      <c r="E89" s="100">
        <f>Summary!E5</f>
        <v/>
      </c>
      <c r="F89" s="119">
        <f>SUM(F83:F88)</f>
        <v/>
      </c>
      <c r="G89" s="119">
        <f>Summary!G5</f>
        <v/>
      </c>
      <c r="H89" s="118">
        <f>Summary!H5</f>
        <v/>
      </c>
      <c r="I89" s="85">
        <f>Summary!I5</f>
        <v/>
      </c>
      <c r="J89" s="132">
        <f>SUM(J83:J88)</f>
        <v/>
      </c>
      <c r="K89" s="175" t="n"/>
      <c r="L89" s="132">
        <f>Summary!K5</f>
        <v/>
      </c>
      <c r="M89" s="118">
        <f>Summary!L5</f>
        <v/>
      </c>
    </row>
    <row r="91" ht="21" customHeight="1" s="290">
      <c r="A91" s="292" t="inlineStr">
        <is>
          <t>Tablet $400-</t>
        </is>
      </c>
    </row>
    <row r="92" ht="32" customHeight="1" s="290">
      <c r="A92" s="80" t="n"/>
      <c r="B92" s="81" t="inlineStr">
        <is>
          <t>Avg Price</t>
        </is>
      </c>
      <c r="C92" s="81" t="inlineStr">
        <is>
          <t>Avg Price MoM</t>
        </is>
      </c>
      <c r="D92" s="82" t="inlineStr">
        <is>
          <t>Avg Price YoY</t>
        </is>
      </c>
      <c r="E92" s="81" t="inlineStr">
        <is>
          <t>Quantity/Mo</t>
        </is>
      </c>
      <c r="F92" s="84" t="inlineStr">
        <is>
          <t>Qty by %</t>
        </is>
      </c>
      <c r="G92" s="84" t="inlineStr">
        <is>
          <t>Qty MoM</t>
        </is>
      </c>
      <c r="H92" s="82" t="inlineStr">
        <is>
          <t>Qty YoY</t>
        </is>
      </c>
      <c r="I92" s="309" t="inlineStr">
        <is>
          <t>Revenue/Mo</t>
        </is>
      </c>
      <c r="J92" s="126" t="inlineStr">
        <is>
          <t>Revenue by %</t>
        </is>
      </c>
      <c r="K92" s="173" t="n"/>
      <c r="L92" s="126" t="inlineStr">
        <is>
          <t>Revenue MoM</t>
        </is>
      </c>
      <c r="M92" s="310" t="inlineStr">
        <is>
          <t>Revenue YoY</t>
        </is>
      </c>
    </row>
    <row r="93">
      <c r="A93" s="133" t="inlineStr">
        <is>
          <t>topdon</t>
        </is>
      </c>
      <c r="B93" s="318" t="n">
        <v>240.295964017991</v>
      </c>
      <c r="C93" s="137" t="n">
        <v>0.008139735811845572</v>
      </c>
      <c r="D93" s="135" t="n">
        <v>0.2126730806088826</v>
      </c>
      <c r="E93" s="136" t="n">
        <v>6670</v>
      </c>
      <c r="F93" s="137" t="n">
        <v>0.2479646083497528</v>
      </c>
      <c r="G93" s="137" t="n">
        <v>-0.004180352343983285</v>
      </c>
      <c r="H93" s="135" t="n">
        <v>0.5683047260757113</v>
      </c>
      <c r="I93" s="138" t="n">
        <v>1602774.08</v>
      </c>
      <c r="J93" s="139" t="n">
        <v>0.2868829108843751</v>
      </c>
      <c r="L93" s="184" t="n">
        <v>0.003925356504181687</v>
      </c>
      <c r="M93" s="184" t="n">
        <v>0.9018409235037024</v>
      </c>
    </row>
    <row r="94">
      <c r="A94" s="140" t="inlineStr">
        <is>
          <t>foxwell</t>
        </is>
      </c>
      <c r="B94" s="319" t="n">
        <v>187.334550804237</v>
      </c>
      <c r="C94" s="144" t="n">
        <v>-0.02818593854485396</v>
      </c>
      <c r="D94" s="142" t="n">
        <v>-0.0187959960534585</v>
      </c>
      <c r="E94" s="143" t="n">
        <v>5098</v>
      </c>
      <c r="F94" s="144" t="n">
        <v>0.189523774117997</v>
      </c>
      <c r="G94" s="144" t="n">
        <v>0.0153355905198167</v>
      </c>
      <c r="H94" s="142" t="n">
        <v>0.3526134253117539</v>
      </c>
      <c r="I94" s="145" t="n">
        <v>955031.54</v>
      </c>
      <c r="J94" s="146" t="n">
        <v>0.1709425124853451</v>
      </c>
      <c r="L94" s="185" t="n">
        <v>-0.01328259603697779</v>
      </c>
      <c r="M94" s="185" t="n">
        <v>0.3271897087077391</v>
      </c>
    </row>
    <row r="95">
      <c r="A95" s="133" t="inlineStr">
        <is>
          <t>launch</t>
        </is>
      </c>
      <c r="B95" s="318" t="n">
        <v>179.9341824798545</v>
      </c>
      <c r="C95" s="137" t="n">
        <v>0.006396301024444773</v>
      </c>
      <c r="D95" s="135" t="n">
        <v>0.03461899718162664</v>
      </c>
      <c r="E95" s="136" t="n">
        <v>3847</v>
      </c>
      <c r="F95" s="137" t="n">
        <v>0.143016469013718</v>
      </c>
      <c r="G95" s="137" t="n">
        <v>-0.06376247262107571</v>
      </c>
      <c r="H95" s="135" t="n">
        <v>-0.03268795574553685</v>
      </c>
      <c r="I95" s="138" t="n">
        <v>692206.8</v>
      </c>
      <c r="J95" s="139" t="n">
        <v>0.1238991222755227</v>
      </c>
      <c r="L95" s="184" t="n">
        <v>-0.05777401556557815</v>
      </c>
      <c r="M95" s="184" t="n">
        <v>0.0007994171882619305</v>
      </c>
    </row>
    <row r="96">
      <c r="A96" s="140" t="inlineStr">
        <is>
          <t>xtool</t>
        </is>
      </c>
      <c r="B96" s="319" t="n">
        <v>193.6809365426696</v>
      </c>
      <c r="C96" s="144" t="n">
        <v>-0.02183905307609768</v>
      </c>
      <c r="D96" s="142" t="n">
        <v>-0.07490250197003478</v>
      </c>
      <c r="E96" s="143" t="n">
        <v>2285</v>
      </c>
      <c r="F96" s="144" t="n">
        <v>0.08494739581397077</v>
      </c>
      <c r="G96" s="144" t="n">
        <v>0.1407888167748377</v>
      </c>
      <c r="H96" s="142" t="n">
        <v>0.8502024291497976</v>
      </c>
      <c r="I96" s="145" t="n">
        <v>442560.94</v>
      </c>
      <c r="J96" s="146" t="n">
        <v>0.07921463935261873</v>
      </c>
      <c r="L96" s="185" t="n">
        <v>0.1158750692566735</v>
      </c>
      <c r="M96" s="185" t="n">
        <v>0.7116176380554418</v>
      </c>
    </row>
    <row r="97">
      <c r="A97" s="133" t="inlineStr">
        <is>
          <t>blcktec</t>
        </is>
      </c>
      <c r="B97" s="318" t="n">
        <v>189.17418997669</v>
      </c>
      <c r="C97" s="137" t="n">
        <v>-0.003751073686855455</v>
      </c>
      <c r="D97" s="135" t="n">
        <v>0.01219638019674996</v>
      </c>
      <c r="E97" s="136" t="n">
        <v>1716</v>
      </c>
      <c r="F97" s="137" t="n">
        <v>0.06379419309268003</v>
      </c>
      <c r="G97" s="137" t="n">
        <v>0.03249097472924189</v>
      </c>
      <c r="H97" s="135" t="n">
        <v>2.72234273318872</v>
      </c>
      <c r="I97" s="138" t="n">
        <v>324622.91</v>
      </c>
      <c r="J97" s="139" t="n">
        <v>0.05810473635844954</v>
      </c>
      <c r="L97" s="184" t="n">
        <v>0.02861802500201915</v>
      </c>
      <c r="M97" s="184" t="n">
        <v>2.767741840385299</v>
      </c>
    </row>
    <row r="98">
      <c r="A98" s="133" t="inlineStr">
        <is>
          <t>innova</t>
        </is>
      </c>
      <c r="B98" s="318" t="n">
        <v>163.9359672131148</v>
      </c>
      <c r="C98" s="137" t="n">
        <v>0.07465106468302607</v>
      </c>
      <c r="D98" s="135" t="inlineStr">
        <is>
          <t>inf</t>
        </is>
      </c>
      <c r="E98" s="136" t="n">
        <v>305</v>
      </c>
      <c r="F98" s="137" t="n">
        <v>0.01133871147626306</v>
      </c>
      <c r="G98" s="137" t="n">
        <v>-0.6573033707865168</v>
      </c>
      <c r="H98" s="135" t="n">
        <v>6.261904761904762</v>
      </c>
      <c r="I98" s="138" t="n">
        <v>50000.47</v>
      </c>
      <c r="J98" s="139" t="n">
        <v>0.008949658319397622</v>
      </c>
      <c r="L98" s="184" t="n">
        <v>-0.6317207025524461</v>
      </c>
      <c r="M98" s="184" t="inlineStr">
        <is>
          <t>inf</t>
        </is>
      </c>
    </row>
    <row r="99">
      <c r="A99" s="140" t="inlineStr">
        <is>
          <t>Other</t>
        </is>
      </c>
      <c r="B99" s="319" t="n">
        <v>217.7789108627113</v>
      </c>
      <c r="C99" s="144" t="n">
        <v>-0.05306924316067196</v>
      </c>
      <c r="D99" s="142" t="n">
        <v>-0.06318462934013747</v>
      </c>
      <c r="E99" s="143" t="n">
        <v>6978</v>
      </c>
      <c r="F99" s="144" t="n">
        <v>0.1648982678356216</v>
      </c>
      <c r="G99" s="144" t="n">
        <v>-0.03432050927207309</v>
      </c>
      <c r="H99" s="142" t="n">
        <v>0.5492895204262878</v>
      </c>
      <c r="I99" s="145" t="n">
        <v>1519661.24</v>
      </c>
      <c r="J99" s="146" t="n">
        <v>0.09338491096042428</v>
      </c>
      <c r="L99" s="185" t="n">
        <v>-0.08556838898078722</v>
      </c>
      <c r="M99" s="185" t="n">
        <v>0.4513982363375935</v>
      </c>
    </row>
    <row r="100">
      <c r="A100" s="86" t="inlineStr">
        <is>
          <t>Total</t>
        </is>
      </c>
      <c r="B100" s="312">
        <f>Summary!B6</f>
        <v/>
      </c>
      <c r="C100" s="119">
        <f>Summary!C6</f>
        <v/>
      </c>
      <c r="D100" s="118">
        <f>Summary!C6</f>
        <v/>
      </c>
      <c r="E100" s="100">
        <f>Summary!E6</f>
        <v/>
      </c>
      <c r="F100" s="119">
        <f>SUM(F93:F99)</f>
        <v/>
      </c>
      <c r="G100" s="119">
        <f>Summary!G6</f>
        <v/>
      </c>
      <c r="H100" s="118">
        <f>Summary!H6</f>
        <v/>
      </c>
      <c r="I100" s="85">
        <f>Summary!I6</f>
        <v/>
      </c>
      <c r="J100" s="132">
        <f>SUM(J93:J99)</f>
        <v/>
      </c>
      <c r="K100" s="175" t="n"/>
      <c r="L100" s="132">
        <f>Summary!K6</f>
        <v/>
      </c>
      <c r="M100" s="118">
        <f>Summary!L6</f>
        <v/>
      </c>
    </row>
  </sheetData>
  <mergeCells count="7">
    <mergeCell ref="A1:M1"/>
    <mergeCell ref="A45:L45"/>
    <mergeCell ref="A3:M3"/>
    <mergeCell ref="A58:L58"/>
    <mergeCell ref="A91:M91"/>
    <mergeCell ref="A81:M81"/>
    <mergeCell ref="A71:M71"/>
  </mergeCells>
  <conditionalFormatting sqref="C5:J13 C73:J78 C79:M79 C83:J88 C89:M89 C93:J99 C100:M100 L5:M13 L73:M78 L83:M88 L93:M99">
    <cfRule type="expression" priority="1" dxfId="30">
      <formula>C5&lt;0</formula>
    </cfRule>
  </conditionalFormatting>
  <pageMargins left="0.7" right="0.7" top="0.75" bottom="0.75" header="0.3" footer="0.3"/>
  <drawing xmlns:r="http://schemas.openxmlformats.org/officeDocument/2006/relationships" r:id="rId1"/>
  <tableParts count="2">
    <tablePart xmlns:r="http://schemas.openxmlformats.org/officeDocument/2006/relationships" r:id="rId2"/>
    <tablePart xmlns:r="http://schemas.openxmlformats.org/officeDocument/2006/relationships" r:id="rId3"/>
  </tableParts>
</worksheet>
</file>

<file path=xl/worksheets/sheet4.xml><?xml version="1.0" encoding="utf-8"?>
<worksheet xmlns="http://schemas.openxmlformats.org/spreadsheetml/2006/main">
  <sheetPr>
    <outlinePr summaryBelow="1" summaryRight="1"/>
    <pageSetUpPr/>
  </sheetPr>
  <dimension ref="A1:M67"/>
  <sheetViews>
    <sheetView topLeftCell="A32" workbookViewId="0">
      <selection activeCell="O38" sqref="O38"/>
    </sheetView>
  </sheetViews>
  <sheetFormatPr baseColWidth="10" defaultColWidth="11.1640625" defaultRowHeight="16"/>
  <cols>
    <col width="10.6640625" customWidth="1" style="290" min="1" max="1"/>
    <col width="12.1640625" customWidth="1" style="290" min="2" max="2"/>
    <col width="14.83203125" customWidth="1" style="290" min="3" max="3"/>
    <col width="12.6640625" customWidth="1" style="290" min="5" max="5"/>
    <col width="10.6640625" customWidth="1" style="290" min="6" max="6"/>
    <col width="21.1640625" bestFit="1" customWidth="1" style="290" min="7" max="8"/>
    <col width="12.83203125" bestFit="1" customWidth="1" style="290" min="9" max="9"/>
    <col width="12" bestFit="1" customWidth="1" style="290" min="10" max="10"/>
    <col hidden="1" width="28.33203125" customWidth="1" style="290" min="11" max="11"/>
    <col width="35.6640625" customWidth="1" style="290" min="12" max="12"/>
    <col width="15.33203125" customWidth="1" style="290" min="13" max="13"/>
  </cols>
  <sheetData>
    <row r="1" ht="26" customHeight="1" s="290">
      <c r="A1" s="289" t="inlineStr">
        <is>
          <t>Tablet $800+ Monthly Summary</t>
        </is>
      </c>
    </row>
    <row r="3" ht="21" customHeight="1" s="290">
      <c r="A3" s="294">
        <f>'Tablet Total'!A71</f>
        <v/>
      </c>
      <c r="B3" s="317" t="n"/>
      <c r="C3" s="317" t="n"/>
      <c r="D3" s="317" t="n"/>
      <c r="E3" s="317" t="n"/>
      <c r="F3" s="317" t="n"/>
      <c r="G3" s="317" t="n"/>
      <c r="H3" s="317" t="n"/>
      <c r="I3" s="317" t="n"/>
      <c r="J3" s="317" t="n"/>
      <c r="K3" s="317" t="n"/>
      <c r="L3" s="317" t="n"/>
      <c r="M3" s="317" t="n"/>
    </row>
    <row r="4" ht="32" customHeight="1" s="290">
      <c r="A4" s="80" t="n"/>
      <c r="B4" s="81" t="inlineStr">
        <is>
          <t>Avg Price</t>
        </is>
      </c>
      <c r="C4" s="81" t="inlineStr">
        <is>
          <t>Avg Price MoM</t>
        </is>
      </c>
      <c r="D4" s="82" t="inlineStr">
        <is>
          <t>Avg Price YoY</t>
        </is>
      </c>
      <c r="E4" s="81" t="inlineStr">
        <is>
          <t>Quantity/Mo</t>
        </is>
      </c>
      <c r="F4" s="84" t="inlineStr">
        <is>
          <t>Qty by %</t>
        </is>
      </c>
      <c r="G4" s="84" t="inlineStr">
        <is>
          <t>Qty MoM</t>
        </is>
      </c>
      <c r="H4" s="82" t="inlineStr">
        <is>
          <t>Qty YoY</t>
        </is>
      </c>
      <c r="I4" s="309" t="inlineStr">
        <is>
          <t>Revenue/Mo</t>
        </is>
      </c>
      <c r="J4" s="126" t="inlineStr">
        <is>
          <t>Revenue by %</t>
        </is>
      </c>
      <c r="K4" s="173" t="n"/>
      <c r="L4" s="126" t="inlineStr">
        <is>
          <t>Revenue MoM</t>
        </is>
      </c>
      <c r="M4" s="310" t="inlineStr">
        <is>
          <t>Revenue YoY</t>
        </is>
      </c>
    </row>
    <row r="5">
      <c r="A5" s="133" t="inlineStr">
        <is>
          <t>autel</t>
        </is>
      </c>
      <c r="B5" s="318" t="n">
        <v>1843.834891518738</v>
      </c>
      <c r="C5" s="137" t="n">
        <v>-0.03553013362648461</v>
      </c>
      <c r="D5" s="135" t="n">
        <v>-0.001004648033531397</v>
      </c>
      <c r="E5" s="136" t="n">
        <v>1014</v>
      </c>
      <c r="F5" s="137" t="n">
        <v>0.4382022471910113</v>
      </c>
      <c r="G5" s="137" t="n">
        <v>0.06289308176100628</v>
      </c>
      <c r="H5" s="135" t="n">
        <v>-0.03151862464183386</v>
      </c>
      <c r="I5" s="138" t="n">
        <v>1869648.58</v>
      </c>
      <c r="J5" s="139" t="n">
        <v>0.5260406083062642</v>
      </c>
      <c r="L5" s="184" t="n">
        <v>0.02512834853537171</v>
      </c>
      <c r="M5" s="184" t="n">
        <v>-0.03249160755109914</v>
      </c>
    </row>
    <row r="6">
      <c r="A6" s="140" t="inlineStr">
        <is>
          <t>launch</t>
        </is>
      </c>
      <c r="B6" s="319" t="n">
        <v>1381.684868421053</v>
      </c>
      <c r="C6" s="144" t="n">
        <v>0.06394336559880265</v>
      </c>
      <c r="D6" s="142" t="n">
        <v>0.08083768174178974</v>
      </c>
      <c r="E6" s="143" t="n">
        <v>684</v>
      </c>
      <c r="F6" s="144" t="n">
        <v>0.2955920484010371</v>
      </c>
      <c r="G6" s="144" t="n">
        <v>-0.1230769230769231</v>
      </c>
      <c r="H6" s="142" t="n">
        <v>-0.09999999999999998</v>
      </c>
      <c r="I6" s="145" t="n">
        <v>945072.45</v>
      </c>
      <c r="J6" s="146" t="n">
        <v>0.2659037060812206</v>
      </c>
      <c r="L6" s="185" t="n">
        <v>-0.06700351016720385</v>
      </c>
      <c r="M6" s="185" t="n">
        <v>-0.02724608643238924</v>
      </c>
    </row>
    <row r="7">
      <c r="A7" s="133" t="inlineStr">
        <is>
          <t>topdon</t>
        </is>
      </c>
      <c r="B7" s="318" t="n">
        <v>1185.156621983914</v>
      </c>
      <c r="C7" s="137" t="n">
        <v>-0.03998156947195042</v>
      </c>
      <c r="D7" s="135" t="n">
        <v>-0.0859253291442148</v>
      </c>
      <c r="E7" s="136" t="n">
        <v>373</v>
      </c>
      <c r="F7" s="137" t="n">
        <v>0.1611927398444252</v>
      </c>
      <c r="G7" s="137" t="n">
        <v>-0.1033653846153846</v>
      </c>
      <c r="H7" s="135" t="n">
        <v>0.4075471698113207</v>
      </c>
      <c r="I7" s="138" t="n">
        <v>442063.42</v>
      </c>
      <c r="J7" s="139" t="n">
        <v>0.1243780851943565</v>
      </c>
      <c r="L7" s="184" t="n">
        <v>-0.1392142437813403</v>
      </c>
      <c r="M7" s="184" t="n">
        <v>0.2866032159592748</v>
      </c>
    </row>
    <row r="8">
      <c r="A8" s="140" t="inlineStr">
        <is>
          <t>xtool</t>
        </is>
      </c>
      <c r="B8" s="319" t="n">
        <v>1409.164603174603</v>
      </c>
      <c r="C8" s="144" t="n">
        <v>-0.02833775428094099</v>
      </c>
      <c r="D8" s="142" t="n">
        <v>0.1101458916692502</v>
      </c>
      <c r="E8" s="143" t="n">
        <v>126</v>
      </c>
      <c r="F8" s="144" t="n">
        <v>0.05445116681071737</v>
      </c>
      <c r="G8" s="144" t="n">
        <v>0.05882352941176472</v>
      </c>
      <c r="H8" s="142" t="n">
        <v>0.2989690721649485</v>
      </c>
      <c r="I8" s="145" t="n">
        <v>177554.74</v>
      </c>
      <c r="J8" s="146" t="n">
        <v>0.04995644873394367</v>
      </c>
      <c r="L8" s="185" t="n">
        <v>0.02881884840841531</v>
      </c>
      <c r="M8" s="185" t="n">
        <v>0.4420451788693351</v>
      </c>
    </row>
    <row r="9">
      <c r="A9" s="133" t="inlineStr">
        <is>
          <t>foxwell</t>
        </is>
      </c>
      <c r="B9" s="318" t="n">
        <v>889.5958823529411</v>
      </c>
      <c r="C9" s="137" t="n">
        <v>0.0131372416348059</v>
      </c>
      <c r="D9" s="135" t="n">
        <v>0.007133926876666807</v>
      </c>
      <c r="E9" s="136" t="n">
        <v>34</v>
      </c>
      <c r="F9" s="137" t="n">
        <v>0.01426772975241293</v>
      </c>
      <c r="G9" s="137" t="n">
        <v>1</v>
      </c>
      <c r="H9" s="135" t="n">
        <v>-0.1904761904761905</v>
      </c>
      <c r="I9" s="138" t="n">
        <v>30246.26</v>
      </c>
      <c r="J9" s="139" t="n">
        <v>0.00829765048748648</v>
      </c>
      <c r="L9" s="184" t="n">
        <v>1.026274483269612</v>
      </c>
      <c r="M9" s="184" t="n">
        <v>-0.1847011068141268</v>
      </c>
    </row>
    <row r="10">
      <c r="A10" s="140" t="inlineStr">
        <is>
          <t>Other</t>
        </is>
      </c>
      <c r="B10" s="319" t="n">
        <v>1024.37094017094</v>
      </c>
      <c r="C10" s="144" t="n">
        <v>-0.04482229999262888</v>
      </c>
      <c r="D10" s="142" t="n">
        <v>-0.01816530914476433</v>
      </c>
      <c r="E10" s="143" t="n">
        <v>117</v>
      </c>
      <c r="F10" s="144" t="n">
        <v>0.05056179775280899</v>
      </c>
      <c r="G10" s="144" t="n">
        <v>0.02631578947368429</v>
      </c>
      <c r="H10" s="142" t="n">
        <v>-0.390625</v>
      </c>
      <c r="I10" s="145" t="n">
        <v>119851.4</v>
      </c>
      <c r="J10" s="146" t="n">
        <v>0.03372115168421511</v>
      </c>
      <c r="L10" s="185" t="n">
        <v>-0.01968604472927704</v>
      </c>
      <c r="M10" s="185" t="n">
        <v>-0.4016944852600909</v>
      </c>
    </row>
    <row r="11">
      <c r="A11" s="86">
        <f>'Tablet Total'!A79</f>
        <v/>
      </c>
      <c r="B11" s="312">
        <f>'Tablet Total'!B79</f>
        <v/>
      </c>
      <c r="C11" s="119">
        <f>'Tablet Total'!C79</f>
        <v/>
      </c>
      <c r="D11" s="118">
        <f>'Tablet Total'!D79</f>
        <v/>
      </c>
      <c r="E11" s="100">
        <f>'Tablet Total'!E79</f>
        <v/>
      </c>
      <c r="F11" s="119">
        <f>'Tablet Total'!F79</f>
        <v/>
      </c>
      <c r="G11" s="119">
        <f>'Tablet Total'!G79</f>
        <v/>
      </c>
      <c r="H11" s="118">
        <f>'Tablet Total'!H79</f>
        <v/>
      </c>
      <c r="I11" s="85">
        <f>'Tablet Total'!I79</f>
        <v/>
      </c>
      <c r="J11" s="132">
        <f>'Tablet Total'!J79</f>
        <v/>
      </c>
      <c r="K11" s="175" t="n"/>
      <c r="L11" s="119">
        <f>'Tablet Total'!L79</f>
        <v/>
      </c>
      <c r="M11" s="118">
        <f>'Tablet Total'!M79</f>
        <v/>
      </c>
    </row>
    <row r="43" ht="26" customHeight="1" s="290">
      <c r="A43" s="289" t="inlineStr">
        <is>
          <t>Rank By Monthly Revenue - Mar '26 ONLY</t>
        </is>
      </c>
    </row>
    <row r="44">
      <c r="A44" s="62" t="inlineStr">
        <is>
          <t>Ranking</t>
        </is>
      </c>
      <c r="B44" s="63" t="inlineStr">
        <is>
          <t>ASIN</t>
        </is>
      </c>
      <c r="C44" s="63" t="inlineStr">
        <is>
          <t>Product Name</t>
        </is>
      </c>
      <c r="D44" s="63" t="inlineStr">
        <is>
          <t>Brand</t>
        </is>
      </c>
      <c r="E44" s="63" t="inlineStr">
        <is>
          <t>Type</t>
        </is>
      </c>
      <c r="F44" s="64" t="inlineStr">
        <is>
          <t>Price</t>
        </is>
      </c>
      <c r="G44" s="65" t="inlineStr">
        <is>
          <t>Est. Monthly Retail Rev</t>
        </is>
      </c>
      <c r="H44" s="66" t="inlineStr">
        <is>
          <t>Est. Monthly Units Sold</t>
        </is>
      </c>
      <c r="I44" s="67" t="inlineStr">
        <is>
          <t># of Reviews</t>
        </is>
      </c>
      <c r="J44" s="313" t="inlineStr">
        <is>
          <t>Avg. Rating</t>
        </is>
      </c>
      <c r="K44" s="313" t="inlineStr">
        <is>
          <t>Column2</t>
        </is>
      </c>
      <c r="L44" s="313" t="inlineStr">
        <is>
          <t>Link</t>
        </is>
      </c>
    </row>
    <row r="45" ht="17" customHeight="1" s="290">
      <c r="A45" s="15" t="n">
        <v>1</v>
      </c>
      <c r="B45" s="16" t="inlineStr">
        <is>
          <t>B091BQNR3S</t>
        </is>
      </c>
      <c r="C45" s="5" t="inlineStr">
        <is>
          <t>TOPDON Phoenix Plus 2, ECU Coding TOPDON Scanner V2.0, Bidirectional Scan Tool, Topology Map, CANFD, High-End OEM Full System, 42+ Service, FCA SGW AutoAuth, V.A.G Guided, 2 Years Free Update</t>
        </is>
      </c>
      <c r="D45" s="5" t="inlineStr">
        <is>
          <t>topdon</t>
        </is>
      </c>
      <c r="E45" s="5" t="inlineStr">
        <is>
          <t>Tablet</t>
        </is>
      </c>
      <c r="F45" s="6" t="n">
        <v>1014.280512820513</v>
      </c>
      <c r="G45" s="6" t="n">
        <v>276898.58</v>
      </c>
      <c r="H45" s="17" t="n">
        <v>273</v>
      </c>
      <c r="I45" s="17" t="n">
        <v>492</v>
      </c>
      <c r="J45" s="5" t="n">
        <v>4.4</v>
      </c>
      <c r="K45" s="5" t="inlineStr">
        <is>
          <t>https://amazon.com/dp/B091BQNR3S</t>
        </is>
      </c>
      <c r="L45" s="34">
        <f>HYPERLINK(K45)</f>
        <v/>
      </c>
    </row>
    <row r="46" ht="17" customHeight="1" s="290">
      <c r="A46" s="15" t="n">
        <v>2</v>
      </c>
      <c r="B46" s="16" t="inlineStr">
        <is>
          <t>B0DTTTJWYH</t>
        </is>
      </c>
      <c r="C46" s="5" t="inlineStr">
        <is>
          <t>Launch X431 PRO3 V+ Elite, 2026 SmartlinkC 2.0 Bidirectional Scan Tool with J2534 Portocol, HD Trucks Scanner, 10.1 inch, Topology Map, 60+Service, Online Code, CANFD/DoIP/D-PDU, FCA, 2 Yrs Update</t>
        </is>
      </c>
      <c r="D46" s="5" t="inlineStr">
        <is>
          <t>launch</t>
        </is>
      </c>
      <c r="E46" s="5" t="inlineStr">
        <is>
          <t>Tablet</t>
        </is>
      </c>
      <c r="F46" s="6" t="n">
        <v>1343.731951219512</v>
      </c>
      <c r="G46" s="6" t="n">
        <v>165279.03</v>
      </c>
      <c r="H46" s="17" t="n">
        <v>123</v>
      </c>
      <c r="I46" s="17" t="n">
        <v>96</v>
      </c>
      <c r="J46" s="5" t="n">
        <v>4.6</v>
      </c>
      <c r="K46" s="5" t="inlineStr">
        <is>
          <t>https://amazon.com/dp/B0DTTTJWYH</t>
        </is>
      </c>
      <c r="L46" s="34">
        <f>HYPERLINK(K46)</f>
        <v/>
      </c>
    </row>
    <row r="47" ht="17" customHeight="1" s="290">
      <c r="A47" s="15" t="n">
        <v>3</v>
      </c>
      <c r="B47" s="16" t="inlineStr">
        <is>
          <t>B0D7VS8SHS</t>
        </is>
      </c>
      <c r="C47" s="5" t="inlineStr">
        <is>
          <t>LAUNCH X431 PRO3S+ Elite, 2026 All-in-One Bidirectional Scan Tool with J2534 Protocols, HD Trucks Scanner, Topology Map, 60+Service, ECU Code Full Function Scanner, CANFD/DoIP/D-PDU/FCA, 2 Yrs Update</t>
        </is>
      </c>
      <c r="D47" s="5" t="inlineStr">
        <is>
          <t>launch</t>
        </is>
      </c>
      <c r="E47" s="5" t="inlineStr">
        <is>
          <t>Tablet</t>
        </is>
      </c>
      <c r="F47" s="6" t="n">
        <v>1260.146721311475</v>
      </c>
      <c r="G47" s="6" t="n">
        <v>153737.9</v>
      </c>
      <c r="H47" s="17" t="n">
        <v>122</v>
      </c>
      <c r="I47" s="17" t="n">
        <v>157</v>
      </c>
      <c r="J47" s="5" t="n">
        <v>4.3</v>
      </c>
      <c r="K47" s="5" t="inlineStr">
        <is>
          <t>https://amazon.com/dp/B0D7VS8SHS</t>
        </is>
      </c>
      <c r="L47" s="34">
        <f>HYPERLINK(K47)</f>
        <v/>
      </c>
    </row>
    <row r="48" ht="17" customHeight="1" s="290">
      <c r="A48" s="15" t="n">
        <v>4</v>
      </c>
      <c r="B48" s="16" t="inlineStr">
        <is>
          <t>B08V59JNYP</t>
        </is>
      </c>
      <c r="C48" s="5" t="inlineStr">
        <is>
          <t>LAUNCH X431 PRO3S+ Smartlink HD Heavy Duty Truck Scanner,2026 Diesel&amp;Gasoline Bidirectional Diagnostic Scan Tool with J2534 Protocols,Topology Map,60+Service,ECU Code,CANFD &amp;DOIP,2 Yrs Free Update</t>
        </is>
      </c>
      <c r="D48" s="5" t="inlineStr">
        <is>
          <t>launch</t>
        </is>
      </c>
      <c r="E48" s="5" t="inlineStr">
        <is>
          <t>Tablet</t>
        </is>
      </c>
      <c r="F48" s="6" t="n">
        <v>1909.047012987013</v>
      </c>
      <c r="G48" s="6" t="n">
        <v>146996.62</v>
      </c>
      <c r="H48" s="17" t="n">
        <v>77</v>
      </c>
      <c r="I48" s="17" t="n">
        <v>180</v>
      </c>
      <c r="J48" s="5" t="n">
        <v>4.2</v>
      </c>
      <c r="K48" s="5" t="inlineStr">
        <is>
          <t>https://amazon.com/dp/B08V59JNYP</t>
        </is>
      </c>
      <c r="L48" s="34">
        <f>HYPERLINK(K48)</f>
        <v/>
      </c>
    </row>
    <row r="49" ht="17" customHeight="1" s="290">
      <c r="A49" s="15" t="n"/>
      <c r="B49" s="16" t="n"/>
      <c r="C49" s="5" t="n"/>
      <c r="D49" s="5" t="n"/>
      <c r="E49" s="5" t="n"/>
      <c r="F49" s="6" t="n"/>
      <c r="G49" s="6" t="n"/>
      <c r="H49" s="17" t="n"/>
      <c r="I49" s="17" t="n"/>
      <c r="J49" s="5" t="n"/>
      <c r="K49" s="5" t="n"/>
      <c r="L49" s="34">
        <f>HYPERLINK(K49)</f>
        <v/>
      </c>
    </row>
    <row r="50" ht="17" customHeight="1" s="290">
      <c r="A50" s="15" t="n"/>
      <c r="B50" s="16" t="n"/>
      <c r="C50" s="5" t="n"/>
      <c r="D50" s="5" t="n"/>
      <c r="E50" s="5" t="n"/>
      <c r="F50" s="6" t="n"/>
      <c r="G50" s="6" t="n"/>
      <c r="H50" s="17" t="n"/>
      <c r="I50" s="17" t="n"/>
      <c r="J50" s="5" t="n"/>
      <c r="K50" s="5" t="n"/>
      <c r="L50" s="34">
        <f>HYPERLINK(K50)</f>
        <v/>
      </c>
    </row>
    <row r="51" ht="17" customHeight="1" s="290">
      <c r="A51" s="15" t="n"/>
      <c r="B51" s="16" t="n"/>
      <c r="C51" s="5" t="n"/>
      <c r="D51" s="5" t="n"/>
      <c r="E51" s="5" t="n"/>
      <c r="F51" s="6" t="n"/>
      <c r="G51" s="6" t="n"/>
      <c r="H51" s="17" t="n"/>
      <c r="I51" s="17" t="n"/>
      <c r="J51" s="5" t="n"/>
      <c r="K51" s="5" t="n"/>
      <c r="L51" s="34">
        <f>HYPERLINK(K51)</f>
        <v/>
      </c>
    </row>
    <row r="52" ht="17" customHeight="1" s="290">
      <c r="A52" s="15" t="n"/>
      <c r="B52" s="16" t="n"/>
      <c r="C52" s="5" t="n"/>
      <c r="D52" s="5" t="n"/>
      <c r="E52" s="5" t="n"/>
      <c r="F52" s="6" t="n"/>
      <c r="G52" s="6" t="n"/>
      <c r="H52" s="17" t="n"/>
      <c r="I52" s="17" t="n"/>
      <c r="J52" s="5" t="n"/>
      <c r="K52" s="5" t="n"/>
      <c r="L52" s="34">
        <f>HYPERLINK(K52)</f>
        <v/>
      </c>
    </row>
    <row r="53" ht="17" customHeight="1" s="290">
      <c r="A53" s="15" t="n"/>
      <c r="B53" s="16" t="n"/>
      <c r="C53" s="5" t="n"/>
      <c r="D53" s="5" t="n"/>
      <c r="E53" s="5" t="n"/>
      <c r="F53" s="6" t="n"/>
      <c r="G53" s="6" t="n"/>
      <c r="H53" s="17" t="n"/>
      <c r="I53" s="17" t="n"/>
      <c r="J53" s="5" t="n"/>
      <c r="K53" s="5" t="n"/>
      <c r="L53" s="34">
        <f>HYPERLINK(K53)</f>
        <v/>
      </c>
    </row>
    <row r="54" ht="17" customHeight="1" s="290">
      <c r="A54" s="15" t="n"/>
      <c r="B54" s="16" t="n"/>
      <c r="C54" s="5" t="n"/>
      <c r="D54" s="5" t="n"/>
      <c r="E54" s="5" t="n"/>
      <c r="F54" s="6" t="n"/>
      <c r="G54" s="6" t="n"/>
      <c r="H54" s="17" t="n"/>
      <c r="I54" s="17" t="n"/>
      <c r="J54" s="5" t="n"/>
      <c r="K54" s="5" t="n"/>
      <c r="L54" s="34">
        <f>HYPERLINK(K54)</f>
        <v/>
      </c>
    </row>
    <row r="56" ht="26" customHeight="1" s="290">
      <c r="A56" s="289" t="inlineStr">
        <is>
          <t>Rank By Monthly Units - Mar '26 ONLY</t>
        </is>
      </c>
    </row>
    <row r="57">
      <c r="A57" s="62" t="inlineStr">
        <is>
          <t>Ranking</t>
        </is>
      </c>
      <c r="B57" s="63" t="inlineStr">
        <is>
          <t>ASIN</t>
        </is>
      </c>
      <c r="C57" s="63" t="inlineStr">
        <is>
          <t>Product Name</t>
        </is>
      </c>
      <c r="D57" s="63" t="inlineStr">
        <is>
          <t>Brand</t>
        </is>
      </c>
      <c r="E57" s="63" t="inlineStr">
        <is>
          <t>Type</t>
        </is>
      </c>
      <c r="F57" s="64" t="inlineStr">
        <is>
          <t>Price</t>
        </is>
      </c>
      <c r="G57" s="65" t="inlineStr">
        <is>
          <t>Est. Monthly Retail Rev</t>
        </is>
      </c>
      <c r="H57" s="66" t="inlineStr">
        <is>
          <t>Est. Monthly Units Sold</t>
        </is>
      </c>
      <c r="I57" s="67" t="inlineStr">
        <is>
          <t># of Reviews</t>
        </is>
      </c>
      <c r="J57" s="313" t="inlineStr">
        <is>
          <t>Avg. Rating</t>
        </is>
      </c>
      <c r="K57" s="313" t="inlineStr">
        <is>
          <t>Column2</t>
        </is>
      </c>
      <c r="L57" s="313" t="inlineStr">
        <is>
          <t>Link</t>
        </is>
      </c>
    </row>
    <row r="58" ht="17" customHeight="1" s="290">
      <c r="A58" s="15" t="n">
        <v>1</v>
      </c>
      <c r="B58" s="16" t="inlineStr">
        <is>
          <t>B091BQNR3S</t>
        </is>
      </c>
      <c r="C58" s="5" t="inlineStr">
        <is>
          <t>TOPDON Phoenix Plus 2, ECU Coding TOPDON Scanner V2.0, Bidirectional Scan Tool, Topology Map, CANFD, High-End OEM Full System, 42+ Service, FCA SGW AutoAuth, V.A.G Guided, 2 Years Free Update</t>
        </is>
      </c>
      <c r="D58" s="5" t="inlineStr">
        <is>
          <t>topdon</t>
        </is>
      </c>
      <c r="E58" s="5" t="inlineStr">
        <is>
          <t>Tablet</t>
        </is>
      </c>
      <c r="F58" s="6" t="n">
        <v>1014.280512820513</v>
      </c>
      <c r="G58" s="6" t="n">
        <v>276898.58</v>
      </c>
      <c r="H58" s="17" t="n">
        <v>273</v>
      </c>
      <c r="I58" s="17" t="n">
        <v>492</v>
      </c>
      <c r="J58" s="5" t="n">
        <v>4.4</v>
      </c>
      <c r="K58" s="5" t="inlineStr">
        <is>
          <t>https://amazon.com/dp/B091BQNR3S</t>
        </is>
      </c>
      <c r="L58" s="34">
        <f>HYPERLINK(K58)</f>
        <v/>
      </c>
    </row>
    <row r="59" ht="17" customHeight="1" s="290">
      <c r="A59" s="15" t="n">
        <v>2</v>
      </c>
      <c r="B59" s="16" t="inlineStr">
        <is>
          <t>B0DTTTJWYH</t>
        </is>
      </c>
      <c r="C59" s="5" t="inlineStr">
        <is>
          <t>Launch X431 PRO3 V+ Elite, 2026 SmartlinkC 2.0 Bidirectional Scan Tool with J2534 Portocol, HD Trucks Scanner, 10.1 inch, Topology Map, 60+Service, Online Code, CANFD/DoIP/D-PDU, FCA, 2 Yrs Update</t>
        </is>
      </c>
      <c r="D59" s="5" t="inlineStr">
        <is>
          <t>launch</t>
        </is>
      </c>
      <c r="E59" s="5" t="inlineStr">
        <is>
          <t>Tablet</t>
        </is>
      </c>
      <c r="F59" s="6" t="n">
        <v>1343.731951219512</v>
      </c>
      <c r="G59" s="6" t="n">
        <v>165279.03</v>
      </c>
      <c r="H59" s="17" t="n">
        <v>123</v>
      </c>
      <c r="I59" s="17" t="n">
        <v>96</v>
      </c>
      <c r="J59" s="5" t="n">
        <v>4.6</v>
      </c>
      <c r="K59" s="5" t="inlineStr">
        <is>
          <t>https://amazon.com/dp/B0DTTTJWYH</t>
        </is>
      </c>
      <c r="L59" s="34">
        <f>HYPERLINK(K59)</f>
        <v/>
      </c>
    </row>
    <row r="60" ht="17" customHeight="1" s="290">
      <c r="A60" s="15" t="n">
        <v>3</v>
      </c>
      <c r="B60" s="16" t="inlineStr">
        <is>
          <t>B0D7VS8SHS</t>
        </is>
      </c>
      <c r="C60" s="5" t="inlineStr">
        <is>
          <t>LAUNCH X431 PRO3S+ Elite, 2026 All-in-One Bidirectional Scan Tool with J2534 Protocols, HD Trucks Scanner, Topology Map, 60+Service, ECU Code Full Function Scanner, CANFD/DoIP/D-PDU/FCA, 2 Yrs Update</t>
        </is>
      </c>
      <c r="D60" s="5" t="inlineStr">
        <is>
          <t>launch</t>
        </is>
      </c>
      <c r="E60" s="5" t="inlineStr">
        <is>
          <t>Tablet</t>
        </is>
      </c>
      <c r="F60" s="6" t="n">
        <v>1260.146721311475</v>
      </c>
      <c r="G60" s="6" t="n">
        <v>153737.9</v>
      </c>
      <c r="H60" s="17" t="n">
        <v>122</v>
      </c>
      <c r="I60" s="17" t="n">
        <v>157</v>
      </c>
      <c r="J60" s="5" t="n">
        <v>4.3</v>
      </c>
      <c r="K60" s="5" t="inlineStr">
        <is>
          <t>https://amazon.com/dp/B0D7VS8SHS</t>
        </is>
      </c>
      <c r="L60" s="34">
        <f>HYPERLINK(K60)</f>
        <v/>
      </c>
    </row>
    <row r="61" ht="17" customHeight="1" s="290">
      <c r="A61" s="15" t="n">
        <v>4</v>
      </c>
      <c r="B61" s="16" t="inlineStr">
        <is>
          <t>B08V59JNYP</t>
        </is>
      </c>
      <c r="C61" s="5" t="inlineStr">
        <is>
          <t>LAUNCH X431 PRO3S+ Smartlink HD Heavy Duty Truck Scanner,2026 Diesel&amp;Gasoline Bidirectional Diagnostic Scan Tool with J2534 Protocols,Topology Map,60+Service,ECU Code,CANFD &amp;DOIP,2 Yrs Free Update</t>
        </is>
      </c>
      <c r="D61" s="5" t="inlineStr">
        <is>
          <t>launch</t>
        </is>
      </c>
      <c r="E61" s="5" t="inlineStr">
        <is>
          <t>Tablet</t>
        </is>
      </c>
      <c r="F61" s="6" t="n">
        <v>1909.047012987013</v>
      </c>
      <c r="G61" s="6" t="n">
        <v>146996.62</v>
      </c>
      <c r="H61" s="17" t="n">
        <v>77</v>
      </c>
      <c r="I61" s="17" t="n">
        <v>180</v>
      </c>
      <c r="J61" s="5" t="n">
        <v>4.2</v>
      </c>
      <c r="K61" s="5" t="inlineStr">
        <is>
          <t>https://amazon.com/dp/B08V59JNYP</t>
        </is>
      </c>
      <c r="L61" s="34">
        <f>HYPERLINK(K61)</f>
        <v/>
      </c>
    </row>
    <row r="62" ht="17" customHeight="1" s="290">
      <c r="A62" s="15" t="n">
        <v>5</v>
      </c>
      <c r="B62" s="16" t="inlineStr">
        <is>
          <t>B0DZC1M7MZ</t>
        </is>
      </c>
      <c r="C62" s="5" t="inlineStr">
        <is>
          <t>Autel MaxiSys Ultra S2 Scanner, 2026 Top Intelligen Scan Diagnostic with AI, 6-in-1 VCMI2, Up of MSUltra MS919, Topology 3.0, Multi-Point DVI, Motor Truspeed Repair, EV Test, 48+ Service, ECU Program</t>
        </is>
      </c>
      <c r="D62" s="5" t="inlineStr">
        <is>
          <t>autel</t>
        </is>
      </c>
      <c r="E62" s="5" t="inlineStr">
        <is>
          <t>Tablet</t>
        </is>
      </c>
      <c r="F62" s="6" t="n">
        <v>5558.342608695652</v>
      </c>
      <c r="G62" s="6" t="n">
        <v>127841.88</v>
      </c>
      <c r="H62" s="17" t="n">
        <v>23</v>
      </c>
      <c r="I62" s="17" t="n">
        <v>22</v>
      </c>
      <c r="J62" s="5" t="n">
        <v>4.8</v>
      </c>
      <c r="K62" s="5" t="inlineStr">
        <is>
          <t>https://amazon.com/dp/B0DZC1M7MZ</t>
        </is>
      </c>
      <c r="L62" s="34">
        <f>HYPERLINK(K62)</f>
        <v/>
      </c>
    </row>
    <row r="63" ht="17" customHeight="1" s="290">
      <c r="A63" s="15" t="n">
        <v>6</v>
      </c>
      <c r="B63" s="16" t="inlineStr">
        <is>
          <t>B0B1HT1J23</t>
        </is>
      </c>
      <c r="C63" s="5" t="inlineStr">
        <is>
          <t>Launch X431 PAD VII Elite, 2026 Top Intelligent Diagnostic Scanner, J2534 Protocol, Topology Map, Remote Diagnosis with Smartlink C, 2-Year Free Update, Bi-Directional Scan,60+ Service</t>
        </is>
      </c>
      <c r="D63" s="5" t="inlineStr">
        <is>
          <t>launch</t>
        </is>
      </c>
      <c r="E63" s="5" t="inlineStr">
        <is>
          <t>Tablet</t>
        </is>
      </c>
      <c r="F63" s="6" t="n">
        <v>2692.295</v>
      </c>
      <c r="G63" s="6" t="n">
        <v>80768.85000000001</v>
      </c>
      <c r="H63" s="17" t="n">
        <v>30</v>
      </c>
      <c r="I63" s="17" t="n">
        <v>130</v>
      </c>
      <c r="J63" s="5" t="n">
        <v>4.2</v>
      </c>
      <c r="K63" s="5" t="inlineStr">
        <is>
          <t>https://amazon.com/dp/B0B1HT1J23</t>
        </is>
      </c>
      <c r="L63" s="34">
        <f>HYPERLINK(K63)</f>
        <v/>
      </c>
    </row>
    <row r="64" ht="17" customHeight="1" s="290">
      <c r="A64" s="15" t="n">
        <v>7</v>
      </c>
      <c r="B64" s="16" t="inlineStr">
        <is>
          <t>B09YQ1NQXD</t>
        </is>
      </c>
      <c r="C64" s="5" t="inlineStr">
        <is>
          <t>TOPDON Phoenix Smart OBD2 Scanner, Bidirectional Scan Tool for 200+ Brands, Car Diagnostic Tool with ECU Programming Coding, CAN-FD &amp; DoIP, Topology Mapping &amp; ADAS Compatibility, 2 Years Free Update</t>
        </is>
      </c>
      <c r="D64" s="5" t="inlineStr">
        <is>
          <t>topdon</t>
        </is>
      </c>
      <c r="E64" s="5" t="inlineStr">
        <is>
          <t>Tablet</t>
        </is>
      </c>
      <c r="F64" s="6" t="n">
        <v>2004.318125</v>
      </c>
      <c r="G64" s="6" t="n">
        <v>64138.18</v>
      </c>
      <c r="H64" s="17" t="n">
        <v>32</v>
      </c>
      <c r="I64" s="17" t="n">
        <v>15</v>
      </c>
      <c r="J64" s="5" t="n">
        <v>4.5</v>
      </c>
      <c r="K64" s="5" t="inlineStr">
        <is>
          <t>https://amazon.com/dp/B09YQ1NQXD</t>
        </is>
      </c>
      <c r="L64" s="34">
        <f>HYPERLINK(K64)</f>
        <v/>
      </c>
    </row>
    <row r="65" ht="17" customHeight="1" s="290">
      <c r="A65" s="15" t="n">
        <v>8</v>
      </c>
      <c r="B65" s="16" t="inlineStr">
        <is>
          <t>B0DRHX4MYX</t>
        </is>
      </c>
      <c r="C65" s="5" t="inlineStr">
        <is>
          <t>Autel MaxiSys MS906MAX 2026 Way Better Than MS906 Pro, Autel Scanner, Top Scan Tool DoIP CANFD Diagnostic Tool, Upgrade of MK900 MP900BT MS906BT MK908 3000+Active Test All System Diagnosis</t>
        </is>
      </c>
      <c r="D65" s="5" t="inlineStr">
        <is>
          <t>autel</t>
        </is>
      </c>
      <c r="E65" s="5" t="inlineStr">
        <is>
          <t>Tablet</t>
        </is>
      </c>
      <c r="F65" s="6" t="n">
        <v>1575.688</v>
      </c>
      <c r="G65" s="6" t="n">
        <v>63027.52</v>
      </c>
      <c r="H65" s="17" t="n">
        <v>40</v>
      </c>
      <c r="I65" s="17" t="n">
        <v>32</v>
      </c>
      <c r="J65" s="5" t="n">
        <v>4.7</v>
      </c>
      <c r="K65" s="5" t="inlineStr">
        <is>
          <t>https://amazon.com/dp/B0DRHX4MYX</t>
        </is>
      </c>
      <c r="L65" s="34">
        <f>HYPERLINK(K65)</f>
        <v/>
      </c>
    </row>
    <row r="66" ht="17" customHeight="1" s="290">
      <c r="A66" s="15" t="n">
        <v>9</v>
      </c>
      <c r="B66" s="16" t="inlineStr">
        <is>
          <t>B08PB6DHBS</t>
        </is>
      </c>
      <c r="C66" s="5" t="inlineStr">
        <is>
          <t>2026 Autel MaxiCOM MK900TS Scanner, MK900-TS Up of MK808S-TS MK900BT MK900 MX900, Bidirectional Scan Tool w/Top TPMS Function, All System, CAN FD &amp; DoIP, 3000+ Active Test, 40+ Service, FCA, OS 11.0</t>
        </is>
      </c>
      <c r="D66" s="5" t="inlineStr">
        <is>
          <t>autel</t>
        </is>
      </c>
      <c r="E66" s="5" t="inlineStr">
        <is>
          <t>Tablet</t>
        </is>
      </c>
      <c r="F66" s="6" t="n">
        <v>874.6203333333334</v>
      </c>
      <c r="G66" s="6" t="n">
        <v>52477.22</v>
      </c>
      <c r="H66" s="17" t="n">
        <v>60</v>
      </c>
      <c r="I66" s="17" t="n">
        <v>88</v>
      </c>
      <c r="J66" s="5" t="n">
        <v>4.8</v>
      </c>
      <c r="K66" s="5" t="inlineStr">
        <is>
          <t>https://amazon.com/dp/B08PB6DHBS</t>
        </is>
      </c>
      <c r="L66" s="34">
        <f>HYPERLINK(K66)</f>
        <v/>
      </c>
    </row>
    <row r="67" ht="17" customHeight="1" s="290">
      <c r="A67" s="15" t="n">
        <v>10</v>
      </c>
      <c r="B67" s="16" t="inlineStr">
        <is>
          <t>B01DDKAF8K</t>
        </is>
      </c>
      <c r="C67" s="5" t="inlineStr">
        <is>
          <t>2026 Autel Scanner MaxiIM IM508S PRO: OBD2 Diagnostic Scan Tool, Full Bundle Pro Version, Enhanced All System Diagnose w/ 3000+ Active Test, 40+ Service, OS11.0, FCA SGW</t>
        </is>
      </c>
      <c r="D67" s="5" t="inlineStr">
        <is>
          <t>autel</t>
        </is>
      </c>
      <c r="E67" s="5" t="inlineStr">
        <is>
          <t>Tablet</t>
        </is>
      </c>
      <c r="F67" s="6" t="n">
        <v>1589.451212121212</v>
      </c>
      <c r="G67" s="6" t="n">
        <v>52451.89</v>
      </c>
      <c r="H67" s="17" t="n">
        <v>33</v>
      </c>
      <c r="I67" s="17" t="n">
        <v>91</v>
      </c>
      <c r="J67" s="5" t="n">
        <v>4.6</v>
      </c>
      <c r="K67" s="5" t="inlineStr">
        <is>
          <t>https://amazon.com/dp/B01DDKAF8K</t>
        </is>
      </c>
      <c r="L67" s="34">
        <f>HYPERLINK(K67)</f>
        <v/>
      </c>
    </row>
  </sheetData>
  <mergeCells count="4">
    <mergeCell ref="A3:M3"/>
    <mergeCell ref="A56:L56"/>
    <mergeCell ref="A1:M1"/>
    <mergeCell ref="A43:L43"/>
  </mergeCells>
  <conditionalFormatting sqref="C5:J10 L5:M10">
    <cfRule type="expression" priority="1" dxfId="30">
      <formula>C5&lt;0</formula>
    </cfRule>
  </conditionalFormatting>
  <conditionalFormatting sqref="C11:M11">
    <cfRule type="expression" priority="5" dxfId="30">
      <formula>C11&lt;0</formula>
    </cfRule>
  </conditionalFormatting>
  <pageMargins left="0.7" right="0.7" top="0.75" bottom="0.75" header="0.3" footer="0.3"/>
  <drawing xmlns:r="http://schemas.openxmlformats.org/officeDocument/2006/relationships" r:id="rId1"/>
  <tableParts count="2">
    <tablePart xmlns:r="http://schemas.openxmlformats.org/officeDocument/2006/relationships" r:id="rId2"/>
    <tablePart xmlns:r="http://schemas.openxmlformats.org/officeDocument/2006/relationships" r:id="rId3"/>
  </tableParts>
</worksheet>
</file>

<file path=xl/worksheets/sheet5.xml><?xml version="1.0" encoding="utf-8"?>
<worksheet xmlns="http://schemas.openxmlformats.org/spreadsheetml/2006/main">
  <sheetPr>
    <outlinePr summaryBelow="1" summaryRight="1"/>
    <pageSetUpPr/>
  </sheetPr>
  <dimension ref="A1:M67"/>
  <sheetViews>
    <sheetView workbookViewId="0">
      <selection activeCell="O52" sqref="O52"/>
    </sheetView>
  </sheetViews>
  <sheetFormatPr baseColWidth="10" defaultColWidth="11.1640625" defaultRowHeight="16"/>
  <cols>
    <col width="10.6640625" customWidth="1" style="290" min="1" max="1"/>
    <col width="12.1640625" customWidth="1" style="290" min="2" max="2"/>
    <col width="14.83203125" customWidth="1" style="290" min="3" max="3"/>
    <col width="12.6640625" customWidth="1" style="290" min="5" max="5"/>
    <col width="10.6640625" customWidth="1" style="290" min="6" max="6"/>
    <col width="21.1640625" bestFit="1" customWidth="1" style="290" min="7" max="8"/>
    <col width="12.83203125" bestFit="1" customWidth="1" style="290" min="9" max="9"/>
    <col width="12" bestFit="1" customWidth="1" style="290" min="10" max="10"/>
    <col hidden="1" width="28.1640625" customWidth="1" style="290" min="11" max="11"/>
    <col width="35.6640625" customWidth="1" style="290" min="12" max="12"/>
    <col width="15.33203125" customWidth="1" style="290" min="13" max="13"/>
  </cols>
  <sheetData>
    <row r="1" ht="26" customHeight="1" s="290">
      <c r="A1" s="289" t="inlineStr">
        <is>
          <t>Tablet $400-$800 Monthly Summary</t>
        </is>
      </c>
    </row>
    <row r="3" ht="21" customHeight="1" s="290">
      <c r="A3" s="292">
        <f>'Tablet Total'!A81</f>
        <v/>
      </c>
    </row>
    <row r="4" ht="32" customHeight="1" s="290">
      <c r="A4" s="80" t="n"/>
      <c r="B4" s="81" t="inlineStr">
        <is>
          <t>Avg Price</t>
        </is>
      </c>
      <c r="C4" s="81" t="inlineStr">
        <is>
          <t>Avg Price MoM</t>
        </is>
      </c>
      <c r="D4" s="82" t="inlineStr">
        <is>
          <t>Avg Price YoY</t>
        </is>
      </c>
      <c r="E4" s="81" t="inlineStr">
        <is>
          <t>Quantity/Mo</t>
        </is>
      </c>
      <c r="F4" s="84" t="inlineStr">
        <is>
          <t>Qty by %</t>
        </is>
      </c>
      <c r="G4" s="84" t="inlineStr">
        <is>
          <t>Qty MoM</t>
        </is>
      </c>
      <c r="H4" s="82" t="inlineStr">
        <is>
          <t>Qty YoY</t>
        </is>
      </c>
      <c r="I4" s="309" t="inlineStr">
        <is>
          <t>Revenue/Mo</t>
        </is>
      </c>
      <c r="J4" s="126" t="inlineStr">
        <is>
          <t>Revenue by %</t>
        </is>
      </c>
      <c r="K4" s="173" t="n"/>
      <c r="L4" s="126" t="inlineStr">
        <is>
          <t>Revenue MoM</t>
        </is>
      </c>
      <c r="M4" s="310" t="inlineStr">
        <is>
          <t>Revenue YoY</t>
        </is>
      </c>
    </row>
    <row r="5">
      <c r="A5" s="318" t="inlineStr">
        <is>
          <t>autel</t>
        </is>
      </c>
      <c r="B5" s="318" t="n">
        <v>540.0820794435292</v>
      </c>
      <c r="C5" s="137" t="n">
        <v>0.008942642021537495</v>
      </c>
      <c r="D5" s="135" t="n">
        <v>0.1004086071531582</v>
      </c>
      <c r="E5" s="136" t="n">
        <v>5463</v>
      </c>
      <c r="F5" s="137" t="n">
        <v>0.4168956043956044</v>
      </c>
      <c r="G5" s="137" t="n">
        <v>0.1078888663557087</v>
      </c>
      <c r="H5" s="135" t="n">
        <v>0.427115987460815</v>
      </c>
      <c r="I5" s="138" t="n">
        <v>2950468.4</v>
      </c>
      <c r="J5" s="139" t="n">
        <v>0.4136918769569734</v>
      </c>
      <c r="K5" s="184" t="n"/>
      <c r="L5" s="137" t="n">
        <v>0.1177963198871748</v>
      </c>
      <c r="M5" s="135" t="n">
        <v>0.5704107160077594</v>
      </c>
    </row>
    <row r="6">
      <c r="A6" s="140" t="inlineStr">
        <is>
          <t>topdon</t>
        </is>
      </c>
      <c r="B6" s="319" t="n">
        <v>585.9066179861645</v>
      </c>
      <c r="C6" s="144" t="n">
        <v>0.003745823903086087</v>
      </c>
      <c r="D6" s="142" t="n">
        <v>0.199081526726538</v>
      </c>
      <c r="E6" s="143" t="n">
        <v>1301</v>
      </c>
      <c r="F6" s="144" t="n">
        <v>0.09928266178266178</v>
      </c>
      <c r="G6" s="144" t="n">
        <v>0.05344129554655863</v>
      </c>
      <c r="H6" s="142" t="n">
        <v>-0.2214242968282466</v>
      </c>
      <c r="I6" s="145" t="n">
        <v>762264.51</v>
      </c>
      <c r="J6" s="146" t="n">
        <v>0.1068788385869808</v>
      </c>
      <c r="K6" s="185" t="n"/>
      <c r="L6" s="144" t="n">
        <v>0.05738730113191504</v>
      </c>
      <c r="M6" s="142" t="n">
        <v>-0.0664242571686261</v>
      </c>
    </row>
    <row r="7">
      <c r="A7" s="133" t="inlineStr">
        <is>
          <t>launch</t>
        </is>
      </c>
      <c r="B7" s="318" t="n">
        <v>542.1755302013422</v>
      </c>
      <c r="C7" s="137" t="n">
        <v>0.05258320414291462</v>
      </c>
      <c r="D7" s="135" t="n">
        <v>-0.0281814539984937</v>
      </c>
      <c r="E7" s="136" t="n">
        <v>1490</v>
      </c>
      <c r="F7" s="137" t="n">
        <v>0.1137057387057387</v>
      </c>
      <c r="G7" s="137" t="n">
        <v>0.09237536656891487</v>
      </c>
      <c r="H7" s="135" t="n">
        <v>0.1313591495823843</v>
      </c>
      <c r="I7" s="138" t="n">
        <v>807841.5399999999</v>
      </c>
      <c r="J7" s="139" t="n">
        <v>0.1132692975008347</v>
      </c>
      <c r="K7" s="184" t="n"/>
      <c r="L7" s="137" t="n">
        <v>0.1498159634698994</v>
      </c>
      <c r="M7" s="135" t="n">
        <v>0.09947580375265352</v>
      </c>
    </row>
    <row r="8">
      <c r="A8" s="140" t="inlineStr">
        <is>
          <t>xtool</t>
        </is>
      </c>
      <c r="B8" s="319" t="n">
        <v>478.1838258961229</v>
      </c>
      <c r="C8" s="144" t="n">
        <v>0.01293632064389327</v>
      </c>
      <c r="D8" s="142" t="n">
        <v>-0.1287530801986915</v>
      </c>
      <c r="E8" s="143" t="n">
        <v>1367</v>
      </c>
      <c r="F8" s="144" t="n">
        <v>0.1043192918192918</v>
      </c>
      <c r="G8" s="144" t="n">
        <v>0.008112094395280156</v>
      </c>
      <c r="H8" s="142" t="n">
        <v>0.8058124174372523</v>
      </c>
      <c r="I8" s="145" t="n">
        <v>653677.29</v>
      </c>
      <c r="J8" s="146" t="n">
        <v>0.09165357779268127</v>
      </c>
      <c r="K8" s="185" t="n"/>
      <c r="L8" s="144" t="n">
        <v>0.02115335569336452</v>
      </c>
      <c r="M8" s="142" t="n">
        <v>0.5733085064311609</v>
      </c>
    </row>
    <row r="9">
      <c r="A9" s="133" t="inlineStr">
        <is>
          <t>ancel</t>
        </is>
      </c>
      <c r="B9" s="318" t="n">
        <v>589.8677690972222</v>
      </c>
      <c r="C9" s="137" t="n">
        <v>0.0201182464928622</v>
      </c>
      <c r="D9" s="135" t="n">
        <v>0.1098418786875772</v>
      </c>
      <c r="E9" s="136" t="n">
        <v>1152</v>
      </c>
      <c r="F9" s="137" t="n">
        <v>0.08791208791208792</v>
      </c>
      <c r="G9" s="137" t="n">
        <v>0.09401709401709413</v>
      </c>
      <c r="H9" s="135" t="n">
        <v>4.565217391304348</v>
      </c>
      <c r="I9" s="138" t="n">
        <v>679527.67</v>
      </c>
      <c r="J9" s="139" t="n">
        <v>0.09527811829691138</v>
      </c>
      <c r="K9" s="184" t="n"/>
      <c r="L9" s="137" t="n">
        <v>0.1160267995819348</v>
      </c>
      <c r="M9" s="135" t="n">
        <v>5.176511324869995</v>
      </c>
    </row>
    <row r="10">
      <c r="A10" s="140" t="inlineStr">
        <is>
          <t>Other</t>
        </is>
      </c>
      <c r="B10" s="319" t="n">
        <v>548.3757786357786</v>
      </c>
      <c r="C10" s="144" t="n">
        <v>0.02556957329216636</v>
      </c>
      <c r="D10" s="142" t="n">
        <v>0.04215870675042455</v>
      </c>
      <c r="E10" s="143" t="n">
        <v>2331</v>
      </c>
      <c r="F10" s="144" t="n">
        <v>0.1778846153846154</v>
      </c>
      <c r="G10" s="144" t="n">
        <v>-0.03278008298755186</v>
      </c>
      <c r="H10" s="142" t="n">
        <v>0.9538977367979882</v>
      </c>
      <c r="I10" s="145" t="n">
        <v>1278263.94</v>
      </c>
      <c r="J10" s="146" t="n">
        <v>0.1792282908656185</v>
      </c>
      <c r="K10" s="185" t="n"/>
      <c r="L10" s="144" t="n">
        <v>-0.008048682429859011</v>
      </c>
      <c r="M10" s="142" t="n">
        <v>1.036271538503973</v>
      </c>
    </row>
    <row r="11">
      <c r="A11" s="86">
        <f>'Tablet Total'!A89</f>
        <v/>
      </c>
      <c r="B11" s="312">
        <f>'Tablet Total'!B89</f>
        <v/>
      </c>
      <c r="C11" s="119">
        <f>'Tablet Total'!C89</f>
        <v/>
      </c>
      <c r="D11" s="118">
        <f>'Tablet Total'!D89</f>
        <v/>
      </c>
      <c r="E11" s="100">
        <f>'Tablet Total'!E89</f>
        <v/>
      </c>
      <c r="F11" s="119">
        <f>'Tablet Total'!F89</f>
        <v/>
      </c>
      <c r="G11" s="119">
        <f>'Tablet Total'!G89</f>
        <v/>
      </c>
      <c r="H11" s="118">
        <f>'Tablet Total'!H89</f>
        <v/>
      </c>
      <c r="I11" s="85">
        <f>'Tablet Total'!I89</f>
        <v/>
      </c>
      <c r="J11" s="132">
        <f>'Tablet Total'!J89</f>
        <v/>
      </c>
      <c r="K11" s="175" t="n"/>
      <c r="L11" s="119">
        <f>'Tablet Total'!L89</f>
        <v/>
      </c>
      <c r="M11" s="118">
        <f>'Tablet Total'!M89</f>
        <v/>
      </c>
    </row>
    <row r="43" ht="26" customHeight="1" s="290">
      <c r="A43" s="289" t="inlineStr">
        <is>
          <t>Rank By Monthly Revenue - Mar '26 ONLY</t>
        </is>
      </c>
    </row>
    <row r="44">
      <c r="A44" s="62" t="inlineStr">
        <is>
          <t>Ranking</t>
        </is>
      </c>
      <c r="B44" s="63" t="inlineStr">
        <is>
          <t>ASIN</t>
        </is>
      </c>
      <c r="C44" s="63" t="inlineStr">
        <is>
          <t>Product Name</t>
        </is>
      </c>
      <c r="D44" s="63" t="inlineStr">
        <is>
          <t>Brand</t>
        </is>
      </c>
      <c r="E44" s="63" t="inlineStr">
        <is>
          <t>Type</t>
        </is>
      </c>
      <c r="F44" s="64" t="inlineStr">
        <is>
          <t>Price</t>
        </is>
      </c>
      <c r="G44" s="65" t="inlineStr">
        <is>
          <t>Est. Monthly Retail Rev</t>
        </is>
      </c>
      <c r="H44" s="66" t="inlineStr">
        <is>
          <t>Est. Monthly Units Sold</t>
        </is>
      </c>
      <c r="I44" s="67" t="inlineStr">
        <is>
          <t># of Reviews</t>
        </is>
      </c>
      <c r="J44" s="313" t="inlineStr">
        <is>
          <t>Avg. Rating</t>
        </is>
      </c>
      <c r="K44" s="313" t="inlineStr">
        <is>
          <t>Column2</t>
        </is>
      </c>
      <c r="L44" s="313" t="inlineStr">
        <is>
          <t>Link</t>
        </is>
      </c>
    </row>
    <row r="45" ht="17" customHeight="1" s="290">
      <c r="A45" s="15" t="n">
        <v>1</v>
      </c>
      <c r="B45" s="16" t="inlineStr">
        <is>
          <t>B0744B55QV</t>
        </is>
      </c>
      <c r="C45" s="5" t="inlineStr">
        <is>
          <t>Autel Scanner MaxiCOM MK808S: 2026 Bidirectional Tool as MX808S MK808BT Pro M808Z, Work as MaxiCheck MX900 MK900BT, 28+ Service, 3000+ Active Tests, All System OBD2 Diagnostics, OS 11, 10X Faster</t>
        </is>
      </c>
      <c r="D45" s="5" t="inlineStr">
        <is>
          <t>autel</t>
        </is>
      </c>
      <c r="E45" s="5" t="inlineStr">
        <is>
          <t>Tablet</t>
        </is>
      </c>
      <c r="F45" s="6" t="n">
        <v>455.0867040358744</v>
      </c>
      <c r="G45" s="6" t="n">
        <v>608906.01</v>
      </c>
      <c r="H45" s="17" t="n">
        <v>1338</v>
      </c>
      <c r="I45" s="17" t="n">
        <v>3847</v>
      </c>
      <c r="J45" s="5" t="n">
        <v>4.4</v>
      </c>
      <c r="K45" s="5" t="inlineStr">
        <is>
          <t>https://amazon.com/dp/B0744B55QV</t>
        </is>
      </c>
      <c r="L45" s="34">
        <f>HYPERLINK(K45)</f>
        <v/>
      </c>
    </row>
    <row r="46" ht="17" customHeight="1" s="290">
      <c r="A46" s="15" t="n">
        <v>2</v>
      </c>
      <c r="B46" s="16" t="inlineStr">
        <is>
          <t>B098PYB8XG</t>
        </is>
      </c>
      <c r="C46" s="5" t="inlineStr">
        <is>
          <t>Autel Scanner MaxiCOM MK900BT, 2026 MK900-BT V2.0 Bidirectional Diagnostic Tool, 8in Up of MK900 MX900 MK808S MK808BT MX808S MK808Z, 3000+ Active Tests, 40+ Service, CAN-FD&amp;DOIP, All System, FCA 11 OS</t>
        </is>
      </c>
      <c r="D46" s="5" t="inlineStr">
        <is>
          <t>autel</t>
        </is>
      </c>
      <c r="E46" s="5" t="inlineStr">
        <is>
          <t>Tablet</t>
        </is>
      </c>
      <c r="F46" s="6" t="n">
        <v>658.7687378640776</v>
      </c>
      <c r="G46" s="6" t="n">
        <v>542825.4399999999</v>
      </c>
      <c r="H46" s="17" t="n">
        <v>824</v>
      </c>
      <c r="I46" s="17" t="n">
        <v>708</v>
      </c>
      <c r="J46" s="5" t="n">
        <v>4.5</v>
      </c>
      <c r="K46" s="5" t="inlineStr">
        <is>
          <t>https://amazon.com/dp/B098PYB8XG</t>
        </is>
      </c>
      <c r="L46" s="34">
        <f>HYPERLINK(K46)</f>
        <v/>
      </c>
    </row>
    <row r="47" ht="17" customHeight="1" s="290">
      <c r="A47" s="15" t="n">
        <v>3</v>
      </c>
      <c r="B47" s="16" t="inlineStr">
        <is>
          <t>B0DTK24XKB</t>
        </is>
      </c>
      <c r="C47" s="5" t="inlineStr">
        <is>
          <t>MUCAR 892BT AI-Assisted Bidirectional Scan Tool, Full System OBD2 Scanner, Bi-Directional OBD2 Scanner Diagnostic Tool,ECU Coding, 35 Services, FCA Autoauth, CANFD and DOIP, Free Lifetime Upgrade</t>
        </is>
      </c>
      <c r="D47" s="5" t="inlineStr">
        <is>
          <t>mucar</t>
        </is>
      </c>
      <c r="E47" s="5" t="inlineStr">
        <is>
          <t>Tablet</t>
        </is>
      </c>
      <c r="F47" s="6" t="n">
        <v>644.8325789473685</v>
      </c>
      <c r="G47" s="6" t="n">
        <v>367554.57</v>
      </c>
      <c r="H47" s="17" t="n">
        <v>570</v>
      </c>
      <c r="I47" s="17" t="n">
        <v>394</v>
      </c>
      <c r="J47" s="5" t="n">
        <v>4.3</v>
      </c>
      <c r="K47" s="5" t="inlineStr">
        <is>
          <t>https://amazon.com/dp/B0DTK24XKB</t>
        </is>
      </c>
      <c r="L47" s="34">
        <f>HYPERLINK(K47)</f>
        <v/>
      </c>
    </row>
    <row r="48" ht="17" customHeight="1" s="290">
      <c r="A48" s="15" t="n">
        <v>4</v>
      </c>
      <c r="B48" s="16" t="inlineStr">
        <is>
          <t>B0GK9G6YDL</t>
        </is>
      </c>
      <c r="C48" s="5" t="inlineStr">
        <is>
          <t>TOPDON ONE Bidirectional Scan Tool, 10.1" OBD2 Scanner with J2534 Pass-Thru and ECU Coding, Over 50 Resets, Topology Mapping Car Diagnostic Tool for All Vehicles</t>
        </is>
      </c>
      <c r="D48" s="5" t="inlineStr">
        <is>
          <t>topdon</t>
        </is>
      </c>
      <c r="E48" s="5" t="inlineStr">
        <is>
          <t>Tablet</t>
        </is>
      </c>
      <c r="F48" s="6" t="n">
        <v>745.0893534482759</v>
      </c>
      <c r="G48" s="6" t="n">
        <v>345721.46</v>
      </c>
      <c r="H48" s="17" t="n">
        <v>464</v>
      </c>
      <c r="I48" s="17" t="n">
        <v>90</v>
      </c>
      <c r="J48" s="5" t="n">
        <v>4.7</v>
      </c>
      <c r="K48" s="5" t="inlineStr">
        <is>
          <t>https://amazon.com/dp/B0GK9G6YDL</t>
        </is>
      </c>
      <c r="L48" s="34">
        <f>HYPERLINK(K48)</f>
        <v/>
      </c>
    </row>
    <row r="49" ht="17" customHeight="1" s="290">
      <c r="A49" s="15" t="n">
        <v>5</v>
      </c>
      <c r="B49" s="16" t="inlineStr">
        <is>
          <t>B0DCFRF2TF</t>
        </is>
      </c>
      <c r="C49" s="5" t="inlineStr">
        <is>
          <t>THINKCAR Bidirectional Scan Tool, THINKSCAN 689BT All System Automotive Diagnostic Tool, Bi Directional OBD2 Scanner with ECU Coding, 34 Services, FCA Autoauth, CANFD and DoIP, Wireless Update</t>
        </is>
      </c>
      <c r="D49" s="5" t="inlineStr">
        <is>
          <t>thinkcar</t>
        </is>
      </c>
      <c r="E49" s="5" t="inlineStr">
        <is>
          <t>Tablet</t>
        </is>
      </c>
      <c r="F49" s="6" t="n">
        <v>536.3024100156495</v>
      </c>
      <c r="G49" s="6" t="n">
        <v>342697.24</v>
      </c>
      <c r="H49" s="17" t="n">
        <v>639</v>
      </c>
      <c r="I49" s="17" t="n">
        <v>574</v>
      </c>
      <c r="J49" s="5" t="n">
        <v>4.5</v>
      </c>
      <c r="K49" s="5" t="inlineStr">
        <is>
          <t>https://amazon.com/dp/B0DCFRF2TF</t>
        </is>
      </c>
      <c r="L49" s="34">
        <f>HYPERLINK(K49)</f>
        <v/>
      </c>
    </row>
    <row r="50" ht="17" customHeight="1" s="290">
      <c r="A50" s="15" t="n">
        <v>6</v>
      </c>
      <c r="B50" s="16" t="inlineStr">
        <is>
          <t>B0BZ82WQ4Q</t>
        </is>
      </c>
      <c r="C50" s="5" t="inlineStr">
        <is>
          <t>ANCEL X7HD 10'' Heavy Duty Truck Scanner, Semi Trucks Full System Diagnostic Tool, Bidirectional Diesel Scan Tool with DPF, ECU Coding, 40+ Reset for Cummins, Detroit, Caterpillar, Volvo, Paccar etc</t>
        </is>
      </c>
      <c r="D50" s="5" t="inlineStr">
        <is>
          <t>ancel</t>
        </is>
      </c>
      <c r="E50" s="5" t="inlineStr">
        <is>
          <t>Tablet</t>
        </is>
      </c>
      <c r="F50" s="6" t="n">
        <v>774.4419436619719</v>
      </c>
      <c r="G50" s="6" t="n">
        <v>274926.89</v>
      </c>
      <c r="H50" s="17" t="n">
        <v>355</v>
      </c>
      <c r="I50" s="17" t="n">
        <v>786</v>
      </c>
      <c r="J50" s="5" t="n">
        <v>3.8</v>
      </c>
      <c r="K50" s="5" t="inlineStr">
        <is>
          <t>https://amazon.com/dp/B0BZ82WQ4Q</t>
        </is>
      </c>
      <c r="L50" s="34">
        <f>HYPERLINK(K50)</f>
        <v/>
      </c>
    </row>
    <row r="51" ht="17" customHeight="1" s="290">
      <c r="A51" s="15" t="n">
        <v>7</v>
      </c>
      <c r="B51" s="16" t="inlineStr">
        <is>
          <t>B0BNKHCXVC</t>
        </is>
      </c>
      <c r="C51" s="5" t="inlineStr">
        <is>
          <t>TOPDON ArtiDiag Pro OBD2 Scanner Diagnostic Tool, Bidirectional Scan Tool with ECU Coding, 35+ Services, V.A.G Guided, FCA SGW, Can FD DoIP/All System Diagnosis</t>
        </is>
      </c>
      <c r="D51" s="5" t="inlineStr">
        <is>
          <t>topdon</t>
        </is>
      </c>
      <c r="E51" s="5" t="inlineStr">
        <is>
          <t>Tablet</t>
        </is>
      </c>
      <c r="F51" s="6" t="n">
        <v>429.9311553030303</v>
      </c>
      <c r="G51" s="6" t="n">
        <v>227003.65</v>
      </c>
      <c r="H51" s="17" t="n">
        <v>528</v>
      </c>
      <c r="I51" s="17" t="n">
        <v>774</v>
      </c>
      <c r="J51" s="5" t="n">
        <v>4.3</v>
      </c>
      <c r="K51" s="5" t="inlineStr">
        <is>
          <t>https://amazon.com/dp/B0BNKHCXVC</t>
        </is>
      </c>
      <c r="L51" s="34">
        <f>HYPERLINK(K51)</f>
        <v/>
      </c>
    </row>
    <row r="52" ht="17" customHeight="1" s="290">
      <c r="A52" s="15" t="n">
        <v>8</v>
      </c>
      <c r="B52" s="16" t="inlineStr">
        <is>
          <t>B08ML7T7KZ</t>
        </is>
      </c>
      <c r="C52" s="5" t="inlineStr">
        <is>
          <t>Autel Scanner MaxiCheck MX808S, 2026 US Ver. of MaxiCOM MK808S MK808Z, Bidirectional 3000+ Active Test 11OS as MK900 MK900BT MX900, 28+ Service, OE All Systems OBD2 Diagnostic Tool, FCA, 10X Faster</t>
        </is>
      </c>
      <c r="D52" s="5" t="inlineStr">
        <is>
          <t>autel</t>
        </is>
      </c>
      <c r="E52" s="5" t="inlineStr">
        <is>
          <t>Tablet</t>
        </is>
      </c>
      <c r="F52" s="6" t="n">
        <v>430.9935983263599</v>
      </c>
      <c r="G52" s="6" t="n">
        <v>206014.94</v>
      </c>
      <c r="H52" s="17" t="n">
        <v>478</v>
      </c>
      <c r="I52" s="17" t="n">
        <v>711</v>
      </c>
      <c r="J52" s="5" t="n">
        <v>4.7</v>
      </c>
      <c r="K52" s="5" t="inlineStr">
        <is>
          <t>https://amazon.com/dp/B08ML7T7KZ</t>
        </is>
      </c>
      <c r="L52" s="34">
        <f>HYPERLINK(K52)</f>
        <v/>
      </c>
    </row>
    <row r="53" ht="17" customHeight="1" s="290">
      <c r="A53" s="15" t="n">
        <v>9</v>
      </c>
      <c r="B53" s="16" t="inlineStr">
        <is>
          <t>B09712X5CW</t>
        </is>
      </c>
      <c r="C53" s="5" t="inlineStr">
        <is>
          <t>Autel Scanner MaxiCOM MK900BT, 2026 MK900-BT Bidirectional Diagnostic Scan Tool, 2.0 BT Ver. of MK900 MX900, 8in Up of MK808S MK808BT PRO MX808S MK808Z, 40+ Reset, 3K+ Active Tests, CAN FD &amp; DoIP, FCA</t>
        </is>
      </c>
      <c r="D53" s="5" t="inlineStr">
        <is>
          <t>autel</t>
        </is>
      </c>
      <c r="E53" s="5" t="inlineStr">
        <is>
          <t>Tablet</t>
        </is>
      </c>
      <c r="F53" s="6" t="n">
        <v>658.3624742268041</v>
      </c>
      <c r="G53" s="6" t="n">
        <v>191583.48</v>
      </c>
      <c r="H53" s="17" t="n">
        <v>291</v>
      </c>
      <c r="I53" s="17" t="n">
        <v>208</v>
      </c>
      <c r="J53" s="5" t="n">
        <v>4.6</v>
      </c>
      <c r="K53" s="5" t="inlineStr">
        <is>
          <t>https://amazon.com/dp/B09712X5CW</t>
        </is>
      </c>
      <c r="L53" s="34">
        <f>HYPERLINK(K53)</f>
        <v/>
      </c>
    </row>
    <row r="54" ht="17" customHeight="1" s="290">
      <c r="A54" s="15" t="n">
        <v>10</v>
      </c>
      <c r="B54" s="16" t="inlineStr">
        <is>
          <t>B098LF38DS</t>
        </is>
      </c>
      <c r="C54" s="5" t="inlineStr">
        <is>
          <t>XTOOL D7 Bidirectional Scan Tool: 2026 Ai-Assisted OBD2 Scanner Diagnostic Tool with 36+ Resets, Full System Car Scanner with EPB, Injector Test, Throttle, Crank Sensor Relearn, FCA, CANFD &amp; DoIP</t>
        </is>
      </c>
      <c r="D54" s="5" t="inlineStr">
        <is>
          <t>xtool</t>
        </is>
      </c>
      <c r="E54" s="5" t="inlineStr">
        <is>
          <t>Tablet</t>
        </is>
      </c>
      <c r="F54" s="6" t="n">
        <v>402.4123234624146</v>
      </c>
      <c r="G54" s="6" t="n">
        <v>176659.01</v>
      </c>
      <c r="H54" s="17" t="n">
        <v>439</v>
      </c>
      <c r="I54" s="17" t="n">
        <v>1648</v>
      </c>
      <c r="J54" s="5" t="n">
        <v>4.4</v>
      </c>
      <c r="K54" s="5" t="inlineStr">
        <is>
          <t>https://amazon.com/dp/B098LF38DS</t>
        </is>
      </c>
      <c r="L54" s="34">
        <f>HYPERLINK(K54)</f>
        <v/>
      </c>
    </row>
    <row r="56" ht="26" customHeight="1" s="290">
      <c r="A56" s="289" t="inlineStr">
        <is>
          <t>Rank By Monthly Units - Mar '26 ONLY</t>
        </is>
      </c>
    </row>
    <row r="57">
      <c r="A57" s="62" t="inlineStr">
        <is>
          <t>Ranking</t>
        </is>
      </c>
      <c r="B57" s="63" t="inlineStr">
        <is>
          <t>ASIN</t>
        </is>
      </c>
      <c r="C57" s="63" t="inlineStr">
        <is>
          <t>Product Name</t>
        </is>
      </c>
      <c r="D57" s="63" t="inlineStr">
        <is>
          <t>Brand</t>
        </is>
      </c>
      <c r="E57" s="63" t="inlineStr">
        <is>
          <t>Type</t>
        </is>
      </c>
      <c r="F57" s="64" t="inlineStr">
        <is>
          <t>Price</t>
        </is>
      </c>
      <c r="G57" s="65" t="inlineStr">
        <is>
          <t>Est. Monthly Retail Rev</t>
        </is>
      </c>
      <c r="H57" s="66" t="inlineStr">
        <is>
          <t>Est. Monthly Units Sold</t>
        </is>
      </c>
      <c r="I57" s="67" t="inlineStr">
        <is>
          <t># of Reviews</t>
        </is>
      </c>
      <c r="J57" s="313" t="inlineStr">
        <is>
          <t>Avg. Rating</t>
        </is>
      </c>
      <c r="K57" s="313" t="inlineStr">
        <is>
          <t>Column2</t>
        </is>
      </c>
      <c r="L57" s="313" t="inlineStr">
        <is>
          <t>Link</t>
        </is>
      </c>
    </row>
    <row r="58" ht="17" customHeight="1" s="290">
      <c r="A58" s="15" t="n">
        <v>1</v>
      </c>
      <c r="B58" s="16" t="inlineStr">
        <is>
          <t>B0744B55QV</t>
        </is>
      </c>
      <c r="C58" s="5" t="inlineStr">
        <is>
          <t>Autel Scanner MaxiCOM MK808S: 2026 Bidirectional Tool as MX808S MK808BT Pro M808Z, Work as MaxiCheck MX900 MK900BT, 28+ Service, 3000+ Active Tests, All System OBD2 Diagnostics, OS 11, 10X Faster</t>
        </is>
      </c>
      <c r="D58" s="5" t="inlineStr">
        <is>
          <t>autel</t>
        </is>
      </c>
      <c r="E58" s="5" t="inlineStr">
        <is>
          <t>Tablet</t>
        </is>
      </c>
      <c r="F58" s="6" t="n">
        <v>455.0867040358744</v>
      </c>
      <c r="G58" s="6" t="n">
        <v>608906.01</v>
      </c>
      <c r="H58" s="17" t="n">
        <v>1338</v>
      </c>
      <c r="I58" s="17" t="n">
        <v>3847</v>
      </c>
      <c r="J58" s="5" t="n">
        <v>4.4</v>
      </c>
      <c r="K58" s="5" t="inlineStr">
        <is>
          <t>https://amazon.com/dp/B0744B55QV</t>
        </is>
      </c>
      <c r="L58" s="34">
        <f>HYPERLINK(K58)</f>
        <v/>
      </c>
    </row>
    <row r="59" ht="17" customHeight="1" s="290">
      <c r="A59" s="15" t="n">
        <v>2</v>
      </c>
      <c r="B59" s="16" t="inlineStr">
        <is>
          <t>B098PYB8XG</t>
        </is>
      </c>
      <c r="C59" s="5" t="inlineStr">
        <is>
          <t>Autel Scanner MaxiCOM MK900BT, 2026 MK900-BT V2.0 Bidirectional Diagnostic Tool, 8in Up of MK900 MX900 MK808S MK808BT MX808S MK808Z, 3000+ Active Tests, 40+ Service, CAN-FD&amp;DOIP, All System, FCA 11 OS</t>
        </is>
      </c>
      <c r="D59" s="5" t="inlineStr">
        <is>
          <t>autel</t>
        </is>
      </c>
      <c r="E59" s="5" t="inlineStr">
        <is>
          <t>Tablet</t>
        </is>
      </c>
      <c r="F59" s="6" t="n">
        <v>658.7687378640776</v>
      </c>
      <c r="G59" s="6" t="n">
        <v>542825.4399999999</v>
      </c>
      <c r="H59" s="17" t="n">
        <v>824</v>
      </c>
      <c r="I59" s="17" t="n">
        <v>708</v>
      </c>
      <c r="J59" s="5" t="n">
        <v>4.5</v>
      </c>
      <c r="K59" s="5" t="inlineStr">
        <is>
          <t>https://amazon.com/dp/B098PYB8XG</t>
        </is>
      </c>
      <c r="L59" s="34">
        <f>HYPERLINK(K59)</f>
        <v/>
      </c>
    </row>
    <row r="60" ht="17" customHeight="1" s="290">
      <c r="A60" s="15" t="n"/>
      <c r="B60" s="16" t="n"/>
      <c r="C60" s="5" t="n"/>
      <c r="D60" s="5" t="n"/>
      <c r="E60" s="5" t="n"/>
      <c r="F60" s="6" t="n"/>
      <c r="G60" s="6" t="n"/>
      <c r="H60" s="17" t="n"/>
      <c r="I60" s="17" t="n"/>
      <c r="J60" s="5" t="n"/>
      <c r="K60" s="5" t="n"/>
      <c r="L60" s="34">
        <f>HYPERLINK(K60)</f>
        <v/>
      </c>
    </row>
    <row r="61" ht="17" customHeight="1" s="290">
      <c r="A61" s="15" t="n"/>
      <c r="B61" s="16" t="n"/>
      <c r="C61" s="5" t="n"/>
      <c r="D61" s="5" t="n"/>
      <c r="E61" s="5" t="n"/>
      <c r="F61" s="6" t="n"/>
      <c r="G61" s="6" t="n"/>
      <c r="H61" s="17" t="n"/>
      <c r="I61" s="17" t="n"/>
      <c r="J61" s="5" t="n"/>
      <c r="K61" s="5" t="n"/>
      <c r="L61" s="34">
        <f>HYPERLINK(K61)</f>
        <v/>
      </c>
    </row>
    <row r="62" ht="17" customHeight="1" s="290">
      <c r="A62" s="15" t="n"/>
      <c r="B62" s="16" t="n"/>
      <c r="C62" s="5" t="n"/>
      <c r="D62" s="5" t="n"/>
      <c r="E62" s="5" t="n"/>
      <c r="F62" s="6" t="n"/>
      <c r="G62" s="6" t="n"/>
      <c r="H62" s="17" t="n"/>
      <c r="I62" s="17" t="n"/>
      <c r="J62" s="5" t="n"/>
      <c r="K62" s="5" t="n"/>
      <c r="L62" s="34">
        <f>HYPERLINK(K62)</f>
        <v/>
      </c>
    </row>
    <row r="63" ht="17" customHeight="1" s="290">
      <c r="A63" s="15" t="n"/>
      <c r="B63" s="16" t="n"/>
      <c r="C63" s="5" t="n"/>
      <c r="D63" s="5" t="n"/>
      <c r="E63" s="5" t="n"/>
      <c r="F63" s="6" t="n"/>
      <c r="G63" s="6" t="n"/>
      <c r="H63" s="17" t="n"/>
      <c r="I63" s="17" t="n"/>
      <c r="J63" s="5" t="n"/>
      <c r="K63" s="5" t="n"/>
      <c r="L63" s="34">
        <f>HYPERLINK(K63)</f>
        <v/>
      </c>
    </row>
    <row r="64" ht="17" customHeight="1" s="290">
      <c r="A64" s="15" t="n"/>
      <c r="B64" s="16" t="n"/>
      <c r="C64" s="5" t="n"/>
      <c r="D64" s="5" t="n"/>
      <c r="E64" s="5" t="n"/>
      <c r="F64" s="6" t="n"/>
      <c r="G64" s="6" t="n"/>
      <c r="H64" s="17" t="n"/>
      <c r="I64" s="17" t="n"/>
      <c r="J64" s="5" t="n"/>
      <c r="K64" s="5" t="n"/>
      <c r="L64" s="34">
        <f>HYPERLINK(K64)</f>
        <v/>
      </c>
    </row>
    <row r="65" ht="17" customHeight="1" s="290">
      <c r="A65" s="15" t="n"/>
      <c r="B65" s="16" t="n"/>
      <c r="C65" s="5" t="n"/>
      <c r="D65" s="5" t="n"/>
      <c r="E65" s="5" t="n"/>
      <c r="F65" s="6" t="n"/>
      <c r="G65" s="6" t="n"/>
      <c r="H65" s="17" t="n"/>
      <c r="I65" s="17" t="n"/>
      <c r="J65" s="5" t="n"/>
      <c r="K65" s="5" t="n"/>
      <c r="L65" s="34">
        <f>HYPERLINK(K65)</f>
        <v/>
      </c>
    </row>
    <row r="66" ht="17" customHeight="1" s="290">
      <c r="A66" s="15" t="n"/>
      <c r="B66" s="16" t="n"/>
      <c r="C66" s="5" t="n"/>
      <c r="D66" s="5" t="n"/>
      <c r="E66" s="5" t="n"/>
      <c r="F66" s="6" t="n"/>
      <c r="G66" s="6" t="n"/>
      <c r="H66" s="17" t="n"/>
      <c r="I66" s="17" t="n"/>
      <c r="J66" s="5" t="n"/>
      <c r="K66" s="5" t="n"/>
      <c r="L66" s="34">
        <f>HYPERLINK(K66)</f>
        <v/>
      </c>
    </row>
    <row r="67" ht="17" customHeight="1" s="290">
      <c r="A67" s="15" t="n"/>
      <c r="B67" s="16" t="n"/>
      <c r="C67" s="5" t="n"/>
      <c r="D67" s="5" t="n"/>
      <c r="E67" s="5" t="n"/>
      <c r="F67" s="6" t="n"/>
      <c r="G67" s="6" t="n"/>
      <c r="H67" s="17" t="n"/>
      <c r="I67" s="17" t="n"/>
      <c r="J67" s="5" t="n"/>
      <c r="K67" s="5" t="n"/>
      <c r="L67" s="34">
        <f>HYPERLINK(K67)</f>
        <v/>
      </c>
    </row>
  </sheetData>
  <mergeCells count="4">
    <mergeCell ref="A3:M3"/>
    <mergeCell ref="A56:L56"/>
    <mergeCell ref="A1:M1"/>
    <mergeCell ref="A43:L43"/>
  </mergeCells>
  <conditionalFormatting sqref="C5:M11">
    <cfRule type="expression" priority="1" dxfId="30">
      <formula>C5&lt;0</formula>
    </cfRule>
  </conditionalFormatting>
  <pageMargins left="0.7" right="0.7" top="0.75" bottom="0.75" header="0.3" footer="0.3"/>
  <drawing xmlns:r="http://schemas.openxmlformats.org/officeDocument/2006/relationships" r:id="rId1"/>
  <tableParts count="2">
    <tablePart xmlns:r="http://schemas.openxmlformats.org/officeDocument/2006/relationships" r:id="rId2"/>
    <tablePart xmlns:r="http://schemas.openxmlformats.org/officeDocument/2006/relationships" r:id="rId3"/>
  </tableParts>
</worksheet>
</file>

<file path=xl/worksheets/sheet6.xml><?xml version="1.0" encoding="utf-8"?>
<worksheet xmlns="http://schemas.openxmlformats.org/spreadsheetml/2006/main">
  <sheetPr>
    <outlinePr summaryBelow="1" summaryRight="1"/>
    <pageSetUpPr/>
  </sheetPr>
  <dimension ref="A1:M68"/>
  <sheetViews>
    <sheetView workbookViewId="0">
      <selection activeCell="M15" sqref="M15"/>
    </sheetView>
  </sheetViews>
  <sheetFormatPr baseColWidth="10" defaultColWidth="11.1640625" defaultRowHeight="16"/>
  <cols>
    <col width="10.6640625" customWidth="1" style="290" min="1" max="1"/>
    <col width="12.1640625" customWidth="1" style="290" min="2" max="2"/>
    <col width="14.83203125" customWidth="1" style="290" min="3" max="3"/>
    <col width="12.6640625" customWidth="1" style="290" min="5" max="5"/>
    <col width="10.6640625" customWidth="1" style="290" min="6" max="6"/>
    <col width="21.1640625" bestFit="1" customWidth="1" style="290" min="7" max="8"/>
    <col width="12.83203125" bestFit="1" customWidth="1" style="290" min="9" max="9"/>
    <col width="12" bestFit="1" customWidth="1" style="290" min="10" max="10"/>
    <col hidden="1" width="27.83203125" customWidth="1" style="290" min="11" max="11"/>
    <col width="35.6640625" customWidth="1" style="290" min="12" max="12"/>
    <col width="15.33203125" customWidth="1" style="290" min="13" max="13"/>
  </cols>
  <sheetData>
    <row r="1" ht="26" customHeight="1" s="290">
      <c r="A1" s="289" t="inlineStr">
        <is>
          <t>Tablet $400- Monthly Summary</t>
        </is>
      </c>
    </row>
    <row r="3" ht="21" customHeight="1" s="290">
      <c r="A3" s="292">
        <f>'Tablet Total'!A91</f>
        <v/>
      </c>
    </row>
    <row r="4" ht="32" customHeight="1" s="290">
      <c r="A4" s="80" t="n"/>
      <c r="B4" s="81" t="inlineStr">
        <is>
          <t>Avg Price</t>
        </is>
      </c>
      <c r="C4" s="81" t="inlineStr">
        <is>
          <t>Avg Price MoM</t>
        </is>
      </c>
      <c r="D4" s="82" t="inlineStr">
        <is>
          <t>Avg Price YoY</t>
        </is>
      </c>
      <c r="E4" s="81" t="inlineStr">
        <is>
          <t>Quantity/Mo</t>
        </is>
      </c>
      <c r="F4" s="84" t="inlineStr">
        <is>
          <t>Qty by %</t>
        </is>
      </c>
      <c r="G4" s="84" t="inlineStr">
        <is>
          <t>Qty MoM</t>
        </is>
      </c>
      <c r="H4" s="82" t="inlineStr">
        <is>
          <t>Qty YoY</t>
        </is>
      </c>
      <c r="I4" s="309" t="inlineStr">
        <is>
          <t>Revenue/Mo</t>
        </is>
      </c>
      <c r="J4" s="126" t="inlineStr">
        <is>
          <t>Revenue by %</t>
        </is>
      </c>
      <c r="K4" s="173" t="n"/>
      <c r="L4" s="126" t="inlineStr">
        <is>
          <t>Revenue MoM</t>
        </is>
      </c>
      <c r="M4" s="310" t="inlineStr">
        <is>
          <t>Revenue YoY</t>
        </is>
      </c>
    </row>
    <row r="5">
      <c r="A5" s="318" t="inlineStr">
        <is>
          <t>topdon</t>
        </is>
      </c>
      <c r="B5" s="318" t="n">
        <v>240.295964017991</v>
      </c>
      <c r="C5" s="137" t="n">
        <v>0.008139735811845572</v>
      </c>
      <c r="D5" s="135" t="n">
        <v>0.2126730806088826</v>
      </c>
      <c r="E5" s="136" t="n">
        <v>6670</v>
      </c>
      <c r="F5" s="137" t="n">
        <v>0.2479646083497528</v>
      </c>
      <c r="G5" s="137" t="n">
        <v>-0.004180352343983285</v>
      </c>
      <c r="H5" s="135" t="n">
        <v>0.5683047260757113</v>
      </c>
      <c r="I5" s="138" t="n">
        <v>1602774.08</v>
      </c>
      <c r="J5" s="139" t="n">
        <v>0.2868829108843751</v>
      </c>
      <c r="K5" s="184" t="n"/>
      <c r="L5" s="137" t="n">
        <v>0.003925356504181687</v>
      </c>
      <c r="M5" s="135" t="n">
        <v>0.9018409235037024</v>
      </c>
    </row>
    <row r="6">
      <c r="A6" s="140" t="inlineStr">
        <is>
          <t>foxwell</t>
        </is>
      </c>
      <c r="B6" s="319" t="n">
        <v>187.334550804237</v>
      </c>
      <c r="C6" s="144" t="n">
        <v>-0.02818593854485396</v>
      </c>
      <c r="D6" s="142" t="n">
        <v>-0.0187959960534585</v>
      </c>
      <c r="E6" s="143" t="n">
        <v>5098</v>
      </c>
      <c r="F6" s="144" t="n">
        <v>0.189523774117997</v>
      </c>
      <c r="G6" s="144" t="n">
        <v>0.0153355905198167</v>
      </c>
      <c r="H6" s="142" t="n">
        <v>0.3526134253117539</v>
      </c>
      <c r="I6" s="145" t="n">
        <v>955031.54</v>
      </c>
      <c r="J6" s="146" t="n">
        <v>0.1709425124853451</v>
      </c>
      <c r="K6" s="185" t="n"/>
      <c r="L6" s="144" t="n">
        <v>-0.01328259603697779</v>
      </c>
      <c r="M6" s="142" t="n">
        <v>0.3271897087077391</v>
      </c>
    </row>
    <row r="7">
      <c r="A7" s="133" t="inlineStr">
        <is>
          <t>launch</t>
        </is>
      </c>
      <c r="B7" s="318" t="n">
        <v>179.9341824798545</v>
      </c>
      <c r="C7" s="137" t="n">
        <v>0.006396301024444773</v>
      </c>
      <c r="D7" s="135" t="n">
        <v>0.03461899718162664</v>
      </c>
      <c r="E7" s="136" t="n">
        <v>3847</v>
      </c>
      <c r="F7" s="137" t="n">
        <v>0.143016469013718</v>
      </c>
      <c r="G7" s="137" t="n">
        <v>-0.06376247262107571</v>
      </c>
      <c r="H7" s="135" t="n">
        <v>-0.03268795574553685</v>
      </c>
      <c r="I7" s="138" t="n">
        <v>692206.8</v>
      </c>
      <c r="J7" s="139" t="n">
        <v>0.1238991222755227</v>
      </c>
      <c r="K7" s="184" t="n"/>
      <c r="L7" s="137" t="n">
        <v>-0.05777401556557815</v>
      </c>
      <c r="M7" s="135" t="n">
        <v>0.0007994171882619305</v>
      </c>
    </row>
    <row r="8">
      <c r="A8" s="140" t="inlineStr">
        <is>
          <t>xtool</t>
        </is>
      </c>
      <c r="B8" s="319" t="n">
        <v>193.6809365426696</v>
      </c>
      <c r="C8" s="144" t="n">
        <v>-0.02183905307609768</v>
      </c>
      <c r="D8" s="142" t="n">
        <v>-0.07490250197003478</v>
      </c>
      <c r="E8" s="143" t="n">
        <v>2285</v>
      </c>
      <c r="F8" s="144" t="n">
        <v>0.08494739581397077</v>
      </c>
      <c r="G8" s="144" t="n">
        <v>0.1407888167748377</v>
      </c>
      <c r="H8" s="142" t="n">
        <v>0.8502024291497976</v>
      </c>
      <c r="I8" s="145" t="n">
        <v>442560.94</v>
      </c>
      <c r="J8" s="146" t="n">
        <v>0.07921463935261873</v>
      </c>
      <c r="K8" s="185" t="n"/>
      <c r="L8" s="144" t="n">
        <v>0.1158750692566735</v>
      </c>
      <c r="M8" s="142" t="n">
        <v>0.7116176380554418</v>
      </c>
    </row>
    <row r="9">
      <c r="A9" s="133" t="inlineStr">
        <is>
          <t>blcktec</t>
        </is>
      </c>
      <c r="B9" s="318" t="n">
        <v>189.17418997669</v>
      </c>
      <c r="C9" s="137" t="n">
        <v>-0.003751073686855455</v>
      </c>
      <c r="D9" s="135" t="n">
        <v>0.01219638019674996</v>
      </c>
      <c r="E9" s="136" t="n">
        <v>1716</v>
      </c>
      <c r="F9" s="137" t="n">
        <v>0.06379419309268003</v>
      </c>
      <c r="G9" s="137" t="n">
        <v>0.03249097472924189</v>
      </c>
      <c r="H9" s="135" t="n">
        <v>2.72234273318872</v>
      </c>
      <c r="I9" s="138" t="n">
        <v>324622.91</v>
      </c>
      <c r="J9" s="139" t="n">
        <v>0.05810473635844954</v>
      </c>
      <c r="K9" s="184" t="n"/>
      <c r="L9" s="137" t="n">
        <v>0.02861802500201915</v>
      </c>
      <c r="M9" s="135" t="n">
        <v>2.767741840385299</v>
      </c>
    </row>
    <row r="10">
      <c r="A10" s="133" t="inlineStr">
        <is>
          <t>innova</t>
        </is>
      </c>
      <c r="B10" s="318" t="n">
        <v>163.9359672131148</v>
      </c>
      <c r="C10" s="137" t="n">
        <v>0.07465106468302607</v>
      </c>
      <c r="D10" s="135" t="inlineStr">
        <is>
          <t>inf</t>
        </is>
      </c>
      <c r="E10" s="136" t="n">
        <v>305</v>
      </c>
      <c r="F10" s="137" t="n">
        <v>0.01133871147626306</v>
      </c>
      <c r="G10" s="137" t="n">
        <v>-0.6573033707865168</v>
      </c>
      <c r="H10" s="135" t="n">
        <v>6.261904761904762</v>
      </c>
      <c r="I10" s="138" t="n">
        <v>50000.47</v>
      </c>
      <c r="J10" s="139" t="n">
        <v>0.008949658319397622</v>
      </c>
      <c r="K10" s="184" t="n"/>
      <c r="L10" s="137" t="n">
        <v>-0.6317207025524461</v>
      </c>
      <c r="M10" s="135" t="inlineStr">
        <is>
          <t>inf</t>
        </is>
      </c>
    </row>
    <row r="11">
      <c r="A11" s="140" t="inlineStr">
        <is>
          <t>Other</t>
        </is>
      </c>
      <c r="B11" s="319" t="n">
        <v>217.7789108627113</v>
      </c>
      <c r="C11" s="144" t="n">
        <v>-0.05306924316067196</v>
      </c>
      <c r="D11" s="142" t="n">
        <v>-0.06318462934013747</v>
      </c>
      <c r="E11" s="143" t="n">
        <v>6978</v>
      </c>
      <c r="F11" s="144" t="n">
        <v>0.2594148481356184</v>
      </c>
      <c r="G11" s="144" t="n">
        <v>-0.03432050927207309</v>
      </c>
      <c r="H11" s="142" t="n">
        <v>0.5492895204262878</v>
      </c>
      <c r="I11" s="145" t="n">
        <v>1519661.24</v>
      </c>
      <c r="J11" s="146" t="n">
        <v>0.2720064203242911</v>
      </c>
      <c r="K11" s="185" t="n"/>
      <c r="L11" s="144" t="n">
        <v>-0.08556838898078722</v>
      </c>
      <c r="M11" s="142" t="n">
        <v>0.4513982363375935</v>
      </c>
    </row>
    <row r="12">
      <c r="A12" s="86">
        <f>'Tablet Total'!A100</f>
        <v/>
      </c>
      <c r="B12" s="312">
        <f>'Tablet Total'!B100</f>
        <v/>
      </c>
      <c r="C12" s="119">
        <f>'Tablet Total'!C100</f>
        <v/>
      </c>
      <c r="D12" s="118">
        <f>'Tablet Total'!D100</f>
        <v/>
      </c>
      <c r="E12" s="100">
        <f>'Tablet Total'!E100</f>
        <v/>
      </c>
      <c r="F12" s="119">
        <f>'Tablet Total'!F100</f>
        <v/>
      </c>
      <c r="G12" s="119">
        <f>'Tablet Total'!G100</f>
        <v/>
      </c>
      <c r="H12" s="118">
        <f>'Tablet Total'!H100</f>
        <v/>
      </c>
      <c r="I12" s="85">
        <f>'Tablet Total'!I100</f>
        <v/>
      </c>
      <c r="J12" s="132">
        <f>'Tablet Total'!J100</f>
        <v/>
      </c>
      <c r="K12" s="175" t="n"/>
      <c r="L12" s="119">
        <f>'Tablet Total'!L100</f>
        <v/>
      </c>
      <c r="M12" s="118">
        <f>'Tablet Total'!M100</f>
        <v/>
      </c>
    </row>
    <row r="44" ht="26" customHeight="1" s="290">
      <c r="A44" s="289" t="inlineStr">
        <is>
          <t>Rank By Monthly Revenue - Mar '26 ONLY</t>
        </is>
      </c>
    </row>
    <row r="45">
      <c r="A45" s="62" t="inlineStr">
        <is>
          <t>Ranking</t>
        </is>
      </c>
      <c r="B45" s="63" t="inlineStr">
        <is>
          <t>ASIN</t>
        </is>
      </c>
      <c r="C45" s="63" t="inlineStr">
        <is>
          <t>Product Name</t>
        </is>
      </c>
      <c r="D45" s="63" t="inlineStr">
        <is>
          <t>Brand</t>
        </is>
      </c>
      <c r="E45" s="63" t="inlineStr">
        <is>
          <t>Type</t>
        </is>
      </c>
      <c r="F45" s="64" t="inlineStr">
        <is>
          <t>Price</t>
        </is>
      </c>
      <c r="G45" s="65" t="inlineStr">
        <is>
          <t>Est. Monthly Retail Rev</t>
        </is>
      </c>
      <c r="H45" s="66" t="inlineStr">
        <is>
          <t>Est. Monthly Units Sold</t>
        </is>
      </c>
      <c r="I45" s="67" t="inlineStr">
        <is>
          <t># of Reviews</t>
        </is>
      </c>
      <c r="J45" s="313" t="inlineStr">
        <is>
          <t>Avg. Rating</t>
        </is>
      </c>
      <c r="K45" s="313" t="inlineStr">
        <is>
          <t>Column2</t>
        </is>
      </c>
      <c r="L45" s="313" t="inlineStr">
        <is>
          <t>Link</t>
        </is>
      </c>
    </row>
    <row r="46" ht="17" customHeight="1" s="290">
      <c r="A46" s="15" t="n">
        <v>1</v>
      </c>
      <c r="B46" s="16" t="inlineStr">
        <is>
          <t>B08PFJMTY3</t>
        </is>
      </c>
      <c r="C46" s="5" t="inlineStr">
        <is>
          <t>FOXWELL Car Scanner NT604 Elite OBD2 Scanner ABS SRS Transmission, Check Engine Code Reader for Cars and Trucks, Diagnostic Scan Tool with SRS Airbag, Automotive Diagnostic Tool with Live Data</t>
        </is>
      </c>
      <c r="D46" s="5" t="inlineStr">
        <is>
          <t>foxwell</t>
        </is>
      </c>
      <c r="E46" s="5" t="inlineStr">
        <is>
          <t>Tablet</t>
        </is>
      </c>
      <c r="F46" s="6" t="n">
        <v>151.7840725806452</v>
      </c>
      <c r="G46" s="6" t="n">
        <v>414066.95</v>
      </c>
      <c r="H46" s="17" t="n">
        <v>2728</v>
      </c>
      <c r="I46" s="17" t="n">
        <v>4855</v>
      </c>
      <c r="J46" s="5" t="n">
        <v>4.4</v>
      </c>
      <c r="K46" s="5" t="inlineStr">
        <is>
          <t>https://amazon.com/dp/B08PFJMTY3</t>
        </is>
      </c>
      <c r="L46" s="34">
        <f>HYPERLINK(K46)</f>
        <v/>
      </c>
    </row>
    <row r="47" ht="17" customHeight="1" s="290">
      <c r="A47" s="15" t="n">
        <v>2</v>
      </c>
      <c r="B47" s="16" t="inlineStr">
        <is>
          <t>B0C33Y285Y</t>
        </is>
      </c>
      <c r="C47" s="5" t="inlineStr">
        <is>
          <t>TOPDON Bidirectional Scan Tool, 2026 New ArtiDiag900 Lite Automotive Diagnostic Tool for Full System, Scanner for Car with Active Test, 8 Reset, Wireless OBD2 Scanner Diagnostic Tool for All Vehicles</t>
        </is>
      </c>
      <c r="D47" s="5" t="inlineStr">
        <is>
          <t>topdon</t>
        </is>
      </c>
      <c r="E47" s="5" t="inlineStr">
        <is>
          <t>Tablet</t>
        </is>
      </c>
      <c r="F47" s="6" t="n">
        <v>318.9840625</v>
      </c>
      <c r="G47" s="6" t="n">
        <v>367469.64</v>
      </c>
      <c r="H47" s="17" t="n">
        <v>1152</v>
      </c>
      <c r="I47" s="17" t="n">
        <v>1230</v>
      </c>
      <c r="J47" s="5" t="n">
        <v>4.3</v>
      </c>
      <c r="K47" s="5" t="inlineStr">
        <is>
          <t>https://amazon.com/dp/B0C33Y285Y</t>
        </is>
      </c>
      <c r="L47" s="34">
        <f>HYPERLINK(K47)</f>
        <v/>
      </c>
    </row>
    <row r="48" ht="17" customHeight="1" s="290">
      <c r="A48" s="15" t="n">
        <v>3</v>
      </c>
      <c r="B48" s="16" t="inlineStr">
        <is>
          <t>B0DV2N2FND</t>
        </is>
      </c>
      <c r="C48" s="5" t="inlineStr">
        <is>
          <t>BLCKTEC 460T OBD2 Scanner Car Code Reader Engine ABS SRS Transmission Diagnostic Tool, 12 Reset Services, Oil/TPMS/EPB/BMS/SAS/DPF/Throttle Reset, ABS Bleeding, Battery Test, Auto VIN, Free Update</t>
        </is>
      </c>
      <c r="D48" s="5" t="inlineStr">
        <is>
          <t>blcktec</t>
        </is>
      </c>
      <c r="E48" s="5" t="inlineStr">
        <is>
          <t>Tablet</t>
        </is>
      </c>
      <c r="F48" s="6" t="n">
        <v>189.17418997669</v>
      </c>
      <c r="G48" s="6" t="n">
        <v>324622.91</v>
      </c>
      <c r="H48" s="17" t="n">
        <v>1716</v>
      </c>
      <c r="I48" s="17" t="n">
        <v>608</v>
      </c>
      <c r="J48" s="5" t="n">
        <v>4.4</v>
      </c>
      <c r="K48" s="5" t="inlineStr">
        <is>
          <t>https://amazon.com/dp/B0DV2N2FND</t>
        </is>
      </c>
      <c r="L48" s="34">
        <f>HYPERLINK(K48)</f>
        <v/>
      </c>
    </row>
    <row r="49" ht="17" customHeight="1" s="290">
      <c r="A49" s="15" t="n">
        <v>4</v>
      </c>
      <c r="B49" s="16" t="inlineStr">
        <is>
          <t>B09KZTYD18</t>
        </is>
      </c>
      <c r="C49" s="5" t="inlineStr">
        <is>
          <t>OBD2 Scanner TOPDON AD600S Scan Tool, Code Reader, Diagnostics Scanner for ABS/SRS/AT/Engine, 9 Reset Services, Oil/Brake/BMS/SAS/DPF/TPMS/ETS Reset/ABS Bleeding/Injector Coding, Free Lifetime Upgrade</t>
        </is>
      </c>
      <c r="D49" s="5" t="inlineStr">
        <is>
          <t>topdon</t>
        </is>
      </c>
      <c r="E49" s="5" t="inlineStr">
        <is>
          <t>Tablet</t>
        </is>
      </c>
      <c r="F49" s="6" t="n">
        <v>194.0666122766123</v>
      </c>
      <c r="G49" s="6" t="n">
        <v>249763.73</v>
      </c>
      <c r="H49" s="17" t="n">
        <v>1287</v>
      </c>
      <c r="I49" s="17" t="n">
        <v>1836</v>
      </c>
      <c r="J49" s="5" t="n">
        <v>4.5</v>
      </c>
      <c r="K49" s="5" t="inlineStr">
        <is>
          <t>https://amazon.com/dp/B09KZTYD18</t>
        </is>
      </c>
      <c r="L49" s="34">
        <f>HYPERLINK(K49)</f>
        <v/>
      </c>
    </row>
    <row r="50" ht="17" customHeight="1" s="290">
      <c r="A50" s="15" t="n">
        <v>5</v>
      </c>
      <c r="B50" s="16" t="inlineStr">
        <is>
          <t>B08TR5PS5V</t>
        </is>
      </c>
      <c r="C50" s="5" t="inlineStr">
        <is>
          <t>TOPDON AD800BT 2 OBD2 Scanner, 2026 Bidirectional Scan Tool, Function as AD900 Lite AD Pro, All System Automotive Diagnostic Scanner, Active Test, 28+ Reset Service, FCA Autoauth, 2 Years Free Update</t>
        </is>
      </c>
      <c r="D50" s="5" t="inlineStr">
        <is>
          <t>topdon</t>
        </is>
      </c>
      <c r="E50" s="5" t="inlineStr">
        <is>
          <t>Tablet</t>
        </is>
      </c>
      <c r="F50" s="6" t="n">
        <v>330.3861891117479</v>
      </c>
      <c r="G50" s="6" t="n">
        <v>230609.56</v>
      </c>
      <c r="H50" s="17" t="n">
        <v>698</v>
      </c>
      <c r="I50" s="17" t="n">
        <v>828</v>
      </c>
      <c r="J50" s="5" t="n">
        <v>4.4</v>
      </c>
      <c r="K50" s="5" t="inlineStr">
        <is>
          <t>https://amazon.com/dp/B08TR5PS5V</t>
        </is>
      </c>
      <c r="L50" s="34">
        <f>HYPERLINK(K50)</f>
        <v/>
      </c>
    </row>
    <row r="51" ht="17" customHeight="1" s="290">
      <c r="A51" s="15" t="n">
        <v>6</v>
      </c>
      <c r="B51" s="16" t="inlineStr">
        <is>
          <t>B08TBRDH7W</t>
        </is>
      </c>
      <c r="C51" s="5" t="inlineStr">
        <is>
          <t>TOPDON Scanner AD800BT V2.0, Bidirectional Scan Tool, Full Systems Diagnostic Tool for All Vehicles, Automotive Diagnostic Scanner for Car, 28+ Services, FCA AutoAuth, CANFD, 2 Years Free Update</t>
        </is>
      </c>
      <c r="D51" s="5" t="inlineStr">
        <is>
          <t>topdon</t>
        </is>
      </c>
      <c r="E51" s="5" t="inlineStr">
        <is>
          <t>Tablet</t>
        </is>
      </c>
      <c r="F51" s="6" t="n">
        <v>321.1128621291449</v>
      </c>
      <c r="G51" s="6" t="n">
        <v>183997.67</v>
      </c>
      <c r="H51" s="17" t="n">
        <v>573</v>
      </c>
      <c r="I51" s="17" t="n">
        <v>664</v>
      </c>
      <c r="J51" s="5" t="n">
        <v>4.4</v>
      </c>
      <c r="K51" s="5" t="inlineStr">
        <is>
          <t>https://amazon.com/dp/B08TBRDH7W</t>
        </is>
      </c>
      <c r="L51" s="34">
        <f>HYPERLINK(K51)</f>
        <v/>
      </c>
    </row>
    <row r="52" ht="17" customHeight="1" s="290">
      <c r="A52" s="15" t="n">
        <v>7</v>
      </c>
      <c r="B52" s="16" t="inlineStr">
        <is>
          <t>B0CTHJW813</t>
        </is>
      </c>
      <c r="C52" s="5" t="inlineStr">
        <is>
          <t>TOPDON Upgraded AD600S OBD2 Scanner, Diagnostic Tool, ABS SRS Transmission Engine Code Reader, 9 Reset Services Scan Tool, Oil/Brake/BMS/SAS/DPF/TPMS/ETS Reset, Injector Coding, Lifetime Free Update</t>
        </is>
      </c>
      <c r="D52" s="5" t="inlineStr">
        <is>
          <t>topdon</t>
        </is>
      </c>
      <c r="E52" s="5" t="inlineStr">
        <is>
          <t>Tablet</t>
        </is>
      </c>
      <c r="F52" s="6" t="n">
        <v>196.5306924101198</v>
      </c>
      <c r="G52" s="6" t="n">
        <v>147594.55</v>
      </c>
      <c r="H52" s="17" t="n">
        <v>751</v>
      </c>
      <c r="I52" s="17" t="n">
        <v>876</v>
      </c>
      <c r="J52" s="5" t="n">
        <v>4.5</v>
      </c>
      <c r="K52" s="5" t="inlineStr">
        <is>
          <t>https://amazon.com/dp/B0CTHJW813</t>
        </is>
      </c>
      <c r="L52" s="34">
        <f>HYPERLINK(K52)</f>
        <v/>
      </c>
    </row>
    <row r="53" ht="17" customHeight="1" s="290">
      <c r="A53" s="15" t="n">
        <v>8</v>
      </c>
      <c r="B53" s="16" t="inlineStr">
        <is>
          <t>B08XK3DJ42</t>
        </is>
      </c>
      <c r="C53" s="5" t="inlineStr">
        <is>
          <t>TOPDON AD500 OBD2 Scanner, Oil SAS Throttle TPMS BMS EPB Reset, Engine ABS SRS Transmission, Diagnostic Scan Tool, AutoVIN, Car Check Engine Code Reader with Battery Test, Lifetime Wi-Fi Free Update</t>
        </is>
      </c>
      <c r="D53" s="5" t="inlineStr">
        <is>
          <t>topdon</t>
        </is>
      </c>
      <c r="E53" s="5" t="inlineStr">
        <is>
          <t>Tablet</t>
        </is>
      </c>
      <c r="F53" s="6" t="n">
        <v>158.4307592190889</v>
      </c>
      <c r="G53" s="6" t="n">
        <v>146073.16</v>
      </c>
      <c r="H53" s="17" t="n">
        <v>922</v>
      </c>
      <c r="I53" s="17" t="n">
        <v>1727</v>
      </c>
      <c r="J53" s="5" t="n">
        <v>4.5</v>
      </c>
      <c r="K53" s="5" t="inlineStr">
        <is>
          <t>https://amazon.com/dp/B08XK3DJ42</t>
        </is>
      </c>
      <c r="L53" s="34">
        <f>HYPERLINK(K53)</f>
        <v/>
      </c>
    </row>
    <row r="54" ht="17" customHeight="1" s="290">
      <c r="A54" s="15" t="n">
        <v>9</v>
      </c>
      <c r="B54" s="16" t="inlineStr">
        <is>
          <t>B08DCNDFVK</t>
        </is>
      </c>
      <c r="C54" s="5" t="inlineStr">
        <is>
          <t>2026 FOXWELL NT614 Elite OBD2 Scanner with 5 Resets ABS Bleeding, SAS Calibration, Oil, EPB, Throttle, Upgrade of NT604 Code Reader Scan Tools, ABS SRS Engine Transmission Battery Test Car Scanner</t>
        </is>
      </c>
      <c r="D54" s="5" t="inlineStr">
        <is>
          <t>foxwell</t>
        </is>
      </c>
      <c r="E54" s="5" t="inlineStr">
        <is>
          <t>Tablet</t>
        </is>
      </c>
      <c r="F54" s="6" t="n">
        <v>172.0034824667473</v>
      </c>
      <c r="G54" s="6" t="n">
        <v>142246.88</v>
      </c>
      <c r="H54" s="17" t="n">
        <v>827</v>
      </c>
      <c r="I54" s="17" t="n">
        <v>714</v>
      </c>
      <c r="J54" s="5" t="n">
        <v>4.3</v>
      </c>
      <c r="K54" s="5" t="inlineStr">
        <is>
          <t>https://amazon.com/dp/B08DCNDFVK</t>
        </is>
      </c>
      <c r="L54" s="34">
        <f>HYPERLINK(K54)</f>
        <v/>
      </c>
    </row>
    <row r="55" ht="17" customHeight="1" s="290">
      <c r="A55" s="15" t="n"/>
      <c r="B55" s="16" t="n"/>
      <c r="C55" s="5" t="n"/>
      <c r="D55" s="5" t="n"/>
      <c r="E55" s="5" t="n"/>
      <c r="F55" s="6" t="n"/>
      <c r="G55" s="6" t="n"/>
      <c r="H55" s="17" t="n"/>
      <c r="I55" s="17" t="n"/>
      <c r="J55" s="5" t="n"/>
      <c r="K55" s="5" t="n"/>
      <c r="L55" s="34">
        <f>HYPERLINK(K55)</f>
        <v/>
      </c>
    </row>
    <row r="57" ht="26" customHeight="1" s="290">
      <c r="A57" s="289" t="inlineStr">
        <is>
          <t>Rank By Monthly Units - Mar '26 ONLY</t>
        </is>
      </c>
    </row>
    <row r="58">
      <c r="A58" s="62" t="inlineStr">
        <is>
          <t>Ranking</t>
        </is>
      </c>
      <c r="B58" s="63" t="inlineStr">
        <is>
          <t>ASIN</t>
        </is>
      </c>
      <c r="C58" s="63" t="inlineStr">
        <is>
          <t>Product Name</t>
        </is>
      </c>
      <c r="D58" s="63" t="inlineStr">
        <is>
          <t>Brand</t>
        </is>
      </c>
      <c r="E58" s="63" t="inlineStr">
        <is>
          <t>Type</t>
        </is>
      </c>
      <c r="F58" s="64" t="inlineStr">
        <is>
          <t>Price</t>
        </is>
      </c>
      <c r="G58" s="65" t="inlineStr">
        <is>
          <t>Est. Monthly Retail Rev</t>
        </is>
      </c>
      <c r="H58" s="66" t="inlineStr">
        <is>
          <t>Est. Monthly Units Sold</t>
        </is>
      </c>
      <c r="I58" s="67" t="inlineStr">
        <is>
          <t># of Reviews</t>
        </is>
      </c>
      <c r="J58" s="313" t="inlineStr">
        <is>
          <t>Avg. Rating</t>
        </is>
      </c>
      <c r="K58" s="313" t="inlineStr">
        <is>
          <t>Column2</t>
        </is>
      </c>
      <c r="L58" s="313" t="inlineStr">
        <is>
          <t>Link</t>
        </is>
      </c>
    </row>
    <row r="59" ht="17" customHeight="1" s="290">
      <c r="A59" s="15" t="n">
        <v>1</v>
      </c>
      <c r="B59" s="16" t="inlineStr">
        <is>
          <t>B08PFJMTY3</t>
        </is>
      </c>
      <c r="C59" s="5" t="inlineStr">
        <is>
          <t>FOXWELL Car Scanner NT604 Elite OBD2 Scanner ABS SRS Transmission, Check Engine Code Reader for Cars and Trucks, Diagnostic Scan Tool with SRS Airbag, Automotive Diagnostic Tool with Live Data</t>
        </is>
      </c>
      <c r="D59" s="5" t="inlineStr">
        <is>
          <t>foxwell</t>
        </is>
      </c>
      <c r="E59" s="5" t="inlineStr">
        <is>
          <t>Tablet</t>
        </is>
      </c>
      <c r="F59" s="6" t="n">
        <v>151.7840725806452</v>
      </c>
      <c r="G59" s="6" t="n">
        <v>414066.95</v>
      </c>
      <c r="H59" s="17" t="n">
        <v>2728</v>
      </c>
      <c r="I59" s="17" t="n">
        <v>4855</v>
      </c>
      <c r="J59" s="5" t="n">
        <v>4.4</v>
      </c>
      <c r="K59" s="5" t="inlineStr">
        <is>
          <t>https://amazon.com/dp/B08PFJMTY3</t>
        </is>
      </c>
      <c r="L59" s="34">
        <f>HYPERLINK(K59)</f>
        <v/>
      </c>
    </row>
    <row r="60" ht="17" customHeight="1" s="290">
      <c r="A60" s="15" t="n">
        <v>2</v>
      </c>
      <c r="B60" s="16" t="inlineStr">
        <is>
          <t>B0DV2N2FND</t>
        </is>
      </c>
      <c r="C60" s="5" t="inlineStr">
        <is>
          <t>BLCKTEC 460T OBD2 Scanner Car Code Reader Engine ABS SRS Transmission Diagnostic Tool, 12 Reset Services, Oil/TPMS/EPB/BMS/SAS/DPF/Throttle Reset, ABS Bleeding, Battery Test, Auto VIN, Free Update</t>
        </is>
      </c>
      <c r="D60" s="5" t="inlineStr">
        <is>
          <t>blcktec</t>
        </is>
      </c>
      <c r="E60" s="5" t="inlineStr">
        <is>
          <t>Tablet</t>
        </is>
      </c>
      <c r="F60" s="6" t="n">
        <v>189.17418997669</v>
      </c>
      <c r="G60" s="6" t="n">
        <v>324622.91</v>
      </c>
      <c r="H60" s="17" t="n">
        <v>1716</v>
      </c>
      <c r="I60" s="17" t="n">
        <v>608</v>
      </c>
      <c r="J60" s="5" t="n">
        <v>4.4</v>
      </c>
      <c r="K60" s="5" t="inlineStr">
        <is>
          <t>https://amazon.com/dp/B0DV2N2FND</t>
        </is>
      </c>
      <c r="L60" s="34">
        <f>HYPERLINK(K60)</f>
        <v/>
      </c>
    </row>
    <row r="61" ht="17" customHeight="1" s="290">
      <c r="A61" s="15" t="n">
        <v>3</v>
      </c>
      <c r="B61" s="16" t="inlineStr">
        <is>
          <t>B09KZTYD18</t>
        </is>
      </c>
      <c r="C61" s="5" t="inlineStr">
        <is>
          <t>OBD2 Scanner TOPDON AD600S Scan Tool, Code Reader, Diagnostics Scanner for ABS/SRS/AT/Engine, 9 Reset Services, Oil/Brake/BMS/SAS/DPF/TPMS/ETS Reset/ABS Bleeding/Injector Coding, Free Lifetime Upgrade</t>
        </is>
      </c>
      <c r="D61" s="5" t="inlineStr">
        <is>
          <t>topdon</t>
        </is>
      </c>
      <c r="E61" s="5" t="inlineStr">
        <is>
          <t>Tablet</t>
        </is>
      </c>
      <c r="F61" s="6" t="n">
        <v>194.0666122766123</v>
      </c>
      <c r="G61" s="6" t="n">
        <v>249763.73</v>
      </c>
      <c r="H61" s="17" t="n">
        <v>1287</v>
      </c>
      <c r="I61" s="17" t="n">
        <v>1836</v>
      </c>
      <c r="J61" s="5" t="n">
        <v>4.5</v>
      </c>
      <c r="K61" s="5" t="inlineStr">
        <is>
          <t>https://amazon.com/dp/B09KZTYD18</t>
        </is>
      </c>
      <c r="L61" s="34">
        <f>HYPERLINK(K61)</f>
        <v/>
      </c>
    </row>
    <row r="62" ht="17" customHeight="1" s="290">
      <c r="A62" s="15" t="n">
        <v>4</v>
      </c>
      <c r="B62" s="16" t="inlineStr">
        <is>
          <t>B0C33Y285Y</t>
        </is>
      </c>
      <c r="C62" s="5" t="inlineStr">
        <is>
          <t>TOPDON Bidirectional Scan Tool, 2026 New ArtiDiag900 Lite Automotive Diagnostic Tool for Full System, Scanner for Car with Active Test, 8 Reset, Wireless OBD2 Scanner Diagnostic Tool for All Vehicles</t>
        </is>
      </c>
      <c r="D62" s="5" t="inlineStr">
        <is>
          <t>topdon</t>
        </is>
      </c>
      <c r="E62" s="5" t="inlineStr">
        <is>
          <t>Tablet</t>
        </is>
      </c>
      <c r="F62" s="6" t="n">
        <v>318.9840625</v>
      </c>
      <c r="G62" s="6" t="n">
        <v>367469.64</v>
      </c>
      <c r="H62" s="17" t="n">
        <v>1152</v>
      </c>
      <c r="I62" s="17" t="n">
        <v>1230</v>
      </c>
      <c r="J62" s="5" t="n">
        <v>4.3</v>
      </c>
      <c r="K62" s="5" t="inlineStr">
        <is>
          <t>https://amazon.com/dp/B0C33Y285Y</t>
        </is>
      </c>
      <c r="L62" s="34">
        <f>HYPERLINK(K62)</f>
        <v/>
      </c>
    </row>
    <row r="63" ht="17" customHeight="1" s="290">
      <c r="A63" s="15" t="n">
        <v>5</v>
      </c>
      <c r="B63" s="16" t="inlineStr">
        <is>
          <t>B08XK3DJ42</t>
        </is>
      </c>
      <c r="C63" s="5" t="inlineStr">
        <is>
          <t>TOPDON AD500 OBD2 Scanner, Oil SAS Throttle TPMS BMS EPB Reset, Engine ABS SRS Transmission, Diagnostic Scan Tool, AutoVIN, Car Check Engine Code Reader with Battery Test, Lifetime Wi-Fi Free Update</t>
        </is>
      </c>
      <c r="D63" s="5" t="inlineStr">
        <is>
          <t>topdon</t>
        </is>
      </c>
      <c r="E63" s="5" t="inlineStr">
        <is>
          <t>Tablet</t>
        </is>
      </c>
      <c r="F63" s="6" t="n">
        <v>158.4307592190889</v>
      </c>
      <c r="G63" s="6" t="n">
        <v>146073.16</v>
      </c>
      <c r="H63" s="17" t="n">
        <v>922</v>
      </c>
      <c r="I63" s="17" t="n">
        <v>1727</v>
      </c>
      <c r="J63" s="5" t="n">
        <v>4.5</v>
      </c>
      <c r="K63" s="5" t="inlineStr">
        <is>
          <t>https://amazon.com/dp/B08XK3DJ42</t>
        </is>
      </c>
      <c r="L63" s="34">
        <f>HYPERLINK(K63)</f>
        <v/>
      </c>
    </row>
    <row r="64" ht="17" customHeight="1" s="290">
      <c r="A64" s="15" t="n">
        <v>6</v>
      </c>
      <c r="B64" s="16" t="inlineStr">
        <is>
          <t>B08DCNDFVK</t>
        </is>
      </c>
      <c r="C64" s="5" t="inlineStr">
        <is>
          <t>2026 FOXWELL NT614 Elite OBD2 Scanner with 5 Resets ABS Bleeding, SAS Calibration, Oil, EPB, Throttle, Upgrade of NT604 Code Reader Scan Tools, ABS SRS Engine Transmission Battery Test Car Scanner</t>
        </is>
      </c>
      <c r="D64" s="5" t="inlineStr">
        <is>
          <t>foxwell</t>
        </is>
      </c>
      <c r="E64" s="5" t="inlineStr">
        <is>
          <t>Tablet</t>
        </is>
      </c>
      <c r="F64" s="6" t="n">
        <v>172.0034824667473</v>
      </c>
      <c r="G64" s="6" t="n">
        <v>142246.88</v>
      </c>
      <c r="H64" s="17" t="n">
        <v>827</v>
      </c>
      <c r="I64" s="17" t="n">
        <v>714</v>
      </c>
      <c r="J64" s="5" t="n">
        <v>4.3</v>
      </c>
      <c r="K64" s="5" t="inlineStr">
        <is>
          <t>https://amazon.com/dp/B08DCNDFVK</t>
        </is>
      </c>
      <c r="L64" s="34">
        <f>HYPERLINK(K64)</f>
        <v/>
      </c>
    </row>
    <row r="65" ht="17" customHeight="1" s="290">
      <c r="A65" s="15" t="n"/>
      <c r="B65" s="16" t="n"/>
      <c r="C65" s="5" t="n"/>
      <c r="D65" s="5" t="n"/>
      <c r="E65" s="5" t="n"/>
      <c r="F65" s="6" t="n"/>
      <c r="G65" s="6" t="n"/>
      <c r="H65" s="17" t="n"/>
      <c r="I65" s="17" t="n"/>
      <c r="J65" s="5" t="n"/>
      <c r="K65" s="5" t="n"/>
      <c r="L65" s="34">
        <f>HYPERLINK(K65)</f>
        <v/>
      </c>
    </row>
    <row r="66" ht="17" customHeight="1" s="290">
      <c r="A66" s="15" t="n"/>
      <c r="B66" s="16" t="n"/>
      <c r="C66" s="5" t="n"/>
      <c r="D66" s="5" t="n"/>
      <c r="E66" s="5" t="n"/>
      <c r="F66" s="6" t="n"/>
      <c r="G66" s="6" t="n"/>
      <c r="H66" s="17" t="n"/>
      <c r="I66" s="17" t="n"/>
      <c r="J66" s="5" t="n"/>
      <c r="K66" s="5" t="n"/>
      <c r="L66" s="34">
        <f>HYPERLINK(K66)</f>
        <v/>
      </c>
    </row>
    <row r="67" ht="17" customHeight="1" s="290">
      <c r="A67" s="15" t="n"/>
      <c r="B67" s="16" t="n"/>
      <c r="C67" s="5" t="n"/>
      <c r="D67" s="5" t="n"/>
      <c r="E67" s="5" t="n"/>
      <c r="F67" s="6" t="n"/>
      <c r="G67" s="6" t="n"/>
      <c r="H67" s="17" t="n"/>
      <c r="I67" s="17" t="n"/>
      <c r="J67" s="5" t="n"/>
      <c r="K67" s="5" t="n"/>
      <c r="L67" s="34">
        <f>HYPERLINK(K67)</f>
        <v/>
      </c>
    </row>
    <row r="68" ht="17" customHeight="1" s="290">
      <c r="A68" s="15" t="n"/>
      <c r="B68" s="16" t="n"/>
      <c r="C68" s="5" t="n"/>
      <c r="D68" s="5" t="n"/>
      <c r="E68" s="5" t="n"/>
      <c r="F68" s="6" t="n"/>
      <c r="G68" s="6" t="n"/>
      <c r="H68" s="17" t="n"/>
      <c r="I68" s="17" t="n"/>
      <c r="J68" s="5" t="n"/>
      <c r="K68" s="5" t="n"/>
      <c r="L68" s="34">
        <f>HYPERLINK(K68)</f>
        <v/>
      </c>
    </row>
  </sheetData>
  <mergeCells count="4">
    <mergeCell ref="A57:L57"/>
    <mergeCell ref="A44:L44"/>
    <mergeCell ref="A3:M3"/>
    <mergeCell ref="A1:M1"/>
  </mergeCells>
  <conditionalFormatting sqref="C5:M12">
    <cfRule type="expression" priority="1" dxfId="30">
      <formula>C5&lt;0</formula>
    </cfRule>
  </conditionalFormatting>
  <pageMargins left="0.7" right="0.7" top="0.75" bottom="0.75" header="0.3" footer="0.3"/>
  <drawing xmlns:r="http://schemas.openxmlformats.org/officeDocument/2006/relationships" r:id="rId1"/>
  <tableParts count="2">
    <tablePart xmlns:r="http://schemas.openxmlformats.org/officeDocument/2006/relationships" r:id="rId2"/>
    <tablePart xmlns:r="http://schemas.openxmlformats.org/officeDocument/2006/relationships" r:id="rId3"/>
  </tableParts>
</worksheet>
</file>

<file path=xl/worksheets/sheet7.xml><?xml version="1.0" encoding="utf-8"?>
<worksheet xmlns="http://schemas.openxmlformats.org/spreadsheetml/2006/main">
  <sheetPr>
    <outlinePr summaryBelow="1" summaryRight="1"/>
    <pageSetUpPr/>
  </sheetPr>
  <dimension ref="A1:M90"/>
  <sheetViews>
    <sheetView topLeftCell="A55" workbookViewId="0">
      <selection activeCell="A82" sqref="A82:M89"/>
    </sheetView>
  </sheetViews>
  <sheetFormatPr baseColWidth="10" defaultColWidth="11.1640625" defaultRowHeight="16"/>
  <cols>
    <col width="10.6640625" customWidth="1" style="290" min="1" max="1"/>
    <col width="12.1640625" customWidth="1" style="290" min="2" max="2"/>
    <col width="14.83203125" customWidth="1" style="290" min="3" max="3"/>
    <col width="12.6640625" customWidth="1" style="290" min="5" max="5"/>
    <col width="10.6640625" customWidth="1" style="290" min="6" max="6"/>
    <col width="21.1640625" bestFit="1" customWidth="1" style="290" min="7" max="8"/>
    <col width="12.83203125" bestFit="1" customWidth="1" style="290" min="9" max="9"/>
    <col width="12" bestFit="1" customWidth="1" style="290" min="10" max="10"/>
    <col hidden="1" width="27.5" customWidth="1" style="290" min="11" max="11"/>
    <col width="35.6640625" customWidth="1" style="290" min="12" max="12"/>
    <col width="15.33203125" customWidth="1" style="290" min="13" max="13"/>
  </cols>
  <sheetData>
    <row r="1" ht="26" customHeight="1" s="290">
      <c r="A1" s="289" t="inlineStr">
        <is>
          <t>Handheld Monthly Summary</t>
        </is>
      </c>
    </row>
    <row r="3" ht="21" customHeight="1" s="290">
      <c r="A3" s="294" t="inlineStr">
        <is>
          <t>Handheld Overall</t>
        </is>
      </c>
      <c r="B3" s="317" t="n"/>
      <c r="C3" s="317" t="n"/>
      <c r="D3" s="317" t="n"/>
      <c r="E3" s="317" t="n"/>
      <c r="F3" s="317" t="n"/>
      <c r="G3" s="317" t="n"/>
      <c r="H3" s="317" t="n"/>
      <c r="I3" s="317" t="n"/>
      <c r="J3" s="317" t="n"/>
      <c r="K3" s="317" t="n"/>
      <c r="L3" s="317" t="n"/>
      <c r="M3" s="317" t="n"/>
    </row>
    <row r="4" ht="32" customHeight="1" s="290">
      <c r="A4" s="80" t="n"/>
      <c r="B4" s="81" t="inlineStr">
        <is>
          <t>Avg Price</t>
        </is>
      </c>
      <c r="C4" s="81" t="inlineStr">
        <is>
          <t>Avg Price MoM</t>
        </is>
      </c>
      <c r="D4" s="82" t="inlineStr">
        <is>
          <t>Avg Price YoY</t>
        </is>
      </c>
      <c r="E4" s="81" t="inlineStr">
        <is>
          <t>Quantity/Mo</t>
        </is>
      </c>
      <c r="F4" s="84" t="inlineStr">
        <is>
          <t>Qty by %</t>
        </is>
      </c>
      <c r="G4" s="84" t="inlineStr">
        <is>
          <t>Qty MoM</t>
        </is>
      </c>
      <c r="H4" s="82" t="inlineStr">
        <is>
          <t>Qty YoY</t>
        </is>
      </c>
      <c r="I4" s="309" t="inlineStr">
        <is>
          <t>Revenue/Mo</t>
        </is>
      </c>
      <c r="J4" s="126" t="inlineStr">
        <is>
          <t>Revenue by %</t>
        </is>
      </c>
      <c r="K4" s="173" t="n"/>
      <c r="L4" s="126" t="inlineStr">
        <is>
          <t>Revenue MoM</t>
        </is>
      </c>
      <c r="M4" s="310" t="inlineStr">
        <is>
          <t>Revenue YoY</t>
        </is>
      </c>
    </row>
    <row r="5">
      <c r="A5" s="133" t="inlineStr">
        <is>
          <t>ancel</t>
        </is>
      </c>
      <c r="B5" s="318" t="n">
        <v>38.98713236648856</v>
      </c>
      <c r="C5" s="137" t="n">
        <v>0.0281333785795006</v>
      </c>
      <c r="D5" s="135" t="n">
        <v>0.1124526778991581</v>
      </c>
      <c r="E5" s="136" t="n">
        <v>37993</v>
      </c>
      <c r="F5" s="137" t="n">
        <v>0.306111267775853</v>
      </c>
      <c r="G5" s="137" t="n">
        <v>-0.2584561335024885</v>
      </c>
      <c r="H5" s="135" t="n">
        <v>-0.02479529762057553</v>
      </c>
      <c r="I5" s="138" t="n">
        <v>1481238.12</v>
      </c>
      <c r="J5" s="139" t="n">
        <v>0.2252677311919292</v>
      </c>
      <c r="L5" s="184" t="n">
        <v>-0.2375939991730074</v>
      </c>
      <c r="M5" s="184" t="n">
        <v>0.08486908266184257</v>
      </c>
    </row>
    <row r="6">
      <c r="A6" s="140" t="inlineStr">
        <is>
          <t>innova</t>
        </is>
      </c>
      <c r="B6" s="319" t="n">
        <v>189.0132362159025</v>
      </c>
      <c r="C6" s="144" t="n">
        <v>-0.09358179705983594</v>
      </c>
      <c r="D6" s="142" t="n">
        <v>-0.1250200345200905</v>
      </c>
      <c r="E6" s="143" t="n">
        <v>8615</v>
      </c>
      <c r="F6" s="144" t="n">
        <v>0.06941143294525239</v>
      </c>
      <c r="G6" s="144" t="n">
        <v>0.04550970873786397</v>
      </c>
      <c r="H6" s="142" t="n">
        <v>1.523432923257176</v>
      </c>
      <c r="I6" s="145" t="n">
        <v>1628349.03</v>
      </c>
      <c r="J6" s="146" t="n">
        <v>0.2476404614652226</v>
      </c>
      <c r="L6" s="185" t="n">
        <v>-0.05233096864933096</v>
      </c>
      <c r="M6" s="185" t="n">
        <v>1.207953252082431</v>
      </c>
    </row>
    <row r="7">
      <c r="A7" s="133" t="inlineStr">
        <is>
          <t>foxwell</t>
        </is>
      </c>
      <c r="B7" s="318" t="n">
        <v>91.57233614980589</v>
      </c>
      <c r="C7" s="137" t="n">
        <v>-0.01285467682148778</v>
      </c>
      <c r="D7" s="135" t="n">
        <v>0.2186058572574012</v>
      </c>
      <c r="E7" s="136" t="n">
        <v>8758</v>
      </c>
      <c r="F7" s="137" t="n">
        <v>0.07056359021874874</v>
      </c>
      <c r="G7" s="137" t="n">
        <v>-0.1679650389511685</v>
      </c>
      <c r="H7" s="135" t="n">
        <v>-0.1171370967741936</v>
      </c>
      <c r="I7" s="138" t="n">
        <v>801990.52</v>
      </c>
      <c r="J7" s="139" t="n">
        <v>0.121967280235696</v>
      </c>
      <c r="L7" s="184" t="n">
        <v>-0.1786605794796304</v>
      </c>
      <c r="M7" s="184" t="n">
        <v>0.07586190502624213</v>
      </c>
    </row>
    <row r="8">
      <c r="A8" s="140" t="inlineStr">
        <is>
          <t>autel</t>
        </is>
      </c>
      <c r="B8" s="319" t="n">
        <v>59.41157400824683</v>
      </c>
      <c r="C8" s="144" t="n">
        <v>0.08039695874129005</v>
      </c>
      <c r="D8" s="142" t="n">
        <v>0.2183085435957792</v>
      </c>
      <c r="E8" s="143" t="n">
        <v>7033</v>
      </c>
      <c r="F8" s="144" t="n">
        <v>0.05666518954195705</v>
      </c>
      <c r="G8" s="144" t="n">
        <v>0.01121495327102795</v>
      </c>
      <c r="H8" s="142" t="n">
        <v>-0.03206716212496563</v>
      </c>
      <c r="I8" s="145" t="n">
        <v>417841.6</v>
      </c>
      <c r="J8" s="146" t="n">
        <v>0.06354564330926456</v>
      </c>
      <c r="L8" s="185" t="n">
        <v>0.09251356014773449</v>
      </c>
      <c r="M8" s="185" t="n">
        <v>0.1792408460100627</v>
      </c>
    </row>
    <row r="9">
      <c r="A9" s="133" t="inlineStr">
        <is>
          <t>motopower</t>
        </is>
      </c>
      <c r="B9" s="318" t="n">
        <v>22.21258388529005</v>
      </c>
      <c r="C9" s="137" t="n">
        <v>0.005738048668846973</v>
      </c>
      <c r="D9" s="135" t="n">
        <v>0.002417960441487566</v>
      </c>
      <c r="E9" s="136" t="n">
        <v>13739</v>
      </c>
      <c r="F9" s="137" t="n">
        <v>0.1106957257382266</v>
      </c>
      <c r="G9" s="137" t="n">
        <v>0.1729702040467855</v>
      </c>
      <c r="H9" s="135" t="n">
        <v>0.2539016154056768</v>
      </c>
      <c r="I9" s="138" t="n">
        <v>305178.69</v>
      </c>
      <c r="J9" s="139" t="n">
        <v>0.04641178901365643</v>
      </c>
      <c r="L9" s="184" t="n">
        <v>0.1797007641647135</v>
      </c>
      <c r="M9" s="184" t="n">
        <v>0.2569334999092447</v>
      </c>
    </row>
    <row r="10">
      <c r="A10" s="140" t="inlineStr">
        <is>
          <t>blcktec</t>
        </is>
      </c>
      <c r="B10" s="319" t="n">
        <v>55.83773251345119</v>
      </c>
      <c r="C10" s="144" t="n">
        <v>-0.07218737045338086</v>
      </c>
      <c r="D10" s="142" t="n">
        <v>0.008815003084123862</v>
      </c>
      <c r="E10" s="143" t="n">
        <v>1301</v>
      </c>
      <c r="F10" s="144" t="n">
        <v>0.01048221407565564</v>
      </c>
      <c r="G10" s="144" t="n">
        <v>-0.120945945945946</v>
      </c>
      <c r="H10" s="142" t="n">
        <v>-0.4785571142284569</v>
      </c>
      <c r="I10" s="145" t="n">
        <v>72644.89</v>
      </c>
      <c r="J10" s="146" t="n">
        <v>0.01104788577341452</v>
      </c>
      <c r="L10" s="185" t="n">
        <v>-0.1844025465944923</v>
      </c>
      <c r="M10" s="185" t="n">
        <v>-0.4739605935821865</v>
      </c>
    </row>
    <row r="11">
      <c r="A11" s="133" t="inlineStr">
        <is>
          <t>Other</t>
        </is>
      </c>
      <c r="B11" s="318" t="n">
        <v>40.02514011483417</v>
      </c>
      <c r="C11" s="137" t="n">
        <v>0.03321290174915892</v>
      </c>
      <c r="D11" s="135" t="n">
        <v>0.01211610563066867</v>
      </c>
      <c r="E11" s="136" t="n">
        <v>46676</v>
      </c>
      <c r="F11" s="137" t="n">
        <v>0.3760433115271825</v>
      </c>
      <c r="G11" s="137" t="n">
        <v>0.02914847642986285</v>
      </c>
      <c r="H11" s="135" t="n">
        <v>0.1873219373219372</v>
      </c>
      <c r="I11" s="138" t="n">
        <v>1868213.44</v>
      </c>
      <c r="J11" s="139" t="n">
        <v>0.2841143424590553</v>
      </c>
      <c r="L11" s="184" t="n">
        <v>0.06332948366282443</v>
      </c>
      <c r="M11" s="184" t="n">
        <v>0.2017076553321402</v>
      </c>
    </row>
    <row r="12">
      <c r="A12" s="86" t="inlineStr">
        <is>
          <t>Total</t>
        </is>
      </c>
      <c r="B12" s="312" t="n">
        <v>52.97580580709613</v>
      </c>
      <c r="C12" s="119" t="n">
        <v>0.007531074306944774</v>
      </c>
      <c r="D12" s="118" t="n">
        <v>0.1581207959581552</v>
      </c>
      <c r="E12" s="100" t="n">
        <v>124124</v>
      </c>
      <c r="F12" s="119" t="n">
        <v>0.4264520961169785</v>
      </c>
      <c r="G12" s="119" t="n">
        <v>-0.08397600053135357</v>
      </c>
      <c r="H12" s="118" t="n">
        <v>0.1050138878997222</v>
      </c>
      <c r="I12" s="85" t="n">
        <v>6575568.92</v>
      </c>
      <c r="J12" s="132" t="n">
        <v>0.2026310108162535</v>
      </c>
      <c r="L12" s="175" t="n">
        <v>-0.07707735572441055</v>
      </c>
      <c r="M12" s="119" t="n">
        <v>0.2797395633992421</v>
      </c>
    </row>
    <row r="44" ht="26" customHeight="1" s="290">
      <c r="A44" s="289" t="inlineStr">
        <is>
          <t>Rank By Monthly Revenue - Mar '26 ONLY</t>
        </is>
      </c>
    </row>
    <row r="45">
      <c r="A45" s="62" t="inlineStr">
        <is>
          <t>Ranking</t>
        </is>
      </c>
      <c r="B45" s="63" t="inlineStr">
        <is>
          <t>ASIN</t>
        </is>
      </c>
      <c r="C45" s="63" t="inlineStr">
        <is>
          <t>Product Name</t>
        </is>
      </c>
      <c r="D45" s="63" t="inlineStr">
        <is>
          <t>Brand</t>
        </is>
      </c>
      <c r="E45" s="63" t="inlineStr">
        <is>
          <t>Type</t>
        </is>
      </c>
      <c r="F45" s="64" t="inlineStr">
        <is>
          <t>Price</t>
        </is>
      </c>
      <c r="G45" s="65" t="inlineStr">
        <is>
          <t>Est. Monthly Retail Rev</t>
        </is>
      </c>
      <c r="H45" s="66" t="inlineStr">
        <is>
          <t>Est. Monthly Units Sold</t>
        </is>
      </c>
      <c r="I45" s="67" t="inlineStr">
        <is>
          <t># of Reviews</t>
        </is>
      </c>
      <c r="J45" s="313" t="inlineStr">
        <is>
          <t>Avg. Rating</t>
        </is>
      </c>
      <c r="K45" s="313" t="inlineStr">
        <is>
          <t>Column2</t>
        </is>
      </c>
      <c r="L45" s="313" t="inlineStr">
        <is>
          <t>Link</t>
        </is>
      </c>
    </row>
    <row r="46" ht="17" customHeight="1" s="290">
      <c r="A46" s="15" t="n">
        <v>1</v>
      </c>
      <c r="B46" s="16" t="inlineStr">
        <is>
          <t>B07Z481NJM</t>
        </is>
      </c>
      <c r="C46" s="5" t="inlineStr">
        <is>
          <t>Innova 5610 OBD2 Bidirectional Scan Tool - Understand Your Vehicle, Pinpoint What's Wrong, and Complete Your Repairs with Less Headache, Updates Included, US-Based Technical Support</t>
        </is>
      </c>
      <c r="D46" s="5" t="inlineStr">
        <is>
          <t>innova</t>
        </is>
      </c>
      <c r="E46" s="5" t="inlineStr">
        <is>
          <t>Handheld</t>
        </is>
      </c>
      <c r="F46" s="6" t="n">
        <v>292.6118611449452</v>
      </c>
      <c r="G46" s="6" t="n">
        <v>1201171.69</v>
      </c>
      <c r="H46" s="17" t="n">
        <v>4105</v>
      </c>
      <c r="I46" s="17" t="n">
        <v>3435</v>
      </c>
      <c r="J46" s="5" t="n">
        <v>4.4</v>
      </c>
      <c r="K46" s="5" t="inlineStr">
        <is>
          <t>https://amazon.com/dp/B07Z481NJM</t>
        </is>
      </c>
      <c r="L46" s="34">
        <f>HYPERLINK(K46)</f>
        <v/>
      </c>
    </row>
    <row r="47" ht="17" customHeight="1" s="290">
      <c r="A47" s="15" t="n">
        <v>2</v>
      </c>
      <c r="B47" s="16" t="inlineStr">
        <is>
          <t>B01G5EA74I</t>
        </is>
      </c>
      <c r="C47" s="5" t="inlineStr">
        <is>
          <t>ANCEL AD310 Classic Enhanced Universal OBD II Scanner Car Engine Fault Code Reader CAN Diagnostic Scan Tool, Read and Clear Error Codes for 1996 or Newer OBD2 Protocol Vehicle (Black)</t>
        </is>
      </c>
      <c r="D47" s="5" t="inlineStr">
        <is>
          <t>ancel</t>
        </is>
      </c>
      <c r="E47" s="5" t="inlineStr">
        <is>
          <t>Handheld</t>
        </is>
      </c>
      <c r="F47" s="6" t="n">
        <v>28.93877341320998</v>
      </c>
      <c r="G47" s="6" t="n">
        <v>763231.21</v>
      </c>
      <c r="H47" s="17" t="n">
        <v>26374</v>
      </c>
      <c r="I47" s="17" t="n">
        <v>63860</v>
      </c>
      <c r="J47" s="5" t="n">
        <v>4.6</v>
      </c>
      <c r="K47" s="5" t="inlineStr">
        <is>
          <t>https://amazon.com/dp/B01G5EA74I</t>
        </is>
      </c>
      <c r="L47" s="34">
        <f>HYPERLINK(K47)</f>
        <v/>
      </c>
    </row>
    <row r="48" ht="17" customHeight="1" s="290">
      <c r="A48" s="15" t="n">
        <v>3</v>
      </c>
      <c r="B48" s="16" t="inlineStr">
        <is>
          <t>B00UJV3E12</t>
        </is>
      </c>
      <c r="C48" s="5" t="inlineStr">
        <is>
          <t>FOXWELL NT301 OBD2 Scanner Live Data Professional Mechanic OBDII Diagnostic Code Reader Tool for Check Engine Light</t>
        </is>
      </c>
      <c r="D48" s="5" t="inlineStr">
        <is>
          <t>foxwell</t>
        </is>
      </c>
      <c r="E48" s="5" t="inlineStr">
        <is>
          <t>Handheld</t>
        </is>
      </c>
      <c r="F48" s="6" t="n">
        <v>65.66388878793386</v>
      </c>
      <c r="G48" s="6" t="n">
        <v>361348.38</v>
      </c>
      <c r="H48" s="17" t="n">
        <v>5503</v>
      </c>
      <c r="I48" s="17" t="n">
        <v>29739</v>
      </c>
      <c r="J48" s="5" t="n">
        <v>4.5</v>
      </c>
      <c r="K48" s="5" t="inlineStr">
        <is>
          <t>https://amazon.com/dp/B00UJV3E12</t>
        </is>
      </c>
      <c r="L48" s="34">
        <f>HYPERLINK(K48)</f>
        <v/>
      </c>
    </row>
    <row r="49" ht="17" customHeight="1" s="290">
      <c r="A49" s="15" t="n">
        <v>4</v>
      </c>
      <c r="B49" s="16" t="inlineStr">
        <is>
          <t>B071FSNL73</t>
        </is>
      </c>
      <c r="C49" s="5" t="inlineStr">
        <is>
          <t>ANCEL AD410 Enhanced OBD2 Scanner, Vehicle Code Reader for Check Engine Light, Automotive OBD II Scanner Fault Diagnosis, OBDII Scan Tool for All OBDII Cars 1996+, Black/Yellow</t>
        </is>
      </c>
      <c r="D49" s="5" t="inlineStr">
        <is>
          <t>ancel</t>
        </is>
      </c>
      <c r="E49" s="5" t="inlineStr">
        <is>
          <t>Handheld</t>
        </is>
      </c>
      <c r="F49" s="6" t="n">
        <v>43.56900433622415</v>
      </c>
      <c r="G49" s="6" t="n">
        <v>261239.75</v>
      </c>
      <c r="H49" s="17" t="n">
        <v>5996</v>
      </c>
      <c r="I49" s="17" t="n">
        <v>15054</v>
      </c>
      <c r="J49" s="5" t="n">
        <v>4.5</v>
      </c>
      <c r="K49" s="5" t="inlineStr">
        <is>
          <t>https://amazon.com/dp/B071FSNL73</t>
        </is>
      </c>
      <c r="L49" s="34">
        <f>HYPERLINK(K49)</f>
        <v/>
      </c>
    </row>
    <row r="50" ht="17" customHeight="1" s="290">
      <c r="A50" s="15" t="n">
        <v>5</v>
      </c>
      <c r="B50" s="16" t="inlineStr">
        <is>
          <t>B07Z3HB7DR</t>
        </is>
      </c>
      <c r="C50" s="5" t="inlineStr">
        <is>
          <t>MOTOPOWER MP69033 Car OBD2 Scanner Code Reader Engine Fault Scanner CAN Diagnostic Scan Tool for All OBD II Protocol Cars Since 1996, Yellow</t>
        </is>
      </c>
      <c r="D50" s="5" t="inlineStr">
        <is>
          <t>motopower</t>
        </is>
      </c>
      <c r="E50" s="5" t="inlineStr">
        <is>
          <t>Handheld</t>
        </is>
      </c>
      <c r="F50" s="6" t="n">
        <v>20.86620090572252</v>
      </c>
      <c r="G50" s="6" t="n">
        <v>253420.01</v>
      </c>
      <c r="H50" s="17" t="n">
        <v>12145</v>
      </c>
      <c r="I50" s="17" t="n">
        <v>50750</v>
      </c>
      <c r="J50" s="5" t="n">
        <v>4.6</v>
      </c>
      <c r="K50" s="5" t="inlineStr">
        <is>
          <t>https://amazon.com/dp/B07Z3HB7DR</t>
        </is>
      </c>
      <c r="L50" s="34">
        <f>HYPERLINK(K50)</f>
        <v/>
      </c>
    </row>
    <row r="51" ht="17" customHeight="1" s="290">
      <c r="A51" s="15" t="n">
        <v>6</v>
      </c>
      <c r="B51" s="16" t="inlineStr">
        <is>
          <t>B07Z46L5FG</t>
        </is>
      </c>
      <c r="C51" s="5" t="inlineStr">
        <is>
          <t>Innova 5210 OBD2 Scanner &amp; Engine Code Reader, Battery Tester, Live Data, Oil Reset, Car Diagnostic Tool for Most Vehicles, Bluetooth Compatible with America's Top Car Repair App</t>
        </is>
      </c>
      <c r="D51" s="5" t="inlineStr">
        <is>
          <t>innova</t>
        </is>
      </c>
      <c r="E51" s="5" t="inlineStr">
        <is>
          <t>Handheld</t>
        </is>
      </c>
      <c r="F51" s="6" t="n">
        <v>87.48796262367168</v>
      </c>
      <c r="G51" s="6" t="n">
        <v>238754.65</v>
      </c>
      <c r="H51" s="17" t="n">
        <v>2729</v>
      </c>
      <c r="I51" s="17" t="n">
        <v>3977</v>
      </c>
      <c r="J51" s="5" t="n">
        <v>4.5</v>
      </c>
      <c r="K51" s="5" t="inlineStr">
        <is>
          <t>https://amazon.com/dp/B07Z46L5FG</t>
        </is>
      </c>
      <c r="L51" s="34">
        <f>HYPERLINK(K51)</f>
        <v/>
      </c>
    </row>
    <row r="52" ht="17" customHeight="1" s="290">
      <c r="A52" s="15" t="n"/>
      <c r="B52" s="16" t="n"/>
      <c r="C52" s="5" t="n"/>
      <c r="D52" s="5" t="n"/>
      <c r="E52" s="5" t="n"/>
      <c r="F52" s="6" t="n"/>
      <c r="G52" s="6" t="n"/>
      <c r="H52" s="17" t="n"/>
      <c r="I52" s="17" t="n"/>
      <c r="J52" s="5" t="n"/>
      <c r="K52" s="5" t="n"/>
      <c r="L52" s="34">
        <f>HYPERLINK(K52)</f>
        <v/>
      </c>
    </row>
    <row r="53" ht="17" customHeight="1" s="290">
      <c r="A53" s="15" t="n"/>
      <c r="B53" s="16" t="n"/>
      <c r="C53" s="5" t="n"/>
      <c r="D53" s="5" t="n"/>
      <c r="E53" s="5" t="n"/>
      <c r="F53" s="6" t="n"/>
      <c r="G53" s="6" t="n"/>
      <c r="H53" s="17" t="n"/>
      <c r="I53" s="17" t="n"/>
      <c r="J53" s="5" t="n"/>
      <c r="K53" s="5" t="n"/>
      <c r="L53" s="34">
        <f>HYPERLINK(K53)</f>
        <v/>
      </c>
    </row>
    <row r="54" ht="17" customHeight="1" s="290">
      <c r="A54" s="15" t="n"/>
      <c r="B54" s="16" t="n"/>
      <c r="C54" s="5" t="n"/>
      <c r="D54" s="5" t="n"/>
      <c r="E54" s="5" t="n"/>
      <c r="F54" s="6" t="n"/>
      <c r="G54" s="6" t="n"/>
      <c r="H54" s="17" t="n"/>
      <c r="I54" s="17" t="n"/>
      <c r="J54" s="5" t="n"/>
      <c r="K54" s="5" t="n"/>
      <c r="L54" s="34">
        <f>HYPERLINK(K54)</f>
        <v/>
      </c>
    </row>
    <row r="55" ht="17" customHeight="1" s="290">
      <c r="A55" s="15" t="n"/>
      <c r="B55" s="16" t="n"/>
      <c r="C55" s="5" t="n"/>
      <c r="D55" s="5" t="n"/>
      <c r="E55" s="5" t="n"/>
      <c r="F55" s="6" t="n"/>
      <c r="G55" s="6" t="n"/>
      <c r="H55" s="17" t="n"/>
      <c r="I55" s="17" t="n"/>
      <c r="J55" s="5" t="n"/>
      <c r="K55" s="5" t="n"/>
      <c r="L55" s="34">
        <f>HYPERLINK(K55)</f>
        <v/>
      </c>
    </row>
    <row r="57" ht="26" customHeight="1" s="290">
      <c r="A57" s="289" t="inlineStr">
        <is>
          <t>Rank By Monthly Units - Mar '26 ONLY</t>
        </is>
      </c>
    </row>
    <row r="58">
      <c r="A58" s="62" t="inlineStr">
        <is>
          <t>Ranking</t>
        </is>
      </c>
      <c r="B58" s="63" t="inlineStr">
        <is>
          <t>ASIN</t>
        </is>
      </c>
      <c r="C58" s="63" t="inlineStr">
        <is>
          <t>Product Name</t>
        </is>
      </c>
      <c r="D58" s="63" t="inlineStr">
        <is>
          <t>Brand</t>
        </is>
      </c>
      <c r="E58" s="63" t="inlineStr">
        <is>
          <t>Type</t>
        </is>
      </c>
      <c r="F58" s="64" t="inlineStr">
        <is>
          <t>Price</t>
        </is>
      </c>
      <c r="G58" s="65" t="inlineStr">
        <is>
          <t>Est. Monthly Retail Rev</t>
        </is>
      </c>
      <c r="H58" s="66" t="inlineStr">
        <is>
          <t>Est. Monthly Units Sold</t>
        </is>
      </c>
      <c r="I58" s="67" t="inlineStr">
        <is>
          <t># of Reviews</t>
        </is>
      </c>
      <c r="J58" s="313" t="inlineStr">
        <is>
          <t>Avg. Rating</t>
        </is>
      </c>
      <c r="K58" s="313" t="inlineStr">
        <is>
          <t>Column2</t>
        </is>
      </c>
      <c r="L58" s="313" t="inlineStr">
        <is>
          <t>Link</t>
        </is>
      </c>
    </row>
    <row r="59" ht="17" customHeight="1" s="290">
      <c r="A59" s="15" t="n">
        <v>1</v>
      </c>
      <c r="B59" s="16" t="inlineStr">
        <is>
          <t>B01G5EA74I</t>
        </is>
      </c>
      <c r="C59" s="5" t="inlineStr">
        <is>
          <t>ANCEL AD310 Classic Enhanced Universal OBD II Scanner Car Engine Fault Code Reader CAN Diagnostic Scan Tool, Read and Clear Error Codes for 1996 or Newer OBD2 Protocol Vehicle (Black)</t>
        </is>
      </c>
      <c r="D59" s="5" t="inlineStr">
        <is>
          <t>ancel</t>
        </is>
      </c>
      <c r="E59" s="5" t="inlineStr">
        <is>
          <t>Handheld</t>
        </is>
      </c>
      <c r="F59" s="6" t="n">
        <v>28.93877341320998</v>
      </c>
      <c r="G59" s="6" t="n">
        <v>763231.21</v>
      </c>
      <c r="H59" s="17" t="n">
        <v>26374</v>
      </c>
      <c r="I59" s="17" t="n">
        <v>63860</v>
      </c>
      <c r="J59" s="5" t="n">
        <v>4.6</v>
      </c>
      <c r="K59" s="5" t="inlineStr">
        <is>
          <t>https://amazon.com/dp/B01G5EA74I</t>
        </is>
      </c>
      <c r="L59" s="34">
        <f>HYPERLINK(K59)</f>
        <v/>
      </c>
    </row>
    <row r="60" ht="17" customHeight="1" s="290">
      <c r="A60" s="15" t="n">
        <v>2</v>
      </c>
      <c r="B60" s="16" t="inlineStr">
        <is>
          <t>B07Z3HB7DR</t>
        </is>
      </c>
      <c r="C60" s="5" t="inlineStr">
        <is>
          <t>MOTOPOWER MP69033 Car OBD2 Scanner Code Reader Engine Fault Scanner CAN Diagnostic Scan Tool for All OBD II Protocol Cars Since 1996, Yellow</t>
        </is>
      </c>
      <c r="D60" s="5" t="inlineStr">
        <is>
          <t>motopower</t>
        </is>
      </c>
      <c r="E60" s="5" t="inlineStr">
        <is>
          <t>Handheld</t>
        </is>
      </c>
      <c r="F60" s="6" t="n">
        <v>20.86620090572252</v>
      </c>
      <c r="G60" s="6" t="n">
        <v>253420.01</v>
      </c>
      <c r="H60" s="17" t="n">
        <v>12145</v>
      </c>
      <c r="I60" s="17" t="n">
        <v>50750</v>
      </c>
      <c r="J60" s="5" t="n">
        <v>4.6</v>
      </c>
      <c r="K60" s="5" t="inlineStr">
        <is>
          <t>https://amazon.com/dp/B07Z3HB7DR</t>
        </is>
      </c>
      <c r="L60" s="34">
        <f>HYPERLINK(K60)</f>
        <v/>
      </c>
    </row>
    <row r="61" ht="17" customHeight="1" s="290">
      <c r="A61" s="15" t="n">
        <v>3</v>
      </c>
      <c r="B61" s="16" t="inlineStr">
        <is>
          <t>B0BY1TS725</t>
        </is>
      </c>
      <c r="C61" s="5" t="inlineStr">
        <is>
          <t>VDIAGTOOL VD10 OBD2 Scanner Code Reader Car Diagnostic Tool Engine Fault Code Reader for Turn Off CEL with Freeze Frame/I/M Readiness for All OBDII Protocol Cars, OBD2 Scanner Diagnostic Tool</t>
        </is>
      </c>
      <c r="D61" s="5" t="inlineStr">
        <is>
          <t>vdiagtool</t>
        </is>
      </c>
      <c r="E61" s="5" t="inlineStr">
        <is>
          <t>Handheld</t>
        </is>
      </c>
      <c r="F61" s="6" t="n">
        <v>16.26340530242896</v>
      </c>
      <c r="G61" s="6" t="n">
        <v>102443.19</v>
      </c>
      <c r="H61" s="17" t="n">
        <v>6299</v>
      </c>
      <c r="I61" s="17" t="n">
        <v>2555</v>
      </c>
      <c r="J61" s="5" t="n">
        <v>4.6</v>
      </c>
      <c r="K61" s="5" t="inlineStr">
        <is>
          <t>https://amazon.com/dp/B0BY1TS725</t>
        </is>
      </c>
      <c r="L61" s="34">
        <f>HYPERLINK(K61)</f>
        <v/>
      </c>
    </row>
    <row r="62" ht="17" customHeight="1" s="290">
      <c r="A62" s="15" t="n">
        <v>4</v>
      </c>
      <c r="B62" s="16" t="inlineStr">
        <is>
          <t>B071FSNL73</t>
        </is>
      </c>
      <c r="C62" s="5" t="inlineStr">
        <is>
          <t>ANCEL AD410 Enhanced OBD2 Scanner, Vehicle Code Reader for Check Engine Light, Automotive OBD II Scanner Fault Diagnosis, OBDII Scan Tool for All OBDII Cars 1996+, Black/Yellow</t>
        </is>
      </c>
      <c r="D62" s="5" t="inlineStr">
        <is>
          <t>ancel</t>
        </is>
      </c>
      <c r="E62" s="5" t="inlineStr">
        <is>
          <t>Handheld</t>
        </is>
      </c>
      <c r="F62" s="6" t="n">
        <v>43.56900433622415</v>
      </c>
      <c r="G62" s="6" t="n">
        <v>261239.75</v>
      </c>
      <c r="H62" s="17" t="n">
        <v>5996</v>
      </c>
      <c r="I62" s="17" t="n">
        <v>15054</v>
      </c>
      <c r="J62" s="5" t="n">
        <v>4.5</v>
      </c>
      <c r="K62" s="5" t="inlineStr">
        <is>
          <t>https://amazon.com/dp/B071FSNL73</t>
        </is>
      </c>
      <c r="L62" s="34">
        <f>HYPERLINK(K62)</f>
        <v/>
      </c>
    </row>
    <row r="63" ht="17" customHeight="1" s="290">
      <c r="A63" s="15" t="n">
        <v>5</v>
      </c>
      <c r="B63" s="16" t="inlineStr">
        <is>
          <t>B00UJV3E12</t>
        </is>
      </c>
      <c r="C63" s="5" t="inlineStr">
        <is>
          <t>FOXWELL NT301 OBD2 Scanner Live Data Professional Mechanic OBDII Diagnostic Code Reader Tool for Check Engine Light</t>
        </is>
      </c>
      <c r="D63" s="5" t="inlineStr">
        <is>
          <t>foxwell</t>
        </is>
      </c>
      <c r="E63" s="5" t="inlineStr">
        <is>
          <t>Handheld</t>
        </is>
      </c>
      <c r="F63" s="6" t="n">
        <v>65.66388878793386</v>
      </c>
      <c r="G63" s="6" t="n">
        <v>361348.38</v>
      </c>
      <c r="H63" s="17" t="n">
        <v>5503</v>
      </c>
      <c r="I63" s="17" t="n">
        <v>29739</v>
      </c>
      <c r="J63" s="5" t="n">
        <v>4.5</v>
      </c>
      <c r="K63" s="5" t="inlineStr">
        <is>
          <t>https://amazon.com/dp/B00UJV3E12</t>
        </is>
      </c>
      <c r="L63" s="34">
        <f>HYPERLINK(K63)</f>
        <v/>
      </c>
    </row>
    <row r="64" ht="17" customHeight="1" s="290">
      <c r="A64" s="15" t="n">
        <v>6</v>
      </c>
      <c r="B64" s="16" t="inlineStr">
        <is>
          <t>B07Z481NJM</t>
        </is>
      </c>
      <c r="C64" s="5" t="inlineStr">
        <is>
          <t>Innova 5610 OBD2 Bidirectional Scan Tool - Understand Your Vehicle, Pinpoint What's Wrong, and Complete Your Repairs with Less Headache, Updates Included, US-Based Technical Support</t>
        </is>
      </c>
      <c r="D64" s="5" t="inlineStr">
        <is>
          <t>innova</t>
        </is>
      </c>
      <c r="E64" s="5" t="inlineStr">
        <is>
          <t>Handheld</t>
        </is>
      </c>
      <c r="F64" s="6" t="n">
        <v>292.6118611449452</v>
      </c>
      <c r="G64" s="6" t="n">
        <v>1201171.69</v>
      </c>
      <c r="H64" s="17" t="n">
        <v>4105</v>
      </c>
      <c r="I64" s="17" t="n">
        <v>3435</v>
      </c>
      <c r="J64" s="5" t="n">
        <v>4.4</v>
      </c>
      <c r="K64" s="5" t="inlineStr">
        <is>
          <t>https://amazon.com/dp/B07Z481NJM</t>
        </is>
      </c>
      <c r="L64" s="34">
        <f>HYPERLINK(K64)</f>
        <v/>
      </c>
    </row>
    <row r="65" ht="17" customHeight="1" s="290">
      <c r="A65" s="15" t="n">
        <v>7</v>
      </c>
      <c r="B65" s="16" t="inlineStr">
        <is>
          <t>B07Z46L5FG</t>
        </is>
      </c>
      <c r="C65" s="5" t="inlineStr">
        <is>
          <t>Innova 5210 OBD2 Scanner &amp; Engine Code Reader, Battery Tester, Live Data, Oil Reset, Car Diagnostic Tool for Most Vehicles, Bluetooth Compatible with America's Top Car Repair App</t>
        </is>
      </c>
      <c r="D65" s="5" t="inlineStr">
        <is>
          <t>innova</t>
        </is>
      </c>
      <c r="E65" s="5" t="inlineStr">
        <is>
          <t>Handheld</t>
        </is>
      </c>
      <c r="F65" s="6" t="n">
        <v>87.48796262367168</v>
      </c>
      <c r="G65" s="6" t="n">
        <v>238754.65</v>
      </c>
      <c r="H65" s="17" t="n">
        <v>2729</v>
      </c>
      <c r="I65" s="17" t="n">
        <v>3977</v>
      </c>
      <c r="J65" s="5" t="n">
        <v>4.5</v>
      </c>
      <c r="K65" s="5" t="inlineStr">
        <is>
          <t>https://amazon.com/dp/B07Z46L5FG</t>
        </is>
      </c>
      <c r="L65" s="34">
        <f>HYPERLINK(K65)</f>
        <v/>
      </c>
    </row>
    <row r="66" ht="17" customHeight="1" s="290">
      <c r="A66" s="15" t="n">
        <v>8</v>
      </c>
      <c r="B66" s="16" t="inlineStr">
        <is>
          <t>B007XE8C74</t>
        </is>
      </c>
      <c r="C66" s="5" t="inlineStr">
        <is>
          <t>Autel Professional OBD2 Scanner AL319 Code Reader, Enhanced Check and Reset Engine Fault Code, Live Data, Freeze Frame, CAN Car Diagnostic Scan Tools for All OBDII Vehicles After 1996, 2026 Upgraded</t>
        </is>
      </c>
      <c r="D66" s="5" t="inlineStr">
        <is>
          <t>autel</t>
        </is>
      </c>
      <c r="E66" s="5" t="inlineStr">
        <is>
          <t>Handheld</t>
        </is>
      </c>
      <c r="F66" s="6" t="n">
        <v>33.92090459901178</v>
      </c>
      <c r="G66" s="6" t="n">
        <v>89245.89999999999</v>
      </c>
      <c r="H66" s="17" t="n">
        <v>2631</v>
      </c>
      <c r="I66" s="17" t="n">
        <v>25897</v>
      </c>
      <c r="J66" s="5" t="n">
        <v>4.6</v>
      </c>
      <c r="K66" s="5" t="inlineStr">
        <is>
          <t>https://amazon.com/dp/B007XE8C74</t>
        </is>
      </c>
      <c r="L66" s="34">
        <f>HYPERLINK(K66)</f>
        <v/>
      </c>
    </row>
    <row r="67" ht="17" customHeight="1" s="290">
      <c r="A67" s="15" t="n">
        <v>9</v>
      </c>
      <c r="B67" s="16" t="inlineStr">
        <is>
          <t>B0D4YZG7Q6</t>
        </is>
      </c>
      <c r="C67" s="5" t="inlineStr">
        <is>
          <t>OBD2 Scanner, CGSULIT SC103 Car Code Reader Diagnose Check Engine Light Smog Check DTCs Scan Tool Live Data Stream Voltage Test for Vehicles Since 1996</t>
        </is>
      </c>
      <c r="D67" s="5" t="inlineStr">
        <is>
          <t>cgsulit</t>
        </is>
      </c>
      <c r="E67" s="5" t="inlineStr">
        <is>
          <t>Handheld</t>
        </is>
      </c>
      <c r="F67" s="6" t="n">
        <v>17.38283636363636</v>
      </c>
      <c r="G67" s="6" t="n">
        <v>23901.4</v>
      </c>
      <c r="H67" s="17" t="n">
        <v>1375</v>
      </c>
      <c r="I67" s="17" t="n">
        <v>1084</v>
      </c>
      <c r="J67" s="5" t="n">
        <v>4.5</v>
      </c>
      <c r="K67" s="5" t="inlineStr">
        <is>
          <t>https://amazon.com/dp/B0D4YZG7Q6</t>
        </is>
      </c>
      <c r="L67" s="34">
        <f>HYPERLINK(K67)</f>
        <v/>
      </c>
    </row>
    <row r="68" ht="17" customHeight="1" s="290">
      <c r="A68" s="15" t="n">
        <v>10</v>
      </c>
      <c r="B68" s="16" t="inlineStr">
        <is>
          <t>B0C2V3RYLY</t>
        </is>
      </c>
      <c r="C68" s="5" t="inlineStr">
        <is>
          <t>ZMOON ZM201 Professional OBD2 Scanner Diagnostic Tool, Enhanced Check Engine Code Reader with Reset OBDII/EOBD Car Diagnostic Scan Tools for All Vehicles After 1996, 2026 Upgraded</t>
        </is>
      </c>
      <c r="D68" s="5" t="inlineStr">
        <is>
          <t>zmoon</t>
        </is>
      </c>
      <c r="E68" s="5" t="inlineStr">
        <is>
          <t>Handheld</t>
        </is>
      </c>
      <c r="F68" s="6" t="n">
        <v>36.46699530516432</v>
      </c>
      <c r="G68" s="6" t="n">
        <v>46604.82</v>
      </c>
      <c r="H68" s="17" t="n">
        <v>1278</v>
      </c>
      <c r="I68" s="17" t="n">
        <v>2716</v>
      </c>
      <c r="J68" s="5" t="n">
        <v>4.5</v>
      </c>
      <c r="K68" s="5" t="inlineStr">
        <is>
          <t>https://amazon.com/dp/B0C2V3RYLY</t>
        </is>
      </c>
      <c r="L68" s="34">
        <f>HYPERLINK(K68)</f>
        <v/>
      </c>
    </row>
    <row r="70" ht="21" customHeight="1" s="290">
      <c r="A70" s="292" t="n"/>
    </row>
    <row r="71" ht="32" customHeight="1" s="290">
      <c r="A71" s="80" t="n"/>
      <c r="B71" s="81" t="n"/>
      <c r="C71" s="81" t="n"/>
      <c r="D71" s="82" t="n"/>
      <c r="E71" s="81" t="n"/>
      <c r="F71" s="84" t="n"/>
      <c r="G71" s="84" t="n"/>
      <c r="H71" s="82" t="n"/>
      <c r="I71" s="309" t="n"/>
      <c r="J71" s="126" t="n"/>
      <c r="K71" s="173" t="n"/>
      <c r="L71" s="126" t="inlineStr">
        <is>
          <t>Revenue MoM</t>
        </is>
      </c>
      <c r="M71" s="310" t="inlineStr">
        <is>
          <t>Revenue YoY</t>
        </is>
      </c>
    </row>
    <row r="72">
      <c r="A72" s="133" t="n"/>
      <c r="B72" s="318" t="n"/>
      <c r="C72" s="137" t="n"/>
      <c r="D72" s="135" t="n"/>
      <c r="E72" s="136" t="n"/>
      <c r="F72" s="137" t="n"/>
      <c r="G72" s="137" t="n"/>
      <c r="H72" s="135" t="n"/>
      <c r="I72" s="138" t="n"/>
      <c r="J72" s="139" t="n"/>
      <c r="L72" s="184" t="n">
        <v>-0.06555470639133598</v>
      </c>
      <c r="M72" s="184" t="n">
        <v>1.198523108027214</v>
      </c>
    </row>
    <row r="73">
      <c r="A73" s="140" t="n"/>
      <c r="B73" s="319" t="n"/>
      <c r="C73" s="144" t="n"/>
      <c r="D73" s="142" t="n"/>
      <c r="E73" s="143" t="n"/>
      <c r="F73" s="144" t="n"/>
      <c r="G73" s="144" t="n"/>
      <c r="H73" s="142" t="n"/>
      <c r="I73" s="145" t="n"/>
      <c r="J73" s="146" t="n"/>
      <c r="L73" s="185" t="n">
        <v>-0.1842395299933375</v>
      </c>
      <c r="M73" s="185" t="n">
        <v>0.4335389587939349</v>
      </c>
    </row>
    <row r="74">
      <c r="A74" s="133" t="n"/>
      <c r="B74" s="318" t="n"/>
      <c r="C74" s="137" t="n"/>
      <c r="D74" s="135" t="n"/>
      <c r="E74" s="136" t="n"/>
      <c r="F74" s="137" t="n"/>
      <c r="G74" s="137" t="n"/>
      <c r="H74" s="135" t="n"/>
      <c r="I74" s="138" t="n"/>
      <c r="J74" s="139" t="n"/>
      <c r="L74" s="184" t="n">
        <v>-0.2452773774359926</v>
      </c>
      <c r="M74" s="184" t="n">
        <v>-0.2234286848376354</v>
      </c>
    </row>
    <row r="75">
      <c r="A75" s="140" t="n"/>
      <c r="B75" s="319" t="n"/>
      <c r="C75" s="144" t="n"/>
      <c r="D75" s="142" t="n"/>
      <c r="E75" s="143" t="n"/>
      <c r="F75" s="144" t="n"/>
      <c r="G75" s="144" t="n"/>
      <c r="H75" s="142" t="n"/>
      <c r="I75" s="145" t="n"/>
      <c r="J75" s="146" t="n"/>
      <c r="L75" s="185" t="n">
        <v>0.2177218215925361</v>
      </c>
      <c r="M75" s="185" t="n">
        <v>0.4237058259394686</v>
      </c>
    </row>
    <row r="76">
      <c r="A76" s="133" t="n"/>
      <c r="B76" s="318" t="n"/>
      <c r="C76" s="137" t="n"/>
      <c r="D76" s="135" t="n"/>
      <c r="E76" s="136" t="n"/>
      <c r="F76" s="137" t="n"/>
      <c r="G76" s="137" t="n"/>
      <c r="H76" s="135" t="n"/>
      <c r="I76" s="138" t="n"/>
      <c r="J76" s="139" t="n"/>
      <c r="L76" s="184" t="n">
        <v>-0.00157873815558407</v>
      </c>
      <c r="M76" s="184" t="n">
        <v>-0.02388181187821237</v>
      </c>
    </row>
    <row r="77">
      <c r="A77" s="133" t="n"/>
      <c r="B77" s="318" t="n"/>
      <c r="C77" s="137" t="n"/>
      <c r="D77" s="135" t="n"/>
      <c r="E77" s="136" t="n"/>
      <c r="F77" s="137" t="n"/>
      <c r="G77" s="137" t="n"/>
      <c r="H77" s="135" t="n"/>
      <c r="I77" s="138" t="n"/>
      <c r="J77" s="139" t="n"/>
      <c r="L77" s="184" t="n">
        <v>0.08813232983286423</v>
      </c>
      <c r="M77" s="184" t="n">
        <v>0.4724214936411424</v>
      </c>
    </row>
    <row r="78">
      <c r="A78" s="86" t="inlineStr">
        <is>
          <t>Total</t>
        </is>
      </c>
      <c r="B78" s="312">
        <f>Summary!B8</f>
        <v/>
      </c>
      <c r="C78" s="119">
        <f>Summary!C8</f>
        <v/>
      </c>
      <c r="D78" s="118">
        <f>Summary!D8</f>
        <v/>
      </c>
      <c r="E78" s="100">
        <f>Summary!E8</f>
        <v/>
      </c>
      <c r="F78" s="119">
        <f>SUM(F72:F77)</f>
        <v/>
      </c>
      <c r="G78" s="119">
        <f>Summary!G8</f>
        <v/>
      </c>
      <c r="H78" s="118">
        <f>Summary!H8</f>
        <v/>
      </c>
      <c r="I78" s="85">
        <f>Summary!I8</f>
        <v/>
      </c>
      <c r="J78" s="132">
        <f>SUM(J72:J77)</f>
        <v/>
      </c>
      <c r="K78" s="175" t="n"/>
      <c r="L78" s="119">
        <f>Summary!K8</f>
        <v/>
      </c>
      <c r="M78" s="118">
        <f>Summary!L8</f>
        <v/>
      </c>
    </row>
    <row r="80" ht="21" customHeight="1" s="290">
      <c r="A80" s="294" t="inlineStr">
        <is>
          <t>Handheld $75-</t>
        </is>
      </c>
      <c r="B80" s="317" t="n"/>
      <c r="C80" s="317" t="n"/>
      <c r="D80" s="317" t="n"/>
      <c r="E80" s="317" t="n"/>
      <c r="F80" s="317" t="n"/>
      <c r="G80" s="317" t="n"/>
      <c r="H80" s="317" t="n"/>
      <c r="I80" s="317" t="n"/>
      <c r="J80" s="317" t="n"/>
      <c r="K80" s="317" t="n"/>
      <c r="L80" s="317" t="n"/>
      <c r="M80" s="317" t="n"/>
    </row>
    <row r="81" ht="32" customHeight="1" s="290">
      <c r="A81" s="80" t="n"/>
      <c r="B81" s="81" t="inlineStr">
        <is>
          <t>Avg Price</t>
        </is>
      </c>
      <c r="C81" s="81" t="inlineStr">
        <is>
          <t>Avg Price MoM</t>
        </is>
      </c>
      <c r="D81" s="82" t="inlineStr">
        <is>
          <t>Avg Price YoY</t>
        </is>
      </c>
      <c r="E81" s="81" t="inlineStr">
        <is>
          <t>Quantity/Mo</t>
        </is>
      </c>
      <c r="F81" s="84" t="inlineStr">
        <is>
          <t>Qty by %</t>
        </is>
      </c>
      <c r="G81" s="84" t="inlineStr">
        <is>
          <t>Qty MoM</t>
        </is>
      </c>
      <c r="H81" s="82" t="inlineStr">
        <is>
          <t>Qty YoY</t>
        </is>
      </c>
      <c r="I81" s="309" t="inlineStr">
        <is>
          <t>Revenue/Mo</t>
        </is>
      </c>
      <c r="J81" s="126" t="inlineStr">
        <is>
          <t>Revenue by %</t>
        </is>
      </c>
      <c r="K81" s="173" t="n"/>
      <c r="L81" s="126" t="inlineStr">
        <is>
          <t>Revenue MoM</t>
        </is>
      </c>
      <c r="M81" s="310" t="inlineStr">
        <is>
          <t>Revenue YoY</t>
        </is>
      </c>
    </row>
    <row r="82">
      <c r="A82" s="133" t="inlineStr">
        <is>
          <t>ancel</t>
        </is>
      </c>
      <c r="B82" s="318" t="n">
        <v>34.71804229006791</v>
      </c>
      <c r="C82" s="137" t="n">
        <v>0.03347315711318832</v>
      </c>
      <c r="D82" s="135" t="n">
        <v>0.1860486867252631</v>
      </c>
      <c r="E82" s="136" t="n">
        <v>36226</v>
      </c>
      <c r="F82" s="137" t="n">
        <v>0.3444027190188715</v>
      </c>
      <c r="G82" s="137" t="n">
        <v>-0.2609502825550319</v>
      </c>
      <c r="H82" s="135" t="n">
        <v>-0.01586525400706329</v>
      </c>
      <c r="I82" s="138" t="n">
        <v>1257695.8</v>
      </c>
      <c r="J82" s="139" t="n">
        <v>0.3890280798015591</v>
      </c>
      <c r="L82" s="184" t="n">
        <v>-0.236211955248539</v>
      </c>
      <c r="M82" s="184" t="n">
        <v>0.1672317230456231</v>
      </c>
    </row>
    <row r="83">
      <c r="A83" s="140" t="inlineStr">
        <is>
          <t>foxwell</t>
        </is>
      </c>
      <c r="B83" s="319" t="n">
        <v>63.75368938510248</v>
      </c>
      <c r="C83" s="144" t="n">
        <v>-0.01249128692337065</v>
      </c>
      <c r="D83" s="142" t="n">
        <v>0.04737152897780472</v>
      </c>
      <c r="E83" s="143" t="n">
        <v>6001</v>
      </c>
      <c r="F83" s="144" t="n">
        <v>0.05705186100679754</v>
      </c>
      <c r="G83" s="144" t="n">
        <v>-0.1619885490853232</v>
      </c>
      <c r="H83" s="142" t="n">
        <v>-0.1934139784946236</v>
      </c>
      <c r="I83" s="145" t="n">
        <v>382585.89</v>
      </c>
      <c r="J83" s="146" t="n">
        <v>0.1183407419710478</v>
      </c>
      <c r="L83" s="185" t="n">
        <v>-0.1724563905637686</v>
      </c>
      <c r="M83" s="185" t="n">
        <v>-0.1552047654037896</v>
      </c>
    </row>
    <row r="84">
      <c r="A84" s="133" t="inlineStr">
        <is>
          <t>motopower</t>
        </is>
      </c>
      <c r="B84" s="318" t="n">
        <v>22.12895392914419</v>
      </c>
      <c r="C84" s="137" t="n">
        <v>0.01970012498088525</v>
      </c>
      <c r="D84" s="135" t="n">
        <v>0.0515751113133498</v>
      </c>
      <c r="E84" s="136" t="n">
        <v>13718</v>
      </c>
      <c r="F84" s="137" t="n">
        <v>0.1304178352426677</v>
      </c>
      <c r="G84" s="137" t="n">
        <v>0.1778140293637847</v>
      </c>
      <c r="H84" s="135" t="n">
        <v>0.2769245089825934</v>
      </c>
      <c r="I84" s="138" t="n">
        <v>303564.99</v>
      </c>
      <c r="J84" s="139" t="n">
        <v>0.09389814703577724</v>
      </c>
      <c r="L84" s="184" t="n">
        <v>0.2010171129464913</v>
      </c>
      <c r="M84" s="184" t="n">
        <v>0.3427820326721152</v>
      </c>
    </row>
    <row r="85">
      <c r="A85" s="140" t="inlineStr">
        <is>
          <t>autel</t>
        </is>
      </c>
      <c r="B85" s="319" t="n">
        <v>37.17327037773359</v>
      </c>
      <c r="C85" s="144" t="n">
        <v>0.01019449528182315</v>
      </c>
      <c r="D85" s="142" t="n">
        <v>0.09608643780625847</v>
      </c>
      <c r="E85" s="143" t="n">
        <v>6036</v>
      </c>
      <c r="F85" s="144" t="n">
        <v>0.05738460807149309</v>
      </c>
      <c r="G85" s="144" t="n">
        <v>-0.006583278472679366</v>
      </c>
      <c r="H85" s="142" t="n">
        <v>-0.06287843502561719</v>
      </c>
      <c r="I85" s="145" t="n">
        <v>224377.86</v>
      </c>
      <c r="J85" s="146" t="n">
        <v>0.06940413415214002</v>
      </c>
      <c r="L85" s="185" t="n">
        <v>0.003544103607815208</v>
      </c>
      <c r="M85" s="185" t="n">
        <v>0.02716623794419748</v>
      </c>
    </row>
    <row r="86">
      <c r="A86" s="133" t="inlineStr">
        <is>
          <t>vdiagtool</t>
        </is>
      </c>
      <c r="B86" s="318" t="n">
        <v>17.32238095238095</v>
      </c>
      <c r="C86" s="137" t="n">
        <v>-0.004494524363869656</v>
      </c>
      <c r="D86" s="135" t="n">
        <v>-0.4691334921609692</v>
      </c>
      <c r="E86" s="136" t="n">
        <v>6741</v>
      </c>
      <c r="F86" s="137" t="n">
        <v>0.06408708466036032</v>
      </c>
      <c r="G86" s="137" t="n">
        <v>-0.02318504564555857</v>
      </c>
      <c r="H86" s="135" t="n">
        <v>1.885702054794521</v>
      </c>
      <c r="I86" s="138" t="n">
        <v>116770.17</v>
      </c>
      <c r="J86" s="139" t="n">
        <v>0.03611912754515172</v>
      </c>
      <c r="L86" s="184" t="n">
        <v>-0.02757536425689699</v>
      </c>
      <c r="M86" s="184" t="n">
        <v>0.5319225724926826</v>
      </c>
    </row>
    <row r="87">
      <c r="A87" s="140" t="inlineStr">
        <is>
          <t>blcktec</t>
        </is>
      </c>
      <c r="B87" s="319" t="n">
        <v>55.83773251345119</v>
      </c>
      <c r="C87" s="144" t="n">
        <v>-0.07218737045338086</v>
      </c>
      <c r="D87" s="142" t="n">
        <v>0.008815003084123862</v>
      </c>
      <c r="E87" s="143" t="n">
        <v>1301</v>
      </c>
      <c r="F87" s="144" t="n">
        <v>0.01236868374768265</v>
      </c>
      <c r="G87" s="144" t="n">
        <v>-0.120945945945946</v>
      </c>
      <c r="H87" s="142" t="n">
        <v>-0.4785571142284569</v>
      </c>
      <c r="I87" s="145" t="n">
        <v>72644.89</v>
      </c>
      <c r="J87" s="146" t="n">
        <v>0.02247037961333375</v>
      </c>
      <c r="L87" s="185" t="n">
        <v>-0.1844025465944923</v>
      </c>
      <c r="M87" s="185" t="n">
        <v>-0.4739605935821865</v>
      </c>
    </row>
    <row r="88">
      <c r="A88" s="140" t="inlineStr">
        <is>
          <t>innova</t>
        </is>
      </c>
      <c r="B88" s="319" t="n">
        <v>42.60007672634271</v>
      </c>
      <c r="C88" s="144" t="n">
        <v>-0.3535397501993103</v>
      </c>
      <c r="D88" s="142" t="n">
        <v>-0.34976524422997</v>
      </c>
      <c r="E88" s="143" t="n">
        <v>782</v>
      </c>
      <c r="F88" s="144" t="n">
        <v>0.007434520131197414</v>
      </c>
      <c r="G88" s="144" t="n">
        <v>3.546511627906977</v>
      </c>
      <c r="H88" s="142" t="n">
        <v>3.273224043715847</v>
      </c>
      <c r="I88" s="145" t="n">
        <v>33313.26</v>
      </c>
      <c r="J88" s="146" t="n">
        <v>0.01030439440898991</v>
      </c>
      <c r="L88" s="185" t="n">
        <v>1.939139042698485</v>
      </c>
      <c r="M88" s="185" t="n">
        <v>1.778598792416194</v>
      </c>
    </row>
    <row r="89">
      <c r="A89" s="140" t="inlineStr">
        <is>
          <t>Other</t>
        </is>
      </c>
      <c r="B89" s="319" t="n">
        <v>24.48996305991855</v>
      </c>
      <c r="C89" s="144" t="n">
        <v>0.02452111989520578</v>
      </c>
      <c r="D89" s="142" t="n">
        <v>-0.02198430723217049</v>
      </c>
      <c r="E89" s="143" t="n">
        <v>34380</v>
      </c>
      <c r="F89" s="144" t="n">
        <v>0.2769810834326963</v>
      </c>
      <c r="G89" s="144" t="n">
        <v>0.03423380061368153</v>
      </c>
      <c r="H89" s="142" t="n">
        <v>0.03619759486422125</v>
      </c>
      <c r="I89" s="145" t="n">
        <v>841964.9299999998</v>
      </c>
      <c r="J89" s="146" t="n">
        <v>0.1280444232648998</v>
      </c>
      <c r="L89" s="185" t="n">
        <v>0.05959437163820391</v>
      </c>
      <c r="M89" s="185" t="n">
        <v>0.01341750858549018</v>
      </c>
    </row>
    <row r="90">
      <c r="A90" s="86" t="inlineStr">
        <is>
          <t>Total</t>
        </is>
      </c>
      <c r="B90" s="312">
        <f>Summary!B9</f>
        <v/>
      </c>
      <c r="C90" s="119">
        <f>Summary!C9</f>
        <v/>
      </c>
      <c r="D90" s="118">
        <f>Summary!D20</f>
        <v/>
      </c>
      <c r="E90" s="100">
        <f>Summary!E9</f>
        <v/>
      </c>
      <c r="F90" s="119">
        <f>SUM(F82:F89)</f>
        <v/>
      </c>
      <c r="G90" s="119">
        <f>Summary!G9</f>
        <v/>
      </c>
      <c r="H90" s="118">
        <f>Summary!H9</f>
        <v/>
      </c>
      <c r="I90" s="85">
        <f>Summary!I9</f>
        <v/>
      </c>
      <c r="J90" s="132">
        <f>SUM(J82:J89)</f>
        <v/>
      </c>
      <c r="K90" s="175" t="n"/>
      <c r="L90" s="119">
        <f>Summary!K9</f>
        <v/>
      </c>
      <c r="M90" s="118">
        <f>Summary!L9</f>
        <v/>
      </c>
    </row>
  </sheetData>
  <mergeCells count="6">
    <mergeCell ref="A57:L57"/>
    <mergeCell ref="A1:M1"/>
    <mergeCell ref="A80:M80"/>
    <mergeCell ref="A70:M70"/>
    <mergeCell ref="A44:L44"/>
    <mergeCell ref="A3:M3"/>
  </mergeCells>
  <conditionalFormatting sqref="C5:J12 C72:J77 C78:M78 C82:J89 C90:M90 L5:M12 L72:M77 L82:M89">
    <cfRule type="expression" priority="1" dxfId="30">
      <formula>C5&lt;0</formula>
    </cfRule>
  </conditionalFormatting>
  <pageMargins left="0.7" right="0.7" top="0.75" bottom="0.75" header="0.3" footer="0.3"/>
  <drawing xmlns:r="http://schemas.openxmlformats.org/officeDocument/2006/relationships" r:id="rId1"/>
  <tableParts count="2">
    <tablePart xmlns:r="http://schemas.openxmlformats.org/officeDocument/2006/relationships" r:id="rId2"/>
    <tablePart xmlns:r="http://schemas.openxmlformats.org/officeDocument/2006/relationships" r:id="rId3"/>
  </tableParts>
</worksheet>
</file>

<file path=xl/worksheets/sheet8.xml><?xml version="1.0" encoding="utf-8"?>
<worksheet xmlns="http://schemas.openxmlformats.org/spreadsheetml/2006/main">
  <sheetPr>
    <outlinePr summaryBelow="1" summaryRight="1"/>
    <pageSetUpPr/>
  </sheetPr>
  <dimension ref="A1:M67"/>
  <sheetViews>
    <sheetView workbookViewId="0">
      <selection activeCell="N62" sqref="N62"/>
    </sheetView>
  </sheetViews>
  <sheetFormatPr baseColWidth="10" defaultColWidth="11.1640625" defaultRowHeight="16"/>
  <cols>
    <col width="10.6640625" customWidth="1" style="290" min="1" max="1"/>
    <col width="12.1640625" customWidth="1" style="290" min="2" max="2"/>
    <col width="14.83203125" customWidth="1" style="290" min="3" max="3"/>
    <col width="12.6640625" customWidth="1" style="290" min="5" max="5"/>
    <col width="10.6640625" customWidth="1" style="290" min="6" max="6"/>
    <col width="21.1640625" bestFit="1" customWidth="1" style="290" min="7" max="8"/>
    <col width="12.83203125" bestFit="1" customWidth="1" style="290" min="9" max="9"/>
    <col width="13" bestFit="1" customWidth="1" style="290" min="10" max="10"/>
    <col hidden="1" width="27.83203125" customWidth="1" style="290" min="11" max="11"/>
    <col width="35.6640625" customWidth="1" style="290" min="12" max="12"/>
    <col width="15.33203125" customWidth="1" style="290" min="13" max="13"/>
  </cols>
  <sheetData>
    <row r="1" ht="26" customHeight="1" s="290">
      <c r="A1" s="289" t="inlineStr">
        <is>
          <t>Handheld $75+ Monthly Summary</t>
        </is>
      </c>
    </row>
    <row r="3" ht="21" customHeight="1" s="290">
      <c r="A3" s="292">
        <f>'Handheld Total'!A70</f>
        <v/>
      </c>
    </row>
    <row r="4" ht="32" customHeight="1" s="290">
      <c r="A4" s="80" t="n"/>
      <c r="B4" s="81" t="inlineStr">
        <is>
          <t>Avg Price</t>
        </is>
      </c>
      <c r="C4" s="81" t="inlineStr">
        <is>
          <t>Avg Price MoM</t>
        </is>
      </c>
      <c r="D4" s="82" t="inlineStr">
        <is>
          <t>Avg Price YoY</t>
        </is>
      </c>
      <c r="E4" s="81" t="inlineStr">
        <is>
          <t>Quantity/Mo</t>
        </is>
      </c>
      <c r="F4" s="84" t="inlineStr">
        <is>
          <t>Qty by %</t>
        </is>
      </c>
      <c r="G4" s="84" t="inlineStr">
        <is>
          <t>Qty MoM</t>
        </is>
      </c>
      <c r="H4" s="82" t="inlineStr">
        <is>
          <t>Qty YoY</t>
        </is>
      </c>
      <c r="I4" s="309" t="inlineStr">
        <is>
          <t>Revenue/Mo</t>
        </is>
      </c>
      <c r="J4" s="126" t="inlineStr">
        <is>
          <t>Revenue by %</t>
        </is>
      </c>
      <c r="K4" s="173" t="n"/>
      <c r="L4" s="126" t="inlineStr">
        <is>
          <t>Revenue MoM</t>
        </is>
      </c>
      <c r="M4" s="310" t="inlineStr">
        <is>
          <t>Revenue YoY</t>
        </is>
      </c>
    </row>
    <row r="5">
      <c r="A5" s="133" t="inlineStr">
        <is>
          <t>innova</t>
        </is>
      </c>
      <c r="B5" s="311" t="n">
        <v>203.6302527767139</v>
      </c>
      <c r="C5" s="278" t="n">
        <v>-0.03752015462342617</v>
      </c>
      <c r="D5" s="276" t="n">
        <v>-0.09314079381642681</v>
      </c>
      <c r="E5" s="277" t="n">
        <v>7833</v>
      </c>
      <c r="F5" s="278" t="n">
        <v>0.4137876386687797</v>
      </c>
      <c r="G5" s="278" t="n">
        <v>-0.02912741695587506</v>
      </c>
      <c r="H5" s="276" t="n">
        <v>1.424326833797586</v>
      </c>
      <c r="I5" s="279" t="n">
        <v>1595035.77</v>
      </c>
      <c r="J5" s="280" t="n">
        <v>0.4771929388397471</v>
      </c>
      <c r="K5" s="184" t="n"/>
      <c r="L5" s="184" t="n">
        <v>-0.06555470639133598</v>
      </c>
      <c r="M5" s="184" t="n">
        <v>1.198523108027214</v>
      </c>
    </row>
    <row r="6">
      <c r="A6" s="140" t="inlineStr">
        <is>
          <t>foxwell</t>
        </is>
      </c>
      <c r="B6" s="311" t="n">
        <v>152.1235509611897</v>
      </c>
      <c r="C6" s="278" t="n">
        <v>-0.004340231566043018</v>
      </c>
      <c r="D6" s="276" t="n">
        <v>0.2895091105582002</v>
      </c>
      <c r="E6" s="277" t="n">
        <v>2757</v>
      </c>
      <c r="F6" s="278" t="n">
        <v>0.1456418383518225</v>
      </c>
      <c r="G6" s="278" t="n">
        <v>-0.1806835066864785</v>
      </c>
      <c r="H6" s="276" t="n">
        <v>0.1116935483870967</v>
      </c>
      <c r="I6" s="279" t="n">
        <v>419404.63</v>
      </c>
      <c r="J6" s="280" t="n">
        <v>0.1254748838345467</v>
      </c>
      <c r="K6" s="185" t="n"/>
      <c r="L6" s="185" t="n">
        <v>-0.1842395299933375</v>
      </c>
      <c r="M6" s="185" t="n">
        <v>0.4335389587939349</v>
      </c>
    </row>
    <row r="7">
      <c r="A7" s="133" t="inlineStr">
        <is>
          <t>ancel</t>
        </is>
      </c>
      <c r="B7" s="311" t="n">
        <v>126.509518958687</v>
      </c>
      <c r="C7" s="278" t="n">
        <v>-0.05264585351048767</v>
      </c>
      <c r="D7" s="276" t="n">
        <v>-0.05554512943750911</v>
      </c>
      <c r="E7" s="277" t="n">
        <v>1767</v>
      </c>
      <c r="F7" s="278" t="n">
        <v>0.09334389857369255</v>
      </c>
      <c r="G7" s="278" t="n">
        <v>-0.2033363390441839</v>
      </c>
      <c r="H7" s="276" t="n">
        <v>-0.1777570963238716</v>
      </c>
      <c r="I7" s="279" t="n">
        <v>223542.32</v>
      </c>
      <c r="J7" s="280" t="n">
        <v>0.06687800903415174</v>
      </c>
      <c r="K7" s="184" t="n"/>
      <c r="L7" s="184" t="n">
        <v>-0.2452773774359926</v>
      </c>
      <c r="M7" s="184" t="n">
        <v>-0.2234286848376354</v>
      </c>
    </row>
    <row r="8">
      <c r="A8" s="140" t="inlineStr">
        <is>
          <t>autel</t>
        </is>
      </c>
      <c r="B8" s="311" t="n">
        <v>194.0458776328987</v>
      </c>
      <c r="C8" s="278" t="n">
        <v>0.07359827600786262</v>
      </c>
      <c r="D8" s="276" t="n">
        <v>0.1780915811434922</v>
      </c>
      <c r="E8" s="277" t="n">
        <v>997</v>
      </c>
      <c r="F8" s="278" t="n">
        <v>0.05266772319070259</v>
      </c>
      <c r="G8" s="278" t="n">
        <v>0.1342434584755403</v>
      </c>
      <c r="H8" s="276" t="n">
        <v>0.2084848484848485</v>
      </c>
      <c r="I8" s="279" t="n">
        <v>193463.74</v>
      </c>
      <c r="J8" s="280" t="n">
        <v>0.05787928545924003</v>
      </c>
      <c r="K8" s="185" t="n"/>
      <c r="L8" s="185" t="n">
        <v>0.2177218215925361</v>
      </c>
      <c r="M8" s="185" t="n">
        <v>0.4237058259394686</v>
      </c>
    </row>
    <row r="9">
      <c r="A9" s="133" t="inlineStr">
        <is>
          <t>launch</t>
        </is>
      </c>
      <c r="B9" s="311" t="n">
        <v>147.0352508361204</v>
      </c>
      <c r="C9" s="278" t="n">
        <v>-0.03608382078342898</v>
      </c>
      <c r="D9" s="276" t="n">
        <v>-0.06849813931744686</v>
      </c>
      <c r="E9" s="277" t="n">
        <v>897</v>
      </c>
      <c r="F9" s="278" t="n">
        <v>0.0473851030110935</v>
      </c>
      <c r="G9" s="278" t="n">
        <v>0.03579676674364896</v>
      </c>
      <c r="H9" s="276" t="n">
        <v>0.04789719626168232</v>
      </c>
      <c r="I9" s="279" t="n">
        <v>131890.62</v>
      </c>
      <c r="J9" s="280" t="n">
        <v>0.03945822015213886</v>
      </c>
      <c r="K9" s="184" t="n"/>
      <c r="L9" s="184" t="n">
        <v>-0.00157873815558407</v>
      </c>
      <c r="M9" s="184" t="n">
        <v>-0.02388181187821237</v>
      </c>
    </row>
    <row r="10">
      <c r="A10" s="140" t="inlineStr">
        <is>
          <t>Other</t>
        </is>
      </c>
      <c r="B10" s="311" t="n">
        <v>166.531613592648</v>
      </c>
      <c r="C10" s="278" t="n">
        <v>0.02580716112262538</v>
      </c>
      <c r="D10" s="276" t="n">
        <v>-0.007161826792518866</v>
      </c>
      <c r="E10" s="277" t="n">
        <v>4679</v>
      </c>
      <c r="F10" s="278" t="n">
        <v>0.2471737982039091</v>
      </c>
      <c r="G10" s="278" t="n">
        <v>0.06075719791430512</v>
      </c>
      <c r="H10" s="276" t="n">
        <v>0.4830427892234548</v>
      </c>
      <c r="I10" s="279" t="n">
        <v>779201.42</v>
      </c>
      <c r="J10" s="280" t="n">
        <v>0.2331166626801756</v>
      </c>
      <c r="K10" s="185" t="n"/>
      <c r="L10" s="185" t="n">
        <v>0.08813232983286423</v>
      </c>
      <c r="M10" s="185" t="n">
        <v>0.4724214936411424</v>
      </c>
    </row>
    <row r="11">
      <c r="A11" s="86">
        <f>'Handheld Total'!A78</f>
        <v/>
      </c>
      <c r="B11" s="312">
        <f>'Handheld Total'!B78</f>
        <v/>
      </c>
      <c r="C11" s="119">
        <f>'Handheld Total'!C78</f>
        <v/>
      </c>
      <c r="D11" s="118">
        <f>'Handheld Total'!D78</f>
        <v/>
      </c>
      <c r="E11" s="100">
        <f>'Handheld Total'!E78</f>
        <v/>
      </c>
      <c r="F11" s="119">
        <f>'Handheld Total'!F78</f>
        <v/>
      </c>
      <c r="G11" s="119">
        <f>'Handheld Total'!G78</f>
        <v/>
      </c>
      <c r="H11" s="118">
        <f>'Handheld Total'!H78</f>
        <v/>
      </c>
      <c r="I11" s="85">
        <f>'Handheld Total'!I78</f>
        <v/>
      </c>
      <c r="J11" s="132">
        <f>'Handheld Total'!J78</f>
        <v/>
      </c>
      <c r="K11" s="175" t="n"/>
      <c r="L11" s="119">
        <f>'Handheld Total'!L78</f>
        <v/>
      </c>
      <c r="M11" s="118">
        <f>'Handheld Total'!M78</f>
        <v/>
      </c>
    </row>
    <row r="43" ht="26" customHeight="1" s="290">
      <c r="A43" s="289" t="inlineStr">
        <is>
          <t>Rank By Monthly Revenue - Mar '26 ONLY</t>
        </is>
      </c>
    </row>
    <row r="44">
      <c r="A44" s="62" t="inlineStr">
        <is>
          <t>Ranking</t>
        </is>
      </c>
      <c r="B44" s="63" t="inlineStr">
        <is>
          <t>ASIN</t>
        </is>
      </c>
      <c r="C44" s="63" t="inlineStr">
        <is>
          <t>Product Name</t>
        </is>
      </c>
      <c r="D44" s="63" t="inlineStr">
        <is>
          <t>Brand</t>
        </is>
      </c>
      <c r="E44" s="63" t="inlineStr">
        <is>
          <t>Type</t>
        </is>
      </c>
      <c r="F44" s="64" t="inlineStr">
        <is>
          <t>Price</t>
        </is>
      </c>
      <c r="G44" s="65" t="inlineStr">
        <is>
          <t>Est. Monthly Retail Rev</t>
        </is>
      </c>
      <c r="H44" s="66" t="inlineStr">
        <is>
          <t>Est. Monthly Units Sold</t>
        </is>
      </c>
      <c r="I44" s="67" t="inlineStr">
        <is>
          <t># of Reviews</t>
        </is>
      </c>
      <c r="J44" s="313" t="inlineStr">
        <is>
          <t>Avg. Rating</t>
        </is>
      </c>
      <c r="K44" s="313" t="inlineStr">
        <is>
          <t>Column2</t>
        </is>
      </c>
      <c r="L44" s="313" t="inlineStr">
        <is>
          <t>Link</t>
        </is>
      </c>
    </row>
    <row r="45" ht="17" customHeight="1" s="290">
      <c r="A45" s="15" t="n">
        <v>1</v>
      </c>
      <c r="B45" s="16" t="inlineStr">
        <is>
          <t>B07Z481NJM</t>
        </is>
      </c>
      <c r="C45" s="5" t="inlineStr">
        <is>
          <t>Innova 5610 OBD2 Bidirectional Scan Tool - Understand Your Vehicle, Pinpoint What's Wrong, and Complete Your Repairs with Less Headache, Updates Included, US-Based Technical Support</t>
        </is>
      </c>
      <c r="D45" s="5" t="inlineStr">
        <is>
          <t>innova</t>
        </is>
      </c>
      <c r="E45" s="5" t="inlineStr">
        <is>
          <t>Handheld</t>
        </is>
      </c>
      <c r="F45" s="6" t="n">
        <v>292.6118611449452</v>
      </c>
      <c r="G45" s="6" t="n">
        <v>1201171.69</v>
      </c>
      <c r="H45" s="17" t="n">
        <v>4105</v>
      </c>
      <c r="I45" s="17" t="n">
        <v>3435</v>
      </c>
      <c r="J45" s="5" t="n">
        <v>4.4</v>
      </c>
      <c r="K45" s="5" t="inlineStr">
        <is>
          <t>https://amazon.com/dp/B07Z481NJM</t>
        </is>
      </c>
      <c r="L45" s="34">
        <f>HYPERLINK(K45)</f>
        <v/>
      </c>
    </row>
    <row r="46" ht="17" customHeight="1" s="290">
      <c r="A46" s="15" t="n">
        <v>2</v>
      </c>
      <c r="B46" s="16" t="inlineStr">
        <is>
          <t>B07Z46L5FG</t>
        </is>
      </c>
      <c r="C46" s="5" t="inlineStr">
        <is>
          <t>Innova 5210 OBD2 Scanner &amp; Engine Code Reader, Battery Tester, Live Data, Oil Reset, Car Diagnostic Tool for Most Vehicles, Bluetooth Compatible with America's Top Car Repair App</t>
        </is>
      </c>
      <c r="D46" s="5" t="inlineStr">
        <is>
          <t>innova</t>
        </is>
      </c>
      <c r="E46" s="5" t="inlineStr">
        <is>
          <t>Handheld</t>
        </is>
      </c>
      <c r="F46" s="6" t="n">
        <v>87.48796262367168</v>
      </c>
      <c r="G46" s="6" t="n">
        <v>238754.65</v>
      </c>
      <c r="H46" s="17" t="n">
        <v>2729</v>
      </c>
      <c r="I46" s="17" t="n">
        <v>3977</v>
      </c>
      <c r="J46" s="5" t="n">
        <v>4.5</v>
      </c>
      <c r="K46" s="5" t="inlineStr">
        <is>
          <t>https://amazon.com/dp/B07Z46L5FG</t>
        </is>
      </c>
      <c r="L46" s="34">
        <f>HYPERLINK(K46)</f>
        <v/>
      </c>
    </row>
    <row r="47" ht="17" customHeight="1" s="290">
      <c r="A47" s="15" t="n"/>
      <c r="B47" s="16" t="n"/>
      <c r="C47" s="5" t="n"/>
      <c r="D47" s="5" t="n"/>
      <c r="E47" s="5" t="n"/>
      <c r="F47" s="6" t="n"/>
      <c r="G47" s="6" t="n"/>
      <c r="H47" s="17" t="n"/>
      <c r="I47" s="17" t="n"/>
      <c r="J47" s="5" t="n"/>
      <c r="K47" s="5" t="n"/>
      <c r="L47" s="34">
        <f>HYPERLINK(K47)</f>
        <v/>
      </c>
    </row>
    <row r="48" ht="17" customHeight="1" s="290">
      <c r="A48" s="15" t="n"/>
      <c r="B48" s="16" t="n"/>
      <c r="C48" s="5" t="n"/>
      <c r="D48" s="5" t="n"/>
      <c r="E48" s="5" t="n"/>
      <c r="F48" s="6" t="n"/>
      <c r="G48" s="6" t="n"/>
      <c r="H48" s="17" t="n"/>
      <c r="I48" s="17" t="n"/>
      <c r="J48" s="5" t="n"/>
      <c r="K48" s="5" t="n"/>
      <c r="L48" s="34">
        <f>HYPERLINK(K48)</f>
        <v/>
      </c>
    </row>
    <row r="49" ht="17" customHeight="1" s="290">
      <c r="A49" s="15" t="n"/>
      <c r="B49" s="16" t="n"/>
      <c r="C49" s="5" t="n"/>
      <c r="D49" s="5" t="n"/>
      <c r="E49" s="5" t="n"/>
      <c r="F49" s="6" t="n"/>
      <c r="G49" s="6" t="n"/>
      <c r="H49" s="17" t="n"/>
      <c r="I49" s="17" t="n"/>
      <c r="J49" s="5" t="n"/>
      <c r="K49" s="5" t="n"/>
      <c r="L49" s="34">
        <f>HYPERLINK(K49)</f>
        <v/>
      </c>
    </row>
    <row r="50" ht="17" customHeight="1" s="290">
      <c r="A50" s="15" t="n"/>
      <c r="B50" s="16" t="n"/>
      <c r="C50" s="5" t="n"/>
      <c r="D50" s="5" t="n"/>
      <c r="E50" s="5" t="n"/>
      <c r="F50" s="6" t="n"/>
      <c r="G50" s="6" t="n"/>
      <c r="H50" s="17" t="n"/>
      <c r="I50" s="17" t="n"/>
      <c r="J50" s="5" t="n"/>
      <c r="K50" s="5" t="n"/>
      <c r="L50" s="34">
        <f>HYPERLINK(K50)</f>
        <v/>
      </c>
    </row>
    <row r="51" ht="17" customHeight="1" s="290">
      <c r="A51" s="15" t="n"/>
      <c r="B51" s="16" t="n"/>
      <c r="C51" s="5" t="n"/>
      <c r="D51" s="5" t="n"/>
      <c r="E51" s="5" t="n"/>
      <c r="F51" s="6" t="n"/>
      <c r="G51" s="6" t="n"/>
      <c r="H51" s="17" t="n"/>
      <c r="I51" s="17" t="n"/>
      <c r="J51" s="5" t="n"/>
      <c r="K51" s="5" t="n"/>
      <c r="L51" s="34">
        <f>HYPERLINK(K51)</f>
        <v/>
      </c>
    </row>
    <row r="52" ht="17" customHeight="1" s="290">
      <c r="A52" s="15" t="n"/>
      <c r="B52" s="16" t="n"/>
      <c r="C52" s="5" t="n"/>
      <c r="D52" s="5" t="n"/>
      <c r="E52" s="5" t="n"/>
      <c r="F52" s="6" t="n"/>
      <c r="G52" s="6" t="n"/>
      <c r="H52" s="17" t="n"/>
      <c r="I52" s="17" t="n"/>
      <c r="J52" s="5" t="n"/>
      <c r="K52" s="5" t="n"/>
      <c r="L52" s="34">
        <f>HYPERLINK(K52)</f>
        <v/>
      </c>
    </row>
    <row r="53" ht="17" customHeight="1" s="290">
      <c r="A53" s="15" t="n"/>
      <c r="B53" s="16" t="n"/>
      <c r="C53" s="5" t="n"/>
      <c r="D53" s="5" t="n"/>
      <c r="E53" s="5" t="n"/>
      <c r="F53" s="6" t="n"/>
      <c r="G53" s="6" t="n"/>
      <c r="H53" s="17" t="n"/>
      <c r="I53" s="17" t="n"/>
      <c r="J53" s="5" t="n"/>
      <c r="K53" s="5" t="n"/>
      <c r="L53" s="34">
        <f>HYPERLINK(K53)</f>
        <v/>
      </c>
    </row>
    <row r="54" ht="17" customHeight="1" s="290">
      <c r="A54" s="15" t="n"/>
      <c r="B54" s="16" t="n"/>
      <c r="C54" s="5" t="n"/>
      <c r="D54" s="5" t="n"/>
      <c r="E54" s="5" t="n"/>
      <c r="F54" s="6" t="n"/>
      <c r="G54" s="6" t="n"/>
      <c r="H54" s="17" t="n"/>
      <c r="I54" s="17" t="n"/>
      <c r="J54" s="5" t="n"/>
      <c r="K54" s="5" t="n"/>
      <c r="L54" s="34">
        <f>HYPERLINK(K54)</f>
        <v/>
      </c>
    </row>
    <row r="56" ht="26" customHeight="1" s="290">
      <c r="A56" s="289" t="inlineStr">
        <is>
          <t>Rank By Monthly Units - Mar '26 ONLY</t>
        </is>
      </c>
    </row>
    <row r="57">
      <c r="A57" s="62" t="inlineStr">
        <is>
          <t>Ranking</t>
        </is>
      </c>
      <c r="B57" s="63" t="inlineStr">
        <is>
          <t>ASIN</t>
        </is>
      </c>
      <c r="C57" s="63" t="inlineStr">
        <is>
          <t>Product Name</t>
        </is>
      </c>
      <c r="D57" s="63" t="inlineStr">
        <is>
          <t>Brand</t>
        </is>
      </c>
      <c r="E57" s="63" t="inlineStr">
        <is>
          <t>Type</t>
        </is>
      </c>
      <c r="F57" s="64" t="inlineStr">
        <is>
          <t>Price</t>
        </is>
      </c>
      <c r="G57" s="65" t="inlineStr">
        <is>
          <t>Est. Monthly Retail Rev</t>
        </is>
      </c>
      <c r="H57" s="66" t="inlineStr">
        <is>
          <t>Est. Monthly Units Sold</t>
        </is>
      </c>
      <c r="I57" s="67" t="inlineStr">
        <is>
          <t># of Reviews</t>
        </is>
      </c>
      <c r="J57" s="313" t="inlineStr">
        <is>
          <t>Avg. Rating</t>
        </is>
      </c>
      <c r="K57" s="313" t="inlineStr">
        <is>
          <t>Column2</t>
        </is>
      </c>
      <c r="L57" s="313" t="inlineStr">
        <is>
          <t>Link</t>
        </is>
      </c>
    </row>
    <row r="58" ht="17" customHeight="1" s="290">
      <c r="A58" s="15" t="n">
        <v>1</v>
      </c>
      <c r="B58" s="16" t="inlineStr">
        <is>
          <t>B07Z481NJM</t>
        </is>
      </c>
      <c r="C58" s="5" t="inlineStr">
        <is>
          <t>Innova 5610 OBD2 Bidirectional Scan Tool - Understand Your Vehicle, Pinpoint What's Wrong, and Complete Your Repairs with Less Headache, Updates Included, US-Based Technical Support</t>
        </is>
      </c>
      <c r="D58" s="5" t="inlineStr">
        <is>
          <t>innova</t>
        </is>
      </c>
      <c r="E58" s="5" t="inlineStr">
        <is>
          <t>Handheld</t>
        </is>
      </c>
      <c r="F58" s="6" t="n">
        <v>292.6118611449452</v>
      </c>
      <c r="G58" s="6" t="n">
        <v>1201171.69</v>
      </c>
      <c r="H58" s="17" t="n">
        <v>4105</v>
      </c>
      <c r="I58" s="17" t="n">
        <v>3435</v>
      </c>
      <c r="J58" s="5" t="n">
        <v>4.4</v>
      </c>
      <c r="K58" s="5" t="inlineStr">
        <is>
          <t>https://amazon.com/dp/B07Z481NJM</t>
        </is>
      </c>
      <c r="L58" s="34">
        <f>HYPERLINK(K58)</f>
        <v/>
      </c>
    </row>
    <row r="59" ht="17" customHeight="1" s="290">
      <c r="A59" s="15" t="n">
        <v>2</v>
      </c>
      <c r="B59" s="16" t="inlineStr">
        <is>
          <t>B07Z46L5FG</t>
        </is>
      </c>
      <c r="C59" s="5" t="inlineStr">
        <is>
          <t>Innova 5210 OBD2 Scanner &amp; Engine Code Reader, Battery Tester, Live Data, Oil Reset, Car Diagnostic Tool for Most Vehicles, Bluetooth Compatible with America's Top Car Repair App</t>
        </is>
      </c>
      <c r="D59" s="5" t="inlineStr">
        <is>
          <t>innova</t>
        </is>
      </c>
      <c r="E59" s="5" t="inlineStr">
        <is>
          <t>Handheld</t>
        </is>
      </c>
      <c r="F59" s="6" t="n">
        <v>87.48796262367168</v>
      </c>
      <c r="G59" s="6" t="n">
        <v>238754.65</v>
      </c>
      <c r="H59" s="17" t="n">
        <v>2729</v>
      </c>
      <c r="I59" s="17" t="n">
        <v>3977</v>
      </c>
      <c r="J59" s="5" t="n">
        <v>4.5</v>
      </c>
      <c r="K59" s="5" t="inlineStr">
        <is>
          <t>https://amazon.com/dp/B07Z46L5FG</t>
        </is>
      </c>
      <c r="L59" s="34">
        <f>HYPERLINK(K59)</f>
        <v/>
      </c>
    </row>
    <row r="60" ht="17" customHeight="1" s="290">
      <c r="A60" s="15" t="n">
        <v>3</v>
      </c>
      <c r="B60" s="16" t="inlineStr">
        <is>
          <t>B08JGK8PPM</t>
        </is>
      </c>
      <c r="C60" s="5" t="inlineStr">
        <is>
          <t>FOXWELL NT301 Plus 2-in-1 OBD2 Scanner Car Battery Tester, Professional Code Reader Check Engine Diagnostic Tool, 12V Automotive Cranking Charging Analyzer for 1996+ Vehicle, Upgrade from NT301</t>
        </is>
      </c>
      <c r="D60" s="5" t="inlineStr">
        <is>
          <t>foxwell</t>
        </is>
      </c>
      <c r="E60" s="5" t="inlineStr">
        <is>
          <t>Handheld</t>
        </is>
      </c>
      <c r="F60" s="6" t="n">
        <v>88.99382252559728</v>
      </c>
      <c r="G60" s="6" t="n">
        <v>78225.57000000001</v>
      </c>
      <c r="H60" s="17" t="n">
        <v>879</v>
      </c>
      <c r="I60" s="17" t="n">
        <v>2623</v>
      </c>
      <c r="J60" s="5" t="n">
        <v>4.5</v>
      </c>
      <c r="K60" s="5" t="inlineStr">
        <is>
          <t>https://amazon.com/dp/B08JGK8PPM</t>
        </is>
      </c>
      <c r="L60" s="34">
        <f>HYPERLINK(K60)</f>
        <v/>
      </c>
    </row>
    <row r="61" ht="17" customHeight="1" s="290">
      <c r="A61" s="15" t="n"/>
      <c r="B61" s="16" t="n"/>
      <c r="C61" s="5" t="n"/>
      <c r="D61" s="5" t="n"/>
      <c r="E61" s="5" t="n"/>
      <c r="F61" s="6" t="n"/>
      <c r="G61" s="6" t="n"/>
      <c r="H61" s="17" t="n"/>
      <c r="I61" s="17" t="n"/>
      <c r="J61" s="5" t="n"/>
      <c r="K61" s="5" t="n"/>
      <c r="L61" s="34">
        <f>HYPERLINK(K61)</f>
        <v/>
      </c>
    </row>
    <row r="62" ht="17" customHeight="1" s="290">
      <c r="A62" s="15" t="n"/>
      <c r="B62" s="16" t="n"/>
      <c r="C62" s="5" t="n"/>
      <c r="D62" s="5" t="n"/>
      <c r="E62" s="5" t="n"/>
      <c r="F62" s="6" t="n"/>
      <c r="G62" s="6" t="n"/>
      <c r="H62" s="17" t="n"/>
      <c r="I62" s="17" t="n"/>
      <c r="J62" s="5" t="n"/>
      <c r="K62" s="5" t="n"/>
      <c r="L62" s="34">
        <f>HYPERLINK(K62)</f>
        <v/>
      </c>
    </row>
    <row r="63" ht="17" customHeight="1" s="290">
      <c r="A63" s="15" t="n"/>
      <c r="B63" s="16" t="n"/>
      <c r="C63" s="5" t="n"/>
      <c r="D63" s="5" t="n"/>
      <c r="E63" s="5" t="n"/>
      <c r="F63" s="6" t="n"/>
      <c r="G63" s="6" t="n"/>
      <c r="H63" s="17" t="n"/>
      <c r="I63" s="17" t="n"/>
      <c r="J63" s="5" t="n"/>
      <c r="K63" s="5" t="n"/>
      <c r="L63" s="34">
        <f>HYPERLINK(K63)</f>
        <v/>
      </c>
    </row>
    <row r="64" ht="17" customHeight="1" s="290">
      <c r="A64" s="15" t="n"/>
      <c r="B64" s="16" t="n"/>
      <c r="C64" s="5" t="n"/>
      <c r="D64" s="5" t="n"/>
      <c r="E64" s="5" t="n"/>
      <c r="F64" s="6" t="n"/>
      <c r="G64" s="6" t="n"/>
      <c r="H64" s="17" t="n"/>
      <c r="I64" s="17" t="n"/>
      <c r="J64" s="5" t="n"/>
      <c r="K64" s="5" t="n"/>
      <c r="L64" s="34">
        <f>HYPERLINK(K64)</f>
        <v/>
      </c>
    </row>
    <row r="65" ht="17" customHeight="1" s="290">
      <c r="A65" s="15" t="n"/>
      <c r="B65" s="16" t="n"/>
      <c r="C65" s="5" t="n"/>
      <c r="D65" s="5" t="n"/>
      <c r="E65" s="5" t="n"/>
      <c r="F65" s="6" t="n"/>
      <c r="G65" s="6" t="n"/>
      <c r="H65" s="17" t="n"/>
      <c r="I65" s="17" t="n"/>
      <c r="J65" s="5" t="n"/>
      <c r="K65" s="5" t="n"/>
      <c r="L65" s="34">
        <f>HYPERLINK(K65)</f>
        <v/>
      </c>
    </row>
    <row r="66" ht="17" customHeight="1" s="290">
      <c r="A66" s="15" t="n"/>
      <c r="B66" s="16" t="n"/>
      <c r="C66" s="5" t="n"/>
      <c r="D66" s="5" t="n"/>
      <c r="E66" s="5" t="n"/>
      <c r="F66" s="6" t="n"/>
      <c r="G66" s="6" t="n"/>
      <c r="H66" s="17" t="n"/>
      <c r="I66" s="17" t="n"/>
      <c r="J66" s="5" t="n"/>
      <c r="K66" s="5" t="n"/>
      <c r="L66" s="34">
        <f>HYPERLINK(K66)</f>
        <v/>
      </c>
    </row>
    <row r="67" ht="17" customHeight="1" s="290">
      <c r="A67" s="15" t="n"/>
      <c r="B67" s="16" t="n"/>
      <c r="C67" s="5" t="n"/>
      <c r="D67" s="5" t="n"/>
      <c r="E67" s="5" t="n"/>
      <c r="F67" s="6" t="n"/>
      <c r="G67" s="6" t="n"/>
      <c r="H67" s="17" t="n"/>
      <c r="I67" s="17" t="n"/>
      <c r="J67" s="5" t="n"/>
      <c r="K67" s="5" t="n"/>
      <c r="L67" s="34">
        <f>HYPERLINK(K67)</f>
        <v/>
      </c>
    </row>
  </sheetData>
  <mergeCells count="4">
    <mergeCell ref="A3:M3"/>
    <mergeCell ref="A56:L56"/>
    <mergeCell ref="A1:M1"/>
    <mergeCell ref="A43:L43"/>
  </mergeCells>
  <conditionalFormatting sqref="C5:M11">
    <cfRule type="expression" priority="3" dxfId="30">
      <formula>C5&lt;0</formula>
    </cfRule>
  </conditionalFormatting>
  <pageMargins left="0.7" right="0.7" top="0.75" bottom="0.75" header="0.3" footer="0.3"/>
  <drawing xmlns:r="http://schemas.openxmlformats.org/officeDocument/2006/relationships" r:id="rId1"/>
  <tableParts count="2">
    <tablePart xmlns:r="http://schemas.openxmlformats.org/officeDocument/2006/relationships" r:id="rId2"/>
    <tablePart xmlns:r="http://schemas.openxmlformats.org/officeDocument/2006/relationships" r:id="rId3"/>
  </tableParts>
</worksheet>
</file>

<file path=xl/worksheets/sheet9.xml><?xml version="1.0" encoding="utf-8"?>
<worksheet xmlns="http://schemas.openxmlformats.org/spreadsheetml/2006/main">
  <sheetPr>
    <outlinePr summaryBelow="1" summaryRight="1"/>
    <pageSetUpPr/>
  </sheetPr>
  <dimension ref="A1:M69"/>
  <sheetViews>
    <sheetView workbookViewId="0">
      <selection activeCell="L28" sqref="L28"/>
    </sheetView>
  </sheetViews>
  <sheetFormatPr baseColWidth="10" defaultColWidth="11.1640625" defaultRowHeight="16"/>
  <cols>
    <col width="10.6640625" customWidth="1" style="290" min="1" max="1"/>
    <col width="12.1640625" customWidth="1" style="290" min="2" max="2"/>
    <col width="14.83203125" customWidth="1" style="290" min="3" max="3"/>
    <col width="12.6640625" customWidth="1" style="290" min="5" max="5"/>
    <col width="10.6640625" customWidth="1" style="290" min="6" max="6"/>
    <col width="21.1640625" bestFit="1" customWidth="1" style="290" min="7" max="8"/>
    <col width="12.83203125" bestFit="1" customWidth="1" style="290" min="9" max="9"/>
    <col width="12" bestFit="1" customWidth="1" style="290" min="10" max="10"/>
    <col hidden="1" width="28" customWidth="1" style="290" min="11" max="11"/>
    <col width="35.6640625" customWidth="1" style="290" min="12" max="12"/>
    <col width="15.33203125" customWidth="1" style="290" min="13" max="13"/>
  </cols>
  <sheetData>
    <row r="1" ht="26" customHeight="1" s="290">
      <c r="A1" s="289" t="inlineStr">
        <is>
          <t>Handheld $75- Monthly Summary</t>
        </is>
      </c>
    </row>
    <row r="3" ht="21" customHeight="1" s="290">
      <c r="A3" s="294">
        <f>'Handheld Total'!A80</f>
        <v/>
      </c>
      <c r="B3" s="317" t="n"/>
      <c r="C3" s="317" t="n"/>
      <c r="D3" s="317" t="n"/>
      <c r="E3" s="317" t="n"/>
      <c r="F3" s="317" t="n"/>
      <c r="G3" s="317" t="n"/>
      <c r="H3" s="317" t="n"/>
      <c r="I3" s="317" t="n"/>
      <c r="J3" s="317" t="n"/>
      <c r="K3" s="317" t="n"/>
      <c r="L3" s="317" t="n"/>
      <c r="M3" s="317" t="n"/>
    </row>
    <row r="4" ht="32" customHeight="1" s="290">
      <c r="A4" s="80" t="n"/>
      <c r="B4" s="81" t="inlineStr">
        <is>
          <t>Avg Price</t>
        </is>
      </c>
      <c r="C4" s="81" t="inlineStr">
        <is>
          <t>Avg Price MoM</t>
        </is>
      </c>
      <c r="D4" s="82" t="inlineStr">
        <is>
          <t>Avg Price YoY</t>
        </is>
      </c>
      <c r="E4" s="81" t="inlineStr">
        <is>
          <t>Quantity/Mo</t>
        </is>
      </c>
      <c r="F4" s="84" t="inlineStr">
        <is>
          <t>Qty by %</t>
        </is>
      </c>
      <c r="G4" s="84" t="inlineStr">
        <is>
          <t>Qty MoM</t>
        </is>
      </c>
      <c r="H4" s="82" t="inlineStr">
        <is>
          <t>Qty YoY</t>
        </is>
      </c>
      <c r="I4" s="309" t="inlineStr">
        <is>
          <t>Revenue/Mo</t>
        </is>
      </c>
      <c r="J4" s="126" t="inlineStr">
        <is>
          <t>Revenue by %</t>
        </is>
      </c>
      <c r="K4" s="173" t="n"/>
      <c r="L4" s="126" t="inlineStr">
        <is>
          <t>Revenue MoM</t>
        </is>
      </c>
      <c r="M4" s="310" t="inlineStr">
        <is>
          <t>Revenue YoY</t>
        </is>
      </c>
    </row>
    <row r="5">
      <c r="A5" s="133" t="inlineStr">
        <is>
          <t>ancel</t>
        </is>
      </c>
      <c r="B5" s="311" t="n">
        <v>34.71804229006791</v>
      </c>
      <c r="C5" s="278" t="n">
        <v>0.03347315711318832</v>
      </c>
      <c r="D5" s="276" t="n">
        <v>0.1860486867252631</v>
      </c>
      <c r="E5" s="277" t="n">
        <v>36226</v>
      </c>
      <c r="F5" s="278" t="n">
        <v>0.3444027190188715</v>
      </c>
      <c r="G5" s="278" t="n">
        <v>-0.2609502825550319</v>
      </c>
      <c r="H5" s="276" t="n">
        <v>-0.01586525400706329</v>
      </c>
      <c r="I5" s="279" t="n">
        <v>1257695.8</v>
      </c>
      <c r="J5" s="280" t="n">
        <v>0.3890280798015591</v>
      </c>
      <c r="K5" s="184" t="n"/>
      <c r="L5" s="278" t="n">
        <v>-0.236211955248539</v>
      </c>
      <c r="M5" s="276" t="n">
        <v>0.1672317230456231</v>
      </c>
    </row>
    <row r="6">
      <c r="A6" s="140" t="inlineStr">
        <is>
          <t>foxwell</t>
        </is>
      </c>
      <c r="B6" s="311" t="n">
        <v>63.75368938510248</v>
      </c>
      <c r="C6" s="278" t="n">
        <v>-0.01249128692337065</v>
      </c>
      <c r="D6" s="276" t="n">
        <v>0.04737152897780472</v>
      </c>
      <c r="E6" s="277" t="n">
        <v>6001</v>
      </c>
      <c r="F6" s="278" t="n">
        <v>0.05705186100679754</v>
      </c>
      <c r="G6" s="278" t="n">
        <v>-0.1619885490853232</v>
      </c>
      <c r="H6" s="276" t="n">
        <v>-0.1934139784946236</v>
      </c>
      <c r="I6" s="279" t="n">
        <v>382585.89</v>
      </c>
      <c r="J6" s="280" t="n">
        <v>0.1183407419710478</v>
      </c>
      <c r="K6" s="185" t="n"/>
      <c r="L6" s="278" t="n">
        <v>-0.1724563905637686</v>
      </c>
      <c r="M6" s="276" t="n">
        <v>-0.1552047654037896</v>
      </c>
    </row>
    <row r="7">
      <c r="A7" s="133" t="inlineStr">
        <is>
          <t>motopower</t>
        </is>
      </c>
      <c r="B7" s="311" t="n">
        <v>22.12895392914419</v>
      </c>
      <c r="C7" s="278" t="n">
        <v>0.01970012498088525</v>
      </c>
      <c r="D7" s="276" t="n">
        <v>0.0515751113133498</v>
      </c>
      <c r="E7" s="277" t="n">
        <v>13718</v>
      </c>
      <c r="F7" s="278" t="n">
        <v>0.1304178352426677</v>
      </c>
      <c r="G7" s="278" t="n">
        <v>0.1778140293637847</v>
      </c>
      <c r="H7" s="276" t="n">
        <v>0.2769245089825934</v>
      </c>
      <c r="I7" s="279" t="n">
        <v>303564.99</v>
      </c>
      <c r="J7" s="280" t="n">
        <v>0.09389814703577724</v>
      </c>
      <c r="K7" s="184" t="n"/>
      <c r="L7" s="278" t="n">
        <v>0.2010171129464913</v>
      </c>
      <c r="M7" s="276" t="n">
        <v>0.3427820326721152</v>
      </c>
    </row>
    <row r="8">
      <c r="A8" s="140" t="inlineStr">
        <is>
          <t>autel</t>
        </is>
      </c>
      <c r="B8" s="311" t="n">
        <v>37.17327037773359</v>
      </c>
      <c r="C8" s="278" t="n">
        <v>0.01019449528182315</v>
      </c>
      <c r="D8" s="276" t="n">
        <v>0.09608643780625847</v>
      </c>
      <c r="E8" s="277" t="n">
        <v>6036</v>
      </c>
      <c r="F8" s="278" t="n">
        <v>0.05738460807149309</v>
      </c>
      <c r="G8" s="278" t="n">
        <v>-0.006583278472679366</v>
      </c>
      <c r="H8" s="276" t="n">
        <v>-0.06287843502561719</v>
      </c>
      <c r="I8" s="279" t="n">
        <v>224377.86</v>
      </c>
      <c r="J8" s="280" t="n">
        <v>0.06940413415214002</v>
      </c>
      <c r="K8" s="185" t="n"/>
      <c r="L8" s="278" t="n">
        <v>0.003544103607815208</v>
      </c>
      <c r="M8" s="276" t="n">
        <v>0.02716623794419748</v>
      </c>
    </row>
    <row r="9">
      <c r="A9" s="140" t="inlineStr">
        <is>
          <t>vdiagtool</t>
        </is>
      </c>
      <c r="B9" s="311" t="n">
        <v>17.32238095238095</v>
      </c>
      <c r="C9" s="278" t="n">
        <v>-0.004494524363869656</v>
      </c>
      <c r="D9" s="276" t="n">
        <v>-0.4691334921609692</v>
      </c>
      <c r="E9" s="277" t="n">
        <v>6741</v>
      </c>
      <c r="F9" s="278" t="n">
        <v>0.06408708466036032</v>
      </c>
      <c r="G9" s="278" t="n">
        <v>-0.02318504564555857</v>
      </c>
      <c r="H9" s="276" t="n">
        <v>1.885702054794521</v>
      </c>
      <c r="I9" s="279" t="n">
        <v>116770.17</v>
      </c>
      <c r="J9" s="280" t="n">
        <v>0.03611912754515172</v>
      </c>
      <c r="K9" s="185" t="n"/>
      <c r="L9" s="278" t="n">
        <v>-0.02757536425689699</v>
      </c>
      <c r="M9" s="276" t="n">
        <v>0.5319225724926826</v>
      </c>
    </row>
    <row r="10">
      <c r="A10" s="133" t="inlineStr">
        <is>
          <t>blcktec</t>
        </is>
      </c>
      <c r="B10" s="311" t="n">
        <v>55.83773251345119</v>
      </c>
      <c r="C10" s="278" t="n">
        <v>-0.07218737045338086</v>
      </c>
      <c r="D10" s="276" t="n">
        <v>0.008815003084123862</v>
      </c>
      <c r="E10" s="277" t="n">
        <v>1301</v>
      </c>
      <c r="F10" s="278" t="n">
        <v>0.01236868374768265</v>
      </c>
      <c r="G10" s="278" t="n">
        <v>-0.120945945945946</v>
      </c>
      <c r="H10" s="276" t="n">
        <v>-0.4785571142284569</v>
      </c>
      <c r="I10" s="279" t="n">
        <v>72644.89</v>
      </c>
      <c r="J10" s="280" t="n">
        <v>0.02247037961333375</v>
      </c>
      <c r="K10" s="184" t="n"/>
      <c r="L10" s="278" t="n">
        <v>-0.1844025465944923</v>
      </c>
      <c r="M10" s="276" t="n">
        <v>-0.4739605935821865</v>
      </c>
    </row>
    <row r="11">
      <c r="A11" s="140" t="inlineStr">
        <is>
          <t>innova</t>
        </is>
      </c>
      <c r="B11" s="311" t="n">
        <v>42.60007672634271</v>
      </c>
      <c r="C11" s="278" t="n">
        <v>-0.3535397501993103</v>
      </c>
      <c r="D11" s="276" t="n">
        <v>-0.34976524422997</v>
      </c>
      <c r="E11" s="277" t="n">
        <v>782</v>
      </c>
      <c r="F11" s="278" t="n">
        <v>0.007434520131197414</v>
      </c>
      <c r="G11" s="278" t="n">
        <v>3.546511627906977</v>
      </c>
      <c r="H11" s="276" t="n">
        <v>3.273224043715847</v>
      </c>
      <c r="I11" s="279" t="n">
        <v>33313.26</v>
      </c>
      <c r="J11" s="280" t="n">
        <v>0.01030439440898991</v>
      </c>
      <c r="K11" s="185" t="n"/>
      <c r="L11" s="278" t="n">
        <v>1.939139042698485</v>
      </c>
      <c r="M11" s="276" t="n">
        <v>1.778598792416194</v>
      </c>
    </row>
    <row r="12">
      <c r="A12" s="133" t="inlineStr">
        <is>
          <t>Other</t>
        </is>
      </c>
      <c r="B12" s="311" t="n">
        <v>24.48996305991855</v>
      </c>
      <c r="C12" s="278" t="n">
        <v>0.02452111989520578</v>
      </c>
      <c r="D12" s="276" t="n">
        <v>-0.02198430723217049</v>
      </c>
      <c r="E12" s="277" t="n">
        <v>34380</v>
      </c>
      <c r="F12" s="278" t="n">
        <v>0.3268247238435652</v>
      </c>
      <c r="G12" s="278" t="n">
        <v>0.03423380061368153</v>
      </c>
      <c r="H12" s="276" t="n">
        <v>0.03619759486422125</v>
      </c>
      <c r="I12" s="279" t="n">
        <v>841964.9299999998</v>
      </c>
      <c r="J12" s="280" t="n">
        <v>0.2604259226240129</v>
      </c>
      <c r="K12" s="184" t="n"/>
      <c r="L12" s="278" t="n">
        <v>0.05959437163820391</v>
      </c>
      <c r="M12" s="276" t="n">
        <v>0.01341750858549018</v>
      </c>
    </row>
    <row r="13">
      <c r="A13" s="86">
        <f>'Handheld Total'!A90</f>
        <v/>
      </c>
      <c r="B13" s="312">
        <f>'Handheld Total'!B90</f>
        <v/>
      </c>
      <c r="C13" s="119">
        <f>'Handheld Total'!C90</f>
        <v/>
      </c>
      <c r="D13" s="118">
        <f>'Handheld Total'!D90</f>
        <v/>
      </c>
      <c r="E13" s="100">
        <f>'Handheld Total'!E90</f>
        <v/>
      </c>
      <c r="F13" s="119">
        <f>'Handheld Total'!F90</f>
        <v/>
      </c>
      <c r="G13" s="119">
        <f>'Handheld Total'!G90</f>
        <v/>
      </c>
      <c r="H13" s="118">
        <f>'Handheld Total'!H90</f>
        <v/>
      </c>
      <c r="I13" s="85">
        <f>'Handheld Total'!I90</f>
        <v/>
      </c>
      <c r="J13" s="132">
        <f>'Handheld Total'!J90</f>
        <v/>
      </c>
      <c r="K13" s="175" t="n"/>
      <c r="L13" s="119">
        <f>'Handheld Total'!L90</f>
        <v/>
      </c>
      <c r="M13" s="118">
        <f>'Handheld Total'!M90</f>
        <v/>
      </c>
    </row>
    <row r="45" ht="26" customHeight="1" s="290">
      <c r="A45" s="289" t="inlineStr">
        <is>
          <t>Rank By Monthly Revenue - Mar '26 ONLY</t>
        </is>
      </c>
    </row>
    <row r="46">
      <c r="A46" s="62" t="inlineStr">
        <is>
          <t>Ranking</t>
        </is>
      </c>
      <c r="B46" s="63" t="inlineStr">
        <is>
          <t>ASIN</t>
        </is>
      </c>
      <c r="C46" s="63" t="inlineStr">
        <is>
          <t>Product Name</t>
        </is>
      </c>
      <c r="D46" s="63" t="inlineStr">
        <is>
          <t>Brand</t>
        </is>
      </c>
      <c r="E46" s="63" t="inlineStr">
        <is>
          <t>Type</t>
        </is>
      </c>
      <c r="F46" s="64" t="inlineStr">
        <is>
          <t>Price</t>
        </is>
      </c>
      <c r="G46" s="65" t="inlineStr">
        <is>
          <t>Est. Monthly Retail Rev</t>
        </is>
      </c>
      <c r="H46" s="66" t="inlineStr">
        <is>
          <t>Est. Monthly Units Sold</t>
        </is>
      </c>
      <c r="I46" s="67" t="inlineStr">
        <is>
          <t># of Reviews</t>
        </is>
      </c>
      <c r="J46" s="313" t="inlineStr">
        <is>
          <t>Avg. Rating</t>
        </is>
      </c>
      <c r="K46" s="313" t="inlineStr">
        <is>
          <t>Column2</t>
        </is>
      </c>
      <c r="L46" s="313" t="inlineStr">
        <is>
          <t>Link</t>
        </is>
      </c>
    </row>
    <row r="47" ht="17" customHeight="1" s="290">
      <c r="A47" s="15" t="n">
        <v>1</v>
      </c>
      <c r="B47" s="16" t="inlineStr">
        <is>
          <t>B01G5EA74I</t>
        </is>
      </c>
      <c r="C47" s="5" t="inlineStr">
        <is>
          <t>ANCEL AD310 Classic Enhanced Universal OBD II Scanner Car Engine Fault Code Reader CAN Diagnostic Scan Tool, Read and Clear Error Codes for 1996 or Newer OBD2 Protocol Vehicle (Black)</t>
        </is>
      </c>
      <c r="D47" s="5" t="inlineStr">
        <is>
          <t>ancel</t>
        </is>
      </c>
      <c r="E47" s="5" t="inlineStr">
        <is>
          <t>Handheld</t>
        </is>
      </c>
      <c r="F47" s="6" t="n">
        <v>28.93877341320998</v>
      </c>
      <c r="G47" s="6" t="n">
        <v>763231.21</v>
      </c>
      <c r="H47" s="17" t="n">
        <v>26374</v>
      </c>
      <c r="I47" s="17" t="n">
        <v>63860</v>
      </c>
      <c r="J47" s="5" t="n">
        <v>4.6</v>
      </c>
      <c r="K47" s="5" t="inlineStr">
        <is>
          <t>https://amazon.com/dp/B01G5EA74I</t>
        </is>
      </c>
      <c r="L47" s="34">
        <f>HYPERLINK(K47)</f>
        <v/>
      </c>
    </row>
    <row r="48" ht="17" customHeight="1" s="290">
      <c r="A48" s="15" t="n">
        <v>2</v>
      </c>
      <c r="B48" s="16" t="inlineStr">
        <is>
          <t>B00UJV3E12</t>
        </is>
      </c>
      <c r="C48" s="5" t="inlineStr">
        <is>
          <t>FOXWELL NT301 OBD2 Scanner Live Data Professional Mechanic OBDII Diagnostic Code Reader Tool for Check Engine Light</t>
        </is>
      </c>
      <c r="D48" s="5" t="inlineStr">
        <is>
          <t>foxwell</t>
        </is>
      </c>
      <c r="E48" s="5" t="inlineStr">
        <is>
          <t>Handheld</t>
        </is>
      </c>
      <c r="F48" s="6" t="n">
        <v>65.66388878793386</v>
      </c>
      <c r="G48" s="6" t="n">
        <v>361348.38</v>
      </c>
      <c r="H48" s="17" t="n">
        <v>5503</v>
      </c>
      <c r="I48" s="17" t="n">
        <v>29739</v>
      </c>
      <c r="J48" s="5" t="n">
        <v>4.5</v>
      </c>
      <c r="K48" s="5" t="inlineStr">
        <is>
          <t>https://amazon.com/dp/B00UJV3E12</t>
        </is>
      </c>
      <c r="L48" s="34">
        <f>HYPERLINK(K48)</f>
        <v/>
      </c>
    </row>
    <row r="49" ht="17" customHeight="1" s="290">
      <c r="A49" s="15" t="n">
        <v>3</v>
      </c>
      <c r="B49" s="16" t="inlineStr">
        <is>
          <t>B071FSNL73</t>
        </is>
      </c>
      <c r="C49" s="5" t="inlineStr">
        <is>
          <t>ANCEL AD410 Enhanced OBD2 Scanner, Vehicle Code Reader for Check Engine Light, Automotive OBD II Scanner Fault Diagnosis, OBDII Scan Tool for All OBDII Cars 1996+, Black/Yellow</t>
        </is>
      </c>
      <c r="D49" s="5" t="inlineStr">
        <is>
          <t>ancel</t>
        </is>
      </c>
      <c r="E49" s="5" t="inlineStr">
        <is>
          <t>Handheld</t>
        </is>
      </c>
      <c r="F49" s="6" t="n">
        <v>43.56900433622415</v>
      </c>
      <c r="G49" s="6" t="n">
        <v>261239.75</v>
      </c>
      <c r="H49" s="17" t="n">
        <v>5996</v>
      </c>
      <c r="I49" s="17" t="n">
        <v>15054</v>
      </c>
      <c r="J49" s="5" t="n">
        <v>4.5</v>
      </c>
      <c r="K49" s="5" t="inlineStr">
        <is>
          <t>https://amazon.com/dp/B071FSNL73</t>
        </is>
      </c>
      <c r="L49" s="34">
        <f>HYPERLINK(K49)</f>
        <v/>
      </c>
    </row>
    <row r="50" ht="17" customHeight="1" s="290">
      <c r="A50" s="15" t="n">
        <v>4</v>
      </c>
      <c r="B50" s="16" t="inlineStr">
        <is>
          <t>B07Z3HB7DR</t>
        </is>
      </c>
      <c r="C50" s="5" t="inlineStr">
        <is>
          <t>MOTOPOWER MP69033 Car OBD2 Scanner Code Reader Engine Fault Scanner CAN Diagnostic Scan Tool for All OBD II Protocol Cars Since 1996, Yellow</t>
        </is>
      </c>
      <c r="D50" s="5" t="inlineStr">
        <is>
          <t>motopower</t>
        </is>
      </c>
      <c r="E50" s="5" t="inlineStr">
        <is>
          <t>Handheld</t>
        </is>
      </c>
      <c r="F50" s="6" t="n">
        <v>20.86620090572252</v>
      </c>
      <c r="G50" s="6" t="n">
        <v>253420.01</v>
      </c>
      <c r="H50" s="17" t="n">
        <v>12145</v>
      </c>
      <c r="I50" s="17" t="n">
        <v>50750</v>
      </c>
      <c r="J50" s="5" t="n">
        <v>4.6</v>
      </c>
      <c r="K50" s="5" t="inlineStr">
        <is>
          <t>https://amazon.com/dp/B07Z3HB7DR</t>
        </is>
      </c>
      <c r="L50" s="34">
        <f>HYPERLINK(K50)</f>
        <v/>
      </c>
    </row>
    <row r="51" ht="17" customHeight="1" s="290">
      <c r="A51" s="15" t="n"/>
      <c r="B51" s="16" t="n"/>
      <c r="C51" s="5" t="n"/>
      <c r="D51" s="5" t="n"/>
      <c r="E51" s="5" t="n"/>
      <c r="F51" s="6" t="n"/>
      <c r="G51" s="6" t="n"/>
      <c r="H51" s="17" t="n"/>
      <c r="I51" s="17" t="n"/>
      <c r="J51" s="5" t="n"/>
      <c r="K51" s="5" t="n"/>
      <c r="L51" s="34">
        <f>HYPERLINK(K51)</f>
        <v/>
      </c>
    </row>
    <row r="52" ht="17" customHeight="1" s="290">
      <c r="A52" s="15" t="n"/>
      <c r="B52" s="16" t="n"/>
      <c r="C52" s="5" t="n"/>
      <c r="D52" s="5" t="n"/>
      <c r="E52" s="5" t="n"/>
      <c r="F52" s="6" t="n"/>
      <c r="G52" s="6" t="n"/>
      <c r="H52" s="17" t="n"/>
      <c r="I52" s="17" t="n"/>
      <c r="J52" s="5" t="n"/>
      <c r="K52" s="5" t="n"/>
      <c r="L52" s="34">
        <f>HYPERLINK(K52)</f>
        <v/>
      </c>
    </row>
    <row r="53" ht="17" customHeight="1" s="290">
      <c r="A53" s="15" t="n"/>
      <c r="B53" s="16" t="n"/>
      <c r="C53" s="5" t="n"/>
      <c r="D53" s="5" t="n"/>
      <c r="E53" s="5" t="n"/>
      <c r="F53" s="6" t="n"/>
      <c r="G53" s="6" t="n"/>
      <c r="H53" s="17" t="n"/>
      <c r="I53" s="17" t="n"/>
      <c r="J53" s="5" t="n"/>
      <c r="K53" s="5" t="n"/>
      <c r="L53" s="34">
        <f>HYPERLINK(K53)</f>
        <v/>
      </c>
    </row>
    <row r="54" ht="17" customHeight="1" s="290">
      <c r="A54" s="15" t="n"/>
      <c r="B54" s="16" t="n"/>
      <c r="C54" s="5" t="n"/>
      <c r="D54" s="5" t="n"/>
      <c r="E54" s="5" t="n"/>
      <c r="F54" s="6" t="n"/>
      <c r="G54" s="6" t="n"/>
      <c r="H54" s="17" t="n"/>
      <c r="I54" s="17" t="n"/>
      <c r="J54" s="5" t="n"/>
      <c r="K54" s="5" t="n"/>
      <c r="L54" s="34">
        <f>HYPERLINK(K54)</f>
        <v/>
      </c>
    </row>
    <row r="55" ht="17" customHeight="1" s="290">
      <c r="A55" s="15" t="n"/>
      <c r="B55" s="16" t="n"/>
      <c r="C55" s="5" t="n"/>
      <c r="D55" s="5" t="n"/>
      <c r="E55" s="5" t="n"/>
      <c r="F55" s="6" t="n"/>
      <c r="G55" s="6" t="n"/>
      <c r="H55" s="17" t="n"/>
      <c r="I55" s="17" t="n"/>
      <c r="J55" s="5" t="n"/>
      <c r="K55" s="5" t="n"/>
      <c r="L55" s="34">
        <f>HYPERLINK(K55)</f>
        <v/>
      </c>
    </row>
    <row r="56" ht="17" customHeight="1" s="290">
      <c r="A56" s="15" t="n"/>
      <c r="B56" s="16" t="n"/>
      <c r="C56" s="5" t="n"/>
      <c r="D56" s="5" t="n"/>
      <c r="E56" s="5" t="n"/>
      <c r="F56" s="6" t="n"/>
      <c r="G56" s="6" t="n"/>
      <c r="H56" s="17" t="n"/>
      <c r="I56" s="17" t="n"/>
      <c r="J56" s="5" t="n"/>
      <c r="K56" s="5" t="n"/>
      <c r="L56" s="34">
        <f>HYPERLINK(K56)</f>
        <v/>
      </c>
    </row>
    <row r="58" ht="26" customHeight="1" s="290">
      <c r="A58" s="289" t="inlineStr">
        <is>
          <t>Rank By Monthly Units - Mar '26 ONLY</t>
        </is>
      </c>
    </row>
    <row r="59">
      <c r="A59" s="62" t="inlineStr">
        <is>
          <t>Ranking</t>
        </is>
      </c>
      <c r="B59" s="63" t="inlineStr">
        <is>
          <t>ASIN</t>
        </is>
      </c>
      <c r="C59" s="63" t="inlineStr">
        <is>
          <t>Product Name</t>
        </is>
      </c>
      <c r="D59" s="63" t="inlineStr">
        <is>
          <t>Brand</t>
        </is>
      </c>
      <c r="E59" s="63" t="inlineStr">
        <is>
          <t>Type</t>
        </is>
      </c>
      <c r="F59" s="64" t="inlineStr">
        <is>
          <t>Price</t>
        </is>
      </c>
      <c r="G59" s="65" t="inlineStr">
        <is>
          <t>Est. Monthly Retail Rev</t>
        </is>
      </c>
      <c r="H59" s="66" t="inlineStr">
        <is>
          <t>Est. Monthly Units Sold</t>
        </is>
      </c>
      <c r="I59" s="67" t="inlineStr">
        <is>
          <t># of Reviews</t>
        </is>
      </c>
      <c r="J59" s="313" t="inlineStr">
        <is>
          <t>Avg. Rating</t>
        </is>
      </c>
      <c r="K59" s="313" t="inlineStr">
        <is>
          <t>Column2</t>
        </is>
      </c>
      <c r="L59" s="313" t="inlineStr">
        <is>
          <t>Link</t>
        </is>
      </c>
    </row>
    <row r="60" ht="17" customHeight="1" s="290">
      <c r="A60" s="15" t="n">
        <v>1</v>
      </c>
      <c r="B60" s="16" t="inlineStr">
        <is>
          <t>B01G5EA74I</t>
        </is>
      </c>
      <c r="C60" s="5" t="inlineStr">
        <is>
          <t>ANCEL AD310 Classic Enhanced Universal OBD II Scanner Car Engine Fault Code Reader CAN Diagnostic Scan Tool, Read and Clear Error Codes for 1996 or Newer OBD2 Protocol Vehicle (Black)</t>
        </is>
      </c>
      <c r="D60" s="5" t="inlineStr">
        <is>
          <t>ancel</t>
        </is>
      </c>
      <c r="E60" s="5" t="inlineStr">
        <is>
          <t>Handheld</t>
        </is>
      </c>
      <c r="F60" s="6" t="n">
        <v>28.93877341320998</v>
      </c>
      <c r="G60" s="6" t="n">
        <v>763231.21</v>
      </c>
      <c r="H60" s="17" t="n">
        <v>26374</v>
      </c>
      <c r="I60" s="17" t="n">
        <v>63860</v>
      </c>
      <c r="J60" s="5" t="n">
        <v>4.6</v>
      </c>
      <c r="K60" s="5" t="inlineStr">
        <is>
          <t>https://amazon.com/dp/B01G5EA74I</t>
        </is>
      </c>
      <c r="L60" s="34">
        <f>HYPERLINK(K60)</f>
        <v/>
      </c>
    </row>
    <row r="61" ht="17" customHeight="1" s="290">
      <c r="A61" s="15" t="n">
        <v>2</v>
      </c>
      <c r="B61" s="16" t="inlineStr">
        <is>
          <t>B07Z3HB7DR</t>
        </is>
      </c>
      <c r="C61" s="5" t="inlineStr">
        <is>
          <t>MOTOPOWER MP69033 Car OBD2 Scanner Code Reader Engine Fault Scanner CAN Diagnostic Scan Tool for All OBD II Protocol Cars Since 1996, Yellow</t>
        </is>
      </c>
      <c r="D61" s="5" t="inlineStr">
        <is>
          <t>motopower</t>
        </is>
      </c>
      <c r="E61" s="5" t="inlineStr">
        <is>
          <t>Handheld</t>
        </is>
      </c>
      <c r="F61" s="6" t="n">
        <v>20.86620090572252</v>
      </c>
      <c r="G61" s="6" t="n">
        <v>253420.01</v>
      </c>
      <c r="H61" s="17" t="n">
        <v>12145</v>
      </c>
      <c r="I61" s="17" t="n">
        <v>50750</v>
      </c>
      <c r="J61" s="5" t="n">
        <v>4.6</v>
      </c>
      <c r="K61" s="5" t="inlineStr">
        <is>
          <t>https://amazon.com/dp/B07Z3HB7DR</t>
        </is>
      </c>
      <c r="L61" s="34">
        <f>HYPERLINK(K61)</f>
        <v/>
      </c>
    </row>
    <row r="62" ht="17" customHeight="1" s="290">
      <c r="A62" s="15" t="n">
        <v>3</v>
      </c>
      <c r="B62" s="16" t="inlineStr">
        <is>
          <t>B0BY1TS725</t>
        </is>
      </c>
      <c r="C62" s="5" t="inlineStr">
        <is>
          <t>VDIAGTOOL VD10 OBD2 Scanner Code Reader Car Diagnostic Tool Engine Fault Code Reader for Turn Off CEL with Freeze Frame/I/M Readiness for All OBDII Protocol Cars, OBD2 Scanner Diagnostic Tool</t>
        </is>
      </c>
      <c r="D62" s="5" t="inlineStr">
        <is>
          <t>vdiagtool</t>
        </is>
      </c>
      <c r="E62" s="5" t="inlineStr">
        <is>
          <t>Handheld</t>
        </is>
      </c>
      <c r="F62" s="6" t="n">
        <v>16.26340530242896</v>
      </c>
      <c r="G62" s="6" t="n">
        <v>102443.19</v>
      </c>
      <c r="H62" s="17" t="n">
        <v>6299</v>
      </c>
      <c r="I62" s="17" t="n">
        <v>2555</v>
      </c>
      <c r="J62" s="5" t="n">
        <v>4.6</v>
      </c>
      <c r="K62" s="5" t="inlineStr">
        <is>
          <t>https://amazon.com/dp/B0BY1TS725</t>
        </is>
      </c>
      <c r="L62" s="34">
        <f>HYPERLINK(K62)</f>
        <v/>
      </c>
    </row>
    <row r="63" ht="17" customHeight="1" s="290">
      <c r="A63" s="15" t="n">
        <v>4</v>
      </c>
      <c r="B63" s="16" t="inlineStr">
        <is>
          <t>B071FSNL73</t>
        </is>
      </c>
      <c r="C63" s="5" t="inlineStr">
        <is>
          <t>ANCEL AD410 Enhanced OBD2 Scanner, Vehicle Code Reader for Check Engine Light, Automotive OBD II Scanner Fault Diagnosis, OBDII Scan Tool for All OBDII Cars 1996+, Black/Yellow</t>
        </is>
      </c>
      <c r="D63" s="5" t="inlineStr">
        <is>
          <t>ancel</t>
        </is>
      </c>
      <c r="E63" s="5" t="inlineStr">
        <is>
          <t>Handheld</t>
        </is>
      </c>
      <c r="F63" s="6" t="n">
        <v>43.56900433622415</v>
      </c>
      <c r="G63" s="6" t="n">
        <v>261239.75</v>
      </c>
      <c r="H63" s="17" t="n">
        <v>5996</v>
      </c>
      <c r="I63" s="17" t="n">
        <v>15054</v>
      </c>
      <c r="J63" s="5" t="n">
        <v>4.5</v>
      </c>
      <c r="K63" s="5" t="inlineStr">
        <is>
          <t>https://amazon.com/dp/B071FSNL73</t>
        </is>
      </c>
      <c r="L63" s="34">
        <f>HYPERLINK(K63)</f>
        <v/>
      </c>
    </row>
    <row r="64" ht="17" customHeight="1" s="290">
      <c r="A64" s="15" t="n">
        <v>5</v>
      </c>
      <c r="B64" s="16" t="inlineStr">
        <is>
          <t>B00UJV3E12</t>
        </is>
      </c>
      <c r="C64" s="5" t="inlineStr">
        <is>
          <t>FOXWELL NT301 OBD2 Scanner Live Data Professional Mechanic OBDII Diagnostic Code Reader Tool for Check Engine Light</t>
        </is>
      </c>
      <c r="D64" s="5" t="inlineStr">
        <is>
          <t>foxwell</t>
        </is>
      </c>
      <c r="E64" s="5" t="inlineStr">
        <is>
          <t>Handheld</t>
        </is>
      </c>
      <c r="F64" s="6" t="n">
        <v>65.66388878793386</v>
      </c>
      <c r="G64" s="6" t="n">
        <v>361348.38</v>
      </c>
      <c r="H64" s="17" t="n">
        <v>5503</v>
      </c>
      <c r="I64" s="17" t="n">
        <v>29739</v>
      </c>
      <c r="J64" s="5" t="n">
        <v>4.5</v>
      </c>
      <c r="K64" s="5" t="inlineStr">
        <is>
          <t>https://amazon.com/dp/B00UJV3E12</t>
        </is>
      </c>
      <c r="L64" s="34">
        <f>HYPERLINK(K64)</f>
        <v/>
      </c>
    </row>
    <row r="65" ht="17" customHeight="1" s="290">
      <c r="A65" s="15" t="n">
        <v>6</v>
      </c>
      <c r="B65" s="16" t="inlineStr">
        <is>
          <t>B007XE8C74</t>
        </is>
      </c>
      <c r="C65" s="5" t="inlineStr">
        <is>
          <t>Autel Professional OBD2 Scanner AL319 Code Reader, Enhanced Check and Reset Engine Fault Code, Live Data, Freeze Frame, CAN Car Diagnostic Scan Tools for All OBDII Vehicles After 1996, 2026 Upgraded</t>
        </is>
      </c>
      <c r="D65" s="5" t="inlineStr">
        <is>
          <t>autel</t>
        </is>
      </c>
      <c r="E65" s="5" t="inlineStr">
        <is>
          <t>Handheld</t>
        </is>
      </c>
      <c r="F65" s="6" t="n">
        <v>33.92090459901178</v>
      </c>
      <c r="G65" s="6" t="n">
        <v>89245.89999999999</v>
      </c>
      <c r="H65" s="17" t="n">
        <v>2631</v>
      </c>
      <c r="I65" s="17" t="n">
        <v>25897</v>
      </c>
      <c r="J65" s="5" t="n">
        <v>4.6</v>
      </c>
      <c r="K65" s="5" t="inlineStr">
        <is>
          <t>https://amazon.com/dp/B007XE8C74</t>
        </is>
      </c>
      <c r="L65" s="34">
        <f>HYPERLINK(K65)</f>
        <v/>
      </c>
    </row>
    <row r="66" ht="17" customHeight="1" s="290">
      <c r="A66" s="15" t="n">
        <v>7</v>
      </c>
      <c r="B66" s="16" t="inlineStr">
        <is>
          <t>B0D4YZG7Q6</t>
        </is>
      </c>
      <c r="C66" s="5" t="inlineStr">
        <is>
          <t>OBD2 Scanner, CGSULIT SC103 Car Code Reader Diagnose Check Engine Light Smog Check DTCs Scan Tool Live Data Stream Voltage Test for Vehicles Since 1996</t>
        </is>
      </c>
      <c r="D66" s="5" t="inlineStr">
        <is>
          <t>cgsulit</t>
        </is>
      </c>
      <c r="E66" s="5" t="inlineStr">
        <is>
          <t>Handheld</t>
        </is>
      </c>
      <c r="F66" s="6" t="n">
        <v>17.38283636363636</v>
      </c>
      <c r="G66" s="6" t="n">
        <v>23901.4</v>
      </c>
      <c r="H66" s="17" t="n">
        <v>1375</v>
      </c>
      <c r="I66" s="17" t="n">
        <v>1084</v>
      </c>
      <c r="J66" s="5" t="n">
        <v>4.5</v>
      </c>
      <c r="K66" s="5" t="inlineStr">
        <is>
          <t>https://amazon.com/dp/B0D4YZG7Q6</t>
        </is>
      </c>
      <c r="L66" s="34">
        <f>HYPERLINK(K66)</f>
        <v/>
      </c>
    </row>
    <row r="67" ht="17" customHeight="1" s="290">
      <c r="A67" s="15" t="n">
        <v>8</v>
      </c>
      <c r="B67" s="16" t="inlineStr">
        <is>
          <t>B0C2V3RYLY</t>
        </is>
      </c>
      <c r="C67" s="5" t="inlineStr">
        <is>
          <t>ZMOON ZM201 Professional OBD2 Scanner Diagnostic Tool, Enhanced Check Engine Code Reader with Reset OBDII/EOBD Car Diagnostic Scan Tools for All Vehicles After 1996, 2026 Upgraded</t>
        </is>
      </c>
      <c r="D67" s="5" t="inlineStr">
        <is>
          <t>zmoon</t>
        </is>
      </c>
      <c r="E67" s="5" t="inlineStr">
        <is>
          <t>Handheld</t>
        </is>
      </c>
      <c r="F67" s="6" t="n">
        <v>36.46699530516432</v>
      </c>
      <c r="G67" s="6" t="n">
        <v>46604.82</v>
      </c>
      <c r="H67" s="17" t="n">
        <v>1278</v>
      </c>
      <c r="I67" s="17" t="n">
        <v>2716</v>
      </c>
      <c r="J67" s="5" t="n">
        <v>4.5</v>
      </c>
      <c r="K67" s="5" t="inlineStr">
        <is>
          <t>https://amazon.com/dp/B0C2V3RYLY</t>
        </is>
      </c>
      <c r="L67" s="34">
        <f>HYPERLINK(K67)</f>
        <v/>
      </c>
    </row>
    <row r="68" ht="17" customHeight="1" s="290">
      <c r="A68" s="15" t="n">
        <v>9</v>
      </c>
      <c r="B68" s="16" t="inlineStr">
        <is>
          <t>B0BX3K8VGJ</t>
        </is>
      </c>
      <c r="C68" s="5" t="inlineStr">
        <is>
          <t>ANCEL AD410 PRO OBD2 Scanner and Battery Tester, 2-in-1 Car Diagnostic Tool, Check Engine Light, EVAP Test, Live Data, 12V Battery Analyzer with Cranking &amp; Charging System Test for Car Motorcycle</t>
        </is>
      </c>
      <c r="D68" s="5" t="inlineStr">
        <is>
          <t>ancel</t>
        </is>
      </c>
      <c r="E68" s="5" t="inlineStr">
        <is>
          <t>Handheld</t>
        </is>
      </c>
      <c r="F68" s="6" t="n">
        <v>62.35547598253275</v>
      </c>
      <c r="G68" s="6" t="n">
        <v>71397.02</v>
      </c>
      <c r="H68" s="17" t="n">
        <v>1145</v>
      </c>
      <c r="I68" s="17" t="n">
        <v>4093</v>
      </c>
      <c r="J68" s="5" t="n">
        <v>4.6</v>
      </c>
      <c r="K68" s="5" t="inlineStr">
        <is>
          <t>https://amazon.com/dp/B0BX3K8VGJ</t>
        </is>
      </c>
      <c r="L68" s="34">
        <f>HYPERLINK(K68)</f>
        <v/>
      </c>
    </row>
    <row r="69" ht="17" customHeight="1" s="290">
      <c r="A69" s="15" t="n">
        <v>10</v>
      </c>
      <c r="B69" s="16" t="inlineStr">
        <is>
          <t>B0DHQSQYTR</t>
        </is>
      </c>
      <c r="C69" s="5" t="inlineStr">
        <is>
          <t>MOTOPOWER MP69033 Pro OBD2 Scanner Code Reader Check Engine Fault Light Diagnostic Scan Tool with Battery Tester</t>
        </is>
      </c>
      <c r="D69" s="5" t="inlineStr">
        <is>
          <t>motopower</t>
        </is>
      </c>
      <c r="E69" s="5" t="inlineStr">
        <is>
          <t>Handheld</t>
        </is>
      </c>
      <c r="F69" s="6" t="n">
        <v>31.00490990990991</v>
      </c>
      <c r="G69" s="6" t="n">
        <v>34415.45</v>
      </c>
      <c r="H69" s="17" t="n">
        <v>1110</v>
      </c>
      <c r="I69" s="17" t="n">
        <v>826</v>
      </c>
      <c r="J69" s="5" t="n">
        <v>4.6</v>
      </c>
      <c r="K69" s="5" t="inlineStr">
        <is>
          <t>https://amazon.com/dp/B0DHQSQYTR</t>
        </is>
      </c>
      <c r="L69" s="34">
        <f>HYPERLINK(K69)</f>
        <v/>
      </c>
    </row>
  </sheetData>
  <mergeCells count="4">
    <mergeCell ref="A3:M3"/>
    <mergeCell ref="A58:L58"/>
    <mergeCell ref="A45:L45"/>
    <mergeCell ref="A1:M1"/>
  </mergeCells>
  <conditionalFormatting sqref="C5:M13">
    <cfRule type="expression" priority="1" dxfId="30">
      <formula>C5&lt;0</formula>
    </cfRule>
  </conditionalFormatting>
  <pageMargins left="0.7" right="0.7" top="0.75" bottom="0.75" header="0.3" footer="0.3"/>
  <drawing xmlns:r="http://schemas.openxmlformats.org/officeDocument/2006/relationships" r:id="rId1"/>
  <tableParts count="2">
    <tablePart xmlns:r="http://schemas.openxmlformats.org/officeDocument/2006/relationships" r:id="rId2"/>
    <tablePart xmlns:r="http://schemas.openxmlformats.org/officeDocument/2006/relationships" r:id="rId3"/>
  </tableParts>
</worksheet>
</file>

<file path=xl/worksheets/sheet10.xml><?xml version="1.0" encoding="utf-8"?>
<worksheet xmlns="http://schemas.openxmlformats.org/spreadsheetml/2006/main">
  <sheetPr>
    <outlinePr summaryBelow="1" summaryRight="1"/>
    <pageSetUpPr/>
  </sheetPr>
  <dimension ref="A1:M69"/>
  <sheetViews>
    <sheetView workbookViewId="0">
      <selection activeCell="P43" sqref="P43"/>
    </sheetView>
  </sheetViews>
  <sheetFormatPr baseColWidth="10" defaultColWidth="11.1640625" defaultRowHeight="16"/>
  <cols>
    <col width="10.6640625" customWidth="1" style="290" min="1" max="1"/>
    <col width="12.1640625" customWidth="1" style="290" min="2" max="2"/>
    <col width="14.83203125" customWidth="1" style="290" min="3" max="3"/>
    <col width="12.6640625" customWidth="1" style="290" min="5" max="5"/>
    <col width="10.6640625" customWidth="1" style="290" min="6" max="6"/>
    <col width="21.1640625" bestFit="1" customWidth="1" style="290" min="7" max="8"/>
    <col width="12.83203125" bestFit="1" customWidth="1" style="290" min="9" max="9"/>
    <col width="13" bestFit="1" customWidth="1" style="290" min="10" max="10"/>
    <col hidden="1" width="28.5" customWidth="1" style="290" min="11" max="11"/>
    <col width="35.6640625" customWidth="1" style="290" min="12" max="12"/>
    <col width="11.33203125" bestFit="1" customWidth="1" style="290" min="13" max="13"/>
  </cols>
  <sheetData>
    <row r="1" ht="26" customHeight="1" s="290">
      <c r="A1" s="289" t="inlineStr">
        <is>
          <t>Dongle Monthly Summary</t>
        </is>
      </c>
    </row>
    <row r="3" ht="21" customHeight="1" s="290">
      <c r="A3" s="292" t="inlineStr">
        <is>
          <t>Dongle Overall</t>
        </is>
      </c>
    </row>
    <row r="4" ht="32" customHeight="1" s="290">
      <c r="A4" s="80" t="n"/>
      <c r="B4" s="81" t="inlineStr">
        <is>
          <t>Avg Price</t>
        </is>
      </c>
      <c r="C4" s="81" t="inlineStr">
        <is>
          <t>Avg Price MoM</t>
        </is>
      </c>
      <c r="D4" s="82" t="inlineStr">
        <is>
          <t>Avg Price YoY</t>
        </is>
      </c>
      <c r="E4" s="81" t="inlineStr">
        <is>
          <t>Quantity/Mo</t>
        </is>
      </c>
      <c r="F4" s="84" t="inlineStr">
        <is>
          <t>Qty by %</t>
        </is>
      </c>
      <c r="G4" s="84" t="inlineStr">
        <is>
          <t>Qty MoM</t>
        </is>
      </c>
      <c r="H4" s="82" t="inlineStr">
        <is>
          <t>Qty YoY</t>
        </is>
      </c>
      <c r="I4" s="309" t="inlineStr">
        <is>
          <t>Revenue/Mo</t>
        </is>
      </c>
      <c r="J4" s="126" t="inlineStr">
        <is>
          <t>Revenue by %</t>
        </is>
      </c>
      <c r="K4" s="173" t="n"/>
      <c r="L4" s="126" t="inlineStr">
        <is>
          <t>Revenue MoM</t>
        </is>
      </c>
      <c r="M4" s="310" t="inlineStr">
        <is>
          <t>Revenue YoY</t>
        </is>
      </c>
    </row>
    <row r="5">
      <c r="A5" s="133" t="inlineStr">
        <is>
          <t>bluedriver</t>
        </is>
      </c>
      <c r="B5" s="318" t="n">
        <v>83.7372767310986</v>
      </c>
      <c r="C5" s="137" t="n">
        <v>-0.02884975764302256</v>
      </c>
      <c r="D5" s="135" t="n">
        <v>-0.07906092937254283</v>
      </c>
      <c r="E5" s="136" t="n">
        <v>12261</v>
      </c>
      <c r="F5" s="137" t="n">
        <v>0.1852926508591377</v>
      </c>
      <c r="G5" s="137" t="n">
        <v>-0.04188481675392675</v>
      </c>
      <c r="H5" s="135" t="n">
        <v>0.01255264679164259</v>
      </c>
      <c r="I5" s="138" t="n">
        <v>1026702.75</v>
      </c>
      <c r="J5" s="139" t="n">
        <v>0.1855823059814264</v>
      </c>
      <c r="L5" s="139" t="n">
        <v>-0.06952620758467609</v>
      </c>
      <c r="M5" s="139" t="n">
        <v>-0.06750070650233275</v>
      </c>
    </row>
    <row r="6">
      <c r="A6" s="140" t="inlineStr">
        <is>
          <t>obdlink</t>
        </is>
      </c>
      <c r="B6" s="319" t="n">
        <v>116.1380829572319</v>
      </c>
      <c r="C6" s="144" t="n">
        <v>0.002358116204124627</v>
      </c>
      <c r="D6" s="142" t="n">
        <v>-0.01277981693167618</v>
      </c>
      <c r="E6" s="143" t="n">
        <v>9306</v>
      </c>
      <c r="F6" s="144" t="n">
        <v>0.1617590822179732</v>
      </c>
      <c r="G6" s="144" t="n">
        <v>0.1671892637652075</v>
      </c>
      <c r="H6" s="142" t="n">
        <v>0.3667205169628434</v>
      </c>
      <c r="I6" s="145" t="n">
        <v>1080781</v>
      </c>
      <c r="J6" s="146" t="n">
        <v>0.2216718018631264</v>
      </c>
      <c r="L6" s="146" t="n">
        <v>0.1699416316813727</v>
      </c>
      <c r="M6" s="146" t="n">
        <v>0.3492540789592924</v>
      </c>
    </row>
    <row r="7">
      <c r="A7" s="133" t="inlineStr">
        <is>
          <t>fixd</t>
        </is>
      </c>
      <c r="B7" s="318" t="n">
        <v>73.3887341772152</v>
      </c>
      <c r="C7" s="137" t="n">
        <v>-0.08533597968186701</v>
      </c>
      <c r="D7" s="135" t="n">
        <v>0.6276644731853764</v>
      </c>
      <c r="E7" s="136" t="n">
        <v>6873</v>
      </c>
      <c r="F7" s="137" t="n">
        <v>0.1194681035981227</v>
      </c>
      <c r="G7" s="137" t="n">
        <v>-0.0759612799139554</v>
      </c>
      <c r="H7" s="135" t="n">
        <v>-0.4003664281975222</v>
      </c>
      <c r="I7" s="138" t="n">
        <v>504400.77</v>
      </c>
      <c r="J7" s="139" t="n">
        <v>0.1034542868046796</v>
      </c>
      <c r="L7" s="139" t="n">
        <v>-0.1548150293564765</v>
      </c>
      <c r="M7" s="139" t="n">
        <v>-0.02399773824785445</v>
      </c>
    </row>
    <row r="8">
      <c r="A8" s="140" t="inlineStr">
        <is>
          <t>generic</t>
        </is>
      </c>
      <c r="B8" s="319" t="n">
        <v>400.7187366548043</v>
      </c>
      <c r="C8" s="144" t="n">
        <v>0.0673915704238961</v>
      </c>
      <c r="D8" s="142" t="n">
        <v>3.441930574966677</v>
      </c>
      <c r="E8" s="143" t="n">
        <v>1124</v>
      </c>
      <c r="F8" s="144" t="n">
        <v>0.01953763253954459</v>
      </c>
      <c r="G8" s="144" t="n">
        <v>0.0008904719501334757</v>
      </c>
      <c r="H8" s="142" t="n">
        <v>3.532258064516129</v>
      </c>
      <c r="I8" s="145" t="n">
        <v>450407.86</v>
      </c>
      <c r="J8" s="146" t="n">
        <v>0.09238016018001315</v>
      </c>
      <c r="L8" s="146" t="n">
        <v>0.06834205267716764</v>
      </c>
      <c r="M8" s="146" t="n">
        <v>19.13197567041349</v>
      </c>
    </row>
    <row r="9">
      <c r="A9" s="133" t="inlineStr">
        <is>
          <t>xtool</t>
        </is>
      </c>
      <c r="B9" s="318" t="n">
        <v>109.3006658595642</v>
      </c>
      <c r="C9" s="137" t="n">
        <v>0.01472456451396775</v>
      </c>
      <c r="D9" s="135" t="n">
        <v>0.4549593516453863</v>
      </c>
      <c r="E9" s="136" t="n">
        <v>2478</v>
      </c>
      <c r="F9" s="137" t="n">
        <v>0.03744842907013646</v>
      </c>
      <c r="G9" s="137" t="n">
        <v>0.04249053428691618</v>
      </c>
      <c r="H9" s="135" t="n">
        <v>1.80634201585504</v>
      </c>
      <c r="I9" s="138" t="n">
        <v>270847.05</v>
      </c>
      <c r="J9" s="139" t="n">
        <v>0.0489571301014502</v>
      </c>
      <c r="L9" s="139" t="n">
        <v>0.05784075341422468</v>
      </c>
      <c r="M9" s="139" t="n">
        <v>3.083113559883655</v>
      </c>
    </row>
    <row r="10">
      <c r="A10" s="140" t="inlineStr">
        <is>
          <t>blcktec</t>
        </is>
      </c>
      <c r="B10" s="319" t="n">
        <v>62.16557142857143</v>
      </c>
      <c r="C10" s="144" t="n">
        <v>0.01967539125626172</v>
      </c>
      <c r="D10" s="142" t="n">
        <v>-0.02985740979463047</v>
      </c>
      <c r="E10" s="143" t="n">
        <v>700</v>
      </c>
      <c r="F10" s="144" t="n">
        <v>0.0121675647488267</v>
      </c>
      <c r="G10" s="144" t="n">
        <v>-0.2081447963800905</v>
      </c>
      <c r="H10" s="142" t="n">
        <v>-0.2871690427698574</v>
      </c>
      <c r="I10" s="145" t="n">
        <v>43515.9</v>
      </c>
      <c r="J10" s="146" t="n">
        <v>0.008925256793647949</v>
      </c>
      <c r="L10" s="146" t="n">
        <v>-0.192564735430562</v>
      </c>
      <c r="M10" s="146" t="n">
        <v>-0.3084523287741766</v>
      </c>
    </row>
    <row r="11">
      <c r="A11" s="133" t="inlineStr">
        <is>
          <t>innova</t>
        </is>
      </c>
      <c r="B11" s="318" t="n">
        <v>89.44265232974911</v>
      </c>
      <c r="C11" s="137" t="n">
        <v>0.02345285981556033</v>
      </c>
      <c r="D11" s="135" t="n">
        <v>-0.1055928317551246</v>
      </c>
      <c r="E11" s="136" t="n">
        <v>279</v>
      </c>
      <c r="F11" s="137" t="n">
        <v>0.004849643664175213</v>
      </c>
      <c r="G11" s="137" t="n">
        <v>-0.003571428571428559</v>
      </c>
      <c r="H11" s="135" t="n">
        <v>-0.3644646924829157</v>
      </c>
      <c r="I11" s="138" t="n">
        <v>24954.5</v>
      </c>
      <c r="J11" s="139" t="n">
        <v>0.005118251504785325</v>
      </c>
      <c r="L11" s="139" t="n">
        <v>0.01979767103050456</v>
      </c>
      <c r="M11" s="139" t="n">
        <v>-0.4315726652840086</v>
      </c>
    </row>
    <row r="12">
      <c r="A12" s="140" t="inlineStr">
        <is>
          <t>Other</t>
        </is>
      </c>
      <c r="B12" s="319" t="n">
        <v>70.61584743171626</v>
      </c>
      <c r="C12" s="144" t="n">
        <v>-0.02502867162781575</v>
      </c>
      <c r="D12" s="142" t="n">
        <v>0.08071013134747251</v>
      </c>
      <c r="E12" s="143" t="n">
        <v>39248</v>
      </c>
      <c r="F12" s="144" t="n">
        <v>0.6822179732313576</v>
      </c>
      <c r="G12" s="144" t="n">
        <v>-0.1915463365398479</v>
      </c>
      <c r="H12" s="142" t="n">
        <v>-0.1596796985398021</v>
      </c>
      <c r="I12" s="145" t="n">
        <v>2771530.78</v>
      </c>
      <c r="J12" s="146" t="n">
        <v>0.5684502428537476</v>
      </c>
      <c r="L12" s="146" t="n">
        <v>-0.2117808578088967</v>
      </c>
      <c r="M12" s="146" t="n">
        <v>-0.09185733663500206</v>
      </c>
    </row>
    <row r="13">
      <c r="A13" s="86" t="inlineStr">
        <is>
          <t>Total</t>
        </is>
      </c>
      <c r="B13" s="312" t="n">
        <v>84.74866695637058</v>
      </c>
      <c r="C13" s="119" t="n">
        <v>0.01398642785362547</v>
      </c>
      <c r="D13" s="118" t="n">
        <v>0.2207924061314857</v>
      </c>
      <c r="E13" s="100" t="n">
        <v>57530</v>
      </c>
      <c r="F13" s="119" t="n">
        <v>0.1976554823370966</v>
      </c>
      <c r="G13" s="119" t="n">
        <v>-0.1315570986489546</v>
      </c>
      <c r="H13" s="118" t="n">
        <v>-0.1418556085918854</v>
      </c>
      <c r="I13" s="85" t="n">
        <v>4875590.81</v>
      </c>
      <c r="J13" s="132" t="n">
        <v>0.1502449303134574</v>
      </c>
      <c r="L13" s="175" t="n">
        <v>-0.1194106846642152</v>
      </c>
      <c r="M13" s="119" t="n">
        <v>0.04761615639535144</v>
      </c>
    </row>
    <row r="45" ht="26" customHeight="1" s="290">
      <c r="A45" s="289" t="inlineStr">
        <is>
          <t>Rank By Monthly Revenue - Mar '26 ONLY</t>
        </is>
      </c>
    </row>
    <row r="46">
      <c r="A46" s="62" t="inlineStr">
        <is>
          <t>Ranking</t>
        </is>
      </c>
      <c r="B46" s="63" t="inlineStr">
        <is>
          <t>ASIN</t>
        </is>
      </c>
      <c r="C46" s="63" t="inlineStr">
        <is>
          <t>Product Name</t>
        </is>
      </c>
      <c r="D46" s="63" t="inlineStr">
        <is>
          <t>Brand</t>
        </is>
      </c>
      <c r="E46" s="63" t="inlineStr">
        <is>
          <t>Type</t>
        </is>
      </c>
      <c r="F46" s="64" t="inlineStr">
        <is>
          <t>Price</t>
        </is>
      </c>
      <c r="G46" s="65" t="inlineStr">
        <is>
          <t>Est. Monthly Retail Rev</t>
        </is>
      </c>
      <c r="H46" s="66" t="inlineStr">
        <is>
          <t>Est. Monthly Units Sold</t>
        </is>
      </c>
      <c r="I46" s="67" t="inlineStr">
        <is>
          <t># of Reviews</t>
        </is>
      </c>
      <c r="J46" s="313" t="inlineStr">
        <is>
          <t>Avg. Rating</t>
        </is>
      </c>
      <c r="K46" s="313" t="inlineStr">
        <is>
          <t>Column2</t>
        </is>
      </c>
      <c r="L46" s="313" t="inlineStr">
        <is>
          <t>Link</t>
        </is>
      </c>
    </row>
    <row r="47" ht="17" customHeight="1" s="290">
      <c r="A47" s="15" t="n">
        <v>1</v>
      </c>
      <c r="B47" s="16" t="inlineStr">
        <is>
          <t>B07JFRFJG6</t>
        </is>
      </c>
      <c r="C47" s="5" t="inlineStr">
        <is>
          <t>OBDLink MX+ OBD2 Bluetooth Scanner for iPhone, Android, and Windows</t>
        </is>
      </c>
      <c r="D47" s="5" t="inlineStr">
        <is>
          <t>obdlink</t>
        </is>
      </c>
      <c r="E47" s="5" t="inlineStr">
        <is>
          <t>Dongle</t>
        </is>
      </c>
      <c r="F47" s="6" t="n">
        <v>139.9370678733032</v>
      </c>
      <c r="G47" s="6" t="n">
        <v>773152.3</v>
      </c>
      <c r="H47" s="17" t="n">
        <v>5525</v>
      </c>
      <c r="I47" s="17" t="n">
        <v>15161</v>
      </c>
      <c r="J47" s="5" t="n">
        <v>4.6</v>
      </c>
      <c r="K47" s="5" t="inlineStr">
        <is>
          <t>https://amazon.com/dp/B07JFRFJG6</t>
        </is>
      </c>
      <c r="L47" s="34">
        <f>HYPERLINK(K47)</f>
        <v/>
      </c>
    </row>
    <row r="48" ht="17" customHeight="1" s="290">
      <c r="A48" s="15" t="n">
        <v>2</v>
      </c>
      <c r="B48" s="16" t="inlineStr">
        <is>
          <t>B0BSFTHFC1</t>
        </is>
      </c>
      <c r="C48" s="5" t="inlineStr">
        <is>
          <t>Diesel Laptops Nexiq USB Link 3 Wireless Edition with Repair Information &amp; Diagnostic Software Bluetooth WiFi</t>
        </is>
      </c>
      <c r="D48" s="5" t="inlineStr">
        <is>
          <t>diesel laptops</t>
        </is>
      </c>
      <c r="E48" s="5" t="inlineStr">
        <is>
          <t>Dongle</t>
        </is>
      </c>
      <c r="F48" s="6" t="n">
        <v>798.2018208092486</v>
      </c>
      <c r="G48" s="6" t="n">
        <v>276177.83</v>
      </c>
      <c r="H48" s="17" t="n">
        <v>346</v>
      </c>
      <c r="I48" s="17" t="n">
        <v>130</v>
      </c>
      <c r="J48" s="5" t="n">
        <v>4.6</v>
      </c>
      <c r="K48" s="5" t="inlineStr">
        <is>
          <t>https://amazon.com/dp/B0BSFTHFC1</t>
        </is>
      </c>
      <c r="L48" s="34">
        <f>HYPERLINK(K48)</f>
        <v/>
      </c>
    </row>
    <row r="49" ht="17" customHeight="1" s="290">
      <c r="A49" s="15" t="n">
        <v>3</v>
      </c>
      <c r="B49" s="16" t="inlineStr">
        <is>
          <t>B07CFVD2P3</t>
        </is>
      </c>
      <c r="C49" s="5" t="inlineStr">
        <is>
          <t>FIXD Bluetooth OBD2 Scanner for iPhone &amp; Android - Diagnostic Scan Tool for Repairs and Car Buying - Check Engine Code Reader &amp; Enhanced Codes - (2 Pack w/Free 14-Day FIXD Premium Bundle)</t>
        </is>
      </c>
      <c r="D49" s="5" t="inlineStr">
        <is>
          <t>fixd</t>
        </is>
      </c>
      <c r="E49" s="5" t="inlineStr">
        <is>
          <t>Dongle</t>
        </is>
      </c>
      <c r="F49" s="6" t="n">
        <v>97.98624688722876</v>
      </c>
      <c r="G49" s="6" t="n">
        <v>275439.34</v>
      </c>
      <c r="H49" s="17" t="n">
        <v>2811</v>
      </c>
      <c r="I49" s="17" t="n">
        <v>1243</v>
      </c>
      <c r="J49" s="5" t="n">
        <v>4.1</v>
      </c>
      <c r="K49" s="5" t="inlineStr">
        <is>
          <t>https://amazon.com/dp/B07CFVD2P3</t>
        </is>
      </c>
      <c r="L49" s="34">
        <f>HYPERLINK(K49)</f>
        <v/>
      </c>
    </row>
    <row r="50" ht="17" customHeight="1" s="290">
      <c r="A50" s="15" t="n">
        <v>4</v>
      </c>
      <c r="B50" s="16" t="inlineStr">
        <is>
          <t>B0FZ26RBDC</t>
        </is>
      </c>
      <c r="C50" s="5" t="inlineStr">
        <is>
          <t>HPT MPVI4 Diagnostic Code Reader Scanner and Tool</t>
        </is>
      </c>
      <c r="D50" s="5" t="inlineStr">
        <is>
          <t>generic</t>
        </is>
      </c>
      <c r="E50" s="5" t="inlineStr">
        <is>
          <t>Dongle</t>
        </is>
      </c>
      <c r="F50" s="6" t="n">
        <v>399.9256140350877</v>
      </c>
      <c r="G50" s="6" t="n">
        <v>273549.12</v>
      </c>
      <c r="H50" s="17" t="n">
        <v>684</v>
      </c>
      <c r="I50" s="17" t="n">
        <v>139</v>
      </c>
      <c r="J50" s="5" t="n">
        <v>4.8</v>
      </c>
      <c r="K50" s="5" t="inlineStr">
        <is>
          <t>https://amazon.com/dp/B0FZ26RBDC</t>
        </is>
      </c>
      <c r="L50" s="34">
        <f>HYPERLINK(K50)</f>
        <v/>
      </c>
    </row>
    <row r="51" ht="17" customHeight="1" s="290">
      <c r="A51" s="15" t="n">
        <v>5</v>
      </c>
      <c r="B51" s="16" t="inlineStr">
        <is>
          <t>B08NFLL3NT</t>
        </is>
      </c>
      <c r="C51" s="5" t="inlineStr">
        <is>
          <t>OBDLink CX Bimmercode Bluetooth 5.1 OBD2 Adapter for BMW/Mini, Works with iPhone/iOS &amp; Android, Car Coding, OBD II Diagnostic Scanner</t>
        </is>
      </c>
      <c r="D51" s="5" t="inlineStr">
        <is>
          <t>obdlink</t>
        </is>
      </c>
      <c r="E51" s="5" t="inlineStr">
        <is>
          <t>Dongle</t>
        </is>
      </c>
      <c r="F51" s="6" t="n">
        <v>79.93206907184705</v>
      </c>
      <c r="G51" s="6" t="n">
        <v>259219.7</v>
      </c>
      <c r="H51" s="17" t="n">
        <v>3243</v>
      </c>
      <c r="I51" s="17" t="n">
        <v>4326</v>
      </c>
      <c r="J51" s="5" t="n">
        <v>4.6</v>
      </c>
      <c r="K51" s="5" t="inlineStr">
        <is>
          <t>https://amazon.com/dp/B08NFLL3NT</t>
        </is>
      </c>
      <c r="L51" s="34">
        <f>HYPERLINK(K51)</f>
        <v/>
      </c>
    </row>
    <row r="52" ht="17" customHeight="1" s="290">
      <c r="A52" s="15" t="n">
        <v>6</v>
      </c>
      <c r="B52" s="16" t="inlineStr">
        <is>
          <t>B09KT9XNML</t>
        </is>
      </c>
      <c r="C52" s="5" t="inlineStr">
        <is>
          <t>OBD2 Scanner Diagnostic Tool XTOOL Anyscan A30M V2.0, 2026 Wireless Bidirectional Scan Tool with Free Updates, 26 Resets, All System for Android &amp; iPhone, Crank Sensor Relearn, EPB, Throttle Relearn</t>
        </is>
      </c>
      <c r="D52" s="5" t="inlineStr">
        <is>
          <t>xtool</t>
        </is>
      </c>
      <c r="E52" s="5" t="inlineStr">
        <is>
          <t>Dongle</t>
        </is>
      </c>
      <c r="F52" s="6" t="n">
        <v>151.2937490377213</v>
      </c>
      <c r="G52" s="6" t="n">
        <v>196530.58</v>
      </c>
      <c r="H52" s="17" t="n">
        <v>1299</v>
      </c>
      <c r="I52" s="17" t="n">
        <v>1409</v>
      </c>
      <c r="J52" s="5" t="n">
        <v>4.3</v>
      </c>
      <c r="K52" s="5" t="inlineStr">
        <is>
          <t>https://amazon.com/dp/B09KT9XNML</t>
        </is>
      </c>
      <c r="L52" s="34">
        <f>HYPERLINK(K52)</f>
        <v/>
      </c>
    </row>
    <row r="53" ht="17" customHeight="1" s="290">
      <c r="A53" s="15" t="n">
        <v>7</v>
      </c>
      <c r="B53" s="16" t="inlineStr">
        <is>
          <t>B00652G4TS</t>
        </is>
      </c>
      <c r="C53" s="5" t="inlineStr">
        <is>
          <t>BlueDriver Bluetooth Pro OBDII Scan Tool for iPhone &amp; Android - No Subscription Fee - OBD2 Car Scanner and Code Reader - Diagnose Check Engine, ABS, SRS, Airbag &amp; 7000+ Issues on Vehicles 1996+</t>
        </is>
      </c>
      <c r="D53" s="5" t="inlineStr">
        <is>
          <t>bluedriver</t>
        </is>
      </c>
      <c r="E53" s="5" t="inlineStr">
        <is>
          <t>Dongle</t>
        </is>
      </c>
      <c r="F53" s="6" t="n">
        <v>89.95980835380836</v>
      </c>
      <c r="G53" s="6" t="n">
        <v>183068.21</v>
      </c>
      <c r="H53" s="17" t="n">
        <v>2035</v>
      </c>
      <c r="I53" s="17" t="n">
        <v>62211</v>
      </c>
      <c r="J53" s="5" t="n">
        <v>4.5</v>
      </c>
      <c r="K53" s="5" t="inlineStr">
        <is>
          <t>https://amazon.com/dp/B00652G4TS</t>
        </is>
      </c>
      <c r="L53" s="34">
        <f>HYPERLINK(K53)</f>
        <v/>
      </c>
    </row>
    <row r="54" ht="17" customHeight="1" s="290">
      <c r="A54" s="15" t="n">
        <v>8</v>
      </c>
      <c r="B54" s="16" t="inlineStr">
        <is>
          <t>B09N9RMVFP</t>
        </is>
      </c>
      <c r="C54" s="5" t="inlineStr">
        <is>
          <t>Z Automotive Tazer Mini Programmer | Fits 2018-2026 Jeep Wrangler JL and Gladiator JT | Customize Over 70 Settings | Activates Anti-Theft Pin Lock, Rock Crawl, Winch Mode and More!</t>
        </is>
      </c>
      <c r="D54" s="5" t="inlineStr">
        <is>
          <t>z automotive</t>
        </is>
      </c>
      <c r="E54" s="5" t="inlineStr">
        <is>
          <t>Dongle</t>
        </is>
      </c>
      <c r="F54" s="6" t="n">
        <v>328.8725357873211</v>
      </c>
      <c r="G54" s="6" t="n">
        <v>160818.67</v>
      </c>
      <c r="H54" s="17" t="n">
        <v>489</v>
      </c>
      <c r="I54" s="17" t="n">
        <v>985</v>
      </c>
      <c r="J54" s="5" t="n">
        <v>4.6</v>
      </c>
      <c r="K54" s="5" t="inlineStr">
        <is>
          <t>https://amazon.com/dp/B09N9RMVFP</t>
        </is>
      </c>
      <c r="L54" s="34">
        <f>HYPERLINK(K54)</f>
        <v/>
      </c>
    </row>
    <row r="55" ht="17" customHeight="1" s="290">
      <c r="A55" s="15" t="n">
        <v>9</v>
      </c>
      <c r="B55" s="16" t="inlineStr">
        <is>
          <t>B073XKQQQW</t>
        </is>
      </c>
      <c r="C55" s="5" t="inlineStr">
        <is>
          <t>Veepeak OBDCheck BLE Bluetooth OBD II Scanner for iOS &amp; Android, Car Wireless Check Engine Light Code Reader Diagnostic Tool</t>
        </is>
      </c>
      <c r="D55" s="5" t="inlineStr">
        <is>
          <t>veepeak</t>
        </is>
      </c>
      <c r="E55" s="5" t="inlineStr">
        <is>
          <t>Dongle</t>
        </is>
      </c>
      <c r="F55" s="6" t="n">
        <v>31.51586355616546</v>
      </c>
      <c r="G55" s="6" t="n">
        <v>160762.42</v>
      </c>
      <c r="H55" s="17" t="n">
        <v>5101</v>
      </c>
      <c r="I55" s="17" t="n">
        <v>23468</v>
      </c>
      <c r="J55" s="5" t="n">
        <v>4.5</v>
      </c>
      <c r="K55" s="5" t="inlineStr">
        <is>
          <t>https://amazon.com/dp/B073XKQQQW</t>
        </is>
      </c>
      <c r="L55" s="34">
        <f>HYPERLINK(K55)</f>
        <v/>
      </c>
    </row>
    <row r="56" ht="17" customHeight="1" s="290">
      <c r="A56" s="15" t="n">
        <v>10</v>
      </c>
      <c r="B56" s="16" t="inlineStr">
        <is>
          <t>B0FY7MYBX7</t>
        </is>
      </c>
      <c r="C56" s="5" t="inlineStr">
        <is>
          <t>HPT MPVI4 Diagnostic Code Reader Scanner and Tool</t>
        </is>
      </c>
      <c r="D56" s="5" t="inlineStr">
        <is>
          <t>generic</t>
        </is>
      </c>
      <c r="E56" s="5" t="inlineStr">
        <is>
          <t>Dongle</t>
        </is>
      </c>
      <c r="F56" s="6" t="n">
        <v>400.4040771349862</v>
      </c>
      <c r="G56" s="6" t="n">
        <v>145346.68</v>
      </c>
      <c r="H56" s="17" t="n">
        <v>363</v>
      </c>
      <c r="I56" s="17" t="n">
        <v>31</v>
      </c>
      <c r="J56" s="5" t="n">
        <v>4.8</v>
      </c>
      <c r="K56" s="5" t="inlineStr">
        <is>
          <t>https://amazon.com/dp/B0FY7MYBX7</t>
        </is>
      </c>
      <c r="L56" s="34">
        <f>HYPERLINK(K56)</f>
        <v/>
      </c>
    </row>
    <row r="58" ht="26" customHeight="1" s="290">
      <c r="A58" s="289" t="inlineStr">
        <is>
          <t>Rank By Monthly Units - Mar '26 ONLY</t>
        </is>
      </c>
    </row>
    <row r="59">
      <c r="A59" s="62" t="inlineStr">
        <is>
          <t>Ranking</t>
        </is>
      </c>
      <c r="B59" s="63" t="inlineStr">
        <is>
          <t>ASIN</t>
        </is>
      </c>
      <c r="C59" s="63" t="inlineStr">
        <is>
          <t>Product Name</t>
        </is>
      </c>
      <c r="D59" s="63" t="inlineStr">
        <is>
          <t>Brand</t>
        </is>
      </c>
      <c r="E59" s="63" t="inlineStr">
        <is>
          <t>Type</t>
        </is>
      </c>
      <c r="F59" s="64" t="inlineStr">
        <is>
          <t>Price</t>
        </is>
      </c>
      <c r="G59" s="65" t="inlineStr">
        <is>
          <t>Est. Monthly Retail Rev</t>
        </is>
      </c>
      <c r="H59" s="66" t="inlineStr">
        <is>
          <t>Est. Monthly Units Sold</t>
        </is>
      </c>
      <c r="I59" s="67" t="inlineStr">
        <is>
          <t># of Reviews</t>
        </is>
      </c>
      <c r="J59" s="313" t="inlineStr">
        <is>
          <t>Avg. Rating</t>
        </is>
      </c>
      <c r="K59" s="313" t="inlineStr">
        <is>
          <t>Column2</t>
        </is>
      </c>
      <c r="L59" s="313" t="inlineStr">
        <is>
          <t>Link</t>
        </is>
      </c>
    </row>
    <row r="60" ht="17" customHeight="1" s="290">
      <c r="A60" s="15" t="n">
        <v>1</v>
      </c>
      <c r="B60" s="16" t="inlineStr">
        <is>
          <t>B07JFRFJG6</t>
        </is>
      </c>
      <c r="C60" s="5" t="inlineStr">
        <is>
          <t>OBDLink MX+ OBD2 Bluetooth Scanner for iPhone, Android, and Windows</t>
        </is>
      </c>
      <c r="D60" s="5" t="inlineStr">
        <is>
          <t>obdlink</t>
        </is>
      </c>
      <c r="E60" s="5" t="inlineStr">
        <is>
          <t>Dongle</t>
        </is>
      </c>
      <c r="F60" s="6" t="n">
        <v>139.9370678733032</v>
      </c>
      <c r="G60" s="6" t="n">
        <v>773152.3</v>
      </c>
      <c r="H60" s="17" t="n">
        <v>5525</v>
      </c>
      <c r="I60" s="17" t="n">
        <v>15161</v>
      </c>
      <c r="J60" s="5" t="n">
        <v>4.6</v>
      </c>
      <c r="K60" s="5" t="inlineStr">
        <is>
          <t>https://amazon.com/dp/B07JFRFJG6</t>
        </is>
      </c>
      <c r="L60" s="34">
        <f>HYPERLINK(K60)</f>
        <v/>
      </c>
    </row>
    <row r="61" ht="17" customHeight="1" s="290">
      <c r="A61" s="15" t="n">
        <v>2</v>
      </c>
      <c r="B61" s="16" t="inlineStr">
        <is>
          <t>B073XKQQQW</t>
        </is>
      </c>
      <c r="C61" s="5" t="inlineStr">
        <is>
          <t>Veepeak OBDCheck BLE Bluetooth OBD II Scanner for iOS &amp; Android, Car Wireless Check Engine Light Code Reader Diagnostic Tool</t>
        </is>
      </c>
      <c r="D61" s="5" t="inlineStr">
        <is>
          <t>veepeak</t>
        </is>
      </c>
      <c r="E61" s="5" t="inlineStr">
        <is>
          <t>Dongle</t>
        </is>
      </c>
      <c r="F61" s="6" t="n">
        <v>31.51586355616546</v>
      </c>
      <c r="G61" s="6" t="n">
        <v>160762.42</v>
      </c>
      <c r="H61" s="17" t="n">
        <v>5101</v>
      </c>
      <c r="I61" s="17" t="n">
        <v>23468</v>
      </c>
      <c r="J61" s="5" t="n">
        <v>4.5</v>
      </c>
      <c r="K61" s="5" t="inlineStr">
        <is>
          <t>https://amazon.com/dp/B073XKQQQW</t>
        </is>
      </c>
      <c r="L61" s="34">
        <f>HYPERLINK(K61)</f>
        <v/>
      </c>
    </row>
    <row r="62" ht="17" customHeight="1" s="290">
      <c r="A62" s="15" t="n">
        <v>3</v>
      </c>
      <c r="B62" s="16" t="inlineStr">
        <is>
          <t>B08NFLL3NT</t>
        </is>
      </c>
      <c r="C62" s="5" t="inlineStr">
        <is>
          <t>OBDLink CX Bimmercode Bluetooth 5.1 OBD2 Adapter for BMW/Mini, Works with iPhone/iOS &amp; Android, Car Coding, OBD II Diagnostic Scanner</t>
        </is>
      </c>
      <c r="D62" s="5" t="inlineStr">
        <is>
          <t>obdlink</t>
        </is>
      </c>
      <c r="E62" s="5" t="inlineStr">
        <is>
          <t>Dongle</t>
        </is>
      </c>
      <c r="F62" s="6" t="n">
        <v>79.93206907184705</v>
      </c>
      <c r="G62" s="6" t="n">
        <v>259219.7</v>
      </c>
      <c r="H62" s="17" t="n">
        <v>3243</v>
      </c>
      <c r="I62" s="17" t="n">
        <v>4326</v>
      </c>
      <c r="J62" s="5" t="n">
        <v>4.6</v>
      </c>
      <c r="K62" s="5" t="inlineStr">
        <is>
          <t>https://amazon.com/dp/B08NFLL3NT</t>
        </is>
      </c>
      <c r="L62" s="34">
        <f>HYPERLINK(K62)</f>
        <v/>
      </c>
    </row>
    <row r="63" ht="17" customHeight="1" s="290">
      <c r="A63" s="15" t="n">
        <v>4</v>
      </c>
      <c r="B63" s="16" t="inlineStr">
        <is>
          <t>B013RIQMEO</t>
        </is>
      </c>
      <c r="C63" s="5" t="inlineStr">
        <is>
          <t>FIXD Bluetooth OBD2 Scanner for iPhone &amp; Android - Diagnostic Scan Tool for Repairs and Car Buying - Check Engine Code Reader &amp; Enhanced Codes - (1 Pack w/Free 14-Day FIXD Premium Bundle)</t>
        </is>
      </c>
      <c r="D63" s="5" t="inlineStr">
        <is>
          <t>fixd</t>
        </is>
      </c>
      <c r="E63" s="5" t="inlineStr">
        <is>
          <t>Dongle</t>
        </is>
      </c>
      <c r="F63" s="6" t="n">
        <v>39.98986600186974</v>
      </c>
      <c r="G63" s="6" t="n">
        <v>128327.48</v>
      </c>
      <c r="H63" s="17" t="n">
        <v>3209</v>
      </c>
      <c r="I63" s="17" t="n">
        <v>35039</v>
      </c>
      <c r="J63" s="5" t="n">
        <v>4.2</v>
      </c>
      <c r="K63" s="5" t="inlineStr">
        <is>
          <t>https://amazon.com/dp/B013RIQMEO</t>
        </is>
      </c>
      <c r="L63" s="34">
        <f>HYPERLINK(K63)</f>
        <v/>
      </c>
    </row>
    <row r="64" ht="17" customHeight="1" s="290">
      <c r="A64" s="15" t="n">
        <v>5</v>
      </c>
      <c r="B64" s="16" t="inlineStr">
        <is>
          <t>B07CFVD2P3</t>
        </is>
      </c>
      <c r="C64" s="5" t="inlineStr">
        <is>
          <t>FIXD Bluetooth OBD2 Scanner for iPhone &amp; Android - Diagnostic Scan Tool for Repairs and Car Buying - Check Engine Code Reader &amp; Enhanced Codes - (2 Pack w/Free 14-Day FIXD Premium Bundle)</t>
        </is>
      </c>
      <c r="D64" s="5" t="inlineStr">
        <is>
          <t>fixd</t>
        </is>
      </c>
      <c r="E64" s="5" t="inlineStr">
        <is>
          <t>Dongle</t>
        </is>
      </c>
      <c r="F64" s="6" t="n">
        <v>97.98624688722876</v>
      </c>
      <c r="G64" s="6" t="n">
        <v>275439.34</v>
      </c>
      <c r="H64" s="17" t="n">
        <v>2811</v>
      </c>
      <c r="I64" s="17" t="n">
        <v>1243</v>
      </c>
      <c r="J64" s="5" t="n">
        <v>4.1</v>
      </c>
      <c r="K64" s="5" t="inlineStr">
        <is>
          <t>https://amazon.com/dp/B07CFVD2P3</t>
        </is>
      </c>
      <c r="L64" s="34">
        <f>HYPERLINK(K64)</f>
        <v/>
      </c>
    </row>
    <row r="65" ht="17" customHeight="1" s="290">
      <c r="A65" s="15" t="n">
        <v>6</v>
      </c>
      <c r="B65" s="16" t="inlineStr">
        <is>
          <t>B076XVQMVS</t>
        </is>
      </c>
      <c r="C65" s="5" t="inlineStr">
        <is>
          <t>Veepeak OBDCheck BLE+ Bluetooth OBD II Scanner for iOS &amp; Android, Car Check Engine Code Reader Wireless OBD Diagnostic Scan Tool</t>
        </is>
      </c>
      <c r="D65" s="5" t="inlineStr">
        <is>
          <t>veepeak</t>
        </is>
      </c>
      <c r="E65" s="5" t="inlineStr">
        <is>
          <t>Dongle</t>
        </is>
      </c>
      <c r="F65" s="6" t="n">
        <v>41.43043495145631</v>
      </c>
      <c r="G65" s="6" t="n">
        <v>106683.37</v>
      </c>
      <c r="H65" s="17" t="n">
        <v>2575</v>
      </c>
      <c r="I65" s="17" t="n">
        <v>10842</v>
      </c>
      <c r="J65" s="5" t="n">
        <v>4.6</v>
      </c>
      <c r="K65" s="5" t="inlineStr">
        <is>
          <t>https://amazon.com/dp/B076XVQMVS</t>
        </is>
      </c>
      <c r="L65" s="34">
        <f>HYPERLINK(K65)</f>
        <v/>
      </c>
    </row>
    <row r="66" ht="17" customHeight="1" s="290">
      <c r="A66" s="15" t="n">
        <v>7</v>
      </c>
      <c r="B66" s="16" t="inlineStr">
        <is>
          <t>B00652G4TS</t>
        </is>
      </c>
      <c r="C66" s="5" t="inlineStr">
        <is>
          <t>BlueDriver Bluetooth Pro OBDII Scan Tool for iPhone &amp; Android - No Subscription Fee - OBD2 Car Scanner and Code Reader - Diagnose Check Engine, ABS, SRS, Airbag &amp; 7000+ Issues on Vehicles 1996+</t>
        </is>
      </c>
      <c r="D66" s="5" t="inlineStr">
        <is>
          <t>bluedriver</t>
        </is>
      </c>
      <c r="E66" s="5" t="inlineStr">
        <is>
          <t>Dongle</t>
        </is>
      </c>
      <c r="F66" s="6" t="n">
        <v>89.95980835380836</v>
      </c>
      <c r="G66" s="6" t="n">
        <v>183068.21</v>
      </c>
      <c r="H66" s="17" t="n">
        <v>2035</v>
      </c>
      <c r="I66" s="17" t="n">
        <v>62211</v>
      </c>
      <c r="J66" s="5" t="n">
        <v>4.5</v>
      </c>
      <c r="K66" s="5" t="inlineStr">
        <is>
          <t>https://amazon.com/dp/B00652G4TS</t>
        </is>
      </c>
      <c r="L66" s="34">
        <f>HYPERLINK(K66)</f>
        <v/>
      </c>
    </row>
    <row r="67" ht="17" customHeight="1" s="290">
      <c r="A67" s="15" t="n">
        <v>8</v>
      </c>
      <c r="B67" s="16" t="inlineStr">
        <is>
          <t>B06XGB4873</t>
        </is>
      </c>
      <c r="C67" s="5" t="inlineStr">
        <is>
          <t>Vgate iCar Pro Bluetooth 4.0 (BLE) OBD2 Fault Code Reader OBDII Code Scanner Car Check Engine Light for iOS/Android</t>
        </is>
      </c>
      <c r="D67" s="5" t="inlineStr">
        <is>
          <t>vgate</t>
        </is>
      </c>
      <c r="E67" s="5" t="inlineStr">
        <is>
          <t>Dongle</t>
        </is>
      </c>
      <c r="F67" s="6" t="n">
        <v>31.98785039941902</v>
      </c>
      <c r="G67" s="6" t="n">
        <v>44047.27</v>
      </c>
      <c r="H67" s="17" t="n">
        <v>1377</v>
      </c>
      <c r="I67" s="17" t="n">
        <v>7098</v>
      </c>
      <c r="J67" s="5" t="n">
        <v>4.6</v>
      </c>
      <c r="K67" s="5" t="inlineStr">
        <is>
          <t>https://amazon.com/dp/B06XGB4873</t>
        </is>
      </c>
      <c r="L67" s="34">
        <f>HYPERLINK(K67)</f>
        <v/>
      </c>
    </row>
    <row r="68" ht="17" customHeight="1" s="290">
      <c r="A68" s="15" t="n">
        <v>9</v>
      </c>
      <c r="B68" s="16" t="inlineStr">
        <is>
          <t>B0C3QQYQ1B</t>
        </is>
      </c>
      <c r="C68" s="5" t="inlineStr">
        <is>
          <t>TOPDON TopScan Lite OBD2 Scanner Bluetooth, Bi-Directional Scanner Wireless All System Diagnostic Tool for iOS &amp; Android, 8+ Hot Reset, Repair Guides, Check Engine Car Code Reader, Performance Test</t>
        </is>
      </c>
      <c r="D68" s="5" t="inlineStr">
        <is>
          <t>topdon</t>
        </is>
      </c>
      <c r="E68" s="5" t="inlineStr">
        <is>
          <t>Dongle</t>
        </is>
      </c>
      <c r="F68" s="6" t="n">
        <v>51.95718309859155</v>
      </c>
      <c r="G68" s="6" t="n">
        <v>70090.24000000001</v>
      </c>
      <c r="H68" s="17" t="n">
        <v>1349</v>
      </c>
      <c r="I68" s="17" t="n">
        <v>7230</v>
      </c>
      <c r="J68" s="5" t="n">
        <v>4</v>
      </c>
      <c r="K68" s="5" t="inlineStr">
        <is>
          <t>https://amazon.com/dp/B0C3QQYQ1B</t>
        </is>
      </c>
      <c r="L68" s="34">
        <f>HYPERLINK(K68)</f>
        <v/>
      </c>
    </row>
    <row r="69" ht="17" customHeight="1" s="290">
      <c r="A69" s="15" t="n">
        <v>10</v>
      </c>
      <c r="B69" s="16" t="inlineStr">
        <is>
          <t>B0CM9W4MCW</t>
        </is>
      </c>
      <c r="C69" s="5" t="inlineStr">
        <is>
          <t>Carista EVO - Bluetooth OBD2 Scanner - Car Diagnostic Tool &amp; Code Reader with Access to Diagnostics, Customizations, Service Tools &amp; Live Data (Subscription Required)</t>
        </is>
      </c>
      <c r="D69" s="5" t="inlineStr">
        <is>
          <t>carista</t>
        </is>
      </c>
      <c r="E69" s="5" t="inlineStr">
        <is>
          <t>Dongle</t>
        </is>
      </c>
      <c r="F69" s="6" t="n">
        <v>58.7683779648049</v>
      </c>
      <c r="G69" s="6" t="n">
        <v>76810.27</v>
      </c>
      <c r="H69" s="17" t="n">
        <v>1307</v>
      </c>
      <c r="I69" s="17" t="n">
        <v>1715</v>
      </c>
      <c r="J69" s="5" t="n">
        <v>4.1</v>
      </c>
      <c r="K69" s="5" t="inlineStr">
        <is>
          <t>https://amazon.com/dp/B0CM9W4MCW</t>
        </is>
      </c>
      <c r="L69" s="34">
        <f>HYPERLINK(K69)</f>
        <v/>
      </c>
    </row>
  </sheetData>
  <mergeCells count="4">
    <mergeCell ref="A3:M3"/>
    <mergeCell ref="A58:L58"/>
    <mergeCell ref="A45:L45"/>
    <mergeCell ref="A1:M1"/>
  </mergeCells>
  <conditionalFormatting sqref="C5:J13 L5:M13">
    <cfRule type="expression" priority="1" dxfId="30">
      <formula>C5&lt;0</formula>
    </cfRule>
  </conditionalFormatting>
  <pageMargins left="0.7" right="0.7" top="0.75" bottom="0.75" header="0.3" footer="0.3"/>
  <drawing xmlns:r="http://schemas.openxmlformats.org/officeDocument/2006/relationships" r:id="rId1"/>
  <tableParts count="2">
    <tablePart xmlns:r="http://schemas.openxmlformats.org/officeDocument/2006/relationships" r:id="rId2"/>
    <tablePart xmlns:r="http://schemas.openxmlformats.org/officeDocument/2006/relationships" r:id="rId3"/>
  </tableParts>
</worksheet>
</file>

<file path=xl/worksheets/sheet11.xml><?xml version="1.0" encoding="utf-8"?>
<worksheet xmlns="http://schemas.openxmlformats.org/spreadsheetml/2006/main">
  <sheetPr>
    <outlinePr summaryBelow="1" summaryRight="1"/>
    <pageSetUpPr/>
  </sheetPr>
  <dimension ref="A1:M68"/>
  <sheetViews>
    <sheetView topLeftCell="A4" zoomScaleNormal="100" workbookViewId="0">
      <selection activeCell="M32" sqref="M32"/>
    </sheetView>
  </sheetViews>
  <sheetFormatPr baseColWidth="10" defaultColWidth="11.1640625" defaultRowHeight="16"/>
  <cols>
    <col width="14.6640625" customWidth="1" style="290" min="1" max="1"/>
    <col width="12.1640625" customWidth="1" style="290" min="2" max="2"/>
    <col width="14.83203125" customWidth="1" style="290" min="3" max="3"/>
    <col width="12.6640625" customWidth="1" style="290" min="5" max="5"/>
    <col width="10.6640625" customWidth="1" style="290" min="6" max="6"/>
    <col width="21.1640625" bestFit="1" customWidth="1" style="290" min="7" max="8"/>
    <col width="12.83203125" bestFit="1" customWidth="1" style="290" min="9" max="9"/>
    <col width="12" bestFit="1" customWidth="1" style="290" min="10" max="10"/>
    <col hidden="1" width="28.33203125" customWidth="1" style="290" min="11" max="11"/>
    <col width="35.6640625" customWidth="1" style="290" min="12" max="12"/>
    <col width="15.33203125" customWidth="1" style="290" min="13" max="13"/>
  </cols>
  <sheetData>
    <row r="1" ht="26" customHeight="1" s="290">
      <c r="A1" s="289" t="inlineStr">
        <is>
          <t>Other Tools Monthly Summary</t>
        </is>
      </c>
    </row>
    <row r="3" ht="21" customHeight="1" s="290">
      <c r="A3" s="292" t="inlineStr">
        <is>
          <t>Other Tools Overall</t>
        </is>
      </c>
    </row>
    <row r="4" ht="32" customHeight="1" s="290">
      <c r="A4" s="80" t="n"/>
      <c r="B4" s="81" t="inlineStr">
        <is>
          <t>Avg Price</t>
        </is>
      </c>
      <c r="C4" s="81" t="inlineStr">
        <is>
          <t>Avg Price MoM</t>
        </is>
      </c>
      <c r="D4" s="82" t="inlineStr">
        <is>
          <t>Avg Price YoY</t>
        </is>
      </c>
      <c r="E4" s="81" t="inlineStr">
        <is>
          <t>Quantity/Mo</t>
        </is>
      </c>
      <c r="F4" s="84" t="inlineStr">
        <is>
          <t>Qty by %</t>
        </is>
      </c>
      <c r="G4" s="84" t="inlineStr">
        <is>
          <t>Qty MoM</t>
        </is>
      </c>
      <c r="H4" s="82" t="inlineStr">
        <is>
          <t>Qty YoY</t>
        </is>
      </c>
      <c r="I4" s="309" t="inlineStr">
        <is>
          <t>Revenue/Mo</t>
        </is>
      </c>
      <c r="J4" s="126" t="inlineStr">
        <is>
          <t>Revenue by %</t>
        </is>
      </c>
      <c r="K4" s="173" t="n"/>
      <c r="L4" s="126" t="inlineStr">
        <is>
          <t>Revenue MoM</t>
        </is>
      </c>
      <c r="M4" s="310" t="inlineStr">
        <is>
          <t>Revenue YoY</t>
        </is>
      </c>
    </row>
    <row r="5">
      <c r="A5" s="133" t="inlineStr">
        <is>
          <t>diesel laptops</t>
        </is>
      </c>
      <c r="B5" s="318" t="n">
        <v>621.132895377129</v>
      </c>
      <c r="C5" s="137" t="n">
        <v>-0.01031225611797981</v>
      </c>
      <c r="D5" s="135" t="n">
        <v>-0.1004043748760403</v>
      </c>
      <c r="E5" s="136" t="n">
        <v>822</v>
      </c>
      <c r="F5" s="137" t="n">
        <v>0.01279437172163681</v>
      </c>
      <c r="G5" s="137" t="n">
        <v>0.1229508196721312</v>
      </c>
      <c r="H5" s="135" t="n">
        <v>0.3151999999999999</v>
      </c>
      <c r="I5" s="138" t="n">
        <v>510571.24</v>
      </c>
      <c r="J5" s="139" t="n">
        <v>0.1099377550595695</v>
      </c>
      <c r="L5" s="184" t="n">
        <v>0.1113706632117768</v>
      </c>
      <c r="M5" s="184" t="n">
        <v>0.1831481661630319</v>
      </c>
    </row>
    <row r="6">
      <c r="A6" s="140" t="inlineStr">
        <is>
          <t>obdlink</t>
        </is>
      </c>
      <c r="B6" s="319" t="n">
        <v>69.9357231857215</v>
      </c>
      <c r="C6" s="144" t="n">
        <v>-0.0001040523107874725</v>
      </c>
      <c r="D6" s="142" t="n">
        <v>0.2062792903486914</v>
      </c>
      <c r="E6" s="143" t="n">
        <v>5939</v>
      </c>
      <c r="F6" s="144" t="n">
        <v>0.09244011393528102</v>
      </c>
      <c r="G6" s="144" t="n">
        <v>0.08872593950504126</v>
      </c>
      <c r="H6" s="142" t="n">
        <v>0.0321515467500868</v>
      </c>
      <c r="I6" s="145" t="n">
        <v>415348.26</v>
      </c>
      <c r="J6" s="146" t="n">
        <v>0.08943405287046402</v>
      </c>
      <c r="L6" s="185" t="n">
        <v>0.08861265505522153</v>
      </c>
      <c r="M6" s="185" t="n">
        <v>0.2450630353459993</v>
      </c>
    </row>
    <row r="7">
      <c r="A7" s="133" t="inlineStr">
        <is>
          <t>opus | ivs</t>
        </is>
      </c>
      <c r="B7" s="318" t="n">
        <v>726.1223583180987</v>
      </c>
      <c r="C7" s="137" t="n">
        <v>-0.04243355076194189</v>
      </c>
      <c r="D7" s="135" t="n">
        <v>-0.1794135692878055</v>
      </c>
      <c r="E7" s="136" t="n">
        <v>547</v>
      </c>
      <c r="F7" s="137" t="n">
        <v>0.008514016218656124</v>
      </c>
      <c r="G7" s="137" t="n">
        <v>0.4547872340425532</v>
      </c>
      <c r="H7" s="135" t="n">
        <v>0.6779141104294479</v>
      </c>
      <c r="I7" s="138" t="n">
        <v>397188.93</v>
      </c>
      <c r="J7" s="139" t="n">
        <v>0.08552393060508555</v>
      </c>
      <c r="L7" s="184" t="n">
        <v>0.3930554460989835</v>
      </c>
      <c r="M7" s="184" t="n">
        <v>0.3768735509189276</v>
      </c>
    </row>
    <row r="8">
      <c r="A8" s="140" t="inlineStr">
        <is>
          <t>topdon</t>
        </is>
      </c>
      <c r="B8" s="319" t="n">
        <v>203.0588122923588</v>
      </c>
      <c r="C8" s="144" t="n">
        <v>-0.02672559340685521</v>
      </c>
      <c r="D8" s="142" t="n">
        <v>-0.2589612062156876</v>
      </c>
      <c r="E8" s="143" t="n">
        <v>1204</v>
      </c>
      <c r="F8" s="144" t="n">
        <v>0.01874017463850452</v>
      </c>
      <c r="G8" s="144" t="n">
        <v>-0.0444444444444444</v>
      </c>
      <c r="H8" s="142" t="n">
        <v>1.657836644591611</v>
      </c>
      <c r="I8" s="145" t="n">
        <v>244482.81</v>
      </c>
      <c r="J8" s="146" t="n">
        <v>0.052642783565434</v>
      </c>
      <c r="L8" s="185" t="n">
        <v>-0.06998223369988388</v>
      </c>
      <c r="M8" s="185" t="n">
        <v>0.9695600611839121</v>
      </c>
    </row>
    <row r="9" ht="18" customHeight="1" s="290">
      <c r="A9" s="140" t="inlineStr">
        <is>
          <t>autel</t>
        </is>
      </c>
      <c r="B9" s="319" t="n">
        <v>54.08171032357473</v>
      </c>
      <c r="C9" s="144" t="n">
        <v>0.03425842972155313</v>
      </c>
      <c r="D9" s="142" t="n">
        <v>-0.06685499910695747</v>
      </c>
      <c r="E9" s="143" t="n">
        <v>5192</v>
      </c>
      <c r="F9" s="144" t="n">
        <v>0.08081311189627531</v>
      </c>
      <c r="G9" s="144" t="n">
        <v>0.03798480607756893</v>
      </c>
      <c r="H9" s="142" t="n">
        <v>0.3915840257303671</v>
      </c>
      <c r="I9" s="145" t="n">
        <v>280792.24</v>
      </c>
      <c r="J9" s="146" t="n">
        <v>0.06046104066446798</v>
      </c>
      <c r="L9" s="185" t="n">
        <v>0.07354453560861729</v>
      </c>
      <c r="M9" s="185" t="n">
        <v>0.2985496769329075</v>
      </c>
    </row>
    <row r="10">
      <c r="A10" s="133" t="inlineStr">
        <is>
          <t>innova</t>
        </is>
      </c>
      <c r="B10" s="318" t="n">
        <v>62.18095671981777</v>
      </c>
      <c r="C10" s="137" t="n">
        <v>-0.3696990179719404</v>
      </c>
      <c r="D10" s="135" t="n"/>
      <c r="E10" s="136" t="n">
        <v>3073</v>
      </c>
      <c r="F10" s="137" t="n">
        <v>0.04783102712967142</v>
      </c>
      <c r="G10" s="137" t="n">
        <v>121.92</v>
      </c>
      <c r="H10" s="135" t="n"/>
      <c r="I10" s="138" t="n">
        <v>191082.08</v>
      </c>
      <c r="J10" s="139" t="n">
        <v>0.04114437567480898</v>
      </c>
      <c r="L10" s="184" t="n">
        <v>76.4765967108891</v>
      </c>
      <c r="M10" s="184" t="n"/>
    </row>
    <row r="11">
      <c r="A11" s="140" t="inlineStr">
        <is>
          <t>Other</t>
        </is>
      </c>
      <c r="B11" s="319" t="n">
        <v>54.87084769327997</v>
      </c>
      <c r="C11" s="144" t="n">
        <v>0.0194981175538127</v>
      </c>
      <c r="D11" s="142" t="n">
        <v>-0.1466255484623527</v>
      </c>
      <c r="E11" s="143" t="n">
        <v>47470</v>
      </c>
      <c r="F11" s="144" t="n">
        <v>0.7387407015468891</v>
      </c>
      <c r="G11" s="144" t="n">
        <v>0.09236929307805597</v>
      </c>
      <c r="H11" s="142" t="n">
        <v>1.345355731225296</v>
      </c>
      <c r="I11" s="145" t="n">
        <v>2604719.14</v>
      </c>
      <c r="J11" s="146" t="n">
        <v>0.5605251850193489</v>
      </c>
      <c r="L11" s="185" t="n">
        <v>0.1136684379666673</v>
      </c>
      <c r="M11" s="185" t="n">
        <v>1.001466660795065</v>
      </c>
    </row>
    <row r="12">
      <c r="A12" s="86" t="inlineStr">
        <is>
          <t>Total</t>
        </is>
      </c>
      <c r="B12" s="312" t="n">
        <v>72.3166944193719</v>
      </c>
      <c r="C12" s="119" t="n">
        <v>0.01975709605709275</v>
      </c>
      <c r="D12" s="118" t="n">
        <v>-0.1648114682706898</v>
      </c>
      <c r="E12" s="100" t="n">
        <v>64258</v>
      </c>
      <c r="F12" s="119" t="n">
        <v>0.2207708323312559</v>
      </c>
      <c r="G12" s="119" t="n">
        <v>0.1410864276454815</v>
      </c>
      <c r="H12" s="118" t="n">
        <v>1.06424877124225</v>
      </c>
      <c r="I12" s="85" t="n">
        <v>4646926.149999999</v>
      </c>
      <c r="J12" s="132" t="n">
        <v>0.1431984599992576</v>
      </c>
      <c r="L12" s="175" t="n">
        <v>0.1636309818059181</v>
      </c>
      <c r="M12" s="119" t="n">
        <v>0.7240369003778475</v>
      </c>
    </row>
    <row r="44" ht="26" customHeight="1" s="290">
      <c r="A44" s="289" t="inlineStr">
        <is>
          <t>Rank By Monthly Revenue - Mar '26 ONLY</t>
        </is>
      </c>
    </row>
    <row r="45">
      <c r="A45" s="62" t="inlineStr">
        <is>
          <t>Ranking</t>
        </is>
      </c>
      <c r="B45" s="63" t="inlineStr">
        <is>
          <t>ASIN</t>
        </is>
      </c>
      <c r="C45" s="63" t="inlineStr">
        <is>
          <t>Product Name</t>
        </is>
      </c>
      <c r="D45" s="63" t="inlineStr">
        <is>
          <t>Brand</t>
        </is>
      </c>
      <c r="E45" s="63" t="inlineStr">
        <is>
          <t>Type</t>
        </is>
      </c>
      <c r="F45" s="64" t="inlineStr">
        <is>
          <t>Price</t>
        </is>
      </c>
      <c r="G45" s="65" t="inlineStr">
        <is>
          <t>Est. Monthly Retail Rev</t>
        </is>
      </c>
      <c r="H45" s="66" t="inlineStr">
        <is>
          <t>Est. Monthly Units Sold</t>
        </is>
      </c>
      <c r="I45" s="67" t="inlineStr">
        <is>
          <t># of Reviews</t>
        </is>
      </c>
      <c r="J45" s="313" t="inlineStr">
        <is>
          <t>Avg. Rating</t>
        </is>
      </c>
      <c r="K45" s="313" t="inlineStr">
        <is>
          <t>Column2</t>
        </is>
      </c>
      <c r="L45" s="313" t="inlineStr">
        <is>
          <t>Link</t>
        </is>
      </c>
    </row>
    <row r="46" ht="17" customHeight="1" s="290">
      <c r="A46" s="15" t="n">
        <v>1</v>
      </c>
      <c r="B46" s="16" t="inlineStr">
        <is>
          <t>B0BPYPNDVP</t>
        </is>
      </c>
      <c r="C46" s="5" t="inlineStr">
        <is>
          <t>Diesel Laptops Nexiq USB Link 3 Wired Edition with Repair Information &amp; Diagnostic Software</t>
        </is>
      </c>
      <c r="D46" s="5" t="inlineStr">
        <is>
          <t>diesel laptops</t>
        </is>
      </c>
      <c r="E46" s="5" t="inlineStr">
        <is>
          <t>VCI</t>
        </is>
      </c>
      <c r="F46" s="6" t="n">
        <v>749.3213831478538</v>
      </c>
      <c r="G46" s="6" t="n">
        <v>471323.15</v>
      </c>
      <c r="H46" s="17" t="n">
        <v>629</v>
      </c>
      <c r="I46" s="17" t="n">
        <v>252</v>
      </c>
      <c r="J46" s="5" t="n">
        <v>4.6</v>
      </c>
      <c r="K46" s="5" t="inlineStr">
        <is>
          <t>https://amazon.com/dp/B0BPYPNDVP</t>
        </is>
      </c>
      <c r="L46" s="34">
        <f>HYPERLINK(K46)</f>
        <v/>
      </c>
    </row>
    <row r="47" ht="17" customHeight="1" s="290">
      <c r="A47" s="15" t="n">
        <v>2</v>
      </c>
      <c r="B47" s="16" t="inlineStr">
        <is>
          <t>B081VQVD3F</t>
        </is>
      </c>
      <c r="C47" s="5" t="inlineStr">
        <is>
          <t>OBDLink EX FORScan OBD Adapter</t>
        </is>
      </c>
      <c r="D47" s="5" t="inlineStr">
        <is>
          <t>obdlink</t>
        </is>
      </c>
      <c r="E47" s="5" t="inlineStr">
        <is>
          <t>Cable/Adapter</t>
        </is>
      </c>
      <c r="F47" s="6" t="n">
        <v>69.9357231857215</v>
      </c>
      <c r="G47" s="6" t="n">
        <v>415348.26</v>
      </c>
      <c r="H47" s="17" t="n">
        <v>5939</v>
      </c>
      <c r="I47" s="17" t="n">
        <v>9945</v>
      </c>
      <c r="J47" s="5" t="n">
        <v>4.8</v>
      </c>
      <c r="K47" s="5" t="inlineStr">
        <is>
          <t>https://amazon.com/dp/B081VQVD3F</t>
        </is>
      </c>
      <c r="L47" s="34">
        <f>HYPERLINK(K47)</f>
        <v/>
      </c>
    </row>
    <row r="48" ht="17" customHeight="1" s="290">
      <c r="A48" s="15" t="n">
        <v>3</v>
      </c>
      <c r="B48" s="16" t="inlineStr">
        <is>
          <t>B087WMGLF1</t>
        </is>
      </c>
      <c r="C48" s="5" t="inlineStr">
        <is>
          <t>Krazy On Highways Edge Insight CTS3 Digital Gauge, Compatible with 1996 &amp; Up OBD-II Vehicles. 84130-3</t>
        </is>
      </c>
      <c r="D48" s="5" t="inlineStr">
        <is>
          <t>edge</t>
        </is>
      </c>
      <c r="E48" s="5" t="inlineStr">
        <is>
          <t>Other</t>
        </is>
      </c>
      <c r="F48" s="6" t="n">
        <v>446.7409403669724</v>
      </c>
      <c r="G48" s="6" t="n">
        <v>194779.05</v>
      </c>
      <c r="H48" s="17" t="n">
        <v>436</v>
      </c>
      <c r="I48" s="17" t="n">
        <v>1055</v>
      </c>
      <c r="J48" s="5" t="n">
        <v>4.3</v>
      </c>
      <c r="K48" s="5" t="inlineStr">
        <is>
          <t>https://amazon.com/dp/B087WMGLF1</t>
        </is>
      </c>
      <c r="L48" s="34">
        <f>HYPERLINK(K48)</f>
        <v/>
      </c>
    </row>
    <row r="49" ht="17" customHeight="1" s="290">
      <c r="A49" s="15" t="n"/>
      <c r="B49" s="16" t="n"/>
      <c r="C49" s="5" t="n"/>
      <c r="D49" s="5" t="n"/>
      <c r="E49" s="5" t="n"/>
      <c r="F49" s="6" t="n"/>
      <c r="G49" s="6" t="n"/>
      <c r="H49" s="17" t="n"/>
      <c r="I49" s="17" t="n"/>
      <c r="J49" s="5" t="n"/>
      <c r="K49" s="5" t="n"/>
      <c r="L49" s="34">
        <f>HYPERLINK(K49)</f>
        <v/>
      </c>
    </row>
    <row r="50" ht="17" customHeight="1" s="290">
      <c r="A50" s="15" t="n"/>
      <c r="B50" s="16" t="n"/>
      <c r="C50" s="5" t="n"/>
      <c r="D50" s="5" t="n"/>
      <c r="E50" s="5" t="n"/>
      <c r="F50" s="6" t="n"/>
      <c r="G50" s="6" t="n"/>
      <c r="H50" s="17" t="n"/>
      <c r="I50" s="17" t="n"/>
      <c r="J50" s="5" t="n"/>
      <c r="K50" s="5" t="n"/>
      <c r="L50" s="34">
        <f>HYPERLINK(K50)</f>
        <v/>
      </c>
    </row>
    <row r="51" ht="17" customHeight="1" s="290">
      <c r="A51" s="15" t="n"/>
      <c r="B51" s="16" t="n"/>
      <c r="C51" s="5" t="n"/>
      <c r="D51" s="5" t="n"/>
      <c r="E51" s="5" t="n"/>
      <c r="F51" s="6" t="n"/>
      <c r="G51" s="6" t="n"/>
      <c r="H51" s="17" t="n"/>
      <c r="I51" s="17" t="n"/>
      <c r="J51" s="5" t="n"/>
      <c r="K51" s="5" t="n"/>
      <c r="L51" s="34">
        <f>HYPERLINK(K51)</f>
        <v/>
      </c>
    </row>
    <row r="52" ht="17" customHeight="1" s="290">
      <c r="A52" s="15" t="n"/>
      <c r="B52" s="16" t="n"/>
      <c r="C52" s="5" t="n"/>
      <c r="D52" s="5" t="n"/>
      <c r="E52" s="5" t="n"/>
      <c r="F52" s="6" t="n"/>
      <c r="G52" s="6" t="n"/>
      <c r="H52" s="17" t="n"/>
      <c r="I52" s="17" t="n"/>
      <c r="J52" s="5" t="n"/>
      <c r="K52" s="5" t="n"/>
      <c r="L52" s="34">
        <f>HYPERLINK(K52)</f>
        <v/>
      </c>
    </row>
    <row r="53" ht="17" customHeight="1" s="290">
      <c r="A53" s="15" t="n"/>
      <c r="B53" s="16" t="n"/>
      <c r="C53" s="5" t="n"/>
      <c r="D53" s="5" t="n"/>
      <c r="E53" s="5" t="n"/>
      <c r="F53" s="6" t="n"/>
      <c r="G53" s="6" t="n"/>
      <c r="H53" s="17" t="n"/>
      <c r="I53" s="17" t="n"/>
      <c r="J53" s="5" t="n"/>
      <c r="K53" s="5" t="n"/>
      <c r="L53" s="34">
        <f>HYPERLINK(K53)</f>
        <v/>
      </c>
    </row>
    <row r="54" ht="17" customHeight="1" s="290">
      <c r="A54" s="15" t="n"/>
      <c r="B54" s="16" t="n"/>
      <c r="C54" s="5" t="n"/>
      <c r="D54" s="5" t="n"/>
      <c r="E54" s="5" t="n"/>
      <c r="F54" s="6" t="n"/>
      <c r="G54" s="6" t="n"/>
      <c r="H54" s="17" t="n"/>
      <c r="I54" s="17" t="n"/>
      <c r="J54" s="5" t="n"/>
      <c r="K54" s="5" t="n"/>
      <c r="L54" s="34">
        <f>HYPERLINK(K54)</f>
        <v/>
      </c>
    </row>
    <row r="55" ht="17" customHeight="1" s="290">
      <c r="A55" s="15" t="n"/>
      <c r="B55" s="16" t="n"/>
      <c r="C55" s="5" t="n"/>
      <c r="D55" s="5" t="n"/>
      <c r="E55" s="5" t="n"/>
      <c r="F55" s="6" t="n"/>
      <c r="G55" s="6" t="n"/>
      <c r="H55" s="17" t="n"/>
      <c r="I55" s="17" t="n"/>
      <c r="J55" s="5" t="n"/>
      <c r="K55" s="5" t="n"/>
      <c r="L55" s="34">
        <f>HYPERLINK(K55)</f>
        <v/>
      </c>
    </row>
    <row r="57" ht="26" customHeight="1" s="290">
      <c r="A57" s="289" t="inlineStr">
        <is>
          <t>Rank By Monthly Units - Feb '26 ONLY</t>
        </is>
      </c>
    </row>
    <row r="58">
      <c r="A58" s="62" t="inlineStr">
        <is>
          <t>Ranking</t>
        </is>
      </c>
      <c r="B58" s="63" t="inlineStr">
        <is>
          <t>ASIN</t>
        </is>
      </c>
      <c r="C58" s="63" t="inlineStr">
        <is>
          <t>Product Name</t>
        </is>
      </c>
      <c r="D58" s="63" t="inlineStr">
        <is>
          <t>Brand</t>
        </is>
      </c>
      <c r="E58" s="63" t="inlineStr">
        <is>
          <t>Type</t>
        </is>
      </c>
      <c r="F58" s="64" t="inlineStr">
        <is>
          <t>Price</t>
        </is>
      </c>
      <c r="G58" s="65" t="inlineStr">
        <is>
          <t>Est. Monthly Retail Rev</t>
        </is>
      </c>
      <c r="H58" s="66" t="inlineStr">
        <is>
          <t>Est. Monthly Units Sold</t>
        </is>
      </c>
      <c r="I58" s="67" t="inlineStr">
        <is>
          <t># of Reviews</t>
        </is>
      </c>
      <c r="J58" s="313" t="inlineStr">
        <is>
          <t>Avg. Rating</t>
        </is>
      </c>
      <c r="K58" s="313" t="inlineStr">
        <is>
          <t>Column2</t>
        </is>
      </c>
      <c r="L58" s="313" t="inlineStr">
        <is>
          <t>Link</t>
        </is>
      </c>
    </row>
    <row r="59" ht="17" customHeight="1" s="290">
      <c r="A59" s="15" t="n">
        <v>1</v>
      </c>
      <c r="B59" s="16" t="inlineStr">
        <is>
          <t>B081VQVD3F</t>
        </is>
      </c>
      <c r="C59" s="5" t="inlineStr">
        <is>
          <t>OBDLink EX FORScan OBD Adapter</t>
        </is>
      </c>
      <c r="D59" s="5" t="inlineStr">
        <is>
          <t>obdlink</t>
        </is>
      </c>
      <c r="E59" s="5" t="inlineStr">
        <is>
          <t>Cable/Adapter</t>
        </is>
      </c>
      <c r="F59" s="6" t="n">
        <v>69.9357231857215</v>
      </c>
      <c r="G59" s="6" t="n">
        <v>415348.26</v>
      </c>
      <c r="H59" s="17" t="n">
        <v>5939</v>
      </c>
      <c r="I59" s="17" t="n">
        <v>9945</v>
      </c>
      <c r="J59" s="5" t="n">
        <v>4.8</v>
      </c>
      <c r="K59" s="5" t="inlineStr">
        <is>
          <t>https://amazon.com/dp/B081VQVD3F</t>
        </is>
      </c>
      <c r="L59" s="34">
        <f>HYPERLINK(K59)</f>
        <v/>
      </c>
    </row>
    <row r="60" ht="17" customHeight="1" s="290">
      <c r="A60" s="15" t="n">
        <v>2</v>
      </c>
      <c r="B60" s="16" t="inlineStr">
        <is>
          <t>B01F0GVBWY</t>
        </is>
      </c>
      <c r="C60" s="5" t="inlineStr">
        <is>
          <t>OHP FORScan ELM327-based OBD2 to USB Diagnostic Scan Tool with MS-Can/HS-Can Switch for Ford Lincoln Mazda Mercury Vehicles</t>
        </is>
      </c>
      <c r="D60" s="5" t="inlineStr">
        <is>
          <t>ohp</t>
        </is>
      </c>
      <c r="E60" s="5" t="inlineStr">
        <is>
          <t>Cable/Adapter</t>
        </is>
      </c>
      <c r="F60" s="6" t="n">
        <v>34.881197327852</v>
      </c>
      <c r="G60" s="6" t="n">
        <v>67878.81</v>
      </c>
      <c r="H60" s="17" t="n">
        <v>1946</v>
      </c>
      <c r="I60" s="17" t="n">
        <v>4918</v>
      </c>
      <c r="J60" s="5" t="n">
        <v>4.5</v>
      </c>
      <c r="K60" s="5" t="inlineStr">
        <is>
          <t>https://amazon.com/dp/B01F0GVBWY</t>
        </is>
      </c>
      <c r="L60" s="34">
        <f>HYPERLINK(K60)</f>
        <v/>
      </c>
    </row>
    <row r="61" ht="17" customHeight="1" s="290">
      <c r="A61" s="15" t="n">
        <v>3</v>
      </c>
      <c r="B61" s="16" t="inlineStr">
        <is>
          <t>B094Z7PBLS</t>
        </is>
      </c>
      <c r="C61" s="5" t="inlineStr">
        <is>
          <t>Vgate vLinker FS OBD2 USB Adapter for FORScan HS/MS-CAN Auto Switch</t>
        </is>
      </c>
      <c r="D61" s="5" t="inlineStr">
        <is>
          <t>vgate</t>
        </is>
      </c>
      <c r="E61" s="5" t="inlineStr">
        <is>
          <t>Cable/Adapter</t>
        </is>
      </c>
      <c r="F61" s="6" t="n">
        <v>34.99058479532164</v>
      </c>
      <c r="G61" s="6" t="n">
        <v>59833.9</v>
      </c>
      <c r="H61" s="17" t="n">
        <v>1710</v>
      </c>
      <c r="I61" s="17" t="n">
        <v>2686</v>
      </c>
      <c r="J61" s="5" t="n">
        <v>4.7</v>
      </c>
      <c r="K61" s="5" t="inlineStr">
        <is>
          <t>https://amazon.com/dp/B094Z7PBLS</t>
        </is>
      </c>
      <c r="L61" s="34">
        <f>HYPERLINK(K61)</f>
        <v/>
      </c>
    </row>
    <row r="62" ht="17" customHeight="1" s="290">
      <c r="A62" s="15" t="n">
        <v>4</v>
      </c>
      <c r="B62" s="16" t="inlineStr">
        <is>
          <t>B000EVYGV4</t>
        </is>
      </c>
      <c r="C62" s="5" t="inlineStr">
        <is>
          <t>Innova 3568 Digital Timing Light</t>
        </is>
      </c>
      <c r="D62" s="5" t="inlineStr">
        <is>
          <t>innova</t>
        </is>
      </c>
      <c r="E62" s="5" t="inlineStr">
        <is>
          <t>Other</t>
        </is>
      </c>
      <c r="F62" s="6" t="n">
        <v>79.89569668246446</v>
      </c>
      <c r="G62" s="6" t="n">
        <v>84289.96000000001</v>
      </c>
      <c r="H62" s="17" t="n">
        <v>1055</v>
      </c>
      <c r="I62" s="17" t="n"/>
      <c r="J62" s="5" t="n"/>
      <c r="K62" s="5" t="inlineStr">
        <is>
          <t>https://www.amazon.com/dp/B000EVYGV4</t>
        </is>
      </c>
      <c r="L62" s="34">
        <f>HYPERLINK(K62)</f>
        <v/>
      </c>
    </row>
    <row r="63" ht="17" customHeight="1" s="290">
      <c r="A63" s="15" t="n">
        <v>5</v>
      </c>
      <c r="B63" s="16" t="inlineStr">
        <is>
          <t>B071L8W7Q7</t>
        </is>
      </c>
      <c r="C63" s="5" t="inlineStr">
        <is>
          <t>bbfly-B6 OBD2 Splitter 16 Pin OBD II Splitter Extension 1x Male and 2X Female Extension Cable Adapter (1FT/30CM) (1Pack)</t>
        </is>
      </c>
      <c r="D63" s="5" t="inlineStr">
        <is>
          <t>bbfly</t>
        </is>
      </c>
      <c r="E63" s="5" t="inlineStr">
        <is>
          <t>Cable/Adapter</t>
        </is>
      </c>
      <c r="F63" s="6" t="n">
        <v>10.89475392670157</v>
      </c>
      <c r="G63" s="6" t="n">
        <v>10404.49</v>
      </c>
      <c r="H63" s="17" t="n">
        <v>955</v>
      </c>
      <c r="I63" s="17" t="n">
        <v>2113</v>
      </c>
      <c r="J63" s="5" t="n">
        <v>4.6</v>
      </c>
      <c r="K63" s="5" t="inlineStr">
        <is>
          <t>https://amazon.com/dp/B071L8W7Q7</t>
        </is>
      </c>
      <c r="L63" s="34">
        <f>HYPERLINK(K63)</f>
        <v/>
      </c>
    </row>
    <row r="64" ht="17" customHeight="1" s="290">
      <c r="A64" s="15" t="n">
        <v>6</v>
      </c>
      <c r="B64" s="16" t="inlineStr">
        <is>
          <t>B0CZ92SLDY</t>
        </is>
      </c>
      <c r="C64" s="5" t="inlineStr">
        <is>
          <t>VGATE vLinker FS USB FORScan OBD2 Adapter for HS/MS-CAN Auto Switch, Wire OBD2 USB FORScan Adapter Code Readers &amp; Scanner Diagnostic Tools</t>
        </is>
      </c>
      <c r="D64" s="5" t="inlineStr">
        <is>
          <t>vlinker</t>
        </is>
      </c>
      <c r="E64" s="5" t="inlineStr">
        <is>
          <t>Cable/Adapter</t>
        </is>
      </c>
      <c r="F64" s="6" t="n">
        <v>33.20383947939262</v>
      </c>
      <c r="G64" s="6" t="n">
        <v>30613.94</v>
      </c>
      <c r="H64" s="17" t="n">
        <v>922</v>
      </c>
      <c r="I64" s="17" t="n">
        <v>357</v>
      </c>
      <c r="J64" s="5" t="n">
        <v>4.5</v>
      </c>
      <c r="K64" s="5" t="inlineStr">
        <is>
          <t>https://amazon.com/dp/B0CZ92SLDY</t>
        </is>
      </c>
      <c r="L64" s="34">
        <f>HYPERLINK(K64)</f>
        <v/>
      </c>
    </row>
    <row r="65" ht="17" customHeight="1" s="290">
      <c r="A65" s="15" t="n">
        <v>7</v>
      </c>
      <c r="B65" s="16" t="inlineStr">
        <is>
          <t>B0711LGRGQ</t>
        </is>
      </c>
      <c r="C65" s="5" t="inlineStr">
        <is>
          <t>bbfly-A9 OBD II OBD2 16 Pin Splitter Extension 1x Male and 2X Female Extension Cable Adapter (2FT/60CM)</t>
        </is>
      </c>
      <c r="D65" s="5" t="inlineStr">
        <is>
          <t>bbfly</t>
        </is>
      </c>
      <c r="E65" s="5" t="inlineStr">
        <is>
          <t>Cable/Adapter</t>
        </is>
      </c>
      <c r="F65" s="6" t="n">
        <v>9.888845208845209</v>
      </c>
      <c r="G65" s="6" t="n">
        <v>8049.52</v>
      </c>
      <c r="H65" s="17" t="n">
        <v>814</v>
      </c>
      <c r="I65" s="17" t="n">
        <v>3075</v>
      </c>
      <c r="J65" s="5" t="n">
        <v>4.5</v>
      </c>
      <c r="K65" s="5" t="inlineStr">
        <is>
          <t>https://amazon.com/dp/B0711LGRGQ</t>
        </is>
      </c>
      <c r="L65" s="34">
        <f>HYPERLINK(K65)</f>
        <v/>
      </c>
    </row>
    <row r="66" ht="17" customHeight="1" s="290">
      <c r="A66" s="15" t="n"/>
      <c r="B66" s="16" t="n"/>
      <c r="C66" s="5" t="n"/>
      <c r="D66" s="5" t="n"/>
      <c r="E66" s="5" t="n"/>
      <c r="F66" s="6" t="n"/>
      <c r="G66" s="6" t="n"/>
      <c r="H66" s="17" t="n"/>
      <c r="I66" s="17" t="n"/>
      <c r="J66" s="5" t="n"/>
      <c r="K66" s="5" t="n"/>
      <c r="L66" s="34">
        <f>HYPERLINK(K66)</f>
        <v/>
      </c>
    </row>
    <row r="67" ht="34" customHeight="1" s="290">
      <c r="A67" s="15" t="n"/>
      <c r="B67" s="16" t="n"/>
      <c r="C67" s="5" t="n"/>
      <c r="D67" s="5" t="n"/>
      <c r="E67" s="5" t="n"/>
      <c r="F67" s="6" t="n"/>
      <c r="G67" s="6" t="n"/>
      <c r="H67" s="17" t="n"/>
      <c r="I67" s="17" t="n"/>
      <c r="J67" s="5" t="n"/>
      <c r="K67" s="5" t="n"/>
      <c r="L67" s="34">
        <f>HYPERLINK(K67)</f>
        <v/>
      </c>
    </row>
    <row r="68" ht="17" customHeight="1" s="290">
      <c r="A68" s="15" t="n"/>
      <c r="B68" s="16" t="n"/>
      <c r="C68" s="5" t="n"/>
      <c r="D68" s="5" t="n"/>
      <c r="E68" s="5" t="n"/>
      <c r="F68" s="6" t="n"/>
      <c r="G68" s="6" t="n"/>
      <c r="H68" s="17" t="n"/>
      <c r="I68" s="17" t="n"/>
      <c r="J68" s="5" t="n"/>
      <c r="K68" s="5" t="n"/>
      <c r="L68" s="34">
        <f>HYPERLINK(K68)</f>
        <v/>
      </c>
    </row>
  </sheetData>
  <mergeCells count="4">
    <mergeCell ref="A57:L57"/>
    <mergeCell ref="A44:L44"/>
    <mergeCell ref="A3:M3"/>
    <mergeCell ref="A1:M1"/>
  </mergeCells>
  <conditionalFormatting sqref="C5:J12 L5:M12">
    <cfRule type="expression" priority="1" dxfId="30">
      <formula>C5&lt;0</formula>
    </cfRule>
  </conditionalFormatting>
  <pageMargins left="0.7" right="0.7" top="0.75" bottom="0.75" header="0.3" footer="0.3"/>
  <drawing xmlns:r="http://schemas.openxmlformats.org/officeDocument/2006/relationships" r:id="rId1"/>
  <tableParts count="2">
    <tablePart xmlns:r="http://schemas.openxmlformats.org/officeDocument/2006/relationships" r:id="rId2"/>
    <tablePart xmlns:r="http://schemas.openxmlformats.org/officeDocument/2006/relationships" r:id="rId3"/>
  </tableParts>
</worksheet>
</file>

<file path=xl/worksheets/sheet12.xml><?xml version="1.0" encoding="utf-8"?>
<worksheet xmlns="http://schemas.openxmlformats.org/spreadsheetml/2006/main">
  <sheetPr codeName="Sheet6">
    <outlinePr summaryBelow="1" summaryRight="1"/>
    <pageSetUpPr/>
  </sheetPr>
  <dimension ref="A1:Q210"/>
  <sheetViews>
    <sheetView zoomScale="81" zoomScaleNormal="100" workbookViewId="0">
      <selection activeCell="L32" sqref="L32"/>
    </sheetView>
  </sheetViews>
  <sheetFormatPr baseColWidth="10" defaultColWidth="10.83203125" defaultRowHeight="16"/>
  <cols>
    <col width="50.6640625" customWidth="1" style="284" min="1" max="1"/>
    <col width="12.6640625" customWidth="1" style="284" min="2" max="2"/>
    <col width="12.6640625" customWidth="1" style="320" min="3" max="3"/>
    <col width="11.1640625" customWidth="1" style="296" min="4" max="4"/>
    <col width="24.83203125" bestFit="1" customWidth="1" style="284" min="5" max="5"/>
    <col width="17.6640625" bestFit="1" customWidth="1" style="286" min="6" max="6"/>
    <col width="21.6640625" bestFit="1" customWidth="1" style="286" min="7" max="7"/>
    <col width="19.1640625" bestFit="1" customWidth="1" style="286" min="8" max="8"/>
    <col width="13.5" bestFit="1" customWidth="1" style="287" min="9" max="9"/>
    <col width="13" bestFit="1" customWidth="1" style="284" min="10" max="10"/>
    <col hidden="1" width="29" customWidth="1" style="284" min="11" max="11"/>
    <col width="35.6640625" customWidth="1" style="284" min="12" max="12"/>
    <col width="15.6640625" customWidth="1" style="284" min="13" max="13"/>
    <col width="10.83203125" customWidth="1" style="284" min="14" max="16384"/>
  </cols>
  <sheetData>
    <row r="1">
      <c r="A1" s="282" t="inlineStr">
        <is>
          <t>Ancel Monthly Summary</t>
        </is>
      </c>
    </row>
    <row r="2"/>
    <row r="3"/>
    <row r="4"/>
    <row r="5"/>
    <row r="6">
      <c r="A6" s="29" t="n"/>
      <c r="B6" s="29" t="n"/>
      <c r="C6" s="321" t="n"/>
      <c r="D6" s="47" t="n"/>
      <c r="E6" s="48" t="n"/>
      <c r="F6" s="48" t="n"/>
      <c r="G6" s="48" t="n"/>
      <c r="H6" s="48" t="n"/>
      <c r="I6" s="49" t="n"/>
      <c r="J6" s="50" t="n"/>
    </row>
    <row r="7" ht="32" customHeight="1" s="290">
      <c r="A7" s="80" t="n"/>
      <c r="B7" s="81" t="inlineStr">
        <is>
          <t>Avg Price</t>
        </is>
      </c>
      <c r="C7" s="81" t="inlineStr">
        <is>
          <t>Avg Price MoM</t>
        </is>
      </c>
      <c r="D7" s="82" t="inlineStr">
        <is>
          <t>Avg Price YoY</t>
        </is>
      </c>
      <c r="E7" s="81" t="inlineStr">
        <is>
          <t>Quantity/Mo</t>
        </is>
      </c>
      <c r="F7" s="84" t="inlineStr">
        <is>
          <t>Qty by %</t>
        </is>
      </c>
      <c r="G7" s="84" t="inlineStr">
        <is>
          <t>Qty MoM</t>
        </is>
      </c>
      <c r="H7" s="82" t="inlineStr">
        <is>
          <t>Qty YoY</t>
        </is>
      </c>
      <c r="I7" s="309" t="inlineStr">
        <is>
          <t>Revenue/Mo</t>
        </is>
      </c>
      <c r="J7" s="126" t="inlineStr">
        <is>
          <t>Revenue by %</t>
        </is>
      </c>
      <c r="K7" s="173" t="n"/>
      <c r="L7" s="126" t="inlineStr">
        <is>
          <t>Revenue MoM</t>
        </is>
      </c>
      <c r="M7" s="310" t="inlineStr">
        <is>
          <t>Revenue YoY</t>
        </is>
      </c>
      <c r="N7" s="286" t="n"/>
      <c r="O7" s="286" t="n"/>
      <c r="P7" s="49" t="n"/>
      <c r="Q7" s="50" t="n"/>
    </row>
    <row r="8">
      <c r="A8" s="93" t="inlineStr">
        <is>
          <t>Tablet $800+</t>
        </is>
      </c>
      <c r="B8" s="298" t="n">
        <v>986.0123076923078</v>
      </c>
      <c r="C8" s="270" t="n">
        <v>-0.01847554927124095</v>
      </c>
      <c r="D8" s="271" t="n">
        <v>0.05165240606173493</v>
      </c>
      <c r="E8" s="269" t="n">
        <v>39</v>
      </c>
      <c r="F8" s="270" t="n">
        <v>0.0009191393085244279</v>
      </c>
      <c r="G8" s="270" t="n">
        <v>0.3</v>
      </c>
      <c r="H8" s="271" t="n">
        <v>-0.625</v>
      </c>
      <c r="I8" s="95" t="n">
        <v>38454.48</v>
      </c>
      <c r="J8" s="128" t="n">
        <v>0.01449041029540183</v>
      </c>
      <c r="L8" s="169" t="n">
        <v>0.2759817859473868</v>
      </c>
      <c r="M8" s="169" t="n">
        <v>-0.6056303477268494</v>
      </c>
      <c r="N8" s="286" t="n"/>
      <c r="O8" s="286" t="n"/>
      <c r="P8" s="49" t="n"/>
      <c r="Q8" s="50" t="n"/>
    </row>
    <row r="9">
      <c r="A9" s="93" t="inlineStr">
        <is>
          <t>Tablet $400-$800</t>
        </is>
      </c>
      <c r="B9" s="298" t="n">
        <v>589.8677690972222</v>
      </c>
      <c r="C9" s="270" t="n">
        <v>0.0201182464928622</v>
      </c>
      <c r="D9" s="271" t="n">
        <v>0.1098418786875772</v>
      </c>
      <c r="E9" s="269" t="n">
        <v>1152</v>
      </c>
      <c r="F9" s="270" t="n">
        <v>0.02714996111333695</v>
      </c>
      <c r="G9" s="270" t="n">
        <v>0.09401709401709413</v>
      </c>
      <c r="H9" s="271" t="n">
        <v>4.565217391304348</v>
      </c>
      <c r="I9" s="95" t="n">
        <v>679527.67</v>
      </c>
      <c r="J9" s="128" t="n">
        <v>0.2560594954184381</v>
      </c>
      <c r="L9" s="169" t="n">
        <v>0.1160267995819348</v>
      </c>
      <c r="M9" s="169" t="n">
        <v>5.176511324869995</v>
      </c>
      <c r="N9" s="286" t="n"/>
      <c r="O9" s="286" t="n"/>
      <c r="P9" s="49" t="n"/>
      <c r="Q9" s="50" t="n"/>
    </row>
    <row r="10">
      <c r="A10" s="96" t="inlineStr">
        <is>
          <t>Tablet $400-</t>
        </is>
      </c>
      <c r="B10" s="299" t="n">
        <v>281.6335344827586</v>
      </c>
      <c r="C10" s="274" t="n">
        <v>0.1052413501827494</v>
      </c>
      <c r="D10" s="275" t="n">
        <v>0.3666086533530142</v>
      </c>
      <c r="E10" s="273" t="n">
        <v>928</v>
      </c>
      <c r="F10" s="274" t="n">
        <v>0.02187080200796587</v>
      </c>
      <c r="G10" s="274" t="n">
        <v>-0.2593774940143655</v>
      </c>
      <c r="H10" s="275" t="n">
        <v>-0.2362139917695473</v>
      </c>
      <c r="I10" s="98" t="n">
        <v>261355.92</v>
      </c>
      <c r="J10" s="127" t="n">
        <v>0.09848409116264784</v>
      </c>
      <c r="L10" s="171" t="n">
        <v>-0.181433381508706</v>
      </c>
      <c r="M10" s="171" t="n">
        <v>0.04379656815769306</v>
      </c>
      <c r="N10" s="286" t="n"/>
      <c r="O10" s="286" t="n"/>
      <c r="P10" s="49" t="n"/>
      <c r="Q10" s="50" t="n"/>
    </row>
    <row r="11">
      <c r="A11" s="101" t="inlineStr">
        <is>
          <t>Total Tablet</t>
        </is>
      </c>
      <c r="B11" s="300" t="n">
        <v>462.1699244926853</v>
      </c>
      <c r="C11" s="112" t="n">
        <v>0.1288002534999348</v>
      </c>
      <c r="D11" s="104" t="n">
        <v>0.6091366305247525</v>
      </c>
      <c r="E11" s="116" t="n">
        <v>2119</v>
      </c>
      <c r="F11" s="112" t="n">
        <v>0.04993990242982725</v>
      </c>
      <c r="G11" s="112" t="n">
        <v>-0.08977663230240551</v>
      </c>
      <c r="H11" s="104" t="n">
        <v>0.4424778761061947</v>
      </c>
      <c r="I11" s="103" t="n">
        <v>979338.0700000001</v>
      </c>
      <c r="J11" s="129" t="n">
        <v>0.3690339968764877</v>
      </c>
      <c r="L11" s="170" t="n">
        <v>0.02746036819860898</v>
      </c>
      <c r="M11" s="170" t="n">
        <v>1.321143989164023</v>
      </c>
      <c r="N11" s="286" t="n"/>
      <c r="O11" s="286" t="n"/>
      <c r="P11" s="49" t="n"/>
      <c r="Q11" s="50" t="n"/>
    </row>
    <row r="12">
      <c r="A12" s="93" t="inlineStr">
        <is>
          <t>Handheld $75+</t>
        </is>
      </c>
      <c r="B12" s="298" t="n">
        <v>126.509518958687</v>
      </c>
      <c r="C12" s="270" t="n">
        <v>-0.05264585351048767</v>
      </c>
      <c r="D12" s="271" t="n">
        <v>-0.05554512943750911</v>
      </c>
      <c r="E12" s="269" t="n">
        <v>1767</v>
      </c>
      <c r="F12" s="270" t="n">
        <v>0.04164408097852985</v>
      </c>
      <c r="G12" s="270" t="n">
        <v>-0.2033363390441839</v>
      </c>
      <c r="H12" s="271" t="n">
        <v>-0.1777570963238716</v>
      </c>
      <c r="I12" s="95" t="n">
        <v>223542.32</v>
      </c>
      <c r="J12" s="128" t="n">
        <v>0.08423517715454769</v>
      </c>
      <c r="L12" s="169" t="n">
        <v>-0.2452773774359926</v>
      </c>
      <c r="M12" s="169" t="n">
        <v>-0.2234286848376354</v>
      </c>
      <c r="N12" s="286" t="n"/>
      <c r="O12" s="286" t="n"/>
      <c r="P12" s="49" t="n"/>
      <c r="Q12" s="50" t="n"/>
    </row>
    <row r="13">
      <c r="A13" s="96" t="inlineStr">
        <is>
          <t>Handheld $75-</t>
        </is>
      </c>
      <c r="B13" s="299" t="n">
        <v>34.71804229006791</v>
      </c>
      <c r="C13" s="274" t="n">
        <v>0.03347315711318832</v>
      </c>
      <c r="D13" s="275" t="n">
        <v>0.1860486867252631</v>
      </c>
      <c r="E13" s="273" t="n">
        <v>36226</v>
      </c>
      <c r="F13" s="274" t="n">
        <v>0.8537625792463057</v>
      </c>
      <c r="G13" s="274" t="n">
        <v>-0.2609502825550319</v>
      </c>
      <c r="H13" s="275" t="n">
        <v>-0.01586525400706329</v>
      </c>
      <c r="I13" s="98" t="n">
        <v>1257695.8</v>
      </c>
      <c r="J13" s="127" t="n">
        <v>0.4739247070511328</v>
      </c>
      <c r="L13" s="171" t="n">
        <v>-0.236211955248539</v>
      </c>
      <c r="M13" s="171" t="n">
        <v>0.1672317230456231</v>
      </c>
      <c r="N13" s="286" t="n"/>
      <c r="O13" s="286" t="n"/>
      <c r="P13" s="49" t="n"/>
      <c r="Q13" s="50" t="n"/>
    </row>
    <row r="14">
      <c r="A14" s="101" t="inlineStr">
        <is>
          <t>Total Handheld</t>
        </is>
      </c>
      <c r="B14" s="300" t="n">
        <v>38.98713236648856</v>
      </c>
      <c r="C14" s="112" t="n">
        <v>0.0281333785795006</v>
      </c>
      <c r="D14" s="104" t="n">
        <v>0.1124526778991581</v>
      </c>
      <c r="E14" s="116" t="n">
        <v>37993</v>
      </c>
      <c r="F14" s="112" t="n">
        <v>0.8954066602248356</v>
      </c>
      <c r="G14" s="112" t="n">
        <v>-0.2584561335024885</v>
      </c>
      <c r="H14" s="104" t="n">
        <v>-0.02479529762057553</v>
      </c>
      <c r="I14" s="103" t="n">
        <v>1481238.12</v>
      </c>
      <c r="J14" s="129" t="n">
        <v>0.5581598842056805</v>
      </c>
      <c r="L14" s="170" t="n">
        <v>-0.2375939991730074</v>
      </c>
      <c r="M14" s="170" t="n">
        <v>0.08486908266184257</v>
      </c>
      <c r="N14" s="286" t="n"/>
      <c r="O14" s="286" t="n"/>
      <c r="P14" s="49" t="n"/>
      <c r="Q14" s="50" t="n"/>
    </row>
    <row r="15">
      <c r="A15" s="78" t="inlineStr">
        <is>
          <t>Total Dongle</t>
        </is>
      </c>
      <c r="B15" s="301" t="n">
        <v>93.17978687127025</v>
      </c>
      <c r="C15" s="113" t="n">
        <v>-0.1491807446268896</v>
      </c>
      <c r="D15" s="107" t="n">
        <v>-0.129895357247612</v>
      </c>
      <c r="E15" s="99" t="n">
        <v>1173</v>
      </c>
      <c r="F15" s="113" t="n">
        <v>0.02764488227946548</v>
      </c>
      <c r="G15" s="113" t="n">
        <v>1.172222222222222</v>
      </c>
      <c r="H15" s="107" t="n">
        <v>0.8919354838709677</v>
      </c>
      <c r="I15" s="76" t="n">
        <v>109299.89</v>
      </c>
      <c r="J15" s="130" t="n">
        <v>0.04118636505661468</v>
      </c>
      <c r="L15" s="174" t="n">
        <v>0.8481684936160343</v>
      </c>
      <c r="M15" s="174" t="n">
        <v>0.6461818483041148</v>
      </c>
      <c r="N15" s="286" t="n"/>
      <c r="O15" s="286" t="n"/>
      <c r="P15" s="49" t="n"/>
      <c r="Q15" s="50" t="n"/>
    </row>
    <row r="16">
      <c r="A16" s="78" t="inlineStr">
        <is>
          <t>Total Other Tools</t>
        </is>
      </c>
      <c r="B16" s="301" t="n">
        <v>73.22175392670158</v>
      </c>
      <c r="C16" s="113" t="n">
        <v>0.1470346558940256</v>
      </c>
      <c r="D16" s="107" t="n">
        <v>-0.4766671139704967</v>
      </c>
      <c r="E16" s="99" t="n">
        <v>1146</v>
      </c>
      <c r="F16" s="113" t="n">
        <v>0.02700855506587165</v>
      </c>
      <c r="G16" s="113" t="n">
        <v>-0.1665454545454546</v>
      </c>
      <c r="H16" s="107" t="n">
        <v>2.570093457943925</v>
      </c>
      <c r="I16" s="76" t="n">
        <v>83912.13</v>
      </c>
      <c r="J16" s="130" t="n">
        <v>0.03161975386121713</v>
      </c>
      <c r="L16" s="174" t="n">
        <v>-0.04399875225123406</v>
      </c>
      <c r="M16" s="174" t="n">
        <v>0.8683473127408436</v>
      </c>
      <c r="N16" s="286" t="n"/>
      <c r="O16" s="286" t="n"/>
      <c r="P16" s="49" t="n"/>
      <c r="Q16" s="50" t="n"/>
    </row>
    <row r="17">
      <c r="A17" s="86" t="inlineStr">
        <is>
          <t>Total</t>
        </is>
      </c>
      <c r="B17" s="302" t="n">
        <v>62.54361693101742</v>
      </c>
      <c r="C17" s="109" t="n">
        <v>0.1402829509361039</v>
      </c>
      <c r="D17" s="108" t="n">
        <v>0.3289165227296211</v>
      </c>
      <c r="E17" s="100" t="n">
        <v>42431</v>
      </c>
      <c r="F17" s="109" t="n">
        <v>1</v>
      </c>
      <c r="G17" s="109" t="n">
        <v>-0.2351743033274452</v>
      </c>
      <c r="H17" s="108" t="n">
        <v>0.02164595974188588</v>
      </c>
      <c r="I17" s="85" t="n">
        <v>2653788.21</v>
      </c>
      <c r="J17" s="109" t="n">
        <v>1</v>
      </c>
      <c r="L17" s="172" t="n">
        <v>-0.1278822976464576</v>
      </c>
      <c r="M17" s="172" t="n">
        <v>0.3576821962809535</v>
      </c>
      <c r="N17" s="286" t="n"/>
      <c r="O17" s="286" t="n"/>
      <c r="P17" s="49" t="n"/>
      <c r="Q17" s="50" t="n"/>
    </row>
    <row r="18">
      <c r="A18" s="29" t="n"/>
      <c r="B18" s="29" t="n"/>
      <c r="C18" s="321" t="n"/>
      <c r="D18" s="47" t="n"/>
      <c r="E18" s="48" t="n"/>
      <c r="F18" s="48" t="n"/>
      <c r="G18" s="48" t="n"/>
      <c r="H18" s="48" t="n"/>
      <c r="I18" s="49" t="n"/>
      <c r="J18" s="50" t="n"/>
    </row>
    <row r="19">
      <c r="A19" s="29" t="n"/>
      <c r="B19" s="29" t="n"/>
      <c r="C19" s="321" t="n"/>
      <c r="D19" s="47" t="n"/>
      <c r="E19" s="48" t="n"/>
      <c r="F19" s="48" t="n"/>
      <c r="G19" s="48" t="n"/>
      <c r="H19" s="48" t="n"/>
      <c r="I19" s="49" t="n"/>
      <c r="J19" s="50" t="n"/>
    </row>
    <row r="20">
      <c r="A20" s="29" t="n"/>
      <c r="B20" s="29" t="n"/>
      <c r="C20" s="321" t="n"/>
      <c r="D20" s="47" t="n"/>
      <c r="E20" s="48" t="n"/>
      <c r="F20" s="48" t="n"/>
      <c r="G20" s="48" t="n"/>
      <c r="H20" s="48" t="n"/>
      <c r="I20" s="49" t="n"/>
      <c r="J20" s="50" t="n"/>
    </row>
    <row r="21">
      <c r="A21" s="29" t="n"/>
      <c r="B21" s="29" t="n"/>
      <c r="C21" s="321" t="n"/>
      <c r="D21" s="47" t="n"/>
      <c r="E21" s="48" t="n"/>
      <c r="F21" s="48" t="n"/>
      <c r="G21" s="48" t="n"/>
      <c r="H21" s="48" t="n"/>
      <c r="I21" s="49" t="n"/>
      <c r="J21" s="50" t="n"/>
    </row>
    <row r="22">
      <c r="A22" s="29" t="n"/>
      <c r="B22" s="29" t="n"/>
      <c r="C22" s="321" t="n"/>
      <c r="D22" s="47" t="n"/>
      <c r="E22" s="48" t="n"/>
      <c r="F22" s="48" t="n"/>
      <c r="G22" s="48" t="n"/>
      <c r="H22" s="48" t="n"/>
      <c r="I22" s="49" t="n"/>
      <c r="J22" s="50" t="n"/>
    </row>
    <row r="23">
      <c r="A23" s="29" t="n"/>
      <c r="B23" s="29" t="n"/>
      <c r="C23" s="321" t="n"/>
      <c r="D23" s="47" t="n"/>
      <c r="E23" s="48" t="n"/>
      <c r="F23" s="48" t="n"/>
      <c r="G23" s="48" t="n"/>
      <c r="H23" s="48" t="n"/>
      <c r="I23" s="49" t="n"/>
      <c r="J23" s="50" t="n"/>
    </row>
    <row r="24">
      <c r="A24" s="29" t="n"/>
      <c r="B24" s="29" t="n"/>
      <c r="C24" s="321" t="n"/>
      <c r="D24" s="47" t="n"/>
      <c r="E24" s="48" t="n"/>
      <c r="F24" s="48" t="n"/>
      <c r="G24" s="48" t="n"/>
      <c r="H24" s="48" t="n"/>
      <c r="I24" s="49" t="n"/>
      <c r="J24" s="50" t="n"/>
    </row>
    <row r="25">
      <c r="A25" s="29" t="n"/>
      <c r="B25" s="29" t="n"/>
      <c r="C25" s="321" t="n"/>
      <c r="D25" s="47" t="n"/>
      <c r="E25" s="48" t="n"/>
      <c r="F25" s="48" t="n"/>
      <c r="G25" s="48" t="n"/>
      <c r="H25" s="48" t="n"/>
      <c r="I25" s="49" t="n"/>
      <c r="J25" s="50" t="n"/>
    </row>
    <row r="26">
      <c r="A26" s="29" t="n"/>
      <c r="B26" s="29" t="n"/>
      <c r="C26" s="321" t="n"/>
      <c r="D26" s="47" t="n"/>
      <c r="E26" s="48" t="n"/>
      <c r="F26" s="48" t="n"/>
      <c r="G26" s="48" t="n"/>
      <c r="H26" s="48" t="n"/>
      <c r="I26" s="49" t="n"/>
      <c r="J26" s="50" t="n"/>
    </row>
    <row r="27">
      <c r="A27" s="29" t="n"/>
      <c r="B27" s="29" t="n"/>
      <c r="C27" s="321" t="n"/>
      <c r="D27" s="47" t="n"/>
      <c r="E27" s="48" t="n"/>
      <c r="F27" s="48" t="n"/>
      <c r="G27" s="48" t="n"/>
      <c r="H27" s="48" t="n"/>
      <c r="I27" s="49" t="n"/>
      <c r="J27" s="50" t="n"/>
    </row>
    <row r="28">
      <c r="A28" s="29" t="n"/>
      <c r="B28" s="29" t="n"/>
      <c r="C28" s="321" t="n"/>
      <c r="D28" s="47" t="n"/>
      <c r="E28" s="48" t="n"/>
      <c r="F28" s="48" t="n"/>
      <c r="G28" s="48" t="n"/>
      <c r="H28" s="48" t="n"/>
      <c r="I28" s="49" t="n"/>
      <c r="J28" s="50" t="n"/>
    </row>
    <row r="29">
      <c r="A29" s="29" t="n"/>
      <c r="B29" s="29" t="n"/>
      <c r="C29" s="321" t="n"/>
      <c r="D29" s="47" t="n"/>
      <c r="E29" s="48" t="n"/>
      <c r="F29" s="48" t="n"/>
      <c r="G29" s="48" t="n"/>
      <c r="H29" s="48" t="n"/>
      <c r="I29" s="49" t="n"/>
      <c r="J29" s="50" t="n"/>
    </row>
    <row r="30">
      <c r="A30" s="29" t="n"/>
      <c r="B30" s="29" t="n"/>
      <c r="C30" s="321" t="n"/>
      <c r="D30" s="47" t="n"/>
      <c r="E30" s="48" t="n"/>
      <c r="F30" s="48" t="n"/>
      <c r="G30" s="48" t="n"/>
      <c r="H30" s="48" t="n"/>
      <c r="I30" s="49" t="n"/>
      <c r="J30" s="50" t="n"/>
    </row>
    <row r="31">
      <c r="A31" s="29" t="n"/>
      <c r="B31" s="29" t="n"/>
      <c r="C31" s="321" t="n"/>
      <c r="D31" s="47" t="n"/>
      <c r="E31" s="48" t="n"/>
      <c r="F31" s="48" t="n"/>
      <c r="G31" s="48" t="n"/>
      <c r="H31" s="48" t="n"/>
      <c r="I31" s="49" t="n"/>
      <c r="J31" s="50" t="n"/>
    </row>
    <row r="32">
      <c r="A32" s="29" t="n"/>
      <c r="B32" s="29" t="n"/>
      <c r="C32" s="321" t="n"/>
      <c r="D32" s="47" t="n"/>
      <c r="E32" s="48" t="n"/>
      <c r="F32" s="48" t="n"/>
      <c r="G32" s="48" t="n"/>
      <c r="H32" s="48" t="n"/>
      <c r="I32" s="49" t="n"/>
      <c r="J32" s="50" t="n"/>
    </row>
    <row r="33">
      <c r="A33" s="29" t="n"/>
      <c r="B33" s="29" t="n"/>
      <c r="C33" s="321" t="n"/>
      <c r="D33" s="47" t="n"/>
      <c r="E33" s="48" t="n"/>
      <c r="F33" s="48" t="n"/>
      <c r="G33" s="48" t="n"/>
      <c r="H33" s="48" t="n"/>
      <c r="I33" s="49" t="n"/>
      <c r="J33" s="50" t="n"/>
    </row>
    <row r="49" ht="16" customHeight="1" s="290">
      <c r="C49" s="284" t="n"/>
      <c r="D49" s="284" t="n"/>
      <c r="F49" s="284" t="n"/>
      <c r="G49" s="284" t="n"/>
      <c r="H49" s="284" t="n"/>
      <c r="I49" s="284" t="n"/>
    </row>
    <row r="50">
      <c r="C50" s="284" t="n"/>
      <c r="D50" s="284" t="n"/>
      <c r="F50" s="284" t="n"/>
      <c r="G50" s="284" t="n"/>
      <c r="H50" s="284" t="n"/>
      <c r="I50" s="284" t="n"/>
    </row>
    <row r="51">
      <c r="A51" s="283" t="inlineStr">
        <is>
          <t xml:space="preserve">Rank by Revenue </t>
        </is>
      </c>
    </row>
    <row r="52" ht="17" customHeight="1" s="290">
      <c r="A52" s="38" t="inlineStr">
        <is>
          <t>Product Name</t>
        </is>
      </c>
      <c r="B52" s="39" t="inlineStr">
        <is>
          <t>ASIN</t>
        </is>
      </c>
      <c r="C52" s="39" t="inlineStr">
        <is>
          <t>Type</t>
        </is>
      </c>
      <c r="D52" s="322" t="inlineStr">
        <is>
          <t>Avg Price</t>
        </is>
      </c>
      <c r="E52" s="41" t="inlineStr">
        <is>
          <t>Estimated 12mo Revenue</t>
        </is>
      </c>
      <c r="F52" s="39" t="inlineStr">
        <is>
          <t>Monthly Rev</t>
        </is>
      </c>
      <c r="G52" s="42" t="inlineStr">
        <is>
          <t>Estimated 12mo Units</t>
        </is>
      </c>
      <c r="H52" s="45" t="inlineStr">
        <is>
          <t>Monthly Units</t>
        </is>
      </c>
      <c r="I52" s="42" t="inlineStr">
        <is>
          <t># of Reviews</t>
        </is>
      </c>
      <c r="J52" s="43" t="inlineStr">
        <is>
          <t xml:space="preserve">Tool Rating </t>
        </is>
      </c>
      <c r="K52" s="43" t="inlineStr">
        <is>
          <t>Column1</t>
        </is>
      </c>
      <c r="L52" s="323" t="inlineStr">
        <is>
          <t>Link</t>
        </is>
      </c>
    </row>
    <row r="53" ht="45" customHeight="1" s="290">
      <c r="A53" s="30" t="inlineStr">
        <is>
          <t>ANCEL AD310 Classic Enhanced Universal OBD II Scanner Car Engine Fault Code Reader CAN Diagnostic Scan Tool, Read and Clear Error Codes for 1996 or Newer OBD2 Protocol Vehicle (Black)</t>
        </is>
      </c>
      <c r="B53" s="30" t="inlineStr">
        <is>
          <t>B01G5EA74I</t>
        </is>
      </c>
      <c r="C53" s="30" t="inlineStr">
        <is>
          <t>Handheld</t>
        </is>
      </c>
      <c r="D53" s="324" t="n">
        <v>28.93877341320998</v>
      </c>
      <c r="E53" s="53" t="n">
        <v>11640814.05</v>
      </c>
      <c r="F53" s="54" t="n">
        <v>763231.21</v>
      </c>
      <c r="G53" s="55" t="n">
        <v>418439</v>
      </c>
      <c r="H53" s="55" t="n">
        <v>26374</v>
      </c>
      <c r="I53" s="55" t="n">
        <v>63860</v>
      </c>
      <c r="J53" s="56" t="n">
        <v>4.6</v>
      </c>
      <c r="K53" s="56" t="inlineStr">
        <is>
          <t>https://amazon.com/dp/B01G5EA74I</t>
        </is>
      </c>
      <c r="L53" s="34">
        <f>HYPERLINK(Table544[[#This Row],[Column1]])</f>
        <v/>
      </c>
    </row>
    <row r="54" ht="45" customHeight="1" s="290">
      <c r="A54" s="30" t="inlineStr">
        <is>
          <t>ANCEL X7HD 10'' Heavy Duty Truck Scanner, Semi Trucks Full System Diagnostic Tool, Bidirectional Diesel Scan Tool with DPF, ECU Coding, 40+ Reset for Cummins, Detroit, Caterpillar, Volvo, Paccar etc</t>
        </is>
      </c>
      <c r="B54" s="30" t="inlineStr">
        <is>
          <t>B0BZ82WQ4Q</t>
        </is>
      </c>
      <c r="C54" s="30" t="inlineStr">
        <is>
          <t>Tablet</t>
        </is>
      </c>
      <c r="D54" s="324" t="n">
        <v>774.4419436619719</v>
      </c>
      <c r="E54" s="53" t="n">
        <v>2419729.51</v>
      </c>
      <c r="F54" s="54" t="n">
        <v>274926.89</v>
      </c>
      <c r="G54" s="55" t="n">
        <v>2988</v>
      </c>
      <c r="H54" s="55" t="n">
        <v>355</v>
      </c>
      <c r="I54" s="55" t="n">
        <v>786</v>
      </c>
      <c r="J54" s="56" t="n">
        <v>3.8</v>
      </c>
      <c r="K54" s="56" t="inlineStr">
        <is>
          <t>https://amazon.com/dp/B0BZ82WQ4Q</t>
        </is>
      </c>
      <c r="L54" s="34">
        <f>HYPERLINK(Table544[[#This Row],[Column1]])</f>
        <v/>
      </c>
    </row>
    <row r="55" ht="45" customHeight="1" s="290">
      <c r="A55" s="30" t="inlineStr">
        <is>
          <t>ANCEL AD410 Enhanced OBD2 Scanner, Vehicle Code Reader for Check Engine Light, Automotive OBD II Scanner Fault Diagnosis, OBDII Scan Tool for All OBDII Cars 1996+, Black/Yellow</t>
        </is>
      </c>
      <c r="B55" s="30" t="inlineStr">
        <is>
          <t>B071FSNL73</t>
        </is>
      </c>
      <c r="C55" s="30" t="inlineStr">
        <is>
          <t>Handheld</t>
        </is>
      </c>
      <c r="D55" s="324" t="n">
        <v>43.56900433622415</v>
      </c>
      <c r="E55" s="53" t="n">
        <v>4039229.264615384</v>
      </c>
      <c r="F55" s="54" t="n">
        <v>261239.75</v>
      </c>
      <c r="G55" s="55" t="n">
        <v>81536</v>
      </c>
      <c r="H55" s="55" t="n">
        <v>5996</v>
      </c>
      <c r="I55" s="55" t="n">
        <v>15054</v>
      </c>
      <c r="J55" s="56" t="n">
        <v>4.5</v>
      </c>
      <c r="K55" s="56" t="inlineStr">
        <is>
          <t>https://amazon.com/dp/B071FSNL73</t>
        </is>
      </c>
      <c r="L55" s="34">
        <f>HYPERLINK(Table544[[#This Row],[Column1]])</f>
        <v/>
      </c>
    </row>
    <row r="56" ht="60" customHeight="1" s="290">
      <c r="A56" s="30" t="inlineStr">
        <is>
          <t>ANCEL DS500BT Bidirectional Scan Tool, Full-System Automotive Diagnostic Scanner with 28+ Services, Injector Coding, DPF/Brake/BMS/Oil/Gear/Throttle Functions, CAN FD Support, Lifetime Free Updates</t>
        </is>
      </c>
      <c r="B56" s="30" t="inlineStr">
        <is>
          <t>B0FN4JHLY7</t>
        </is>
      </c>
      <c r="C56" s="30" t="inlineStr">
        <is>
          <t>Tablet</t>
        </is>
      </c>
      <c r="D56" s="324" t="n">
        <v>558.973670212766</v>
      </c>
      <c r="E56" s="53" t="n">
        <v>1172184.424615385</v>
      </c>
      <c r="F56" s="54" t="n">
        <v>105087.05</v>
      </c>
      <c r="G56" s="55" t="n">
        <v>1158</v>
      </c>
      <c r="H56" s="55" t="n">
        <v>188</v>
      </c>
      <c r="I56" s="55" t="n">
        <v>1057</v>
      </c>
      <c r="J56" s="56" t="n">
        <v>4.5</v>
      </c>
      <c r="K56" s="56" t="inlineStr">
        <is>
          <t>https://amazon.com/dp/B0FN4JHLY7</t>
        </is>
      </c>
      <c r="L56" s="34">
        <f>HYPERLINK(Table544[[#This Row],[Column1]])</f>
        <v/>
      </c>
    </row>
    <row r="57" ht="45" customHeight="1" s="290">
      <c r="A57" s="30" t="inlineStr">
        <is>
          <t>ANCEL FX6100 Car Bidirectional Scan Tool, Full System OBD2 Scanner Diagnostic Tool for All Vehicles, Updates Included, AutoVIN, Active Test, ABS SRS TPMS Transmission EPB Oil Fault Code Read Reset</t>
        </is>
      </c>
      <c r="B57" s="30" t="inlineStr">
        <is>
          <t>B0F38JZ2PR</t>
        </is>
      </c>
      <c r="C57" s="30" t="inlineStr">
        <is>
          <t>Tablet</t>
        </is>
      </c>
      <c r="D57" s="324" t="n">
        <v>388.6911363636364</v>
      </c>
      <c r="E57" s="53" t="n">
        <v>943111.9000000001</v>
      </c>
      <c r="F57" s="54" t="n">
        <v>85512.05</v>
      </c>
      <c r="G57" s="55" t="n">
        <v>2722</v>
      </c>
      <c r="H57" s="55" t="n">
        <v>220</v>
      </c>
      <c r="I57" s="55" t="n">
        <v>277</v>
      </c>
      <c r="J57" s="56" t="n">
        <v>4.3</v>
      </c>
      <c r="K57" s="56" t="inlineStr">
        <is>
          <t>https://amazon.com/dp/B0F38JZ2PR</t>
        </is>
      </c>
      <c r="L57" s="34">
        <f>HYPERLINK(Table544[[#This Row],[Column1]])</f>
        <v/>
      </c>
    </row>
    <row r="58" ht="45" customHeight="1" s="290">
      <c r="A58" s="30" t="inlineStr">
        <is>
          <t>ANCEL HD3400 Pro Heavy Duty Truck Scanner | DPF Regeneration, Lifetime Free Update, Compatible with Commercial Vehicles with Cummins, Paccar, Caterpillar, Detroit, Volvo, Mack, International Engines</t>
        </is>
      </c>
      <c r="B58" s="30" t="inlineStr">
        <is>
          <t>B09R3L5BP2</t>
        </is>
      </c>
      <c r="C58" s="30" t="inlineStr">
        <is>
          <t>Tablet</t>
        </is>
      </c>
      <c r="D58" s="324" t="n">
        <v>442.0604712041885</v>
      </c>
      <c r="E58" s="53" t="n">
        <v>1018901.241538462</v>
      </c>
      <c r="F58" s="54" t="n">
        <v>84433.55</v>
      </c>
      <c r="G58" s="55" t="n">
        <v>2005</v>
      </c>
      <c r="H58" s="55" t="n">
        <v>191</v>
      </c>
      <c r="I58" s="55" t="n">
        <v>554</v>
      </c>
      <c r="J58" s="56" t="n">
        <v>4.1</v>
      </c>
      <c r="K58" s="56" t="inlineStr">
        <is>
          <t>https://amazon.com/dp/B09R3L5BP2</t>
        </is>
      </c>
      <c r="L58" s="34">
        <f>HYPERLINK(Table544[[#This Row],[Column1]])</f>
        <v/>
      </c>
    </row>
    <row r="59" ht="45" customHeight="1" s="290">
      <c r="A59" s="30" t="inlineStr">
        <is>
          <t>ANCEL AD410 PRO OBD2 Scanner and Battery Tester, 2-in-1 Car Diagnostic Tool, Check Engine Light, EVAP Test, Live Data, 12V Battery Analyzer with Cranking &amp; Charging System Test for Car Motorcycle</t>
        </is>
      </c>
      <c r="B59" s="30" t="inlineStr">
        <is>
          <t>B0BX3K8VGJ</t>
        </is>
      </c>
      <c r="C59" s="30" t="inlineStr">
        <is>
          <t>Handheld</t>
        </is>
      </c>
      <c r="D59" s="324" t="n">
        <v>62.35547598253275</v>
      </c>
      <c r="E59" s="53" t="n">
        <v>931202.0315384616</v>
      </c>
      <c r="F59" s="54" t="n">
        <v>71397.02</v>
      </c>
      <c r="G59" s="55" t="n">
        <v>12112</v>
      </c>
      <c r="H59" s="55" t="n">
        <v>1145</v>
      </c>
      <c r="I59" s="55" t="n">
        <v>4093</v>
      </c>
      <c r="J59" s="56" t="n">
        <v>4.6</v>
      </c>
      <c r="K59" s="56" t="inlineStr">
        <is>
          <t>https://amazon.com/dp/B0BX3K8VGJ</t>
        </is>
      </c>
      <c r="L59" s="34">
        <f>HYPERLINK(Table544[[#This Row],[Column1]])</f>
        <v/>
      </c>
    </row>
    <row r="60" ht="45" customHeight="1" s="290">
      <c r="A60" s="30" t="inlineStr">
        <is>
          <t>ANCEL VD500 OBD2 Scanner Diagnostic Tool for Volkswagen VW Audi Skoda Seat Diagnosis Check Engine Light EPB ABS SRS Code Reader Oil Throttle Position Adaption Brake Pad Reset</t>
        </is>
      </c>
      <c r="B60" s="30" t="inlineStr">
        <is>
          <t>B07BS7PDC2</t>
        </is>
      </c>
      <c r="C60" s="30" t="inlineStr">
        <is>
          <t>Handheld</t>
        </is>
      </c>
      <c r="D60" s="324" t="n">
        <v>65.69651651651652</v>
      </c>
      <c r="E60" s="53" t="n">
        <v>763249.91</v>
      </c>
      <c r="F60" s="54" t="n">
        <v>65630.82000000001</v>
      </c>
      <c r="G60" s="55" t="n">
        <v>11514</v>
      </c>
      <c r="H60" s="55" t="n">
        <v>999</v>
      </c>
      <c r="I60" s="55" t="n">
        <v>6329</v>
      </c>
      <c r="J60" s="56" t="n">
        <v>4.5</v>
      </c>
      <c r="K60" s="56" t="inlineStr">
        <is>
          <t>https://amazon.com/dp/B07BS7PDC2</t>
        </is>
      </c>
      <c r="L60" s="34">
        <f>HYPERLINK(Table544[[#This Row],[Column1]])</f>
        <v/>
      </c>
    </row>
    <row r="61" ht="45" customHeight="1" s="290">
      <c r="A61" s="30" t="inlineStr">
        <is>
          <t>ANCEL DS500 Elite Bidirectional Scan Tool, Full System Car Diagnostic Scanner with 28+ Services, Injector Coding, Active Test, ABS Bleeding Throttle BMS TPMS Reset, CAN-FD, FCA, Lifetime Free Update</t>
        </is>
      </c>
      <c r="B61" s="30" t="inlineStr">
        <is>
          <t>B0FVFQCJ41</t>
        </is>
      </c>
      <c r="C61" s="30" t="inlineStr">
        <is>
          <t>Tablet</t>
        </is>
      </c>
      <c r="D61" s="324" t="n">
        <v>476.8873015873016</v>
      </c>
      <c r="E61" s="53" t="n">
        <v>623999.630769231</v>
      </c>
      <c r="F61" s="54" t="n">
        <v>60087.8</v>
      </c>
      <c r="G61" s="55" t="n">
        <v>524</v>
      </c>
      <c r="H61" s="55" t="n">
        <v>126</v>
      </c>
      <c r="I61" s="55" t="n">
        <v>277</v>
      </c>
      <c r="J61" s="56" t="n">
        <v>4.3</v>
      </c>
      <c r="K61" s="56" t="inlineStr">
        <is>
          <t>https://amazon.com/dp/B0FVFQCJ41</t>
        </is>
      </c>
      <c r="L61" s="34">
        <f>HYPERLINK(Table544[[#This Row],[Column1]])</f>
        <v/>
      </c>
    </row>
    <row r="62" ht="45" customHeight="1" s="290">
      <c r="A62" s="30" t="inlineStr">
        <is>
          <t>ANCEL Heavy Duty Truck Scanner HD601 All System Diesel Diagnostic Scan Tool fits for Cummins, Detroit, Freightliner, International, Paccar, Check Engine for Truck &amp; Car 2 in 1 Code Reader</t>
        </is>
      </c>
      <c r="B62" s="30" t="inlineStr">
        <is>
          <t>B0B452YDWT</t>
        </is>
      </c>
      <c r="C62" s="30" t="inlineStr">
        <is>
          <t>Handheld</t>
        </is>
      </c>
      <c r="D62" s="324" t="n">
        <v>147.8879177377892</v>
      </c>
      <c r="E62" s="53" t="n">
        <v>1225123.98</v>
      </c>
      <c r="F62" s="54" t="n">
        <v>57528.4</v>
      </c>
      <c r="G62" s="55" t="n">
        <v>7816</v>
      </c>
      <c r="H62" s="55" t="n">
        <v>389</v>
      </c>
      <c r="I62" s="55" t="n">
        <v>637</v>
      </c>
      <c r="J62" s="56" t="n">
        <v>4</v>
      </c>
      <c r="K62" s="56" t="inlineStr">
        <is>
          <t>https://amazon.com/dp/B0B452YDWT</t>
        </is>
      </c>
      <c r="L62" s="34">
        <f>HYPERLINK(Table544[[#This Row],[Column1]])</f>
        <v/>
      </c>
    </row>
    <row r="63" ht="45" customHeight="1" s="290">
      <c r="A63" s="30" t="inlineStr">
        <is>
          <t>ANCEL HD110 Heavy Duty Truck Scanner with DPF Regen and Reset for Detroit Paccar Engine, Full System HDOBD &amp; OBD2 Scanner for Diesel Trucks Lifetime Free Updates</t>
        </is>
      </c>
      <c r="B63" s="30" t="inlineStr">
        <is>
          <t>B0D3F2953F</t>
        </is>
      </c>
      <c r="C63" s="30" t="inlineStr">
        <is>
          <t>Cable/Adapter</t>
        </is>
      </c>
      <c r="D63" s="324" t="n">
        <v>184.2611842105263</v>
      </c>
      <c r="E63" s="53" t="n">
        <v>606451.5900000001</v>
      </c>
      <c r="F63" s="54" t="n">
        <v>56015.4</v>
      </c>
      <c r="G63" s="55" t="n">
        <v>3429</v>
      </c>
      <c r="H63" s="55" t="n">
        <v>304</v>
      </c>
      <c r="I63" s="55" t="n">
        <v>185</v>
      </c>
      <c r="J63" s="56" t="n">
        <v>4.2</v>
      </c>
      <c r="K63" s="56" t="inlineStr">
        <is>
          <t>https://amazon.com/dp/B0D3F2953F</t>
        </is>
      </c>
      <c r="L63" s="34">
        <f>HYPERLINK(Table544[[#This Row],[Column1]])</f>
        <v/>
      </c>
    </row>
    <row r="64" ht="45" customHeight="1" s="290">
      <c r="A64" s="30" t="inlineStr">
        <is>
          <t>ANCEL DS200 Full System OBD2 Scanner with 15+ Reset Services - Oil/BMS/Brake Reset, DPF Regen, Injector Coding, ABS Bleeding, Free Lifetime Updates, Online Customer Service</t>
        </is>
      </c>
      <c r="B64" s="30" t="inlineStr">
        <is>
          <t>B0DHX29NMC</t>
        </is>
      </c>
      <c r="C64" s="30" t="inlineStr">
        <is>
          <t>Tablet</t>
        </is>
      </c>
      <c r="D64" s="324" t="n">
        <v>294.6341208791209</v>
      </c>
      <c r="E64" s="53" t="n">
        <v>727570.77</v>
      </c>
      <c r="F64" s="54" t="n">
        <v>53623.41</v>
      </c>
      <c r="G64" s="55" t="n">
        <v>2604</v>
      </c>
      <c r="H64" s="55" t="n">
        <v>182</v>
      </c>
      <c r="I64" s="55" t="n">
        <v>209</v>
      </c>
      <c r="J64" s="56" t="n">
        <v>4.3</v>
      </c>
      <c r="K64" s="56" t="inlineStr">
        <is>
          <t>https://amazon.com/dp/B0DHX29NMC</t>
        </is>
      </c>
      <c r="L64" s="34">
        <f>HYPERLINK(Table544[[#This Row],[Column1]])</f>
        <v/>
      </c>
    </row>
    <row r="65" ht="45" customHeight="1" s="290">
      <c r="A65" s="30" t="inlineStr">
        <is>
          <t>ANCEL BM500 OBD2 Scanner for BMW &amp; MINI, Simplified Battery Registration, EPB, Oil, Throttle, PCM Resets, I/M Readiness, Full System Diagnostics for Engine, Transmission, ABS, SRS, DSC &amp; More</t>
        </is>
      </c>
      <c r="B65" s="30" t="inlineStr">
        <is>
          <t>B08925H3H1</t>
        </is>
      </c>
      <c r="C65" s="30" t="inlineStr">
        <is>
          <t>Handheld</t>
        </is>
      </c>
      <c r="D65" s="324" t="n">
        <v>105.1284666666667</v>
      </c>
      <c r="E65" s="53" t="n">
        <v>476769.6499999999</v>
      </c>
      <c r="F65" s="54" t="n">
        <v>47307.81</v>
      </c>
      <c r="G65" s="55" t="n">
        <v>4868</v>
      </c>
      <c r="H65" s="55" t="n">
        <v>450</v>
      </c>
      <c r="I65" s="55" t="n">
        <v>881</v>
      </c>
      <c r="J65" s="56" t="n">
        <v>4.5</v>
      </c>
      <c r="K65" s="56" t="inlineStr">
        <is>
          <t>https://amazon.com/dp/B08925H3H1</t>
        </is>
      </c>
      <c r="L65" s="34">
        <f>HYPERLINK(Table544[[#This Row],[Column1]])</f>
        <v/>
      </c>
    </row>
    <row r="66" ht="45" customHeight="1" s="290">
      <c r="A66" s="30" t="inlineStr">
        <is>
          <t>ANCEL HD3600 Heavy Equipment Diagnostic Tool with D-P-F Regen, Full System Heavy Duty Truck Scanner Machinery Scanner Diesel Code Reader Fit for Cummins, Caterpillar, John Deere, Komatsu, Yanmar&amp;Case</t>
        </is>
      </c>
      <c r="B66" s="30" t="inlineStr">
        <is>
          <t>B0B1LD8663</t>
        </is>
      </c>
      <c r="C66" s="30" t="inlineStr">
        <is>
          <t>Tablet</t>
        </is>
      </c>
      <c r="D66" s="324" t="n">
        <v>494.7513829787234</v>
      </c>
      <c r="E66" s="53" t="n">
        <v>449699.31</v>
      </c>
      <c r="F66" s="54" t="n">
        <v>46506.63</v>
      </c>
      <c r="G66" s="55" t="n">
        <v>937</v>
      </c>
      <c r="H66" s="55" t="n">
        <v>94</v>
      </c>
      <c r="I66" s="55" t="n">
        <v>348</v>
      </c>
      <c r="J66" s="56" t="n">
        <v>3.9</v>
      </c>
      <c r="K66" s="56" t="inlineStr">
        <is>
          <t>https://amazon.com/dp/B0B1LD8663</t>
        </is>
      </c>
      <c r="L66" s="34">
        <f>HYPERLINK(Table544[[#This Row],[Column1]])</f>
        <v/>
      </c>
    </row>
    <row r="67" ht="45" customHeight="1" s="290">
      <c r="A67" s="30" t="inlineStr">
        <is>
          <t>ANCEL BD310 Bluetooth OBD2 Scanner, 2-in-1 Car Diagnostic Scan Tool &amp; Code Reader with App, Battery Test, Trip Analysis, Performance Test, for iPhone &amp; Android, All 1996+ Vehicles</t>
        </is>
      </c>
      <c r="B67" s="30" t="inlineStr">
        <is>
          <t>B07J51W9NS</t>
        </is>
      </c>
      <c r="C67" s="30" t="inlineStr">
        <is>
          <t>Handheld</t>
        </is>
      </c>
      <c r="D67" s="324" t="n">
        <v>59.07334630350195</v>
      </c>
      <c r="E67" s="53" t="n">
        <v>785997.5299999998</v>
      </c>
      <c r="F67" s="54" t="n">
        <v>45545.55</v>
      </c>
      <c r="G67" s="55" t="n">
        <v>12329</v>
      </c>
      <c r="H67" s="55" t="n">
        <v>771</v>
      </c>
      <c r="I67" s="55" t="n">
        <v>1574</v>
      </c>
      <c r="J67" s="56" t="n">
        <v>4.4</v>
      </c>
      <c r="K67" s="56" t="inlineStr">
        <is>
          <t>https://amazon.com/dp/B07J51W9NS</t>
        </is>
      </c>
      <c r="L67" s="34">
        <f>HYPERLINK(Table544[[#This Row],[Column1]])</f>
        <v/>
      </c>
    </row>
    <row r="68" ht="45" customHeight="1" s="290">
      <c r="A68" s="30" t="inlineStr">
        <is>
          <t>ANCEL HD7000 Elite 7" Heavy Duty Truck Scanner with DPF Regen, Speed/Idle Adjustment, Service Reset, Diagnostic Tool for Cummins Detroit CAT Volvo Paccar Mack International, Lifetime Free Updates</t>
        </is>
      </c>
      <c r="B68" s="30" t="inlineStr">
        <is>
          <t>B0FP9BMYKG</t>
        </is>
      </c>
      <c r="C68" s="30" t="inlineStr">
        <is>
          <t>Tablet</t>
        </is>
      </c>
      <c r="D68" s="324" t="n">
        <v>510.95275</v>
      </c>
      <c r="E68" s="53" t="n">
        <v>486296.9776923078</v>
      </c>
      <c r="F68" s="54" t="n">
        <v>40876.22</v>
      </c>
      <c r="G68" s="55" t="n">
        <v>418</v>
      </c>
      <c r="H68" s="55" t="n">
        <v>80</v>
      </c>
      <c r="I68" s="55" t="n">
        <v>77</v>
      </c>
      <c r="J68" s="56" t="n">
        <v>3.5</v>
      </c>
      <c r="K68" s="56" t="inlineStr">
        <is>
          <t>https://amazon.com/dp/B0FP9BMYKG</t>
        </is>
      </c>
      <c r="L68" s="34">
        <f>HYPERLINK(Table544[[#This Row],[Column1]])</f>
        <v/>
      </c>
    </row>
    <row r="69" ht="60" customHeight="1" s="290">
      <c r="A69" s="30" t="inlineStr">
        <is>
          <t>ANCEL AD530 OBD2 Scanner-Upgraded AD310, Car Code Reader for Check Engine Light, Full OBDII Scan Tool for Read &amp; Clear Fault Codes, Battery Test &amp; Live Data, OBD II Diagnostic Scanner for 1996+ Cars</t>
        </is>
      </c>
      <c r="B69" s="30" t="inlineStr">
        <is>
          <t>B07N66TTQG</t>
        </is>
      </c>
      <c r="C69" s="30" t="inlineStr">
        <is>
          <t>Handheld</t>
        </is>
      </c>
      <c r="D69" s="324" t="n">
        <v>63.87064263322884</v>
      </c>
      <c r="E69" s="53" t="n">
        <v>670695.59</v>
      </c>
      <c r="F69" s="54" t="n">
        <v>40749.47</v>
      </c>
      <c r="G69" s="55" t="n">
        <v>10286</v>
      </c>
      <c r="H69" s="55" t="n">
        <v>638</v>
      </c>
      <c r="I69" s="55" t="n">
        <v>4091</v>
      </c>
      <c r="J69" s="56" t="n">
        <v>4.5</v>
      </c>
      <c r="K69" s="56" t="inlineStr">
        <is>
          <t>https://amazon.com/dp/B07N66TTQG</t>
        </is>
      </c>
      <c r="L69" s="34">
        <f>HYPERLINK(Table544[[#This Row],[Column1]])</f>
        <v/>
      </c>
    </row>
    <row r="70" ht="45" customHeight="1" s="290">
      <c r="A70" s="30" t="inlineStr">
        <is>
          <t>ANCEL BD500 Bluetooth Diagnostic Scan Tool for VW Audi Seat Skoda Diagnosis, Full Systems Volkswagen OBD2 Scanner Vag Car Code Reader with Battery Check EPB Reset for iPhone, iPad &amp; Android</t>
        </is>
      </c>
      <c r="B70" s="30" t="inlineStr">
        <is>
          <t>B0B1MHSMBW</t>
        </is>
      </c>
      <c r="C70" s="30" t="inlineStr">
        <is>
          <t>Dongle</t>
        </is>
      </c>
      <c r="D70" s="324" t="n">
        <v>79.98407786885247</v>
      </c>
      <c r="E70" s="53" t="n">
        <v>120460.89</v>
      </c>
      <c r="F70" s="54" t="n">
        <v>39032.23</v>
      </c>
      <c r="G70" s="55" t="n">
        <v>1487</v>
      </c>
      <c r="H70" s="55" t="n">
        <v>488</v>
      </c>
      <c r="I70" s="55" t="n">
        <v>1713</v>
      </c>
      <c r="J70" s="56" t="n">
        <v>4.4</v>
      </c>
      <c r="K70" s="56" t="inlineStr">
        <is>
          <t>https://amazon.com/dp/B0B1MHSMBW</t>
        </is>
      </c>
      <c r="L70" s="34">
        <f>HYPERLINK(Table544[[#This Row],[Column1]])</f>
        <v/>
      </c>
    </row>
    <row r="71" ht="45" customHeight="1" s="290">
      <c r="A71" s="30" t="inlineStr">
        <is>
          <t>ANCEL DS100 OBD2 Scanner: Fix Check Engine, ABS, SRS &amp; Transmission Issues with 7 Resets (Oil/Brake/BMS/SAS/ABS Bleeding/Throttle/Gear Learning), Lifetime Updates, Code Reader for All Cars 1996+</t>
        </is>
      </c>
      <c r="B71" s="30" t="inlineStr">
        <is>
          <t>B0DHX8FFVR</t>
        </is>
      </c>
      <c r="C71" s="30" t="inlineStr">
        <is>
          <t>Tablet</t>
        </is>
      </c>
      <c r="D71" s="324" t="n">
        <v>210.3632960893855</v>
      </c>
      <c r="E71" s="53" t="n">
        <v>812948.8500000001</v>
      </c>
      <c r="F71" s="54" t="n">
        <v>37655.03</v>
      </c>
      <c r="G71" s="55" t="n">
        <v>4407</v>
      </c>
      <c r="H71" s="55" t="n">
        <v>179</v>
      </c>
      <c r="I71" s="55" t="n">
        <v>376</v>
      </c>
      <c r="J71" s="56" t="n">
        <v>4.4</v>
      </c>
      <c r="K71" s="56" t="inlineStr">
        <is>
          <t>https://amazon.com/dp/B0DHX8FFVR</t>
        </is>
      </c>
      <c r="L71" s="34">
        <f>HYPERLINK(Table544[[#This Row],[Column1]])</f>
        <v/>
      </c>
    </row>
    <row r="72" ht="45" customHeight="1" s="290">
      <c r="A72" s="30" t="inlineStr">
        <is>
          <t>ANCEL HD100 Heavy Duty Truck Scanner with DPF Regen for Cummins &amp; CAT Engines, Bluetooth Diesel Diagnostic Tool with All-System Scan, HDOBD &amp; OBD2 Code Reader for Semi Trucks, Lifetime Free Updates</t>
        </is>
      </c>
      <c r="B72" s="30" t="inlineStr">
        <is>
          <t>B0CQ4V8X9L</t>
        </is>
      </c>
      <c r="C72" s="30" t="inlineStr">
        <is>
          <t>Dongle</t>
        </is>
      </c>
      <c r="D72" s="324" t="n">
        <v>174.25896373057</v>
      </c>
      <c r="E72" s="53" t="n">
        <v>331337.22</v>
      </c>
      <c r="F72" s="54" t="n">
        <v>33631.98</v>
      </c>
      <c r="G72" s="55" t="n">
        <v>1796</v>
      </c>
      <c r="H72" s="55" t="n">
        <v>193</v>
      </c>
      <c r="I72" s="55" t="n">
        <v>186</v>
      </c>
      <c r="J72" s="56" t="n">
        <v>4.2</v>
      </c>
      <c r="K72" s="56" t="inlineStr">
        <is>
          <t>https://amazon.com/dp/B0CQ4V8X9L</t>
        </is>
      </c>
      <c r="L72" s="34">
        <f>HYPERLINK(Table544[[#This Row],[Column1]])</f>
        <v/>
      </c>
    </row>
    <row r="73" ht="45" customHeight="1" s="290">
      <c r="A73" s="30" t="inlineStr">
        <is>
          <t>ANCEL BD300 BMW Bluetooth OBD2 Scanner, Full System Code Reader and Diagnostic Tool for BMW with Battery Registration Service Reset EPB CBS ETC ABS Airbag &amp; Powerful OBD2 Functions</t>
        </is>
      </c>
      <c r="B73" s="30" t="inlineStr">
        <is>
          <t>B09ZPB3JV9</t>
        </is>
      </c>
      <c r="C73" s="30" t="inlineStr">
        <is>
          <t>Dongle</t>
        </is>
      </c>
      <c r="D73" s="324" t="n">
        <v>75.94614832535886</v>
      </c>
      <c r="E73" s="53" t="n">
        <v>189730.01</v>
      </c>
      <c r="F73" s="54" t="n">
        <v>31745.49</v>
      </c>
      <c r="G73" s="55" t="n">
        <v>2269</v>
      </c>
      <c r="H73" s="55" t="n">
        <v>418</v>
      </c>
      <c r="I73" s="55" t="n">
        <v>2231</v>
      </c>
      <c r="J73" s="56" t="n">
        <v>4.5</v>
      </c>
      <c r="K73" s="56" t="inlineStr">
        <is>
          <t>https://amazon.com/dp/B09ZPB3JV9</t>
        </is>
      </c>
      <c r="L73" s="34">
        <f>HYPERLINK(Table544[[#This Row],[Column1]])</f>
        <v/>
      </c>
    </row>
    <row r="74" ht="45" customHeight="1" s="290">
      <c r="A74" s="30" t="inlineStr">
        <is>
          <t>ANCEL HD430 Heavy Duty Truck Scanner, DPF Reset &amp; Forced Regeneration for Cummins &amp; Caterpillar Engine, Full System HDOBD Diesel Scanner OBD2 Diagnostic Scan Tool Code Reader for Diesel Trucks &amp; Cars</t>
        </is>
      </c>
      <c r="B74" s="30" t="inlineStr">
        <is>
          <t>B0DBH27CQS</t>
        </is>
      </c>
      <c r="C74" s="30" t="inlineStr">
        <is>
          <t>Tablet</t>
        </is>
      </c>
      <c r="D74" s="324" t="n">
        <v>259.872735042735</v>
      </c>
      <c r="E74" s="53" t="n">
        <v>585727.41</v>
      </c>
      <c r="F74" s="54" t="n">
        <v>30405.11</v>
      </c>
      <c r="G74" s="55" t="n">
        <v>2127</v>
      </c>
      <c r="H74" s="55" t="n">
        <v>117</v>
      </c>
      <c r="I74" s="55" t="n">
        <v>640</v>
      </c>
      <c r="J74" s="56" t="n">
        <v>4</v>
      </c>
      <c r="K74" s="56" t="inlineStr">
        <is>
          <t>https://amazon.com/dp/B0DBH27CQS</t>
        </is>
      </c>
      <c r="L74" s="34">
        <f>HYPERLINK(Table544[[#This Row],[Column1]])</f>
        <v/>
      </c>
    </row>
    <row r="75" ht="45" customHeight="1" s="290">
      <c r="A75" s="30" t="inlineStr">
        <is>
          <t>ANCEL MT700 Motorcycle OBD2 Scanner Full Systems, ABS Transmission Diagnostic Tool with 35+ Reset Functions for Aprilia/Benelli/MMW/BRP/Ducati/Harley/Honda/Indian/Suzuki,Android, 7” Touch Screen, 16GB</t>
        </is>
      </c>
      <c r="B75" s="30" t="inlineStr">
        <is>
          <t>B0BMZW65LJ</t>
        </is>
      </c>
      <c r="C75" s="30" t="inlineStr">
        <is>
          <t>Tablet</t>
        </is>
      </c>
      <c r="D75" s="324" t="n">
        <v>1000.519310344828</v>
      </c>
      <c r="E75" s="53" t="n">
        <v>141223.82</v>
      </c>
      <c r="F75" s="54" t="n">
        <v>29015.06</v>
      </c>
      <c r="G75" s="55" t="n">
        <v>142</v>
      </c>
      <c r="H75" s="55" t="n">
        <v>29</v>
      </c>
      <c r="I75" s="55" t="n">
        <v>882</v>
      </c>
      <c r="J75" s="56" t="n">
        <v>4.5</v>
      </c>
      <c r="K75" s="56" t="inlineStr">
        <is>
          <t>https://amazon.com/dp/B0BMZW65LJ</t>
        </is>
      </c>
      <c r="L75" s="34">
        <f>HYPERLINK(Table544[[#This Row],[Column1]])</f>
        <v/>
      </c>
    </row>
    <row r="76" ht="45" customHeight="1" s="290">
      <c r="A76" s="30" t="inlineStr">
        <is>
          <t>ANCEL MT500 PRO Motorcycle Scanner, Full-System OBD2 Diagnostic Tool with Quick Service Resets &amp; Advanced Programming, Fits for Harley, Honda, Yamaha, Indian, Kawasaki, Suzuki, Polaris, BRP, Victory</t>
        </is>
      </c>
      <c r="B76" s="30" t="inlineStr">
        <is>
          <t>B0BN1YCCD8</t>
        </is>
      </c>
      <c r="C76" s="30" t="inlineStr">
        <is>
          <t>Tablet</t>
        </is>
      </c>
      <c r="D76" s="324" t="n">
        <v>543.1451999999999</v>
      </c>
      <c r="E76" s="53" t="n">
        <v>160976.99</v>
      </c>
      <c r="F76" s="54" t="n">
        <v>27157.26</v>
      </c>
      <c r="G76" s="55" t="n">
        <v>291</v>
      </c>
      <c r="H76" s="55" t="n">
        <v>50</v>
      </c>
      <c r="I76" s="55" t="n">
        <v>130</v>
      </c>
      <c r="J76" s="56" t="n">
        <v>4.1</v>
      </c>
      <c r="K76" s="56" t="inlineStr">
        <is>
          <t>https://amazon.com/dp/B0BN1YCCD8</t>
        </is>
      </c>
      <c r="L76" s="34">
        <f>HYPERLINK(Table544[[#This Row],[Column1]])</f>
        <v/>
      </c>
    </row>
    <row r="77" ht="60" customHeight="1" s="290">
      <c r="A77" s="30" t="inlineStr">
        <is>
          <t>ANCEL HD431 Heavy Duty Truck Scanner, DPF Regen &amp; Forced Reset for Paccar &amp; Detroit Engines, Full System Diagnostics Diesel Code Reader, Professional OBD2/HDOBD Mechanic Tool for Commercial Vehicles</t>
        </is>
      </c>
      <c r="B77" s="30" t="inlineStr">
        <is>
          <t>B0DB86T5F5</t>
        </is>
      </c>
      <c r="C77" s="30" t="inlineStr">
        <is>
          <t>Tablet</t>
        </is>
      </c>
      <c r="D77" s="324" t="n">
        <v>282.1613483146068</v>
      </c>
      <c r="E77" s="53" t="n">
        <v>190530.94</v>
      </c>
      <c r="F77" s="54" t="n">
        <v>25112.36</v>
      </c>
      <c r="G77" s="55" t="n">
        <v>655</v>
      </c>
      <c r="H77" s="55" t="n">
        <v>89</v>
      </c>
      <c r="I77" s="55" t="n">
        <v>197</v>
      </c>
      <c r="J77" s="56" t="n">
        <v>4.3</v>
      </c>
      <c r="K77" s="56" t="inlineStr">
        <is>
          <t>https://amazon.com/dp/B0DB86T5F5</t>
        </is>
      </c>
      <c r="L77" s="34">
        <f>HYPERLINK(Table544[[#This Row],[Column1]])</f>
        <v/>
      </c>
    </row>
    <row r="78" ht="45" customHeight="1" s="290">
      <c r="A78" s="30" t="inlineStr">
        <is>
          <t>ANCEL VD700 OBD2 Diagnostic Code Reader Scan Tool Fit for Volkswagen Audi VW Skoda Seat, All Functions OBD11 Scanner for VAG Vehicles with Battery Registration EPB Reset (Upgraded VD500)</t>
        </is>
      </c>
      <c r="B78" s="30" t="inlineStr">
        <is>
          <t>B07WD9B7GR</t>
        </is>
      </c>
      <c r="C78" s="30" t="inlineStr">
        <is>
          <t>Handheld</t>
        </is>
      </c>
      <c r="D78" s="324" t="n">
        <v>145.5480952380952</v>
      </c>
      <c r="E78" s="53" t="n">
        <v>788081.71</v>
      </c>
      <c r="F78" s="54" t="n">
        <v>21395.57</v>
      </c>
      <c r="G78" s="55" t="n">
        <v>5726</v>
      </c>
      <c r="H78" s="55" t="n">
        <v>147</v>
      </c>
      <c r="I78" s="55" t="n">
        <v>1709</v>
      </c>
      <c r="J78" s="56" t="n">
        <v>4.4</v>
      </c>
      <c r="K78" s="56" t="inlineStr">
        <is>
          <t>https://amazon.com/dp/B07WD9B7GR</t>
        </is>
      </c>
      <c r="L78" s="34">
        <f>HYPERLINK(Table544[[#This Row],[Column1]])</f>
        <v/>
      </c>
    </row>
    <row r="79" ht="45" customHeight="1" s="290">
      <c r="A79" s="30" t="inlineStr">
        <is>
          <t>ANCEL BM700 PRO Fit for BMW Scanner - Battery Registration Tool, Code Reader for BMW/Mini/RR, Advanced OBD2 Scanner Auto V-I-N, Full System Diagnostic for BMW Scan Tool with All Reset Services (Blue)</t>
        </is>
      </c>
      <c r="B79" s="30" t="inlineStr">
        <is>
          <t>B0F7R3JGYM</t>
        </is>
      </c>
      <c r="C79" s="30" t="inlineStr">
        <is>
          <t>Handheld</t>
        </is>
      </c>
      <c r="D79" s="324" t="n">
        <v>143.8791509433962</v>
      </c>
      <c r="E79" s="53" t="n">
        <v>528191.4046153846</v>
      </c>
      <c r="F79" s="54" t="n">
        <v>15251.19</v>
      </c>
      <c r="G79" s="55" t="n">
        <v>3313</v>
      </c>
      <c r="H79" s="55" t="n">
        <v>106</v>
      </c>
      <c r="I79" s="55" t="n">
        <v>2228</v>
      </c>
      <c r="J79" s="56" t="n">
        <v>4.5</v>
      </c>
      <c r="K79" s="56" t="inlineStr">
        <is>
          <t>https://amazon.com/dp/B0F7R3JGYM</t>
        </is>
      </c>
      <c r="L79" s="34">
        <f>HYPERLINK(Table544[[#This Row],[Column1]])</f>
        <v/>
      </c>
    </row>
    <row r="80" ht="45" customHeight="1" s="290">
      <c r="A80" s="30" t="inlineStr">
        <is>
          <t>ANCEL MR500 Marine Diagnostic Tool for Yamaha (2003–2024) – Jet Ski &amp; Outboard Engine Scanner, 15+ Service Functions, Read/Clear Codes, Live Data, Active Tests</t>
        </is>
      </c>
      <c r="B80" s="30" t="inlineStr">
        <is>
          <t>B0CQNVYKDH</t>
        </is>
      </c>
      <c r="C80" s="30" t="inlineStr">
        <is>
          <t>Tablet</t>
        </is>
      </c>
      <c r="D80" s="324" t="n">
        <v>690.0427272727273</v>
      </c>
      <c r="E80" s="53" t="n">
        <v>102387.71</v>
      </c>
      <c r="F80" s="54" t="n">
        <v>15180.94</v>
      </c>
      <c r="G80" s="55" t="n">
        <v>142</v>
      </c>
      <c r="H80" s="55" t="n">
        <v>22</v>
      </c>
      <c r="I80" s="55" t="n">
        <v>9</v>
      </c>
      <c r="J80" s="56" t="n">
        <v>4.1</v>
      </c>
      <c r="K80" s="56" t="inlineStr">
        <is>
          <t>https://amazon.com/dp/B0CQNVYKDH</t>
        </is>
      </c>
      <c r="L80" s="34">
        <f>HYPERLINK(Table544[[#This Row],[Column1]])</f>
        <v/>
      </c>
    </row>
    <row r="81" ht="45" customHeight="1" s="290">
      <c r="A81" s="30" t="inlineStr">
        <is>
          <t>ANCEL V5 HD PRO Heavy Duty Truck Scanner, New Bi-Directional Control Diesel Scanner, Full System Diagnostic Scan Tool with 40+ Resets, ABS SRS D-P-F Regen for Semi Trucks Commercial Vehicles</t>
        </is>
      </c>
      <c r="B81" s="30" t="inlineStr">
        <is>
          <t>B0FH4FPPLL</t>
        </is>
      </c>
      <c r="C81" s="30" t="inlineStr">
        <is>
          <t>Tablet</t>
        </is>
      </c>
      <c r="D81" s="324" t="n">
        <v>711.8111111111111</v>
      </c>
      <c r="E81" s="53" t="n">
        <v>175179.466923077</v>
      </c>
      <c r="F81" s="54" t="n">
        <v>12812.6</v>
      </c>
      <c r="G81" s="55" t="n">
        <v>164</v>
      </c>
      <c r="H81" s="55" t="n">
        <v>18</v>
      </c>
      <c r="I81" s="55" t="n">
        <v>172</v>
      </c>
      <c r="J81" s="56" t="n">
        <v>4.2</v>
      </c>
      <c r="K81" s="56" t="inlineStr">
        <is>
          <t>https://amazon.com/dp/B0FH4FPPLL</t>
        </is>
      </c>
      <c r="L81" s="34">
        <f>HYPERLINK(Table544[[#This Row],[Column1]])</f>
        <v/>
      </c>
    </row>
    <row r="82" ht="45" customHeight="1" s="290">
      <c r="A82" s="30" t="inlineStr">
        <is>
          <t>ANCEL FX6000 Bidirectional OBD2 Scanner - ABS, SRS, Transmission &amp; Engine, Car Scanner Diagnostic Tool with Oil/EPB/BMS/SAS Reset, ABS Bleeding, Auto Scan, CAN FD &amp; FCA, Free Update, Report Sharing ﻿</t>
        </is>
      </c>
      <c r="B82" s="30" t="inlineStr">
        <is>
          <t>B0F38MDM2H</t>
        </is>
      </c>
      <c r="C82" s="30" t="inlineStr">
        <is>
          <t>Tablet</t>
        </is>
      </c>
      <c r="D82" s="324" t="n">
        <v>259.0585714285714</v>
      </c>
      <c r="E82" s="53" t="n">
        <v>344623.7384615384</v>
      </c>
      <c r="F82" s="54" t="n">
        <v>12693.87</v>
      </c>
      <c r="G82" s="55" t="n">
        <v>1468</v>
      </c>
      <c r="H82" s="55" t="n">
        <v>49</v>
      </c>
      <c r="I82" s="55" t="n">
        <v>167</v>
      </c>
      <c r="J82" s="56" t="n">
        <v>4.4</v>
      </c>
      <c r="K82" s="56" t="inlineStr">
        <is>
          <t>https://amazon.com/dp/B0F38MDM2H</t>
        </is>
      </c>
      <c r="L82" s="34">
        <f>HYPERLINK(Table544[[#This Row],[Column1]])</f>
        <v/>
      </c>
    </row>
    <row r="83" ht="30" customHeight="1" s="290">
      <c r="A83" s="30" t="inlineStr">
        <is>
          <t>ANCEL Heavy Duty Truck Scanner HD601 All System Diesel Diagnostic Scan Tool fits for Cummins, Detroit, Freightliner, International, Paccar, Check Engine for Truck &amp; Car 2 in 1 Code Reader (Gray)</t>
        </is>
      </c>
      <c r="B83" s="30" t="inlineStr">
        <is>
          <t>B0G2XHXW61</t>
        </is>
      </c>
      <c r="C83" s="30" t="inlineStr">
        <is>
          <t>Handheld</t>
        </is>
      </c>
      <c r="D83" s="324" t="n">
        <v>169.2532307692308</v>
      </c>
      <c r="E83" s="53" t="n">
        <v>122708.5923076923</v>
      </c>
      <c r="F83" s="54" t="n">
        <v>11001.46</v>
      </c>
      <c r="G83" s="55" t="n">
        <v>65</v>
      </c>
      <c r="H83" s="55" t="n">
        <v>65</v>
      </c>
      <c r="I83" s="55" t="n">
        <v>640</v>
      </c>
      <c r="J83" s="56" t="n">
        <v>4</v>
      </c>
      <c r="K83" s="56" t="inlineStr">
        <is>
          <t>https://amazon.com/dp/B0G2XHXW61</t>
        </is>
      </c>
      <c r="L83" s="34">
        <f>HYPERLINK(Table544[[#This Row],[Column1]])</f>
        <v/>
      </c>
    </row>
    <row r="84" ht="45" customHeight="1" s="290">
      <c r="A84" s="30" t="inlineStr">
        <is>
          <t>ANCEL HD200 Bluetooth Heavy Duty Truck Scanner, Speed Limit and Idle Reset for Cummins &amp; Caterpillar Engines, J1939/J1708 Diesel Code Reader &amp; All-System Diagnostic Tool, Lifetime Free Updates</t>
        </is>
      </c>
      <c r="B84" s="30" t="inlineStr">
        <is>
          <t>B0D9JYL5Y5</t>
        </is>
      </c>
      <c r="C84" s="30" t="inlineStr">
        <is>
          <t>Cable/Adapter</t>
        </is>
      </c>
      <c r="D84" s="324" t="n">
        <v>175.8375</v>
      </c>
      <c r="E84" s="53" t="n">
        <v>174453.09</v>
      </c>
      <c r="F84" s="54" t="n">
        <v>10550.25</v>
      </c>
      <c r="G84" s="55" t="n">
        <v>942</v>
      </c>
      <c r="H84" s="55" t="n">
        <v>60</v>
      </c>
      <c r="I84" s="55" t="n">
        <v>111</v>
      </c>
      <c r="J84" s="56" t="n">
        <v>3.6</v>
      </c>
      <c r="K84" s="56" t="inlineStr">
        <is>
          <t>https://amazon.com/dp/B0D9JYL5Y5</t>
        </is>
      </c>
      <c r="L84" s="34">
        <f>HYPERLINK(Table544[[#This Row],[Column1]])</f>
        <v/>
      </c>
    </row>
    <row r="85" ht="45" customHeight="1" s="290">
      <c r="A85" s="30" t="inlineStr">
        <is>
          <t>ANCEL FD500 OBD2 Scanner fits for Ford Lincoln Mercury - All Systems Code Reader with Engine, ABS, SRS, Transmission, 4WD Diagnostics - Scan Tool with EPB, Throttle, Oil Reset, Battery Registration</t>
        </is>
      </c>
      <c r="B85" s="30" t="inlineStr">
        <is>
          <t>B08F7XXLW8</t>
        </is>
      </c>
      <c r="C85" s="30" t="inlineStr">
        <is>
          <t>Handheld</t>
        </is>
      </c>
      <c r="D85" s="324" t="n">
        <v>105.3228723404255</v>
      </c>
      <c r="E85" s="53" t="n">
        <v>128512.7975</v>
      </c>
      <c r="F85" s="54" t="n">
        <v>9900.35</v>
      </c>
      <c r="G85" s="55" t="n">
        <v>1327</v>
      </c>
      <c r="H85" s="55" t="n">
        <v>94</v>
      </c>
      <c r="I85" s="55" t="n">
        <v>551</v>
      </c>
      <c r="J85" s="56" t="n">
        <v>4.1</v>
      </c>
      <c r="K85" s="56" t="inlineStr">
        <is>
          <t>https://amazon.com/dp/B08F7XXLW8</t>
        </is>
      </c>
      <c r="L85" s="34">
        <f>HYPERLINK(Table544[[#This Row],[Column1]])</f>
        <v/>
      </c>
    </row>
    <row r="86" ht="45" customHeight="1" s="290">
      <c r="A86" s="30" t="inlineStr">
        <is>
          <t>ANCEL FD700 Ford Lincoln Mercury OBD2 Scanner, Full System Automotive Car Code Reader with All Functions, Including Battery Registration ABS SRS SAS BMS Oil Reset TPMS Engine IQA EPB Regen</t>
        </is>
      </c>
      <c r="B86" s="30" t="inlineStr">
        <is>
          <t>B08DQV1G7S</t>
        </is>
      </c>
      <c r="C86" s="30" t="inlineStr">
        <is>
          <t>Handheld</t>
        </is>
      </c>
      <c r="D86" s="324" t="n">
        <v>121.2924675324675</v>
      </c>
      <c r="E86" s="53" t="n">
        <v>44434.83538461538</v>
      </c>
      <c r="F86" s="54" t="n">
        <v>9339.52</v>
      </c>
      <c r="G86" s="55" t="n">
        <v>280</v>
      </c>
      <c r="H86" s="55" t="n">
        <v>77</v>
      </c>
      <c r="I86" s="55" t="n">
        <v>243</v>
      </c>
      <c r="J86" s="56" t="n">
        <v>4.4</v>
      </c>
      <c r="K86" s="56" t="inlineStr">
        <is>
          <t>https://amazon.com/dp/B08DQV1G7S</t>
        </is>
      </c>
      <c r="L86" s="34">
        <f>HYPERLINK(Table544[[#This Row],[Column1]])</f>
        <v/>
      </c>
    </row>
    <row r="87" ht="45" customHeight="1" s="290">
      <c r="A87" s="30" t="inlineStr">
        <is>
          <t>ANCEL AD530 PRO 2 in 1 OBD2 Scanner &amp; Car Battery Tester, Car Scanner Diagnostic Tool with Live Data, 12V Battery Tester with Charging &amp; Cranking Test, Check Engine Code Reader for 1996+ Vehicles</t>
        </is>
      </c>
      <c r="B87" s="30" t="inlineStr">
        <is>
          <t>B0D6R66XZ5</t>
        </is>
      </c>
      <c r="C87" s="30" t="inlineStr">
        <is>
          <t>Handheld</t>
        </is>
      </c>
      <c r="D87" s="324" t="n">
        <v>86.90604166666667</v>
      </c>
      <c r="E87" s="53" t="n">
        <v>125047.7523076923</v>
      </c>
      <c r="F87" s="54" t="n">
        <v>8342.98</v>
      </c>
      <c r="G87" s="55" t="n">
        <v>1213</v>
      </c>
      <c r="H87" s="55" t="n">
        <v>96</v>
      </c>
      <c r="I87" s="55" t="n">
        <v>162</v>
      </c>
      <c r="J87" s="56" t="n">
        <v>4.6</v>
      </c>
      <c r="K87" s="56" t="inlineStr">
        <is>
          <t>https://amazon.com/dp/B0D6R66XZ5</t>
        </is>
      </c>
      <c r="L87" s="34">
        <f>HYPERLINK(Table544[[#This Row],[Column1]])</f>
        <v/>
      </c>
    </row>
    <row r="88" ht="45" customHeight="1" s="290">
      <c r="A88" s="30" t="inlineStr">
        <is>
          <t>ANCEL BZ700 Mercedes Benz Sprinter Smart OBD2 Scanner, Full System Automotive Car Code Reader with All Reset Services, Battery Registration ABS Bleed Airbag EPB Oil SAS TPS CKP Active Test</t>
        </is>
      </c>
      <c r="B88" s="30" t="inlineStr">
        <is>
          <t>B0B2NR31DQ</t>
        </is>
      </c>
      <c r="C88" s="30" t="inlineStr">
        <is>
          <t>Handheld</t>
        </is>
      </c>
      <c r="D88" s="324" t="n">
        <v>129.3881967213115</v>
      </c>
      <c r="E88" s="53" t="n">
        <v>68473.37000000001</v>
      </c>
      <c r="F88" s="54" t="n">
        <v>7892.68</v>
      </c>
      <c r="G88" s="55" t="n">
        <v>529</v>
      </c>
      <c r="H88" s="55" t="n">
        <v>61</v>
      </c>
      <c r="I88" s="55" t="n">
        <v>228</v>
      </c>
      <c r="J88" s="56" t="n">
        <v>3.7</v>
      </c>
      <c r="K88" s="56" t="inlineStr">
        <is>
          <t>https://amazon.com/dp/B0B2NR31DQ</t>
        </is>
      </c>
      <c r="L88" s="34">
        <f>HYPERLINK(Table544[[#This Row],[Column1]])</f>
        <v/>
      </c>
    </row>
    <row r="89" ht="45" customHeight="1" s="290">
      <c r="A89" s="30" t="inlineStr">
        <is>
          <t>ANCEL Protective Case Storage Bag for OBD2 Scanner Code Reader Diagnostic Scan Tool Battery Tester</t>
        </is>
      </c>
      <c r="B89" s="30" t="inlineStr">
        <is>
          <t>B07B49PHXD</t>
        </is>
      </c>
      <c r="C89" s="30" t="inlineStr">
        <is>
          <t>Other</t>
        </is>
      </c>
      <c r="D89" s="324" t="n">
        <v>20.49767195767196</v>
      </c>
      <c r="E89" s="53" t="n">
        <v>114324.2723076923</v>
      </c>
      <c r="F89" s="54" t="n">
        <v>7748.12</v>
      </c>
      <c r="G89" s="55" t="n">
        <v>4288</v>
      </c>
      <c r="H89" s="55" t="n">
        <v>378</v>
      </c>
      <c r="I89" s="55" t="n">
        <v>4095</v>
      </c>
      <c r="J89" s="56" t="n">
        <v>4.6</v>
      </c>
      <c r="K89" s="56" t="inlineStr">
        <is>
          <t>https://amazon.com/dp/B07B49PHXD</t>
        </is>
      </c>
      <c r="L89" s="34">
        <f>HYPERLINK(Table544[[#This Row],[Column1]])</f>
        <v/>
      </c>
    </row>
    <row r="90" ht="45" customHeight="1" s="290">
      <c r="A90" s="30" t="inlineStr">
        <is>
          <t>ANCEL FX2000-US OBD2 Scanner Diagnostic Tool, ABS SRS Transmission Airbag Car Scanner, Check Engine Car Code Reader, Automotive Diagnostic Tool Lifetime Free Upgrade</t>
        </is>
      </c>
      <c r="B90" s="30" t="inlineStr">
        <is>
          <t>B07N69PC3D</t>
        </is>
      </c>
      <c r="C90" s="30" t="inlineStr">
        <is>
          <t>Tablet</t>
        </is>
      </c>
      <c r="D90" s="324" t="n">
        <v>171.106</v>
      </c>
      <c r="E90" s="53" t="n">
        <v>431099.4300000001</v>
      </c>
      <c r="F90" s="54" t="n">
        <v>7699.77</v>
      </c>
      <c r="G90" s="55" t="n">
        <v>2937</v>
      </c>
      <c r="H90" s="55" t="n">
        <v>45</v>
      </c>
      <c r="I90" s="55" t="n">
        <v>4067</v>
      </c>
      <c r="J90" s="56" t="n">
        <v>4.3</v>
      </c>
      <c r="K90" s="56" t="inlineStr">
        <is>
          <t>https://amazon.com/dp/B07N69PC3D</t>
        </is>
      </c>
      <c r="L90" s="34">
        <f>HYPERLINK(Table544[[#This Row],[Column1]])</f>
        <v/>
      </c>
    </row>
    <row r="91" ht="45" customHeight="1" s="290">
      <c r="A91" s="30" t="inlineStr">
        <is>
          <t>ANCEL VOD700 All System OBD2 Scanner Fits for Volvo Car Code Reader Full Function Diagnostic Scan Tool ABS Bleeding Injector Oil ETC SRL BMS EPB TPMS Reset Tool</t>
        </is>
      </c>
      <c r="B91" s="30" t="inlineStr">
        <is>
          <t>B0B45WGSDX</t>
        </is>
      </c>
      <c r="C91" s="30" t="inlineStr">
        <is>
          <t>Handheld</t>
        </is>
      </c>
      <c r="D91" s="324" t="n">
        <v>129.7367857142857</v>
      </c>
      <c r="E91" s="53" t="n">
        <v>73901.41</v>
      </c>
      <c r="F91" s="54" t="n">
        <v>7265.26</v>
      </c>
      <c r="G91" s="55" t="n">
        <v>569</v>
      </c>
      <c r="H91" s="55" t="n">
        <v>56</v>
      </c>
      <c r="I91" s="55" t="n">
        <v>137</v>
      </c>
      <c r="J91" s="56" t="n">
        <v>4</v>
      </c>
      <c r="K91" s="56" t="inlineStr">
        <is>
          <t>https://amazon.com/dp/B0B45WGSDX</t>
        </is>
      </c>
      <c r="L91" s="34">
        <f>HYPERLINK(Table544[[#This Row],[Column1]])</f>
        <v/>
      </c>
    </row>
    <row r="92" ht="45" customHeight="1" s="290">
      <c r="A92" s="30" t="inlineStr">
        <is>
          <t>ANCEL OBD2 Scanner V5BT-US All Systems Bidirectional Scan Tool, Wireless Car Scanner with Active Test,Oil/TPMS/EPB/BMS/SAS/DPF/Throttle Reset, ABS Bleeding, Car Diagnostic Tool for All Vehicles</t>
        </is>
      </c>
      <c r="B92" s="30" t="inlineStr">
        <is>
          <t>B0CP2PFJWS</t>
        </is>
      </c>
      <c r="C92" s="30" t="inlineStr">
        <is>
          <t>Tablet</t>
        </is>
      </c>
      <c r="D92" s="324" t="n">
        <v>406.516875</v>
      </c>
      <c r="E92" s="53" t="n">
        <v>81253.32999999999</v>
      </c>
      <c r="F92" s="54" t="n">
        <v>6504.27</v>
      </c>
      <c r="G92" s="55" t="n">
        <v>177</v>
      </c>
      <c r="H92" s="55" t="n">
        <v>16</v>
      </c>
      <c r="I92" s="55" t="n">
        <v>77</v>
      </c>
      <c r="J92" s="56" t="n">
        <v>4.5</v>
      </c>
      <c r="K92" s="56" t="inlineStr">
        <is>
          <t>https://amazon.com/dp/B0CP2PFJWS</t>
        </is>
      </c>
      <c r="L92" s="34">
        <f>HYPERLINK(Table544[[#This Row],[Column1]])</f>
        <v/>
      </c>
    </row>
    <row r="93" ht="45" customHeight="1" s="290">
      <c r="A93" s="30" t="inlineStr">
        <is>
          <t>ANCEL HD120 Heavy Duty Truck Scanner with DPF Regen for Volvo &amp; International MaxxForce Engine, Full-System HDOBD &amp; OBD2 Diesel Truck Diagnostic Tool, Lifetime Free Updates</t>
        </is>
      </c>
      <c r="B93" s="30" t="inlineStr">
        <is>
          <t>B0F8MY1FJQ</t>
        </is>
      </c>
      <c r="C93" s="30" t="inlineStr">
        <is>
          <t>Tablet</t>
        </is>
      </c>
      <c r="D93" s="324" t="n">
        <v>179.2768571428571</v>
      </c>
      <c r="E93" s="53" t="n">
        <v>126030.8961538462</v>
      </c>
      <c r="F93" s="54" t="n">
        <v>6274.69</v>
      </c>
      <c r="G93" s="55" t="n">
        <v>550</v>
      </c>
      <c r="H93" s="55" t="n">
        <v>35</v>
      </c>
      <c r="I93" s="55" t="n">
        <v>74</v>
      </c>
      <c r="J93" s="56" t="n">
        <v>3.7</v>
      </c>
      <c r="K93" s="56" t="inlineStr">
        <is>
          <t>https://amazon.com/dp/B0F8MY1FJQ</t>
        </is>
      </c>
      <c r="L93" s="34">
        <f>HYPERLINK(Table544[[#This Row],[Column1]])</f>
        <v/>
      </c>
    </row>
    <row r="94" ht="60" customHeight="1" s="290">
      <c r="A94" s="30" t="inlineStr">
        <is>
          <t>ANCEL BM700 PRO Fit for BMW Scanner - Battery Registration Tool, Code Reader for BMW/Mini/RR, Advanced OBD2 Scanner Auto V-I-N, Full System Diagnostic for BMW Scan Tool with All Reset Services (Red)</t>
        </is>
      </c>
      <c r="B94" s="30" t="inlineStr">
        <is>
          <t>B0F7R5J5Y6</t>
        </is>
      </c>
      <c r="C94" s="30" t="inlineStr">
        <is>
          <t>Handheld</t>
        </is>
      </c>
      <c r="D94" s="324" t="n">
        <v>147.0736585365854</v>
      </c>
      <c r="E94" s="53" t="n">
        <v>174035.4369230769</v>
      </c>
      <c r="F94" s="54" t="n">
        <v>6030.02</v>
      </c>
      <c r="G94" s="55" t="n">
        <v>1070</v>
      </c>
      <c r="H94" s="55" t="n">
        <v>41</v>
      </c>
      <c r="I94" s="55" t="n">
        <v>2228</v>
      </c>
      <c r="J94" s="56" t="n">
        <v>4.5</v>
      </c>
      <c r="K94" s="56" t="inlineStr">
        <is>
          <t>https://amazon.com/dp/B0F7R5J5Y6</t>
        </is>
      </c>
      <c r="L94" s="34">
        <f>HYPERLINK(Table544[[#This Row],[Column1]])</f>
        <v/>
      </c>
    </row>
    <row r="95" ht="45" customHeight="1" s="290">
      <c r="A95" s="30" t="inlineStr">
        <is>
          <t>ANCEL TD700 Fits for Toyota OBD2 Scanner, Engine Car Diagnostic Scan Tool Fit for Toyota Lexus Scion, All System Code Reader Reading/Erasing Code,1996-2021</t>
        </is>
      </c>
      <c r="B95" s="30" t="inlineStr">
        <is>
          <t>B0BLYXVR4K</t>
        </is>
      </c>
      <c r="C95" s="30" t="inlineStr">
        <is>
          <t>Handheld</t>
        </is>
      </c>
      <c r="D95" s="324" t="n">
        <v>141.4154761904762</v>
      </c>
      <c r="E95" s="53" t="n">
        <v>59772.5</v>
      </c>
      <c r="F95" s="54" t="n">
        <v>5939.45</v>
      </c>
      <c r="G95" s="55" t="n">
        <v>429</v>
      </c>
      <c r="H95" s="55" t="n">
        <v>42</v>
      </c>
      <c r="I95" s="55" t="n">
        <v>174</v>
      </c>
      <c r="J95" s="56" t="n">
        <v>4.1</v>
      </c>
      <c r="K95" s="56" t="inlineStr">
        <is>
          <t>https://amazon.com/dp/B0BLYXVR4K</t>
        </is>
      </c>
      <c r="L95" s="34">
        <f>HYPERLINK(Table544[[#This Row],[Column1]])</f>
        <v/>
      </c>
    </row>
    <row r="96" ht="45" customHeight="1" s="290">
      <c r="A96" s="30" t="inlineStr">
        <is>
          <t>(Upgraded BD310) ANCEL BD330 Fit for BMW OBD2 Scanner – Battery Registration Tool, Code Reader for BMW/Mini/RR, BMW Diagnostic Scan Tool with Full System Diagnostics &amp; Free EPB/Oil/Throttle Resets</t>
        </is>
      </c>
      <c r="B96" s="30" t="inlineStr">
        <is>
          <t>B0CT39TV55</t>
        </is>
      </c>
      <c r="C96" s="30" t="inlineStr">
        <is>
          <t>Handheld</t>
        </is>
      </c>
      <c r="D96" s="324" t="n">
        <v>83.81848484848486</v>
      </c>
      <c r="E96" s="53" t="n">
        <v>55299.73000000001</v>
      </c>
      <c r="F96" s="54" t="n">
        <v>5532.02</v>
      </c>
      <c r="G96" s="55" t="n">
        <v>585</v>
      </c>
      <c r="H96" s="55" t="n">
        <v>66</v>
      </c>
      <c r="I96" s="55" t="n">
        <v>1575</v>
      </c>
      <c r="J96" s="56" t="n">
        <v>4.4</v>
      </c>
      <c r="K96" s="56" t="inlineStr">
        <is>
          <t>https://amazon.com/dp/B0CT39TV55</t>
        </is>
      </c>
      <c r="L96" s="34">
        <f>HYPERLINK(Table544[[#This Row],[Column1]])</f>
        <v/>
      </c>
    </row>
    <row r="97" ht="45" customHeight="1" s="290">
      <c r="A97" s="30" t="inlineStr">
        <is>
          <t>ANCEL MT700 Motorcycle Diagnostic Tool for Harley BMW Kawasaki Suzuki Piaggio Ducati Obd2 Scanner, ABS Bleeding Check Engine Code Reader with Oil Light Reset, 31+ Function, 16 Brand-Specific Adapters</t>
        </is>
      </c>
      <c r="B97" s="30" t="inlineStr">
        <is>
          <t>B0CGXFXRJY</t>
        </is>
      </c>
      <c r="C97" s="30" t="inlineStr">
        <is>
          <t>Tablet</t>
        </is>
      </c>
      <c r="D97" s="324" t="n">
        <v>844.0933333333334</v>
      </c>
      <c r="E97" s="53" t="n">
        <v>38555.69</v>
      </c>
      <c r="F97" s="54" t="n">
        <v>5064.56</v>
      </c>
      <c r="G97" s="55" t="n">
        <v>42</v>
      </c>
      <c r="H97" s="55" t="n">
        <v>6</v>
      </c>
      <c r="I97" s="55" t="n">
        <v>2</v>
      </c>
      <c r="J97" s="56" t="n">
        <v>2</v>
      </c>
      <c r="K97" s="56" t="inlineStr">
        <is>
          <t>https://amazon.com/dp/B0CGXFXRJY</t>
        </is>
      </c>
      <c r="L97" s="34">
        <f>HYPERLINK(Table544[[#This Row],[Column1]])</f>
        <v/>
      </c>
    </row>
    <row r="98" ht="60" customHeight="1" s="290">
      <c r="A98" s="30" t="inlineStr">
        <is>
          <t>ANCEL AD610 Pro ABS SRS OBD2 Scanner, ABS Bleeding, SAS Calibration, ABS, Airbag, EPB, Oil Reset, Full OBD2 Functions, AutoVIN, Free Lifetime WiFi Updates</t>
        </is>
      </c>
      <c r="B98" s="30" t="inlineStr">
        <is>
          <t>B0DBZC9PRC</t>
        </is>
      </c>
      <c r="C98" s="30" t="inlineStr">
        <is>
          <t>Handheld</t>
        </is>
      </c>
      <c r="D98" s="324" t="n">
        <v>150.9976666666667</v>
      </c>
      <c r="E98" s="53" t="n">
        <v>131712.35</v>
      </c>
      <c r="F98" s="54" t="n">
        <v>4529.93</v>
      </c>
      <c r="G98" s="55" t="n">
        <v>912</v>
      </c>
      <c r="H98" s="55" t="n">
        <v>30</v>
      </c>
      <c r="I98" s="55" t="n">
        <v>197</v>
      </c>
      <c r="J98" s="56" t="n">
        <v>4.3</v>
      </c>
      <c r="K98" s="56" t="inlineStr">
        <is>
          <t>https://amazon.com/dp/B0DBZC9PRC</t>
        </is>
      </c>
      <c r="L98" s="34">
        <f>HYPERLINK(Table544[[#This Row],[Column1]])</f>
        <v/>
      </c>
    </row>
    <row r="99" ht="45" customHeight="1" s="290">
      <c r="A99" s="30" t="inlineStr">
        <is>
          <t>ANCEL HD8000 Heavy Duty Truck Diagnostic Scanner, Advanced Diesel Scanner with DPF Regen, Idle &amp; Speed Limit Adjustment, Full-System ECU Diagnostics, Lifetime Free Updates</t>
        </is>
      </c>
      <c r="B99" s="30" t="inlineStr">
        <is>
          <t>B0CY542RHB</t>
        </is>
      </c>
      <c r="C99" s="30" t="inlineStr">
        <is>
          <t>Tablet</t>
        </is>
      </c>
      <c r="D99" s="324" t="n">
        <v>1093.715</v>
      </c>
      <c r="E99" s="53" t="n">
        <v>98784.73999999999</v>
      </c>
      <c r="F99" s="54" t="n">
        <v>4374.86</v>
      </c>
      <c r="G99" s="55" t="n">
        <v>85</v>
      </c>
      <c r="H99" s="55" t="n">
        <v>4</v>
      </c>
      <c r="I99" s="55" t="n">
        <v>72</v>
      </c>
      <c r="J99" s="56" t="n">
        <v>3.7</v>
      </c>
      <c r="K99" s="56" t="inlineStr">
        <is>
          <t>https://amazon.com/dp/B0CY542RHB</t>
        </is>
      </c>
      <c r="L99" s="34">
        <f>HYPERLINK(Table544[[#This Row],[Column1]])</f>
        <v/>
      </c>
    </row>
    <row r="100" ht="45" customHeight="1" s="290">
      <c r="A100" s="30" t="inlineStr">
        <is>
          <t>ANCEL AD310BT Enhanced Bluetooth OBD2 Scanner, 2-in-1 Car Engine Fault Code Reader for iPhone &amp; Android, Battery Test, Trip Analysis, Performance Test, Car Diagnostic Scan Tool for All Vehicles 1996+</t>
        </is>
      </c>
      <c r="B100" s="30" t="inlineStr">
        <is>
          <t>B0CR42ZB1T</t>
        </is>
      </c>
      <c r="C100" s="30" t="inlineStr">
        <is>
          <t>Handheld</t>
        </is>
      </c>
      <c r="D100" s="324" t="n">
        <v>49.74735632183909</v>
      </c>
      <c r="E100" s="53" t="n">
        <v>111842.72</v>
      </c>
      <c r="F100" s="54" t="n">
        <v>4328.02</v>
      </c>
      <c r="G100" s="55" t="n">
        <v>2374</v>
      </c>
      <c r="H100" s="55" t="n">
        <v>87</v>
      </c>
      <c r="I100" s="55" t="n">
        <v>144</v>
      </c>
      <c r="J100" s="56" t="n">
        <v>4.5</v>
      </c>
      <c r="K100" s="56" t="inlineStr">
        <is>
          <t>https://amazon.com/dp/B0CR42ZB1T</t>
        </is>
      </c>
      <c r="L100" s="34">
        <f>HYPERLINK(Table544[[#This Row],[Column1]])</f>
        <v/>
      </c>
    </row>
    <row r="101" ht="45" customHeight="1" s="290">
      <c r="A101" s="30" t="inlineStr">
        <is>
          <t>ANCEL AD610 Pro OBD2 Scanner - ABS SRS Code Reader, Check Engine Light Diagnostic Tool with ABS Bleeding, AutoVIN, Real-Time Data, Full OBD2 Functions, SAS/Oil/EPB Reset</t>
        </is>
      </c>
      <c r="B101" s="30" t="inlineStr">
        <is>
          <t>B0DN9H8Z6W</t>
        </is>
      </c>
      <c r="C101" s="30" t="inlineStr">
        <is>
          <t>Handheld</t>
        </is>
      </c>
      <c r="D101" s="324" t="n">
        <v>152.538</v>
      </c>
      <c r="E101" s="53" t="n">
        <v>77728.06</v>
      </c>
      <c r="F101" s="54" t="n">
        <v>3813.45</v>
      </c>
      <c r="G101" s="55" t="n">
        <v>528</v>
      </c>
      <c r="H101" s="55" t="n">
        <v>25</v>
      </c>
      <c r="I101" s="55" t="n">
        <v>96</v>
      </c>
      <c r="J101" s="56" t="n">
        <v>4.2</v>
      </c>
      <c r="K101" s="56" t="inlineStr">
        <is>
          <t>https://amazon.com/dp/B0DN9H8Z6W</t>
        </is>
      </c>
      <c r="L101" s="34">
        <f>HYPERLINK(Table544[[#This Row],[Column1]])</f>
        <v/>
      </c>
    </row>
    <row r="102" ht="45" customHeight="1" s="290">
      <c r="A102" s="30" t="inlineStr">
        <is>
          <t>ANCEL MT500 Plus Motorcycle Scanner, Full-System OBD2 Diagnostic Tool with Quick Service Resets &amp; Advanced Programming, Fits for BMW, Honda, Yamaha, Ducati, KTM, Kawasaki, Suzuki, Triumph</t>
        </is>
      </c>
      <c r="B102" s="30" t="inlineStr">
        <is>
          <t>B0BN8PKJ28</t>
        </is>
      </c>
      <c r="C102" s="30" t="inlineStr">
        <is>
          <t>Tablet</t>
        </is>
      </c>
      <c r="D102" s="324" t="n">
        <v>506.2828571428572</v>
      </c>
      <c r="E102" s="53" t="n">
        <v>45310.28</v>
      </c>
      <c r="F102" s="54" t="n">
        <v>3543.98</v>
      </c>
      <c r="G102" s="55" t="n">
        <v>82</v>
      </c>
      <c r="H102" s="55" t="n">
        <v>7</v>
      </c>
      <c r="I102" s="55" t="n">
        <v>16</v>
      </c>
      <c r="J102" s="56" t="n">
        <v>3.5</v>
      </c>
      <c r="K102" s="56" t="inlineStr">
        <is>
          <t>https://amazon.com/dp/B0BN8PKJ28</t>
        </is>
      </c>
      <c r="L102" s="34">
        <f>HYPERLINK(Table544[[#This Row],[Column1]])</f>
        <v/>
      </c>
    </row>
    <row r="103" ht="45" customHeight="1" s="290">
      <c r="A103" s="30" t="inlineStr">
        <is>
          <t>ANCEL JP700 JOBD OBD2 Japanese Car Scanner, JDM Automotive Code Reader Check Engine Light OBDII Diagnostic Scan Tool Fits for Toyota Nissan Honda Mazda Subaru Vehicle Diagnosis</t>
        </is>
      </c>
      <c r="B103" s="30" t="inlineStr">
        <is>
          <t>B07B8FV26L</t>
        </is>
      </c>
      <c r="C103" s="30" t="inlineStr">
        <is>
          <t>Handheld</t>
        </is>
      </c>
      <c r="D103" s="324" t="n">
        <v>49.79476190476191</v>
      </c>
      <c r="E103" s="53" t="n">
        <v>33158.81</v>
      </c>
      <c r="F103" s="54" t="n">
        <v>3137.07</v>
      </c>
      <c r="G103" s="55" t="n">
        <v>664</v>
      </c>
      <c r="H103" s="55" t="n">
        <v>63</v>
      </c>
      <c r="I103" s="55" t="n">
        <v>608</v>
      </c>
      <c r="J103" s="56" t="n">
        <v>3.9</v>
      </c>
      <c r="K103" s="56" t="inlineStr">
        <is>
          <t>https://amazon.com/dp/B07B8FV26L</t>
        </is>
      </c>
      <c r="L103" s="34">
        <f>HYPERLINK(Table544[[#This Row],[Column1]])</f>
        <v/>
      </c>
    </row>
    <row r="104" ht="45" customHeight="1" s="290">
      <c r="A104" s="30" t="inlineStr">
        <is>
          <t>ANCEL Echo OBD2 Scanner Bluetooth - All Systems Code Reader, Car Diagnostic Tool for iOS Android, Vehicle Scanner for Oil Light &amp; Brake Reset, Battery Registration - Bidirectional Scan Tool, Live Data</t>
        </is>
      </c>
      <c r="B104" s="30" t="inlineStr">
        <is>
          <t>B0D8HQG673</t>
        </is>
      </c>
      <c r="C104" s="30" t="inlineStr">
        <is>
          <t>Dongle</t>
        </is>
      </c>
      <c r="D104" s="324" t="n">
        <v>98.62866666666667</v>
      </c>
      <c r="E104" s="53" t="n">
        <v>83243.97</v>
      </c>
      <c r="F104" s="54" t="n">
        <v>2958.86</v>
      </c>
      <c r="G104" s="55" t="n">
        <v>869</v>
      </c>
      <c r="H104" s="55" t="n">
        <v>30</v>
      </c>
      <c r="I104" s="55" t="n">
        <v>263</v>
      </c>
      <c r="J104" s="56" t="n">
        <v>4.1</v>
      </c>
      <c r="K104" s="56" t="inlineStr">
        <is>
          <t>https://amazon.com/dp/B0D8HQG673</t>
        </is>
      </c>
      <c r="L104" s="34">
        <f>HYPERLINK(Table544[[#This Row],[Column1]])</f>
        <v/>
      </c>
    </row>
    <row r="105" ht="45" customHeight="1" s="290">
      <c r="A105" s="30" t="inlineStr">
        <is>
          <t>ANCEL AD310 Pro 2-in-1 OBD2 Scanner &amp; Car Battery Tester, Diagnostic Tool with Bluetooth APP for iPhone &amp; Android, Performance Test, Trip Analysis, Engine Health Self Check for All 1996+ Vehicles</t>
        </is>
      </c>
      <c r="B105" s="30" t="inlineStr">
        <is>
          <t>B0F8QRT8MB</t>
        </is>
      </c>
      <c r="C105" s="30" t="inlineStr">
        <is>
          <t>Handheld</t>
        </is>
      </c>
      <c r="D105" s="324" t="n">
        <v>112.3740909090909</v>
      </c>
      <c r="E105" s="53" t="n">
        <v>57171.9053846154</v>
      </c>
      <c r="F105" s="54" t="n">
        <v>2472.23</v>
      </c>
      <c r="G105" s="55" t="n">
        <v>467</v>
      </c>
      <c r="H105" s="55" t="n">
        <v>22</v>
      </c>
      <c r="I105" s="55" t="n">
        <v>75</v>
      </c>
      <c r="J105" s="56" t="n">
        <v>4.8</v>
      </c>
      <c r="K105" s="56" t="inlineStr">
        <is>
          <t>https://amazon.com/dp/B0F8QRT8MB</t>
        </is>
      </c>
      <c r="L105" s="34">
        <f>HYPERLINK(Table544[[#This Row],[Column1]])</f>
        <v/>
      </c>
    </row>
    <row r="106" ht="45" customHeight="1" s="290">
      <c r="A106" s="30" t="inlineStr">
        <is>
          <t>ANCEL OBD2 Scanner Extension Cable 2ft/0.65m, 16 Pin OBD 2 OBDII Car Scan Tool Male to Female Extender Cord Adapter for All OBD2 Vehicles</t>
        </is>
      </c>
      <c r="B106" s="30" t="inlineStr">
        <is>
          <t>B0DS56LD3K</t>
        </is>
      </c>
      <c r="C106" s="30" t="inlineStr">
        <is>
          <t>Handheld</t>
        </is>
      </c>
      <c r="D106" s="324" t="n">
        <v>15.92738562091503</v>
      </c>
      <c r="E106" s="53" t="n">
        <v>14260.21076923077</v>
      </c>
      <c r="F106" s="54" t="n">
        <v>2436.89</v>
      </c>
      <c r="G106" s="55" t="n">
        <v>539</v>
      </c>
      <c r="H106" s="55" t="n">
        <v>153</v>
      </c>
      <c r="I106" s="55" t="n">
        <v>36</v>
      </c>
      <c r="J106" s="56" t="n">
        <v>4.6</v>
      </c>
      <c r="K106" s="56" t="inlineStr">
        <is>
          <t>https://amazon.com/dp/B0DS56LD3K</t>
        </is>
      </c>
      <c r="L106" s="34">
        <f>HYPERLINK(Table544[[#This Row],[Column1]])</f>
        <v/>
      </c>
    </row>
    <row r="107" ht="60" customHeight="1" s="290">
      <c r="A107" s="30" t="inlineStr">
        <is>
          <t>ANCEL Heavy Duty Truck Scanner HD3300 Plus+, D.P.F Reset/Force Regen, Full System Truck Scanner for Detroit, Cummins, Caterpillar, Paccar, Volvo Engine &amp; Commercial Trucks, Lifetime Free Update</t>
        </is>
      </c>
      <c r="B107" s="30" t="inlineStr">
        <is>
          <t>B0DPH5KRBX</t>
        </is>
      </c>
      <c r="C107" s="30" t="inlineStr">
        <is>
          <t>Tablet</t>
        </is>
      </c>
      <c r="D107" s="324" t="n">
        <v>482.096</v>
      </c>
      <c r="E107" s="53" t="n">
        <v>312510.51</v>
      </c>
      <c r="F107" s="54" t="n">
        <v>2410.48</v>
      </c>
      <c r="G107" s="55" t="n">
        <v>659</v>
      </c>
      <c r="H107" s="55" t="n">
        <v>5</v>
      </c>
      <c r="I107" s="55" t="n">
        <v>108</v>
      </c>
      <c r="J107" s="56" t="n">
        <v>3.4</v>
      </c>
      <c r="K107" s="56" t="inlineStr">
        <is>
          <t>https://amazon.com/dp/B0DPH5KRBX</t>
        </is>
      </c>
      <c r="L107" s="34">
        <f>HYPERLINK(Table544[[#This Row],[Column1]])</f>
        <v/>
      </c>
    </row>
    <row r="108" ht="45" customHeight="1" s="290">
      <c r="A108" s="30" t="inlineStr">
        <is>
          <t>ANCEL Protective Case Storage Bag for OBD2 Scanner FX2000 FX6000, Code Reader AD530 VD500 BM700, Battery Tester BST200 BM200 BA301, Professional Waterproof Shockproof Carry Box with Zipper(Case Only)</t>
        </is>
      </c>
      <c r="B108" s="30" t="inlineStr">
        <is>
          <t>B08BNFSTTC</t>
        </is>
      </c>
      <c r="C108" s="30" t="inlineStr">
        <is>
          <t>Other</t>
        </is>
      </c>
      <c r="D108" s="324" t="n">
        <v>25</v>
      </c>
      <c r="E108" s="53" t="n">
        <v>26387.62</v>
      </c>
      <c r="F108" s="54" t="n">
        <v>1850</v>
      </c>
      <c r="G108" s="55" t="n">
        <v>1137</v>
      </c>
      <c r="H108" s="55" t="n">
        <v>74</v>
      </c>
      <c r="I108" s="55" t="n">
        <v>75</v>
      </c>
      <c r="J108" s="56" t="n">
        <v>4.2</v>
      </c>
      <c r="K108" s="56" t="inlineStr">
        <is>
          <t>https://amazon.com/dp/B08BNFSTTC</t>
        </is>
      </c>
      <c r="L108" s="34">
        <f>HYPERLINK(Table544[[#This Row],[Column1]])</f>
        <v/>
      </c>
    </row>
    <row r="109" ht="45" customHeight="1" s="290">
      <c r="A109" s="30" t="inlineStr">
        <is>
          <t>ANCEL BD200 OBD2 Scanner Bluetooth - Code Reader &amp; Check Engine Diagnostic Scan Tools with Car Battery Test, Exclusive App on iOS &amp; Android, Wireless OBDII Adapter Works for 1996 &amp; Newer Vehicles</t>
        </is>
      </c>
      <c r="B109" s="30" t="inlineStr">
        <is>
          <t>B08DFYMTS6</t>
        </is>
      </c>
      <c r="C109" s="30" t="inlineStr">
        <is>
          <t>Dongle</t>
        </is>
      </c>
      <c r="D109" s="324" t="n">
        <v>40.12230769230769</v>
      </c>
      <c r="E109" s="53" t="n">
        <v>33431.54</v>
      </c>
      <c r="F109" s="54" t="n">
        <v>1564.77</v>
      </c>
      <c r="G109" s="55" t="n">
        <v>847</v>
      </c>
      <c r="H109" s="55" t="n">
        <v>39</v>
      </c>
      <c r="I109" s="55" t="n">
        <v>1909</v>
      </c>
      <c r="J109" s="56" t="n">
        <v>4.3</v>
      </c>
      <c r="K109" s="56" t="inlineStr">
        <is>
          <t>https://amazon.com/dp/B08DFYMTS6</t>
        </is>
      </c>
      <c r="L109" s="34">
        <f>HYPERLINK(Table544[[#This Row],[Column1]])</f>
        <v/>
      </c>
    </row>
    <row r="110" ht="45" customHeight="1" s="290">
      <c r="A110" s="30" t="inlineStr">
        <is>
          <t>ANCEL Large Protective Case for OBD2 Scanner and Code Reader, Diagnostic Scan Tool Battery Tester, Storage Box (L) Compatible with ANCEL Products</t>
        </is>
      </c>
      <c r="B110" s="30" t="inlineStr">
        <is>
          <t>B08B13BQK6</t>
        </is>
      </c>
      <c r="C110" s="30" t="inlineStr">
        <is>
          <t>Other</t>
        </is>
      </c>
      <c r="D110" s="324" t="n">
        <v>22.121875</v>
      </c>
      <c r="E110" s="53" t="n">
        <v>30072.46461538462</v>
      </c>
      <c r="F110" s="54" t="n">
        <v>1415.8</v>
      </c>
      <c r="G110" s="55" t="n">
        <v>1374</v>
      </c>
      <c r="H110" s="55" t="n">
        <v>64</v>
      </c>
      <c r="I110" s="55" t="n">
        <v>1072</v>
      </c>
      <c r="J110" s="56" t="n">
        <v>4.5</v>
      </c>
      <c r="K110" s="56" t="inlineStr">
        <is>
          <t>https://amazon.com/dp/B08B13BQK6</t>
        </is>
      </c>
      <c r="L110" s="34">
        <f>HYPERLINK(Table544[[#This Row],[Column1]])</f>
        <v/>
      </c>
    </row>
    <row r="111" ht="45" customHeight="1" s="290">
      <c r="A111" s="30" t="inlineStr">
        <is>
          <t>ANCEL OBD2 Scanner Extension Cable 3.3ft/1m, 16 Pin OBDII OBD2 Male to Female Extender Cord, OBD2 Diagnostic Extender Connector for All OBD2 Vehicles</t>
        </is>
      </c>
      <c r="B111" s="30" t="inlineStr">
        <is>
          <t>B0DS453BBG</t>
        </is>
      </c>
      <c r="C111" s="30" t="inlineStr">
        <is>
          <t>Cable/Adapter</t>
        </is>
      </c>
      <c r="D111" s="324" t="n">
        <v>16.04913580246913</v>
      </c>
      <c r="E111" s="53" t="n">
        <v>14492.46153846154</v>
      </c>
      <c r="F111" s="54" t="n">
        <v>1299.98</v>
      </c>
      <c r="G111" s="55" t="n">
        <v>989</v>
      </c>
      <c r="H111" s="55" t="n">
        <v>81</v>
      </c>
      <c r="I111" s="55" t="n">
        <v>36</v>
      </c>
      <c r="J111" s="56" t="n">
        <v>4.6</v>
      </c>
      <c r="K111" s="56" t="inlineStr">
        <is>
          <t>https://amazon.com/dp/B0DS453BBG</t>
        </is>
      </c>
      <c r="L111" s="34">
        <f>HYPERLINK(Table544[[#This Row],[Column1]])</f>
        <v/>
      </c>
    </row>
    <row r="112" ht="45" customHeight="1" s="290">
      <c r="A112" s="30" t="inlineStr">
        <is>
          <t>ANCEL Waterproof Storage Case Bag for HD100 Heavy Duty Truck Scanner and Other Testers - Durable Zipper Carry Box (8.66’’ x 6.22’’ x 3.15’’)</t>
        </is>
      </c>
      <c r="B112" s="30" t="inlineStr">
        <is>
          <t>B0DPH4VF4Y</t>
        </is>
      </c>
      <c r="C112" s="30" t="inlineStr">
        <is>
          <t>Other</t>
        </is>
      </c>
      <c r="D112" s="324" t="n">
        <v>18.92327868852459</v>
      </c>
      <c r="E112" s="53" t="n">
        <v>7896.95</v>
      </c>
      <c r="F112" s="54" t="n">
        <v>1154.32</v>
      </c>
      <c r="G112" s="55" t="n">
        <v>409</v>
      </c>
      <c r="H112" s="55" t="n">
        <v>61</v>
      </c>
      <c r="I112" s="55" t="n">
        <v>173</v>
      </c>
      <c r="J112" s="56" t="n">
        <v>4.2</v>
      </c>
      <c r="K112" s="56" t="inlineStr">
        <is>
          <t>https://amazon.com/dp/B0DPH4VF4Y</t>
        </is>
      </c>
      <c r="L112" s="34">
        <f>HYPERLINK(Table544[[#This Row],[Column1]])</f>
        <v/>
      </c>
    </row>
    <row r="113" ht="45" customHeight="1" s="290">
      <c r="A113" s="30" t="inlineStr">
        <is>
          <t>ANCEL New HD601 Heavy Duty Truck Scanner, Diesel Full System Diagnostic Scan Tool Fits for Cummins, Detroit, Volvo, Paccar &amp; Caterpillar, 2 in 1 HDOBD &amp; OBD2 Code Reader for Commercial Vehicles &amp; Cars</t>
        </is>
      </c>
      <c r="B113" s="30" t="inlineStr">
        <is>
          <t>B0GL73Z9VW</t>
        </is>
      </c>
      <c r="C113" s="30" t="inlineStr">
        <is>
          <t>Tablet</t>
        </is>
      </c>
      <c r="D113" s="324" t="n">
        <v>169.9866666666667</v>
      </c>
      <c r="E113" s="53" t="n">
        <v>12317.49538461538</v>
      </c>
      <c r="F113" s="54" t="n">
        <v>1019.92</v>
      </c>
      <c r="G113" s="55" t="n">
        <v>6</v>
      </c>
      <c r="H113" s="55" t="n">
        <v>6</v>
      </c>
      <c r="I113" s="55" t="n"/>
      <c r="J113" s="56" t="n"/>
      <c r="K113" s="56" t="inlineStr">
        <is>
          <t>https://amazon.com/dp/B0GL73Z9VW</t>
        </is>
      </c>
      <c r="L113" s="34">
        <f>HYPERLINK(Table544[[#This Row],[Column1]])</f>
        <v/>
      </c>
    </row>
    <row r="114" ht="45" customHeight="1" s="290">
      <c r="A114" s="30" t="inlineStr">
        <is>
          <t>ANCEL Obd2 Female to 20 Pin Extension Convert Adapter OBD1 to OBD II Cable for 20 Pin E31 E32 E34 E36 E39 E38 E53 X 5 Z3</t>
        </is>
      </c>
      <c r="B114" s="30" t="inlineStr">
        <is>
          <t>B0B2LKYW3T</t>
        </is>
      </c>
      <c r="C114" s="30" t="inlineStr">
        <is>
          <t>Cable/Adapter</t>
        </is>
      </c>
      <c r="D114" s="324" t="n">
        <v>16.00903846153846</v>
      </c>
      <c r="E114" s="53" t="n">
        <v>9772.669999999998</v>
      </c>
      <c r="F114" s="54" t="n">
        <v>832.47</v>
      </c>
      <c r="G114" s="55" t="n">
        <v>612</v>
      </c>
      <c r="H114" s="55" t="n">
        <v>52</v>
      </c>
      <c r="I114" s="55" t="n">
        <v>241</v>
      </c>
      <c r="J114" s="56" t="n">
        <v>4.4</v>
      </c>
      <c r="K114" s="56" t="inlineStr">
        <is>
          <t>https://amazon.com/dp/B0B2LKYW3T</t>
        </is>
      </c>
      <c r="L114" s="34">
        <f>HYPERLINK(Table544[[#This Row],[Column1]])</f>
        <v/>
      </c>
    </row>
    <row r="115" ht="45" customHeight="1" s="290">
      <c r="A115" s="30" t="inlineStr">
        <is>
          <t>ANCEL HD Series-Compatible Printer for HD3100, HD3100 PRO, HD3200, HD3300, HD3400, HD3500, HD3600: Exclusive Heavy Duty Truck Scanner Diagnostic Tool Accessory for Diesel Vehicle Reports</t>
        </is>
      </c>
      <c r="B115" s="30" t="inlineStr">
        <is>
          <t>B097D8JHJG</t>
        </is>
      </c>
      <c r="C115" s="30" t="inlineStr">
        <is>
          <t>Other</t>
        </is>
      </c>
      <c r="D115" s="324" t="n">
        <v>134.78</v>
      </c>
      <c r="E115" s="53" t="n">
        <v>9418.449999999999</v>
      </c>
      <c r="F115" s="54" t="n">
        <v>808.6799999999999</v>
      </c>
      <c r="G115" s="55" t="n">
        <v>62</v>
      </c>
      <c r="H115" s="55" t="n">
        <v>6</v>
      </c>
      <c r="I115" s="55" t="n">
        <v>25</v>
      </c>
      <c r="J115" s="56" t="n">
        <v>3.8</v>
      </c>
      <c r="K115" s="56" t="inlineStr">
        <is>
          <t>https://amazon.com/dp/B097D8JHJG</t>
        </is>
      </c>
      <c r="L115" s="34">
        <f>HYPERLINK(Table544[[#This Row],[Column1]])</f>
        <v/>
      </c>
    </row>
    <row r="116" ht="30" customHeight="1" s="290">
      <c r="A116" s="30" t="inlineStr">
        <is>
          <t>ANCEL CAN 3 - CAN 1 Crossover Cable for 2016 &amp; Newer Paccar Peterbilts/Kenworths/Cummins Engines, 9 Pin Heavy Duty Truck Scanner Diagnostic Adapter Tool</t>
        </is>
      </c>
      <c r="B116" s="30" t="inlineStr">
        <is>
          <t>B0C4FGGVZ4</t>
        </is>
      </c>
      <c r="C116" s="30" t="inlineStr">
        <is>
          <t>Cable/Adapter</t>
        </is>
      </c>
      <c r="D116" s="324" t="n">
        <v>40.4921052631579</v>
      </c>
      <c r="E116" s="53" t="n">
        <v>16426.63</v>
      </c>
      <c r="F116" s="54" t="n">
        <v>769.35</v>
      </c>
      <c r="G116" s="55" t="n">
        <v>320</v>
      </c>
      <c r="H116" s="55" t="n">
        <v>19</v>
      </c>
      <c r="I116" s="55" t="n">
        <v>16</v>
      </c>
      <c r="J116" s="56" t="n">
        <v>4.5</v>
      </c>
      <c r="K116" s="56" t="inlineStr">
        <is>
          <t>https://amazon.com/dp/B0C4FGGVZ4</t>
        </is>
      </c>
      <c r="L116" s="34">
        <f>HYPERLINK(Table544[[#This Row],[Column1]])</f>
        <v/>
      </c>
    </row>
    <row r="117" ht="30" customHeight="1" s="290">
      <c r="A117" s="30" t="inlineStr">
        <is>
          <t>ANCEL FX2000 Plus OBD2 Scanner Diagnostic Tool with Protective Bag, ABS SRS Transmission Airbag Scan Tool, Check Engine Code Reader, Scanner for Car Lifetime Free Upgrade</t>
        </is>
      </c>
      <c r="B117" s="30" t="inlineStr">
        <is>
          <t>B0DQPJ8QVK</t>
        </is>
      </c>
      <c r="C117" s="30" t="inlineStr">
        <is>
          <t>Tablet</t>
        </is>
      </c>
      <c r="D117" s="324" t="n">
        <v>162.2</v>
      </c>
      <c r="E117" s="53" t="n">
        <v>29719.71230769231</v>
      </c>
      <c r="F117" s="54" t="n">
        <v>648.8</v>
      </c>
      <c r="G117" s="55" t="n">
        <v>191</v>
      </c>
      <c r="H117" s="55" t="n">
        <v>4</v>
      </c>
      <c r="I117" s="55" t="n">
        <v>48</v>
      </c>
      <c r="J117" s="56" t="n">
        <v>4.1</v>
      </c>
      <c r="K117" s="56" t="inlineStr">
        <is>
          <t>https://amazon.com/dp/B0DQPJ8QVK</t>
        </is>
      </c>
      <c r="L117" s="34">
        <f>HYPERLINK(Table544[[#This Row],[Column1]])</f>
        <v/>
      </c>
    </row>
    <row r="118" ht="45" customHeight="1" s="290">
      <c r="A118" s="30" t="inlineStr">
        <is>
          <t>ANCEL EVA Hard Protective Case for V5 HD PRO Heavy Truck Scanner, Waterproof Shockproof Storage Bag with Large Capacity, Smooth Zippers and Easy Carry Handle, Travel Ready</t>
        </is>
      </c>
      <c r="B118" s="30" t="inlineStr">
        <is>
          <t>B0828TC9T9</t>
        </is>
      </c>
      <c r="C118" s="30" t="inlineStr">
        <is>
          <t>Other</t>
        </is>
      </c>
      <c r="D118" s="324" t="n">
        <v>31.572</v>
      </c>
      <c r="E118" s="53" t="n">
        <v>7106.944615384618</v>
      </c>
      <c r="F118" s="54" t="n">
        <v>631.4400000000001</v>
      </c>
      <c r="G118" s="55" t="n">
        <v>22</v>
      </c>
      <c r="H118" s="55" t="n">
        <v>20</v>
      </c>
      <c r="I118" s="55" t="n">
        <v>172</v>
      </c>
      <c r="J118" s="56" t="n">
        <v>4.2</v>
      </c>
      <c r="K118" s="56" t="inlineStr">
        <is>
          <t>https://amazon.com/dp/B0828TC9T9</t>
        </is>
      </c>
      <c r="L118" s="34">
        <f>HYPERLINK(Table544[[#This Row],[Column1]])</f>
        <v/>
      </c>
    </row>
    <row r="119" ht="45" customHeight="1" s="290">
      <c r="A119" s="30" t="inlineStr">
        <is>
          <t>ANCEL Large Hard Protective Case for Heavy Duty Truck Scanner HD3300 Plus+ HD3600 HD430, OBD2 Scanner Diagnostic Tool FX6000 Elite FX6100, Automotive Smoke Machine Leak Detector S3000 S3000 PRO</t>
        </is>
      </c>
      <c r="B119" s="30" t="inlineStr">
        <is>
          <t>B0FJFJRX71</t>
        </is>
      </c>
      <c r="C119" s="30" t="inlineStr">
        <is>
          <t>Other</t>
        </is>
      </c>
      <c r="D119" s="324" t="n">
        <v>31.85846153846154</v>
      </c>
      <c r="E119" s="53" t="n">
        <v>7230.660769230767</v>
      </c>
      <c r="F119" s="54" t="n">
        <v>414.16</v>
      </c>
      <c r="G119" s="55" t="n">
        <v>142</v>
      </c>
      <c r="H119" s="55" t="n">
        <v>13</v>
      </c>
      <c r="I119" s="55" t="n">
        <v>108</v>
      </c>
      <c r="J119" s="56" t="n">
        <v>3.4</v>
      </c>
      <c r="K119" s="56" t="inlineStr">
        <is>
          <t>https://amazon.com/dp/B0FJFJRX71</t>
        </is>
      </c>
      <c r="L119" s="34">
        <f>HYPERLINK(Table544[[#This Row],[Column1]])</f>
        <v/>
      </c>
    </row>
    <row r="120" ht="60" customHeight="1" s="290">
      <c r="A120" s="30" t="inlineStr">
        <is>
          <t>ANCEL Large Hard Protective Case Storage Box for ANCEL HD8000 Heavy Duty Truck Scanner (Only the Case)</t>
        </is>
      </c>
      <c r="B120" s="30" t="inlineStr">
        <is>
          <t>B0DPH4CDJ3</t>
        </is>
      </c>
      <c r="C120" s="30" t="inlineStr">
        <is>
          <t>Other</t>
        </is>
      </c>
      <c r="D120" s="324" t="n">
        <v>31.07416666666667</v>
      </c>
      <c r="E120" s="53" t="n">
        <v>6787.639999999999</v>
      </c>
      <c r="F120" s="54" t="n">
        <v>372.89</v>
      </c>
      <c r="G120" s="55" t="n">
        <v>242</v>
      </c>
      <c r="H120" s="55" t="n">
        <v>12</v>
      </c>
      <c r="I120" s="55" t="n">
        <v>72</v>
      </c>
      <c r="J120" s="56" t="n">
        <v>3.7</v>
      </c>
      <c r="K120" s="56" t="inlineStr">
        <is>
          <t>https://amazon.com/dp/B0DPH4CDJ3</t>
        </is>
      </c>
      <c r="L120" s="34">
        <f>HYPERLINK(Table544[[#This Row],[Column1]])</f>
        <v/>
      </c>
    </row>
    <row r="121" ht="45" customHeight="1" s="290">
      <c r="A121" s="30" t="inlineStr">
        <is>
          <t>ANCEL BD200 Pro OBD2 Scanner Bluetooth, Enhanced Wireless Code Readers ABS SRS Transmission Airbag Car Scanner Diagnostic Tool with Battery Test, Check Engine Light Exclusive App for iPhone &amp; Android</t>
        </is>
      </c>
      <c r="B121" s="30" t="inlineStr">
        <is>
          <t>B0CWN69XH4</t>
        </is>
      </c>
      <c r="C121" s="30" t="inlineStr">
        <is>
          <t>Dongle</t>
        </is>
      </c>
      <c r="D121" s="324" t="n">
        <v>73.312</v>
      </c>
      <c r="E121" s="53" t="n">
        <v>7603.463076923077</v>
      </c>
      <c r="F121" s="54" t="n">
        <v>366.56</v>
      </c>
      <c r="G121" s="55" t="n">
        <v>95</v>
      </c>
      <c r="H121" s="55" t="n">
        <v>5</v>
      </c>
      <c r="I121" s="55" t="n">
        <v>74</v>
      </c>
      <c r="J121" s="56" t="n">
        <v>3.5</v>
      </c>
      <c r="K121" s="56" t="inlineStr">
        <is>
          <t>https://amazon.com/dp/B0CWN69XH4</t>
        </is>
      </c>
      <c r="L121" s="34">
        <f>HYPERLINK(Table544[[#This Row],[Column1]])</f>
        <v/>
      </c>
    </row>
    <row r="122" ht="45" customHeight="1" s="290">
      <c r="A122" s="30" t="inlineStr">
        <is>
          <t>ANCEL DS600 Plus Top Bi-Directional Scan Tool OEM All System Automotive OBD2 Scanner for All Cars, 34+ Reset Services Car Diagnostic Tablet, Online Coding, Active Test</t>
        </is>
      </c>
      <c r="B122" s="30" t="inlineStr">
        <is>
          <t>B0B1JD8D4H</t>
        </is>
      </c>
      <c r="C122" s="30" t="inlineStr">
        <is>
          <t>Tablet</t>
        </is>
      </c>
      <c r="D122" s="324" t="n">
        <v>359.99</v>
      </c>
      <c r="E122" s="53" t="n">
        <v>14518.16</v>
      </c>
      <c r="F122" s="54" t="n">
        <v>359.99</v>
      </c>
      <c r="G122" s="55" t="n">
        <v>22</v>
      </c>
      <c r="H122" s="55" t="n">
        <v>1</v>
      </c>
      <c r="I122" s="55" t="n">
        <v>12</v>
      </c>
      <c r="J122" s="56" t="n">
        <v>4.7</v>
      </c>
      <c r="K122" s="56" t="inlineStr">
        <is>
          <t>https://amazon.com/dp/B0B1JD8D4H</t>
        </is>
      </c>
      <c r="L122" s="34">
        <f>HYPERLINK(Table544[[#This Row],[Column1]])</f>
        <v/>
      </c>
    </row>
    <row r="123" ht="45" customHeight="1" s="290">
      <c r="A123" s="30" t="inlineStr">
        <is>
          <t>ANCEL DS600 Elite OBD2 Scanner, 2025 New Bidirectional Full System Scan Tool with 34+Resets, ECU Online Coding, FCA SGW AutoAuth, VAG Guide, Wireless Car Scanner Diagnostic Tool with 2-Year Update</t>
        </is>
      </c>
      <c r="B123" s="30" t="inlineStr">
        <is>
          <t>B0CWNP8JDD</t>
        </is>
      </c>
      <c r="C123" s="30" t="inlineStr">
        <is>
          <t>Tablet</t>
        </is>
      </c>
      <c r="D123" s="324" t="n">
        <v>350.92</v>
      </c>
      <c r="E123" s="53" t="n">
        <v>14213.97</v>
      </c>
      <c r="F123" s="54" t="n">
        <v>350.92</v>
      </c>
      <c r="G123" s="55" t="n">
        <v>19</v>
      </c>
      <c r="H123" s="55" t="n">
        <v>1</v>
      </c>
      <c r="I123" s="55" t="n">
        <v>15</v>
      </c>
      <c r="J123" s="56" t="n">
        <v>3.4</v>
      </c>
      <c r="K123" s="56" t="inlineStr">
        <is>
          <t>https://amazon.com/dp/B0CWNP8JDD</t>
        </is>
      </c>
      <c r="L123" s="34">
        <f>HYPERLINK(Table544[[#This Row],[Column1]])</f>
        <v/>
      </c>
    </row>
    <row r="124" ht="17" customHeight="1" s="290">
      <c r="A124" s="30" t="inlineStr">
        <is>
          <t>ANCEL Large Hard Protective Case, Waterproof Storage Box Diagnostic Scanner Tool (Only The Case), 13.39" x 8.27" x 4.92"</t>
        </is>
      </c>
      <c r="B124" s="30" t="inlineStr">
        <is>
          <t>B0FLXQ35LZ</t>
        </is>
      </c>
      <c r="C124" s="30" t="inlineStr">
        <is>
          <t>Other</t>
        </is>
      </c>
      <c r="D124" s="324" t="n">
        <v>29.29</v>
      </c>
      <c r="E124" s="53" t="n">
        <v>353.7330769230769</v>
      </c>
      <c r="F124" s="54" t="n">
        <v>29.29</v>
      </c>
      <c r="G124" s="55" t="n">
        <v>1</v>
      </c>
      <c r="H124" s="55" t="n">
        <v>1</v>
      </c>
      <c r="I124" s="55" t="n"/>
      <c r="J124" s="56" t="n"/>
      <c r="K124" s="56" t="inlineStr">
        <is>
          <t>https://amazon.com/dp/B0FLXQ35LZ</t>
        </is>
      </c>
      <c r="L124" s="34">
        <f>HYPERLINK(Table544[[#This Row],[Column1]])</f>
        <v/>
      </c>
    </row>
    <row r="125" ht="30" customHeight="1" s="290">
      <c r="A125" s="30" t="inlineStr">
        <is>
          <t>ANCEL Protective Case Storage Bag for OBD2 Scanner &amp; Small Diagnostic Tools – Compatible with BD310, Code Readers &amp; Battery Testers</t>
        </is>
      </c>
      <c r="B125" s="30" t="inlineStr">
        <is>
          <t>B0G8DGNVR7</t>
        </is>
      </c>
      <c r="C125" s="30" t="inlineStr">
        <is>
          <t>Other</t>
        </is>
      </c>
      <c r="D125" s="324" t="n">
        <v>19.98</v>
      </c>
      <c r="E125" s="53" t="n">
        <v>241.296923076923</v>
      </c>
      <c r="F125" s="54" t="n">
        <v>19.98</v>
      </c>
      <c r="G125" s="55" t="n">
        <v>1</v>
      </c>
      <c r="H125" s="55" t="n">
        <v>1</v>
      </c>
      <c r="I125" s="55" t="n"/>
      <c r="J125" s="56" t="n"/>
      <c r="K125" s="56" t="inlineStr">
        <is>
          <t>https://amazon.com/dp/B0G8DGNVR7</t>
        </is>
      </c>
      <c r="L125" s="34">
        <f>HYPERLINK(Table544[[#This Row],[Column1]])</f>
        <v/>
      </c>
    </row>
    <row r="126" ht="45" customHeight="1" s="290">
      <c r="A126" s="30" t="inlineStr">
        <is>
          <t>ANCEL Protective Case Storage Bag for HD100, HD110, HD120, HD200, HD210 Heavy Duty Truck Scanners(Only The Case)</t>
        </is>
      </c>
      <c r="B126" s="30" t="inlineStr">
        <is>
          <t>B0FX24WF6Q</t>
        </is>
      </c>
      <c r="C126" s="30" t="inlineStr">
        <is>
          <t>Other</t>
        </is>
      </c>
      <c r="D126" s="324" t="n">
        <v>19.99</v>
      </c>
      <c r="E126" s="53" t="n">
        <v>0</v>
      </c>
      <c r="F126" s="54" t="n">
        <v>0</v>
      </c>
      <c r="G126" s="55" t="n">
        <v>0</v>
      </c>
      <c r="H126" s="55" t="n">
        <v>0</v>
      </c>
      <c r="I126" s="55" t="n"/>
      <c r="J126" s="56" t="n"/>
      <c r="K126" s="56" t="inlineStr">
        <is>
          <t>https://amazon.com/dp/B0FX24WF6Q</t>
        </is>
      </c>
      <c r="L126" s="34">
        <f>HYPERLINK(Table544[[#This Row],[Column1]])</f>
        <v/>
      </c>
    </row>
    <row r="127" ht="45" customHeight="1" s="290">
      <c r="A127" s="30" t="inlineStr">
        <is>
          <t>ANCEL HD210 Bluetooth Heavy Duty Truck Scanner, Speed Limit and Idle Reset for Volvo &amp; International Engine, All System Diesel HDOBD/OBD2 Scanner Diagnostic Tool, Lifetime F-Ree Update Code Reader</t>
        </is>
      </c>
      <c r="B127" s="30" t="inlineStr">
        <is>
          <t>B0D9KB3GWR</t>
        </is>
      </c>
      <c r="C127" s="30" t="inlineStr">
        <is>
          <t>Cable/Adapter</t>
        </is>
      </c>
      <c r="D127" s="324" t="n">
        <v>172.2333333333333</v>
      </c>
      <c r="E127" s="53" t="n">
        <v>29768.75</v>
      </c>
      <c r="F127" s="54" t="n">
        <v>0</v>
      </c>
      <c r="G127" s="55" t="n">
        <v>156</v>
      </c>
      <c r="H127" s="55" t="n">
        <v>0</v>
      </c>
      <c r="I127" s="55" t="n">
        <v>59</v>
      </c>
      <c r="J127" s="56" t="n">
        <v>3</v>
      </c>
      <c r="K127" s="56" t="inlineStr">
        <is>
          <t>https://amazon.com/dp/B0D9KB3GWR</t>
        </is>
      </c>
      <c r="L127" s="34">
        <f>HYPERLINK(Table544[[#This Row],[Column1]])</f>
        <v/>
      </c>
    </row>
    <row r="128" ht="17" customHeight="1" s="290">
      <c r="A128" s="30" t="inlineStr">
        <is>
          <t>Ancel BD320 OBD2 Scanner Diagnostic Tool for VW Audi Skoda Seat, Full-System Diagnostics with EPB, Oil &amp; Throttle Reset, Battery Check, 3-in-1 Bluetooth Wired HUD Code Reader(Upgraded BD310)</t>
        </is>
      </c>
      <c r="B128" s="30" t="inlineStr">
        <is>
          <t>B0CRDY7JG5</t>
        </is>
      </c>
      <c r="C128" s="30" t="inlineStr">
        <is>
          <t>Dongle</t>
        </is>
      </c>
      <c r="D128" s="324" t="n">
        <v>61.944</v>
      </c>
      <c r="E128" s="53" t="n">
        <v>3760.340000000001</v>
      </c>
      <c r="F128" s="54" t="n">
        <v>0</v>
      </c>
      <c r="G128" s="55" t="n">
        <v>59</v>
      </c>
      <c r="H128" s="55" t="n">
        <v>0</v>
      </c>
      <c r="I128" s="55" t="n">
        <v>45</v>
      </c>
      <c r="J128" s="56" t="n">
        <v>3.5</v>
      </c>
      <c r="K128" s="56" t="inlineStr">
        <is>
          <t>https://amazon.com/dp/B0CRDY7JG5</t>
        </is>
      </c>
      <c r="L128" s="34">
        <f>HYPERLINK(TABLE128)</f>
        <v/>
      </c>
    </row>
    <row r="129">
      <c r="A129" s="33" t="inlineStr">
        <is>
          <t>Total</t>
        </is>
      </c>
      <c r="B129" s="32" t="n"/>
      <c r="C129" s="325" t="n"/>
      <c r="D129" s="325" t="n"/>
      <c r="E129" s="59">
        <f>SUM(Table544[Estimated 12mo Revenue])</f>
        <v/>
      </c>
      <c r="F129" s="59">
        <f>SUM(Table544[Monthly Rev])</f>
        <v/>
      </c>
      <c r="I129" s="286" t="n"/>
      <c r="J129" s="287" t="n"/>
    </row>
    <row r="131"/>
    <row r="132" ht="17" customHeight="1" s="290">
      <c r="A132" s="283" t="inlineStr">
        <is>
          <t>Rank by Units</t>
        </is>
      </c>
    </row>
    <row r="133" ht="45" customHeight="1" s="290">
      <c r="A133" s="38" t="inlineStr">
        <is>
          <t>Product Name</t>
        </is>
      </c>
      <c r="B133" s="39" t="inlineStr">
        <is>
          <t>ASIN</t>
        </is>
      </c>
      <c r="C133" s="39" t="inlineStr">
        <is>
          <t>Type</t>
        </is>
      </c>
      <c r="D133" s="322" t="inlineStr">
        <is>
          <t>Avg Price</t>
        </is>
      </c>
      <c r="E133" s="41" t="inlineStr">
        <is>
          <t>Estimated 12mo Revenue</t>
        </is>
      </c>
      <c r="F133" s="39" t="inlineStr">
        <is>
          <t>Monthly Rev</t>
        </is>
      </c>
      <c r="G133" s="42" t="inlineStr">
        <is>
          <t>Estimated 12mo Units</t>
        </is>
      </c>
      <c r="H133" s="45" t="inlineStr">
        <is>
          <t>Monthly Units</t>
        </is>
      </c>
      <c r="I133" s="42" t="inlineStr">
        <is>
          <t># of Reviews</t>
        </is>
      </c>
      <c r="J133" s="43" t="inlineStr">
        <is>
          <t xml:space="preserve">Tool Rating </t>
        </is>
      </c>
      <c r="K133" s="43" t="inlineStr">
        <is>
          <t>Column1</t>
        </is>
      </c>
      <c r="L133" s="323" t="inlineStr">
        <is>
          <t>Link</t>
        </is>
      </c>
    </row>
    <row r="134" ht="45" customHeight="1" s="290">
      <c r="A134" s="30" t="inlineStr">
        <is>
          <t>ANCEL AD310 Classic Enhanced Universal OBD II Scanner Car Engine Fault Code Reader CAN Diagnostic Scan Tool, Read and Clear Error Codes for 1996 or Newer OBD2 Protocol Vehicle (Black)</t>
        </is>
      </c>
      <c r="B134" s="30" t="inlineStr">
        <is>
          <t>B01G5EA74I</t>
        </is>
      </c>
      <c r="C134" s="30" t="inlineStr">
        <is>
          <t>Handheld</t>
        </is>
      </c>
      <c r="D134" s="324" t="n">
        <v>28.93877341320998</v>
      </c>
      <c r="E134" s="53" t="n">
        <v>11640814.05</v>
      </c>
      <c r="F134" s="53" t="n">
        <v>763231.21</v>
      </c>
      <c r="G134" s="55" t="n">
        <v>418439</v>
      </c>
      <c r="H134" s="57" t="n">
        <v>26374</v>
      </c>
      <c r="I134" s="55" t="n">
        <v>63860</v>
      </c>
      <c r="J134" s="56" t="n">
        <v>4.6</v>
      </c>
      <c r="K134" s="56" t="inlineStr">
        <is>
          <t>https://amazon.com/dp/B01G5EA74I</t>
        </is>
      </c>
      <c r="L134" s="34">
        <f>HYPERLINK(Table65[[#This Row],[Column1]])</f>
        <v/>
      </c>
    </row>
    <row r="135" ht="45" customHeight="1" s="290">
      <c r="A135" s="30" t="inlineStr">
        <is>
          <t>ANCEL AD410 Enhanced OBD2 Scanner, Vehicle Code Reader for Check Engine Light, Automotive OBD II Scanner Fault Diagnosis, OBDII Scan Tool for All OBDII Cars 1996+, Black/Yellow</t>
        </is>
      </c>
      <c r="B135" s="30" t="inlineStr">
        <is>
          <t>B071FSNL73</t>
        </is>
      </c>
      <c r="C135" s="30" t="inlineStr">
        <is>
          <t>Handheld</t>
        </is>
      </c>
      <c r="D135" s="324" t="n">
        <v>43.56900433622415</v>
      </c>
      <c r="E135" s="53" t="n">
        <v>4039229.264615384</v>
      </c>
      <c r="F135" s="53" t="n">
        <v>261239.75</v>
      </c>
      <c r="G135" s="55" t="n">
        <v>81536</v>
      </c>
      <c r="H135" s="57" t="n">
        <v>5996</v>
      </c>
      <c r="I135" s="55" t="n">
        <v>15054</v>
      </c>
      <c r="J135" s="56" t="n">
        <v>4.5</v>
      </c>
      <c r="K135" s="56" t="inlineStr">
        <is>
          <t>https://amazon.com/dp/B071FSNL73</t>
        </is>
      </c>
      <c r="L135" s="34">
        <f>HYPERLINK(Table65[[#This Row],[Column1]])</f>
        <v/>
      </c>
    </row>
    <row r="136" ht="45" customHeight="1" s="290">
      <c r="A136" s="30" t="inlineStr">
        <is>
          <t>ANCEL AD410 PRO OBD2 Scanner and Battery Tester, 2-in-1 Car Diagnostic Tool, Check Engine Light, EVAP Test, Live Data, 12V Battery Analyzer with Cranking &amp; Charging System Test for Car Motorcycle</t>
        </is>
      </c>
      <c r="B136" s="30" t="inlineStr">
        <is>
          <t>B0BX3K8VGJ</t>
        </is>
      </c>
      <c r="C136" s="30" t="inlineStr">
        <is>
          <t>Handheld</t>
        </is>
      </c>
      <c r="D136" s="324" t="n">
        <v>62.35547598253275</v>
      </c>
      <c r="E136" s="53" t="n">
        <v>931202.0315384616</v>
      </c>
      <c r="F136" s="53" t="n">
        <v>71397.02</v>
      </c>
      <c r="G136" s="55" t="n">
        <v>12112</v>
      </c>
      <c r="H136" s="57" t="n">
        <v>1145</v>
      </c>
      <c r="I136" s="55" t="n">
        <v>4093</v>
      </c>
      <c r="J136" s="56" t="n">
        <v>4.6</v>
      </c>
      <c r="K136" s="56" t="inlineStr">
        <is>
          <t>https://amazon.com/dp/B0BX3K8VGJ</t>
        </is>
      </c>
      <c r="L136" s="34">
        <f>HYPERLINK(Table65[[#This Row],[Column1]])</f>
        <v/>
      </c>
    </row>
    <row r="137" ht="45" customHeight="1" s="290">
      <c r="A137" s="30" t="inlineStr">
        <is>
          <t>ANCEL VD500 OBD2 Scanner Diagnostic Tool for Volkswagen VW Audi Skoda Seat Diagnosis Check Engine Light EPB ABS SRS Code Reader Oil Throttle Position Adaption Brake Pad Reset</t>
        </is>
      </c>
      <c r="B137" s="30" t="inlineStr">
        <is>
          <t>B07BS7PDC2</t>
        </is>
      </c>
      <c r="C137" s="30" t="inlineStr">
        <is>
          <t>Handheld</t>
        </is>
      </c>
      <c r="D137" s="324" t="n">
        <v>65.69651651651652</v>
      </c>
      <c r="E137" s="53" t="n">
        <v>763249.91</v>
      </c>
      <c r="F137" s="53" t="n">
        <v>65630.82000000001</v>
      </c>
      <c r="G137" s="55" t="n">
        <v>11514</v>
      </c>
      <c r="H137" s="57" t="n">
        <v>999</v>
      </c>
      <c r="I137" s="55" t="n">
        <v>6329</v>
      </c>
      <c r="J137" s="56" t="n">
        <v>4.5</v>
      </c>
      <c r="K137" s="56" t="inlineStr">
        <is>
          <t>https://amazon.com/dp/B07BS7PDC2</t>
        </is>
      </c>
      <c r="L137" s="34">
        <f>HYPERLINK(Table65[[#This Row],[Column1]])</f>
        <v/>
      </c>
    </row>
    <row r="138" ht="45" customHeight="1" s="290">
      <c r="A138" s="30" t="inlineStr">
        <is>
          <t>ANCEL BD310 Bluetooth OBD2 Scanner, 2-in-1 Car Diagnostic Scan Tool &amp; Code Reader with App, Battery Test, Trip Analysis, Performance Test, for iPhone &amp; Android, All 1996+ Vehicles</t>
        </is>
      </c>
      <c r="B138" s="30" t="inlineStr">
        <is>
          <t>B07J51W9NS</t>
        </is>
      </c>
      <c r="C138" s="30" t="inlineStr">
        <is>
          <t>Handheld</t>
        </is>
      </c>
      <c r="D138" s="324" t="n">
        <v>59.07334630350195</v>
      </c>
      <c r="E138" s="53" t="n">
        <v>785997.5299999998</v>
      </c>
      <c r="F138" s="53" t="n">
        <v>45545.55</v>
      </c>
      <c r="G138" s="55" t="n">
        <v>12329</v>
      </c>
      <c r="H138" s="57" t="n">
        <v>771</v>
      </c>
      <c r="I138" s="55" t="n">
        <v>1574</v>
      </c>
      <c r="J138" s="56" t="n">
        <v>4.4</v>
      </c>
      <c r="K138" s="56" t="inlineStr">
        <is>
          <t>https://amazon.com/dp/B07J51W9NS</t>
        </is>
      </c>
      <c r="L138" s="34">
        <f>HYPERLINK(Table65[[#This Row],[Column1]])</f>
        <v/>
      </c>
    </row>
    <row r="139" ht="45" customHeight="1" s="290">
      <c r="A139" s="30" t="inlineStr">
        <is>
          <t>ANCEL AD530 OBD2 Scanner-Upgraded AD310, Car Code Reader for Check Engine Light, Full OBDII Scan Tool for Read &amp; Clear Fault Codes, Battery Test &amp; Live Data, OBD II Diagnostic Scanner for 1996+ Cars</t>
        </is>
      </c>
      <c r="B139" s="30" t="inlineStr">
        <is>
          <t>B07N66TTQG</t>
        </is>
      </c>
      <c r="C139" s="30" t="inlineStr">
        <is>
          <t>Handheld</t>
        </is>
      </c>
      <c r="D139" s="324" t="n">
        <v>63.87064263322884</v>
      </c>
      <c r="E139" s="53" t="n">
        <v>670695.59</v>
      </c>
      <c r="F139" s="53" t="n">
        <v>40749.47</v>
      </c>
      <c r="G139" s="55" t="n">
        <v>10286</v>
      </c>
      <c r="H139" s="57" t="n">
        <v>638</v>
      </c>
      <c r="I139" s="55" t="n">
        <v>4091</v>
      </c>
      <c r="J139" s="56" t="n">
        <v>4.5</v>
      </c>
      <c r="K139" s="56" t="inlineStr">
        <is>
          <t>https://amazon.com/dp/B07N66TTQG</t>
        </is>
      </c>
      <c r="L139" s="34">
        <f>HYPERLINK(Table65[[#This Row],[Column1]])</f>
        <v/>
      </c>
    </row>
    <row r="140" ht="45" customHeight="1" s="290">
      <c r="A140" s="30" t="inlineStr">
        <is>
          <t>ANCEL BD500 Bluetooth Diagnostic Scan Tool for VW Audi Seat Skoda Diagnosis, Full Systems Volkswagen OBD2 Scanner Vag Car Code Reader with Battery Check EPB Reset for iPhone, iPad &amp; Android</t>
        </is>
      </c>
      <c r="B140" s="30" t="inlineStr">
        <is>
          <t>B0B1MHSMBW</t>
        </is>
      </c>
      <c r="C140" s="30" t="inlineStr">
        <is>
          <t>Dongle</t>
        </is>
      </c>
      <c r="D140" s="324" t="n">
        <v>79.98407786885247</v>
      </c>
      <c r="E140" s="53" t="n">
        <v>120460.89</v>
      </c>
      <c r="F140" s="53" t="n">
        <v>39032.23</v>
      </c>
      <c r="G140" s="55" t="n">
        <v>1487</v>
      </c>
      <c r="H140" s="57" t="n">
        <v>488</v>
      </c>
      <c r="I140" s="55" t="n">
        <v>1713</v>
      </c>
      <c r="J140" s="56" t="n">
        <v>4.4</v>
      </c>
      <c r="K140" s="56" t="inlineStr">
        <is>
          <t>https://amazon.com/dp/B0B1MHSMBW</t>
        </is>
      </c>
      <c r="L140" s="34">
        <f>HYPERLINK(Table65[[#This Row],[Column1]])</f>
        <v/>
      </c>
    </row>
    <row r="141" ht="30" customHeight="1" s="290">
      <c r="A141" s="30" t="inlineStr">
        <is>
          <t>ANCEL BM500 OBD2 Scanner for BMW &amp; MINI, Simplified Battery Registration, EPB, Oil, Throttle, PCM Resets, I/M Readiness, Full System Diagnostics for Engine, Transmission, ABS, SRS, DSC &amp; More</t>
        </is>
      </c>
      <c r="B141" s="30" t="inlineStr">
        <is>
          <t>B08925H3H1</t>
        </is>
      </c>
      <c r="C141" s="30" t="inlineStr">
        <is>
          <t>Handheld</t>
        </is>
      </c>
      <c r="D141" s="324" t="n">
        <v>105.1284666666667</v>
      </c>
      <c r="E141" s="53" t="n">
        <v>476769.6499999999</v>
      </c>
      <c r="F141" s="53" t="n">
        <v>47307.81</v>
      </c>
      <c r="G141" s="55" t="n">
        <v>4868</v>
      </c>
      <c r="H141" s="57" t="n">
        <v>450</v>
      </c>
      <c r="I141" s="55" t="n">
        <v>881</v>
      </c>
      <c r="J141" s="56" t="n">
        <v>4.5</v>
      </c>
      <c r="K141" s="56" t="inlineStr">
        <is>
          <t>https://amazon.com/dp/B08925H3H1</t>
        </is>
      </c>
      <c r="L141" s="34">
        <f>HYPERLINK(Table65[[#This Row],[Column1]])</f>
        <v/>
      </c>
    </row>
    <row r="142" ht="45" customHeight="1" s="290">
      <c r="A142" s="30" t="inlineStr">
        <is>
          <t>ANCEL BD300 BMW Bluetooth OBD2 Scanner, Full System Code Reader and Diagnostic Tool for BMW with Battery Registration Service Reset EPB CBS ETC ABS Airbag &amp; Powerful OBD2 Functions</t>
        </is>
      </c>
      <c r="B142" s="30" t="inlineStr">
        <is>
          <t>B09ZPB3JV9</t>
        </is>
      </c>
      <c r="C142" s="30" t="inlineStr">
        <is>
          <t>Dongle</t>
        </is>
      </c>
      <c r="D142" s="324" t="n">
        <v>75.94614832535886</v>
      </c>
      <c r="E142" s="53" t="n">
        <v>189730.01</v>
      </c>
      <c r="F142" s="53" t="n">
        <v>31745.49</v>
      </c>
      <c r="G142" s="55" t="n">
        <v>2269</v>
      </c>
      <c r="H142" s="57" t="n">
        <v>418</v>
      </c>
      <c r="I142" s="55" t="n">
        <v>2231</v>
      </c>
      <c r="J142" s="56" t="n">
        <v>4.5</v>
      </c>
      <c r="K142" s="56" t="inlineStr">
        <is>
          <t>https://amazon.com/dp/B09ZPB3JV9</t>
        </is>
      </c>
      <c r="L142" s="34">
        <f>HYPERLINK(Table65[[#This Row],[Column1]])</f>
        <v/>
      </c>
    </row>
    <row r="143" ht="45" customHeight="1" s="290">
      <c r="A143" s="30" t="inlineStr">
        <is>
          <t>ANCEL Heavy Duty Truck Scanner HD601 All System Diesel Diagnostic Scan Tool fits for Cummins, Detroit, Freightliner, International, Paccar, Check Engine for Truck &amp; Car 2 in 1 Code Reader</t>
        </is>
      </c>
      <c r="B143" s="30" t="inlineStr">
        <is>
          <t>B0B452YDWT</t>
        </is>
      </c>
      <c r="C143" s="30" t="inlineStr">
        <is>
          <t>Handheld</t>
        </is>
      </c>
      <c r="D143" s="324" t="n">
        <v>147.8879177377892</v>
      </c>
      <c r="E143" s="53" t="n">
        <v>1225123.98</v>
      </c>
      <c r="F143" s="53" t="n">
        <v>57528.4</v>
      </c>
      <c r="G143" s="55" t="n">
        <v>7816</v>
      </c>
      <c r="H143" s="57" t="n">
        <v>389</v>
      </c>
      <c r="I143" s="55" t="n">
        <v>637</v>
      </c>
      <c r="J143" s="56" t="n">
        <v>4</v>
      </c>
      <c r="K143" s="56" t="inlineStr">
        <is>
          <t>https://amazon.com/dp/B0B452YDWT</t>
        </is>
      </c>
      <c r="L143" s="34">
        <f>HYPERLINK(Table65[[#This Row],[Column1]])</f>
        <v/>
      </c>
    </row>
    <row r="144" ht="45" customHeight="1" s="290">
      <c r="A144" s="30" t="inlineStr">
        <is>
          <t>ANCEL Protective Case Storage Bag for OBD2 Scanner Code Reader Diagnostic Scan Tool Battery Tester</t>
        </is>
      </c>
      <c r="B144" s="30" t="inlineStr">
        <is>
          <t>B07B49PHXD</t>
        </is>
      </c>
      <c r="C144" s="30" t="inlineStr">
        <is>
          <t>Other</t>
        </is>
      </c>
      <c r="D144" s="324" t="n">
        <v>20.49767195767196</v>
      </c>
      <c r="E144" s="53" t="n">
        <v>114324.2723076923</v>
      </c>
      <c r="F144" s="53" t="n">
        <v>7748.12</v>
      </c>
      <c r="G144" s="55" t="n">
        <v>4288</v>
      </c>
      <c r="H144" s="57" t="n">
        <v>378</v>
      </c>
      <c r="I144" s="55" t="n">
        <v>4095</v>
      </c>
      <c r="J144" s="56" t="n">
        <v>4.6</v>
      </c>
      <c r="K144" s="56" t="inlineStr">
        <is>
          <t>https://amazon.com/dp/B07B49PHXD</t>
        </is>
      </c>
      <c r="L144" s="34">
        <f>HYPERLINK(Table65[[#This Row],[Column1]])</f>
        <v/>
      </c>
    </row>
    <row r="145" ht="45" customHeight="1" s="290">
      <c r="A145" s="30" t="inlineStr">
        <is>
          <t>ANCEL X7HD 10'' Heavy Duty Truck Scanner, Semi Trucks Full System Diagnostic Tool, Bidirectional Diesel Scan Tool with DPF, ECU Coding, 40+ Reset for Cummins, Detroit, Caterpillar, Volvo, Paccar etc</t>
        </is>
      </c>
      <c r="B145" s="30" t="inlineStr">
        <is>
          <t>B0BZ82WQ4Q</t>
        </is>
      </c>
      <c r="C145" s="30" t="inlineStr">
        <is>
          <t>Tablet</t>
        </is>
      </c>
      <c r="D145" s="324" t="n">
        <v>774.4419436619719</v>
      </c>
      <c r="E145" s="53" t="n">
        <v>2419729.51</v>
      </c>
      <c r="F145" s="53" t="n">
        <v>274926.89</v>
      </c>
      <c r="G145" s="55" t="n">
        <v>2988</v>
      </c>
      <c r="H145" s="57" t="n">
        <v>355</v>
      </c>
      <c r="I145" s="55" t="n">
        <v>786</v>
      </c>
      <c r="J145" s="56" t="n">
        <v>3.8</v>
      </c>
      <c r="K145" s="56" t="inlineStr">
        <is>
          <t>https://amazon.com/dp/B0BZ82WQ4Q</t>
        </is>
      </c>
      <c r="L145" s="34">
        <f>HYPERLINK(Table65[[#This Row],[Column1]])</f>
        <v/>
      </c>
    </row>
    <row r="146" ht="60" customHeight="1" s="290">
      <c r="A146" s="30" t="inlineStr">
        <is>
          <t>ANCEL HD110 Heavy Duty Truck Scanner with DPF Regen and Reset for Detroit Paccar Engine, Full System HDOBD &amp; OBD2 Scanner for Diesel Trucks Lifetime Free Updates</t>
        </is>
      </c>
      <c r="B146" s="30" t="inlineStr">
        <is>
          <t>B0D3F2953F</t>
        </is>
      </c>
      <c r="C146" s="30" t="inlineStr">
        <is>
          <t>Cable/Adapter</t>
        </is>
      </c>
      <c r="D146" s="324" t="n">
        <v>184.2611842105263</v>
      </c>
      <c r="E146" s="53" t="n">
        <v>606451.5900000001</v>
      </c>
      <c r="F146" s="53" t="n">
        <v>56015.4</v>
      </c>
      <c r="G146" s="55" t="n">
        <v>3429</v>
      </c>
      <c r="H146" s="57" t="n">
        <v>304</v>
      </c>
      <c r="I146" s="55" t="n">
        <v>185</v>
      </c>
      <c r="J146" s="56" t="n">
        <v>4.2</v>
      </c>
      <c r="K146" s="56" t="inlineStr">
        <is>
          <t>https://amazon.com/dp/B0D3F2953F</t>
        </is>
      </c>
      <c r="L146" s="34">
        <f>HYPERLINK(Table65[[#This Row],[Column1]])</f>
        <v/>
      </c>
    </row>
    <row r="147" ht="45" customHeight="1" s="290">
      <c r="A147" s="30" t="inlineStr">
        <is>
          <t>ANCEL FX6100 Car Bidirectional Scan Tool, Full System OBD2 Scanner Diagnostic Tool for All Vehicles, Updates Included, AutoVIN, Active Test, ABS SRS TPMS Transmission EPB Oil Fault Code Read Reset</t>
        </is>
      </c>
      <c r="B147" s="30" t="inlineStr">
        <is>
          <t>B0F38JZ2PR</t>
        </is>
      </c>
      <c r="C147" s="30" t="inlineStr">
        <is>
          <t>Tablet</t>
        </is>
      </c>
      <c r="D147" s="324" t="n">
        <v>388.6911363636364</v>
      </c>
      <c r="E147" s="53" t="n">
        <v>943111.9000000001</v>
      </c>
      <c r="F147" s="53" t="n">
        <v>85512.05</v>
      </c>
      <c r="G147" s="55" t="n">
        <v>2722</v>
      </c>
      <c r="H147" s="57" t="n">
        <v>220</v>
      </c>
      <c r="I147" s="55" t="n">
        <v>277</v>
      </c>
      <c r="J147" s="56" t="n">
        <v>4.3</v>
      </c>
      <c r="K147" s="56" t="inlineStr">
        <is>
          <t>https://amazon.com/dp/B0F38JZ2PR</t>
        </is>
      </c>
      <c r="L147" s="34">
        <f>HYPERLINK(Table65[[#This Row],[Column1]])</f>
        <v/>
      </c>
    </row>
    <row r="148" ht="45" customHeight="1" s="290">
      <c r="A148" s="30" t="inlineStr">
        <is>
          <t>ANCEL HD100 Heavy Duty Truck Scanner with DPF Regen for Cummins &amp; CAT Engines, Bluetooth Diesel Diagnostic Tool with All-System Scan, HDOBD &amp; OBD2 Code Reader for Semi Trucks, Lifetime Free Updates</t>
        </is>
      </c>
      <c r="B148" s="30" t="inlineStr">
        <is>
          <t>B0CQ4V8X9L</t>
        </is>
      </c>
      <c r="C148" s="30" t="inlineStr">
        <is>
          <t>Dongle</t>
        </is>
      </c>
      <c r="D148" s="324" t="n">
        <v>174.25896373057</v>
      </c>
      <c r="E148" s="53" t="n">
        <v>331337.22</v>
      </c>
      <c r="F148" s="53" t="n">
        <v>33631.98</v>
      </c>
      <c r="G148" s="55" t="n">
        <v>1796</v>
      </c>
      <c r="H148" s="57" t="n">
        <v>193</v>
      </c>
      <c r="I148" s="55" t="n">
        <v>186</v>
      </c>
      <c r="J148" s="56" t="n">
        <v>4.2</v>
      </c>
      <c r="K148" s="56" t="inlineStr">
        <is>
          <t>https://amazon.com/dp/B0CQ4V8X9L</t>
        </is>
      </c>
      <c r="L148" s="34">
        <f>HYPERLINK(Table65[[#This Row],[Column1]])</f>
        <v/>
      </c>
    </row>
    <row r="149" ht="45" customHeight="1" s="290">
      <c r="A149" s="30" t="inlineStr">
        <is>
          <t>ANCEL HD3400 Pro Heavy Duty Truck Scanner | DPF Regeneration, Lifetime Free Update, Compatible with Commercial Vehicles with Cummins, Paccar, Caterpillar, Detroit, Volvo, Mack, International Engines</t>
        </is>
      </c>
      <c r="B149" s="30" t="inlineStr">
        <is>
          <t>B09R3L5BP2</t>
        </is>
      </c>
      <c r="C149" s="30" t="inlineStr">
        <is>
          <t>Tablet</t>
        </is>
      </c>
      <c r="D149" s="324" t="n">
        <v>442.0604712041885</v>
      </c>
      <c r="E149" s="53" t="n">
        <v>1018901.241538462</v>
      </c>
      <c r="F149" s="53" t="n">
        <v>84433.55</v>
      </c>
      <c r="G149" s="55" t="n">
        <v>2005</v>
      </c>
      <c r="H149" s="57" t="n">
        <v>191</v>
      </c>
      <c r="I149" s="55" t="n">
        <v>554</v>
      </c>
      <c r="J149" s="56" t="n">
        <v>4.1</v>
      </c>
      <c r="K149" s="56" t="inlineStr">
        <is>
          <t>https://amazon.com/dp/B09R3L5BP2</t>
        </is>
      </c>
      <c r="L149" s="34">
        <f>HYPERLINK(Table65[[#This Row],[Column1]])</f>
        <v/>
      </c>
    </row>
    <row r="150" ht="45" customHeight="1" s="290">
      <c r="A150" s="30" t="inlineStr">
        <is>
          <t>ANCEL DS500BT Bidirectional Scan Tool, Full-System Automotive Diagnostic Scanner with 28+ Services, Injector Coding, DPF/Brake/BMS/Oil/Gear/Throttle Functions, CAN FD Support, Lifetime Free Updates</t>
        </is>
      </c>
      <c r="B150" s="30" t="inlineStr">
        <is>
          <t>B0FN4JHLY7</t>
        </is>
      </c>
      <c r="C150" s="30" t="inlineStr">
        <is>
          <t>Tablet</t>
        </is>
      </c>
      <c r="D150" s="324" t="n">
        <v>558.973670212766</v>
      </c>
      <c r="E150" s="53" t="n">
        <v>1172184.424615385</v>
      </c>
      <c r="F150" s="53" t="n">
        <v>105087.05</v>
      </c>
      <c r="G150" s="55" t="n">
        <v>1158</v>
      </c>
      <c r="H150" s="57" t="n">
        <v>188</v>
      </c>
      <c r="I150" s="55" t="n">
        <v>1057</v>
      </c>
      <c r="J150" s="56" t="n">
        <v>4.5</v>
      </c>
      <c r="K150" s="56" t="inlineStr">
        <is>
          <t>https://amazon.com/dp/B0FN4JHLY7</t>
        </is>
      </c>
      <c r="L150" s="34">
        <f>HYPERLINK(Table65[[#This Row],[Column1]])</f>
        <v/>
      </c>
    </row>
    <row r="151" ht="45" customHeight="1" s="290">
      <c r="A151" s="30" t="inlineStr">
        <is>
          <t>ANCEL DS200 Full System OBD2 Scanner with 15+ Reset Services - Oil/BMS/Brake Reset, DPF Regen, Injector Coding, ABS Bleeding, Free Lifetime Updates, Online Customer Service</t>
        </is>
      </c>
      <c r="B151" s="30" t="inlineStr">
        <is>
          <t>B0DHX29NMC</t>
        </is>
      </c>
      <c r="C151" s="30" t="inlineStr">
        <is>
          <t>Tablet</t>
        </is>
      </c>
      <c r="D151" s="324" t="n">
        <v>294.6341208791209</v>
      </c>
      <c r="E151" s="53" t="n">
        <v>727570.77</v>
      </c>
      <c r="F151" s="53" t="n">
        <v>53623.41</v>
      </c>
      <c r="G151" s="55" t="n">
        <v>2604</v>
      </c>
      <c r="H151" s="57" t="n">
        <v>182</v>
      </c>
      <c r="I151" s="55" t="n">
        <v>209</v>
      </c>
      <c r="J151" s="56" t="n">
        <v>4.3</v>
      </c>
      <c r="K151" s="56" t="inlineStr">
        <is>
          <t>https://amazon.com/dp/B0DHX29NMC</t>
        </is>
      </c>
      <c r="L151" s="34">
        <f>HYPERLINK(Table65[[#This Row],[Column1]])</f>
        <v/>
      </c>
    </row>
    <row r="152" ht="45" customHeight="1" s="290">
      <c r="A152" s="30" t="inlineStr">
        <is>
          <t>ANCEL DS100 OBD2 Scanner: Fix Check Engine, ABS, SRS &amp; Transmission Issues with 7 Resets (Oil/Brake/BMS/SAS/ABS Bleeding/Throttle/Gear Learning), Lifetime Updates, Code Reader for All Cars 1996+</t>
        </is>
      </c>
      <c r="B152" s="30" t="inlineStr">
        <is>
          <t>B0DHX8FFVR</t>
        </is>
      </c>
      <c r="C152" s="30" t="inlineStr">
        <is>
          <t>Tablet</t>
        </is>
      </c>
      <c r="D152" s="324" t="n">
        <v>210.3632960893855</v>
      </c>
      <c r="E152" s="53" t="n">
        <v>812948.8500000001</v>
      </c>
      <c r="F152" s="53" t="n">
        <v>37655.03</v>
      </c>
      <c r="G152" s="55" t="n">
        <v>4407</v>
      </c>
      <c r="H152" s="57" t="n">
        <v>179</v>
      </c>
      <c r="I152" s="55" t="n">
        <v>376</v>
      </c>
      <c r="J152" s="56" t="n">
        <v>4.4</v>
      </c>
      <c r="K152" s="56" t="inlineStr">
        <is>
          <t>https://amazon.com/dp/B0DHX8FFVR</t>
        </is>
      </c>
      <c r="L152" s="34">
        <f>HYPERLINK(Table65[[#This Row],[Column1]])</f>
        <v/>
      </c>
    </row>
    <row r="153" ht="60" customHeight="1" s="290">
      <c r="A153" s="30" t="inlineStr">
        <is>
          <t>ANCEL OBD2 Scanner Extension Cable 2ft/0.65m, 16 Pin OBD 2 OBDII Car Scan Tool Male to Female Extender Cord Adapter for All OBD2 Vehicles</t>
        </is>
      </c>
      <c r="B153" s="30" t="inlineStr">
        <is>
          <t>B0DS56LD3K</t>
        </is>
      </c>
      <c r="C153" s="30" t="inlineStr">
        <is>
          <t>Handheld</t>
        </is>
      </c>
      <c r="D153" s="324" t="n">
        <v>15.92738562091503</v>
      </c>
      <c r="E153" s="53" t="n">
        <v>14260.21076923077</v>
      </c>
      <c r="F153" s="53" t="n">
        <v>2436.89</v>
      </c>
      <c r="G153" s="55" t="n">
        <v>539</v>
      </c>
      <c r="H153" s="57" t="n">
        <v>153</v>
      </c>
      <c r="I153" s="55" t="n">
        <v>36</v>
      </c>
      <c r="J153" s="56" t="n">
        <v>4.6</v>
      </c>
      <c r="K153" s="56" t="inlineStr">
        <is>
          <t>https://amazon.com/dp/B0DS56LD3K</t>
        </is>
      </c>
      <c r="L153" s="34">
        <f>HYPERLINK(Table65[[#This Row],[Column1]])</f>
        <v/>
      </c>
    </row>
    <row r="154" ht="45" customHeight="1" s="290">
      <c r="A154" s="30" t="inlineStr">
        <is>
          <t>ANCEL VD700 OBD2 Diagnostic Code Reader Scan Tool Fit for Volkswagen Audi VW Skoda Seat, All Functions OBD11 Scanner for VAG Vehicles with Battery Registration EPB Reset (Upgraded VD500)</t>
        </is>
      </c>
      <c r="B154" s="30" t="inlineStr">
        <is>
          <t>B07WD9B7GR</t>
        </is>
      </c>
      <c r="C154" s="30" t="inlineStr">
        <is>
          <t>Handheld</t>
        </is>
      </c>
      <c r="D154" s="324" t="n">
        <v>145.5480952380952</v>
      </c>
      <c r="E154" s="53" t="n">
        <v>788081.71</v>
      </c>
      <c r="F154" s="53" t="n">
        <v>21395.57</v>
      </c>
      <c r="G154" s="55" t="n">
        <v>5726</v>
      </c>
      <c r="H154" s="57" t="n">
        <v>147</v>
      </c>
      <c r="I154" s="55" t="n">
        <v>1709</v>
      </c>
      <c r="J154" s="56" t="n">
        <v>4.4</v>
      </c>
      <c r="K154" s="56" t="inlineStr">
        <is>
          <t>https://amazon.com/dp/B07WD9B7GR</t>
        </is>
      </c>
      <c r="L154" s="34">
        <f>HYPERLINK(Table65[[#This Row],[Column1]])</f>
        <v/>
      </c>
    </row>
    <row r="155" ht="45" customHeight="1" s="290">
      <c r="A155" s="30" t="inlineStr">
        <is>
          <t>ANCEL DS500 Elite Bidirectional Scan Tool, Full System Car Diagnostic Scanner with 28+ Services, Injector Coding, Active Test, ABS Bleeding Throttle BMS TPMS Reset, CAN-FD, FCA, Lifetime Free Update</t>
        </is>
      </c>
      <c r="B155" s="30" t="inlineStr">
        <is>
          <t>B0FVFQCJ41</t>
        </is>
      </c>
      <c r="C155" s="30" t="inlineStr">
        <is>
          <t>Tablet</t>
        </is>
      </c>
      <c r="D155" s="324" t="n">
        <v>476.8873015873016</v>
      </c>
      <c r="E155" s="53" t="n">
        <v>623999.630769231</v>
      </c>
      <c r="F155" s="53" t="n">
        <v>60087.8</v>
      </c>
      <c r="G155" s="55" t="n">
        <v>524</v>
      </c>
      <c r="H155" s="57" t="n">
        <v>126</v>
      </c>
      <c r="I155" s="55" t="n">
        <v>277</v>
      </c>
      <c r="J155" s="56" t="n">
        <v>4.3</v>
      </c>
      <c r="K155" s="56" t="inlineStr">
        <is>
          <t>https://amazon.com/dp/B0FVFQCJ41</t>
        </is>
      </c>
      <c r="L155" s="34">
        <f>HYPERLINK(Table65[[#This Row],[Column1]])</f>
        <v/>
      </c>
    </row>
    <row r="156" ht="45" customHeight="1" s="290">
      <c r="A156" s="30" t="inlineStr">
        <is>
          <t>ANCEL HD430 Heavy Duty Truck Scanner, DPF Reset &amp; Forced Regeneration for Cummins &amp; Caterpillar Engine, Full System HDOBD Diesel Scanner OBD2 Diagnostic Scan Tool Code Reader for Diesel Trucks &amp; Cars</t>
        </is>
      </c>
      <c r="B156" s="30" t="inlineStr">
        <is>
          <t>B0DBH27CQS</t>
        </is>
      </c>
      <c r="C156" s="30" t="inlineStr">
        <is>
          <t>Tablet</t>
        </is>
      </c>
      <c r="D156" s="324" t="n">
        <v>259.872735042735</v>
      </c>
      <c r="E156" s="53" t="n">
        <v>585727.41</v>
      </c>
      <c r="F156" s="53" t="n">
        <v>30405.11</v>
      </c>
      <c r="G156" s="55" t="n">
        <v>2127</v>
      </c>
      <c r="H156" s="57" t="n">
        <v>117</v>
      </c>
      <c r="I156" s="55" t="n">
        <v>640</v>
      </c>
      <c r="J156" s="56" t="n">
        <v>4</v>
      </c>
      <c r="K156" s="56" t="inlineStr">
        <is>
          <t>https://amazon.com/dp/B0DBH27CQS</t>
        </is>
      </c>
      <c r="L156" s="34">
        <f>HYPERLINK(Table65[[#This Row],[Column1]])</f>
        <v/>
      </c>
    </row>
    <row r="157" ht="45" customHeight="1" s="290">
      <c r="A157" s="30" t="inlineStr">
        <is>
          <t>ANCEL BM700 PRO Fit for BMW Scanner - Battery Registration Tool, Code Reader for BMW/Mini/RR, Advanced OBD2 Scanner Auto V-I-N, Full System Diagnostic for BMW Scan Tool with All Reset Services (Blue)</t>
        </is>
      </c>
      <c r="B157" s="30" t="inlineStr">
        <is>
          <t>B0F7R3JGYM</t>
        </is>
      </c>
      <c r="C157" s="30" t="inlineStr">
        <is>
          <t>Handheld</t>
        </is>
      </c>
      <c r="D157" s="324" t="n">
        <v>143.8791509433962</v>
      </c>
      <c r="E157" s="53" t="n">
        <v>528191.4046153846</v>
      </c>
      <c r="F157" s="53" t="n">
        <v>15251.19</v>
      </c>
      <c r="G157" s="55" t="n">
        <v>3313</v>
      </c>
      <c r="H157" s="57" t="n">
        <v>106</v>
      </c>
      <c r="I157" s="55" t="n">
        <v>2228</v>
      </c>
      <c r="J157" s="56" t="n">
        <v>4.5</v>
      </c>
      <c r="K157" s="56" t="inlineStr">
        <is>
          <t>https://amazon.com/dp/B0F7R3JGYM</t>
        </is>
      </c>
      <c r="L157" s="34">
        <f>HYPERLINK(Table65[[#This Row],[Column1]])</f>
        <v/>
      </c>
    </row>
    <row r="158" ht="45" customHeight="1" s="290">
      <c r="A158" s="30" t="inlineStr">
        <is>
          <t>ANCEL AD530 PRO 2 in 1 OBD2 Scanner &amp; Car Battery Tester, Car Scanner Diagnostic Tool with Live Data, 12V Battery Tester with Charging &amp; Cranking Test, Check Engine Code Reader for 1996+ Vehicles</t>
        </is>
      </c>
      <c r="B158" s="30" t="inlineStr">
        <is>
          <t>B0D6R66XZ5</t>
        </is>
      </c>
      <c r="C158" s="30" t="inlineStr">
        <is>
          <t>Handheld</t>
        </is>
      </c>
      <c r="D158" s="324" t="n">
        <v>86.90604166666667</v>
      </c>
      <c r="E158" s="53" t="n">
        <v>125047.7523076923</v>
      </c>
      <c r="F158" s="53" t="n">
        <v>8342.98</v>
      </c>
      <c r="G158" s="55" t="n">
        <v>1213</v>
      </c>
      <c r="H158" s="57" t="n">
        <v>96</v>
      </c>
      <c r="I158" s="55" t="n">
        <v>162</v>
      </c>
      <c r="J158" s="56" t="n">
        <v>4.6</v>
      </c>
      <c r="K158" s="56" t="inlineStr">
        <is>
          <t>https://amazon.com/dp/B0D6R66XZ5</t>
        </is>
      </c>
      <c r="L158" s="34">
        <f>HYPERLINK(Table65[[#This Row],[Column1]])</f>
        <v/>
      </c>
    </row>
    <row r="159" ht="45" customHeight="1" s="290">
      <c r="A159" s="30" t="inlineStr">
        <is>
          <t>ANCEL FD500 OBD2 Scanner fits for Ford Lincoln Mercury - All Systems Code Reader with Engine, ABS, SRS, Transmission, 4WD Diagnostics - Scan Tool with EPB, Throttle, Oil Reset, Battery Registration</t>
        </is>
      </c>
      <c r="B159" s="30" t="inlineStr">
        <is>
          <t>B08F7XXLW8</t>
        </is>
      </c>
      <c r="C159" s="30" t="inlineStr">
        <is>
          <t>Handheld</t>
        </is>
      </c>
      <c r="D159" s="324" t="n">
        <v>105.3228723404255</v>
      </c>
      <c r="E159" s="53" t="n">
        <v>128512.7975</v>
      </c>
      <c r="F159" s="53" t="n">
        <v>9900.35</v>
      </c>
      <c r="G159" s="55" t="n">
        <v>1327</v>
      </c>
      <c r="H159" s="57" t="n">
        <v>94</v>
      </c>
      <c r="I159" s="55" t="n">
        <v>551</v>
      </c>
      <c r="J159" s="56" t="n">
        <v>4.1</v>
      </c>
      <c r="K159" s="56" t="inlineStr">
        <is>
          <t>https://amazon.com/dp/B08F7XXLW8</t>
        </is>
      </c>
      <c r="L159" s="34">
        <f>HYPERLINK(Table65[[#This Row],[Column1]])</f>
        <v/>
      </c>
    </row>
    <row r="160" ht="45" customHeight="1" s="290">
      <c r="A160" s="30" t="inlineStr">
        <is>
          <t>ANCEL HD3600 Heavy Equipment Diagnostic Tool with D-P-F Regen, Full System Heavy Duty Truck Scanner Machinery Scanner Diesel Code Reader Fit for Cummins, Caterpillar, John Deere, Komatsu, Yanmar&amp;Case</t>
        </is>
      </c>
      <c r="B160" s="30" t="inlineStr">
        <is>
          <t>B0B1LD8663</t>
        </is>
      </c>
      <c r="C160" s="30" t="inlineStr">
        <is>
          <t>Tablet</t>
        </is>
      </c>
      <c r="D160" s="324" t="n">
        <v>494.7513829787234</v>
      </c>
      <c r="E160" s="53" t="n">
        <v>449699.31</v>
      </c>
      <c r="F160" s="53" t="n">
        <v>46506.63</v>
      </c>
      <c r="G160" s="55" t="n">
        <v>937</v>
      </c>
      <c r="H160" s="57" t="n">
        <v>94</v>
      </c>
      <c r="I160" s="55" t="n">
        <v>348</v>
      </c>
      <c r="J160" s="56" t="n">
        <v>3.9</v>
      </c>
      <c r="K160" s="56" t="inlineStr">
        <is>
          <t>https://amazon.com/dp/B0B1LD8663</t>
        </is>
      </c>
      <c r="L160" s="34">
        <f>HYPERLINK(Table65[[#This Row],[Column1]])</f>
        <v/>
      </c>
    </row>
    <row r="161" ht="60" customHeight="1" s="290">
      <c r="A161" s="30" t="inlineStr">
        <is>
          <t>ANCEL HD431 Heavy Duty Truck Scanner, DPF Regen &amp; Forced Reset for Paccar &amp; Detroit Engines, Full System Diagnostics Diesel Code Reader, Professional OBD2/HDOBD Mechanic Tool for Commercial Vehicles</t>
        </is>
      </c>
      <c r="B161" s="30" t="inlineStr">
        <is>
          <t>B0DB86T5F5</t>
        </is>
      </c>
      <c r="C161" s="30" t="inlineStr">
        <is>
          <t>Tablet</t>
        </is>
      </c>
      <c r="D161" s="324" t="n">
        <v>282.1613483146068</v>
      </c>
      <c r="E161" s="53" t="n">
        <v>190530.94</v>
      </c>
      <c r="F161" s="53" t="n">
        <v>25112.36</v>
      </c>
      <c r="G161" s="55" t="n">
        <v>655</v>
      </c>
      <c r="H161" s="57" t="n">
        <v>89</v>
      </c>
      <c r="I161" s="55" t="n">
        <v>197</v>
      </c>
      <c r="J161" s="56" t="n">
        <v>4.3</v>
      </c>
      <c r="K161" s="56" t="inlineStr">
        <is>
          <t>https://amazon.com/dp/B0DB86T5F5</t>
        </is>
      </c>
      <c r="L161" s="34">
        <f>HYPERLINK(Table65[[#This Row],[Column1]])</f>
        <v/>
      </c>
    </row>
    <row r="162" ht="45" customHeight="1" s="290">
      <c r="A162" s="30" t="inlineStr">
        <is>
          <t>ANCEL AD310BT Enhanced Bluetooth OBD2 Scanner, 2-in-1 Car Engine Fault Code Reader for iPhone &amp; Android, Battery Test, Trip Analysis, Performance Test, Car Diagnostic Scan Tool for All Vehicles 1996+</t>
        </is>
      </c>
      <c r="B162" s="30" t="inlineStr">
        <is>
          <t>B0CR42ZB1T</t>
        </is>
      </c>
      <c r="C162" s="30" t="inlineStr">
        <is>
          <t>Handheld</t>
        </is>
      </c>
      <c r="D162" s="324" t="n">
        <v>49.74735632183909</v>
      </c>
      <c r="E162" s="53" t="n">
        <v>111842.72</v>
      </c>
      <c r="F162" s="53" t="n">
        <v>4328.02</v>
      </c>
      <c r="G162" s="55" t="n">
        <v>2374</v>
      </c>
      <c r="H162" s="57" t="n">
        <v>87</v>
      </c>
      <c r="I162" s="55" t="n">
        <v>144</v>
      </c>
      <c r="J162" s="56" t="n">
        <v>4.5</v>
      </c>
      <c r="K162" s="56" t="inlineStr">
        <is>
          <t>https://amazon.com/dp/B0CR42ZB1T</t>
        </is>
      </c>
      <c r="L162" s="34">
        <f>HYPERLINK(Table65[[#This Row],[Column1]])</f>
        <v/>
      </c>
    </row>
    <row r="163" ht="45" customHeight="1" s="290">
      <c r="A163" s="30" t="inlineStr">
        <is>
          <t>ANCEL OBD2 Scanner Extension Cable 3.3ft/1m, 16 Pin OBDII OBD2 Male to Female Extender Cord, OBD2 Diagnostic Extender Connector for All OBD2 Vehicles</t>
        </is>
      </c>
      <c r="B163" s="30" t="inlineStr">
        <is>
          <t>B0DS453BBG</t>
        </is>
      </c>
      <c r="C163" s="30" t="inlineStr">
        <is>
          <t>Cable/Adapter</t>
        </is>
      </c>
      <c r="D163" s="324" t="n">
        <v>16.04913580246913</v>
      </c>
      <c r="E163" s="53" t="n">
        <v>14492.46153846154</v>
      </c>
      <c r="F163" s="53" t="n">
        <v>1299.98</v>
      </c>
      <c r="G163" s="55" t="n">
        <v>989</v>
      </c>
      <c r="H163" s="57" t="n">
        <v>81</v>
      </c>
      <c r="I163" s="55" t="n">
        <v>36</v>
      </c>
      <c r="J163" s="56" t="n">
        <v>4.6</v>
      </c>
      <c r="K163" s="56" t="inlineStr">
        <is>
          <t>https://amazon.com/dp/B0DS453BBG</t>
        </is>
      </c>
      <c r="L163" s="34">
        <f>HYPERLINK(Table65[[#This Row],[Column1]])</f>
        <v/>
      </c>
    </row>
    <row r="164" ht="45" customHeight="1" s="290">
      <c r="A164" s="30" t="inlineStr">
        <is>
          <t>ANCEL HD7000 Elite 7" Heavy Duty Truck Scanner with DPF Regen, Speed/Idle Adjustment, Service Reset, Diagnostic Tool for Cummins Detroit CAT Volvo Paccar Mack International, Lifetime Free Updates</t>
        </is>
      </c>
      <c r="B164" s="30" t="inlineStr">
        <is>
          <t>B0FP9BMYKG</t>
        </is>
      </c>
      <c r="C164" s="30" t="inlineStr">
        <is>
          <t>Tablet</t>
        </is>
      </c>
      <c r="D164" s="324" t="n">
        <v>510.95275</v>
      </c>
      <c r="E164" s="53" t="n">
        <v>486296.9776923078</v>
      </c>
      <c r="F164" s="53" t="n">
        <v>40876.22</v>
      </c>
      <c r="G164" s="55" t="n">
        <v>418</v>
      </c>
      <c r="H164" s="57" t="n">
        <v>80</v>
      </c>
      <c r="I164" s="55" t="n">
        <v>77</v>
      </c>
      <c r="J164" s="56" t="n">
        <v>3.5</v>
      </c>
      <c r="K164" s="56" t="inlineStr">
        <is>
          <t>https://amazon.com/dp/B0FP9BMYKG</t>
        </is>
      </c>
      <c r="L164" s="34">
        <f>HYPERLINK(Table65[[#This Row],[Column1]])</f>
        <v/>
      </c>
    </row>
    <row r="165" ht="45" customHeight="1" s="290">
      <c r="A165" s="30" t="inlineStr">
        <is>
          <t>ANCEL FD700 Ford Lincoln Mercury OBD2 Scanner, Full System Automotive Car Code Reader with All Functions, Including Battery Registration ABS SRS SAS BMS Oil Reset TPMS Engine IQA EPB Regen</t>
        </is>
      </c>
      <c r="B165" s="30" t="inlineStr">
        <is>
          <t>B08DQV1G7S</t>
        </is>
      </c>
      <c r="C165" s="30" t="inlineStr">
        <is>
          <t>Handheld</t>
        </is>
      </c>
      <c r="D165" s="324" t="n">
        <v>121.2924675324675</v>
      </c>
      <c r="E165" s="53" t="n">
        <v>44434.83538461538</v>
      </c>
      <c r="F165" s="53" t="n">
        <v>9339.52</v>
      </c>
      <c r="G165" s="55" t="n">
        <v>280</v>
      </c>
      <c r="H165" s="57" t="n">
        <v>77</v>
      </c>
      <c r="I165" s="55" t="n">
        <v>243</v>
      </c>
      <c r="J165" s="56" t="n">
        <v>4.4</v>
      </c>
      <c r="K165" s="56" t="inlineStr">
        <is>
          <t>https://amazon.com/dp/B08DQV1G7S</t>
        </is>
      </c>
      <c r="L165" s="34">
        <f>HYPERLINK(Table65[[#This Row],[Column1]])</f>
        <v/>
      </c>
    </row>
    <row r="166" ht="45" customHeight="1" s="290">
      <c r="A166" s="30" t="inlineStr">
        <is>
          <t>ANCEL Protective Case Storage Bag for OBD2 Scanner FX2000 FX6000, Code Reader AD530 VD500 BM700, Battery Tester BST200 BM200 BA301, Professional Waterproof Shockproof Carry Box with Zipper(Case Only)</t>
        </is>
      </c>
      <c r="B166" s="30" t="inlineStr">
        <is>
          <t>B08BNFSTTC</t>
        </is>
      </c>
      <c r="C166" s="30" t="inlineStr">
        <is>
          <t>Other</t>
        </is>
      </c>
      <c r="D166" s="324" t="n">
        <v>25</v>
      </c>
      <c r="E166" s="53" t="n">
        <v>26387.62</v>
      </c>
      <c r="F166" s="53" t="n">
        <v>1850</v>
      </c>
      <c r="G166" s="55" t="n">
        <v>1137</v>
      </c>
      <c r="H166" s="57" t="n">
        <v>74</v>
      </c>
      <c r="I166" s="55" t="n">
        <v>75</v>
      </c>
      <c r="J166" s="56" t="n">
        <v>4.2</v>
      </c>
      <c r="K166" s="56" t="inlineStr">
        <is>
          <t>https://amazon.com/dp/B08BNFSTTC</t>
        </is>
      </c>
      <c r="L166" s="34">
        <f>HYPERLINK(Table65[[#This Row],[Column1]])</f>
        <v/>
      </c>
    </row>
    <row r="167" ht="45" customHeight="1" s="290">
      <c r="A167" s="30" t="inlineStr">
        <is>
          <t>(Upgraded BD310) ANCEL BD330 Fit for BMW OBD2 Scanner – Battery Registration Tool, Code Reader for BMW/Mini/RR, BMW Diagnostic Scan Tool with Full System Diagnostics &amp; Free EPB/Oil/Throttle Resets</t>
        </is>
      </c>
      <c r="B167" s="30" t="inlineStr">
        <is>
          <t>B0CT39TV55</t>
        </is>
      </c>
      <c r="C167" s="30" t="inlineStr">
        <is>
          <t>Handheld</t>
        </is>
      </c>
      <c r="D167" s="324" t="n">
        <v>83.81848484848486</v>
      </c>
      <c r="E167" s="53" t="n">
        <v>55299.73000000001</v>
      </c>
      <c r="F167" s="53" t="n">
        <v>5532.02</v>
      </c>
      <c r="G167" s="55" t="n">
        <v>585</v>
      </c>
      <c r="H167" s="57" t="n">
        <v>66</v>
      </c>
      <c r="I167" s="55" t="n">
        <v>1575</v>
      </c>
      <c r="J167" s="56" t="n">
        <v>4.4</v>
      </c>
      <c r="K167" s="56" t="inlineStr">
        <is>
          <t>https://amazon.com/dp/B0CT39TV55</t>
        </is>
      </c>
      <c r="L167" s="34">
        <f>HYPERLINK(Table65[[#This Row],[Column1]])</f>
        <v/>
      </c>
    </row>
    <row r="168" ht="45" customHeight="1" s="290">
      <c r="A168" s="30" t="inlineStr">
        <is>
          <t>ANCEL Heavy Duty Truck Scanner HD601 All System Diesel Diagnostic Scan Tool fits for Cummins, Detroit, Freightliner, International, Paccar, Check Engine for Truck &amp; Car 2 in 1 Code Reader (Gray)</t>
        </is>
      </c>
      <c r="B168" s="30" t="inlineStr">
        <is>
          <t>B0G2XHXW61</t>
        </is>
      </c>
      <c r="C168" s="30" t="inlineStr">
        <is>
          <t>Handheld</t>
        </is>
      </c>
      <c r="D168" s="324" t="n">
        <v>169.2532307692308</v>
      </c>
      <c r="E168" s="53" t="n">
        <v>122708.5923076923</v>
      </c>
      <c r="F168" s="53" t="n">
        <v>11001.46</v>
      </c>
      <c r="G168" s="55" t="n">
        <v>65</v>
      </c>
      <c r="H168" s="57" t="n">
        <v>65</v>
      </c>
      <c r="I168" s="55" t="n">
        <v>640</v>
      </c>
      <c r="J168" s="56" t="n">
        <v>4</v>
      </c>
      <c r="K168" s="56" t="inlineStr">
        <is>
          <t>https://amazon.com/dp/B0G2XHXW61</t>
        </is>
      </c>
      <c r="L168" s="34">
        <f>HYPERLINK(Table65[[#This Row],[Column1]])</f>
        <v/>
      </c>
    </row>
    <row r="169" ht="45" customHeight="1" s="290">
      <c r="A169" s="30" t="inlineStr">
        <is>
          <t>ANCEL Large Protective Case for OBD2 Scanner and Code Reader, Diagnostic Scan Tool Battery Tester, Storage Box (L) Compatible with ANCEL Products</t>
        </is>
      </c>
      <c r="B169" s="30" t="inlineStr">
        <is>
          <t>B08B13BQK6</t>
        </is>
      </c>
      <c r="C169" s="30" t="inlineStr">
        <is>
          <t>Other</t>
        </is>
      </c>
      <c r="D169" s="324" t="n">
        <v>22.121875</v>
      </c>
      <c r="E169" s="53" t="n">
        <v>30072.46461538462</v>
      </c>
      <c r="F169" s="53" t="n">
        <v>1415.8</v>
      </c>
      <c r="G169" s="55" t="n">
        <v>1374</v>
      </c>
      <c r="H169" s="57" t="n">
        <v>64</v>
      </c>
      <c r="I169" s="55" t="n">
        <v>1072</v>
      </c>
      <c r="J169" s="56" t="n">
        <v>4.5</v>
      </c>
      <c r="K169" s="56" t="inlineStr">
        <is>
          <t>https://amazon.com/dp/B08B13BQK6</t>
        </is>
      </c>
      <c r="L169" s="34">
        <f>HYPERLINK(Table65[[#This Row],[Column1]])</f>
        <v/>
      </c>
    </row>
    <row r="170" ht="30" customHeight="1" s="290">
      <c r="A170" s="30" t="inlineStr">
        <is>
          <t>ANCEL JP700 JOBD OBD2 Japanese Car Scanner, JDM Automotive Code Reader Check Engine Light OBDII Diagnostic Scan Tool Fits for Toyota Nissan Honda Mazda Subaru Vehicle Diagnosis</t>
        </is>
      </c>
      <c r="B170" s="30" t="inlineStr">
        <is>
          <t>B07B8FV26L</t>
        </is>
      </c>
      <c r="C170" s="30" t="inlineStr">
        <is>
          <t>Handheld</t>
        </is>
      </c>
      <c r="D170" s="324" t="n">
        <v>49.79476190476191</v>
      </c>
      <c r="E170" s="53" t="n">
        <v>33158.81</v>
      </c>
      <c r="F170" s="53" t="n">
        <v>3137.07</v>
      </c>
      <c r="G170" s="55" t="n">
        <v>664</v>
      </c>
      <c r="H170" s="57" t="n">
        <v>63</v>
      </c>
      <c r="I170" s="55" t="n">
        <v>608</v>
      </c>
      <c r="J170" s="56" t="n">
        <v>3.9</v>
      </c>
      <c r="K170" s="56" t="inlineStr">
        <is>
          <t>https://amazon.com/dp/B07B8FV26L</t>
        </is>
      </c>
      <c r="L170" s="34">
        <f>HYPERLINK(Table65[[#This Row],[Column1]])</f>
        <v/>
      </c>
    </row>
    <row r="171" ht="45" customHeight="1" s="290">
      <c r="A171" s="30" t="inlineStr">
        <is>
          <t>ANCEL Waterproof Storage Case Bag for HD100 Heavy Duty Truck Scanner and Other Testers - Durable Zipper Carry Box (8.66’’ x 6.22’’ x 3.15’’)</t>
        </is>
      </c>
      <c r="B171" s="30" t="inlineStr">
        <is>
          <t>B0DPH4VF4Y</t>
        </is>
      </c>
      <c r="C171" s="30" t="inlineStr">
        <is>
          <t>Other</t>
        </is>
      </c>
      <c r="D171" s="324" t="n">
        <v>18.92327868852459</v>
      </c>
      <c r="E171" s="53" t="n">
        <v>7896.95</v>
      </c>
      <c r="F171" s="53" t="n">
        <v>1154.32</v>
      </c>
      <c r="G171" s="55" t="n">
        <v>409</v>
      </c>
      <c r="H171" s="57" t="n">
        <v>61</v>
      </c>
      <c r="I171" s="55" t="n">
        <v>173</v>
      </c>
      <c r="J171" s="56" t="n">
        <v>4.2</v>
      </c>
      <c r="K171" s="56" t="inlineStr">
        <is>
          <t>https://amazon.com/dp/B0DPH4VF4Y</t>
        </is>
      </c>
      <c r="L171" s="34">
        <f>HYPERLINK(Table65[[#This Row],[Column1]])</f>
        <v/>
      </c>
    </row>
    <row r="172" ht="45" customHeight="1" s="290">
      <c r="A172" s="30" t="inlineStr">
        <is>
          <t>ANCEL BZ700 Mercedes Benz Sprinter Smart OBD2 Scanner, Full System Automotive Car Code Reader with All Reset Services, Battery Registration ABS Bleed Airbag EPB Oil SAS TPS CKP Active Test</t>
        </is>
      </c>
      <c r="B172" s="30" t="inlineStr">
        <is>
          <t>B0B2NR31DQ</t>
        </is>
      </c>
      <c r="C172" s="30" t="inlineStr">
        <is>
          <t>Handheld</t>
        </is>
      </c>
      <c r="D172" s="324" t="n">
        <v>129.3881967213115</v>
      </c>
      <c r="E172" s="53" t="n">
        <v>68473.37000000001</v>
      </c>
      <c r="F172" s="53" t="n">
        <v>7892.68</v>
      </c>
      <c r="G172" s="55" t="n">
        <v>529</v>
      </c>
      <c r="H172" s="57" t="n">
        <v>61</v>
      </c>
      <c r="I172" s="55" t="n">
        <v>228</v>
      </c>
      <c r="J172" s="56" t="n">
        <v>3.7</v>
      </c>
      <c r="K172" s="56" t="inlineStr">
        <is>
          <t>https://amazon.com/dp/B0B2NR31DQ</t>
        </is>
      </c>
      <c r="L172" s="34">
        <f>HYPERLINK(Table65[[#This Row],[Column1]])</f>
        <v/>
      </c>
    </row>
    <row r="173" ht="45" customHeight="1" s="290">
      <c r="A173" s="30" t="inlineStr">
        <is>
          <t>ANCEL HD200 Bluetooth Heavy Duty Truck Scanner, Speed Limit and Idle Reset for Cummins &amp; Caterpillar Engines, J1939/J1708 Diesel Code Reader &amp; All-System Diagnostic Tool, Lifetime Free Updates</t>
        </is>
      </c>
      <c r="B173" s="30" t="inlineStr">
        <is>
          <t>B0D9JYL5Y5</t>
        </is>
      </c>
      <c r="C173" s="30" t="inlineStr">
        <is>
          <t>Cable/Adapter</t>
        </is>
      </c>
      <c r="D173" s="324" t="n">
        <v>175.8375</v>
      </c>
      <c r="E173" s="53" t="n">
        <v>174453.09</v>
      </c>
      <c r="F173" s="53" t="n">
        <v>10550.25</v>
      </c>
      <c r="G173" s="55" t="n">
        <v>942</v>
      </c>
      <c r="H173" s="57" t="n">
        <v>60</v>
      </c>
      <c r="I173" s="55" t="n">
        <v>111</v>
      </c>
      <c r="J173" s="56" t="n">
        <v>3.6</v>
      </c>
      <c r="K173" s="56" t="inlineStr">
        <is>
          <t>https://amazon.com/dp/B0D9JYL5Y5</t>
        </is>
      </c>
      <c r="L173" s="34">
        <f>HYPERLINK(Table65[[#This Row],[Column1]])</f>
        <v/>
      </c>
    </row>
    <row r="174" ht="45" customHeight="1" s="290">
      <c r="A174" s="30" t="inlineStr">
        <is>
          <t>ANCEL VOD700 All System OBD2 Scanner Fits for Volvo Car Code Reader Full Function Diagnostic Scan Tool ABS Bleeding Injector Oil ETC SRL BMS EPB TPMS Reset Tool</t>
        </is>
      </c>
      <c r="B174" s="30" t="inlineStr">
        <is>
          <t>B0B45WGSDX</t>
        </is>
      </c>
      <c r="C174" s="30" t="inlineStr">
        <is>
          <t>Handheld</t>
        </is>
      </c>
      <c r="D174" s="324" t="n">
        <v>129.7367857142857</v>
      </c>
      <c r="E174" s="53" t="n">
        <v>73901.41</v>
      </c>
      <c r="F174" s="53" t="n">
        <v>7265.26</v>
      </c>
      <c r="G174" s="55" t="n">
        <v>569</v>
      </c>
      <c r="H174" s="57" t="n">
        <v>56</v>
      </c>
      <c r="I174" s="55" t="n">
        <v>137</v>
      </c>
      <c r="J174" s="56" t="n">
        <v>4</v>
      </c>
      <c r="K174" s="56" t="inlineStr">
        <is>
          <t>https://amazon.com/dp/B0B45WGSDX</t>
        </is>
      </c>
      <c r="L174" s="34">
        <f>HYPERLINK(Table65[[#This Row],[Column1]])</f>
        <v/>
      </c>
    </row>
    <row r="175" ht="45" customHeight="1" s="290">
      <c r="A175" s="30" t="inlineStr">
        <is>
          <t>ANCEL Obd2 Female to 20 Pin Extension Convert Adapter OBD1 to OBD II Cable for 20 Pin E31 E32 E34 E36 E39 E38 E53 X 5 Z3</t>
        </is>
      </c>
      <c r="B175" s="30" t="inlineStr">
        <is>
          <t>B0B2LKYW3T</t>
        </is>
      </c>
      <c r="C175" s="30" t="inlineStr">
        <is>
          <t>Cable/Adapter</t>
        </is>
      </c>
      <c r="D175" s="324" t="n">
        <v>16.00903846153846</v>
      </c>
      <c r="E175" s="53" t="n">
        <v>9772.669999999998</v>
      </c>
      <c r="F175" s="53" t="n">
        <v>832.47</v>
      </c>
      <c r="G175" s="55" t="n">
        <v>612</v>
      </c>
      <c r="H175" s="57" t="n">
        <v>52</v>
      </c>
      <c r="I175" s="55" t="n">
        <v>241</v>
      </c>
      <c r="J175" s="56" t="n">
        <v>4.4</v>
      </c>
      <c r="K175" s="56" t="inlineStr">
        <is>
          <t>https://amazon.com/dp/B0B2LKYW3T</t>
        </is>
      </c>
      <c r="L175" s="34">
        <f>HYPERLINK(Table65[[#This Row],[Column1]])</f>
        <v/>
      </c>
    </row>
    <row r="176" ht="60" customHeight="1" s="290">
      <c r="A176" s="30" t="inlineStr">
        <is>
          <t>ANCEL MT500 PRO Motorcycle Scanner, Full-System OBD2 Diagnostic Tool with Quick Service Resets &amp; Advanced Programming, Fits for Harley, Honda, Yamaha, Indian, Kawasaki, Suzuki, Polaris, BRP, Victory</t>
        </is>
      </c>
      <c r="B176" s="30" t="inlineStr">
        <is>
          <t>B0BN1YCCD8</t>
        </is>
      </c>
      <c r="C176" s="30" t="inlineStr">
        <is>
          <t>Tablet</t>
        </is>
      </c>
      <c r="D176" s="324" t="n">
        <v>543.1451999999999</v>
      </c>
      <c r="E176" s="53" t="n">
        <v>160976.99</v>
      </c>
      <c r="F176" s="53" t="n">
        <v>27157.26</v>
      </c>
      <c r="G176" s="55" t="n">
        <v>291</v>
      </c>
      <c r="H176" s="57" t="n">
        <v>50</v>
      </c>
      <c r="I176" s="55" t="n">
        <v>130</v>
      </c>
      <c r="J176" s="56" t="n">
        <v>4.1</v>
      </c>
      <c r="K176" s="56" t="inlineStr">
        <is>
          <t>https://amazon.com/dp/B0BN1YCCD8</t>
        </is>
      </c>
      <c r="L176" s="34">
        <f>HYPERLINK(Table65[[#This Row],[Column1]])</f>
        <v/>
      </c>
    </row>
    <row r="177" ht="45" customHeight="1" s="290">
      <c r="A177" s="30" t="inlineStr">
        <is>
          <t>ANCEL FX6000 Bidirectional OBD2 Scanner - ABS, SRS, Transmission &amp; Engine, Car Scanner Diagnostic Tool with Oil/EPB/BMS/SAS Reset, ABS Bleeding, Auto Scan, CAN FD &amp; FCA, Free Update, Report Sharing ﻿</t>
        </is>
      </c>
      <c r="B177" s="30" t="inlineStr">
        <is>
          <t>B0F38MDM2H</t>
        </is>
      </c>
      <c r="C177" s="30" t="inlineStr">
        <is>
          <t>Tablet</t>
        </is>
      </c>
      <c r="D177" s="324" t="n">
        <v>259.0585714285714</v>
      </c>
      <c r="E177" s="53" t="n">
        <v>344623.7384615384</v>
      </c>
      <c r="F177" s="53" t="n">
        <v>12693.87</v>
      </c>
      <c r="G177" s="55" t="n">
        <v>1468</v>
      </c>
      <c r="H177" s="57" t="n">
        <v>49</v>
      </c>
      <c r="I177" s="55" t="n">
        <v>167</v>
      </c>
      <c r="J177" s="56" t="n">
        <v>4.4</v>
      </c>
      <c r="K177" s="56" t="inlineStr">
        <is>
          <t>https://amazon.com/dp/B0F38MDM2H</t>
        </is>
      </c>
      <c r="L177" s="34">
        <f>HYPERLINK(Table65[[#This Row],[Column1]])</f>
        <v/>
      </c>
    </row>
    <row r="178" ht="45" customHeight="1" s="290">
      <c r="A178" s="30" t="inlineStr">
        <is>
          <t>ANCEL FX2000-US OBD2 Scanner Diagnostic Tool, ABS SRS Transmission Airbag Car Scanner, Check Engine Car Code Reader, Automotive Diagnostic Tool Lifetime Free Upgrade</t>
        </is>
      </c>
      <c r="B178" s="30" t="inlineStr">
        <is>
          <t>B07N69PC3D</t>
        </is>
      </c>
      <c r="C178" s="30" t="inlineStr">
        <is>
          <t>Tablet</t>
        </is>
      </c>
      <c r="D178" s="324" t="n">
        <v>171.106</v>
      </c>
      <c r="E178" s="53" t="n">
        <v>431099.4300000001</v>
      </c>
      <c r="F178" s="53" t="n">
        <v>7699.77</v>
      </c>
      <c r="G178" s="55" t="n">
        <v>2937</v>
      </c>
      <c r="H178" s="57" t="n">
        <v>45</v>
      </c>
      <c r="I178" s="55" t="n">
        <v>4067</v>
      </c>
      <c r="J178" s="56" t="n">
        <v>4.3</v>
      </c>
      <c r="K178" s="56" t="inlineStr">
        <is>
          <t>https://amazon.com/dp/B07N69PC3D</t>
        </is>
      </c>
      <c r="L178" s="34">
        <f>HYPERLINK(Table65[[#This Row],[Column1]])</f>
        <v/>
      </c>
    </row>
    <row r="179" ht="30" customHeight="1" s="290">
      <c r="A179" s="30" t="inlineStr">
        <is>
          <t>ANCEL TD700 Fits for Toyota OBD2 Scanner, Engine Car Diagnostic Scan Tool Fit for Toyota Lexus Scion, All System Code Reader Reading/Erasing Code,1996-2021</t>
        </is>
      </c>
      <c r="B179" s="30" t="inlineStr">
        <is>
          <t>B0BLYXVR4K</t>
        </is>
      </c>
      <c r="C179" s="30" t="inlineStr">
        <is>
          <t>Handheld</t>
        </is>
      </c>
      <c r="D179" s="324" t="n">
        <v>141.4154761904762</v>
      </c>
      <c r="E179" s="53" t="n">
        <v>59772.5</v>
      </c>
      <c r="F179" s="53" t="n">
        <v>5939.45</v>
      </c>
      <c r="G179" s="55" t="n">
        <v>429</v>
      </c>
      <c r="H179" s="57" t="n">
        <v>42</v>
      </c>
      <c r="I179" s="55" t="n">
        <v>174</v>
      </c>
      <c r="J179" s="56" t="n">
        <v>4.1</v>
      </c>
      <c r="K179" s="56" t="inlineStr">
        <is>
          <t>https://amazon.com/dp/B0BLYXVR4K</t>
        </is>
      </c>
      <c r="L179" s="34">
        <f>HYPERLINK(Table65[[#This Row],[Column1]])</f>
        <v/>
      </c>
    </row>
    <row r="180" ht="45" customHeight="1" s="290">
      <c r="A180" s="30" t="inlineStr">
        <is>
          <t>ANCEL BM700 PRO Fit for BMW Scanner - Battery Registration Tool, Code Reader for BMW/Mini/RR, Advanced OBD2 Scanner Auto V-I-N, Full System Diagnostic for BMW Scan Tool with All Reset Services (Red)</t>
        </is>
      </c>
      <c r="B180" s="30" t="inlineStr">
        <is>
          <t>B0F7R5J5Y6</t>
        </is>
      </c>
      <c r="C180" s="30" t="inlineStr">
        <is>
          <t>Handheld</t>
        </is>
      </c>
      <c r="D180" s="324" t="n">
        <v>147.0736585365854</v>
      </c>
      <c r="E180" s="53" t="n">
        <v>174035.4369230769</v>
      </c>
      <c r="F180" s="53" t="n">
        <v>6030.02</v>
      </c>
      <c r="G180" s="55" t="n">
        <v>1070</v>
      </c>
      <c r="H180" s="57" t="n">
        <v>41</v>
      </c>
      <c r="I180" s="55" t="n">
        <v>2228</v>
      </c>
      <c r="J180" s="56" t="n">
        <v>4.5</v>
      </c>
      <c r="K180" s="56" t="inlineStr">
        <is>
          <t>https://amazon.com/dp/B0F7R5J5Y6</t>
        </is>
      </c>
      <c r="L180" s="34">
        <f>HYPERLINK(Table65[[#This Row],[Column1]])</f>
        <v/>
      </c>
    </row>
    <row r="181" ht="45" customHeight="1" s="290">
      <c r="A181" s="30" t="inlineStr">
        <is>
          <t>ANCEL BD200 OBD2 Scanner Bluetooth - Code Reader &amp; Check Engine Diagnostic Scan Tools with Car Battery Test, Exclusive App on iOS &amp; Android, Wireless OBDII Adapter Works for 1996 &amp; Newer Vehicles</t>
        </is>
      </c>
      <c r="B181" s="30" t="inlineStr">
        <is>
          <t>B08DFYMTS6</t>
        </is>
      </c>
      <c r="C181" s="30" t="inlineStr">
        <is>
          <t>Dongle</t>
        </is>
      </c>
      <c r="D181" s="324" t="n">
        <v>40.12230769230769</v>
      </c>
      <c r="E181" s="53" t="n">
        <v>33431.54</v>
      </c>
      <c r="F181" s="53" t="n">
        <v>1564.77</v>
      </c>
      <c r="G181" s="55" t="n">
        <v>847</v>
      </c>
      <c r="H181" s="57" t="n">
        <v>39</v>
      </c>
      <c r="I181" s="55" t="n">
        <v>1909</v>
      </c>
      <c r="J181" s="56" t="n">
        <v>4.3</v>
      </c>
      <c r="K181" s="56" t="inlineStr">
        <is>
          <t>https://amazon.com/dp/B08DFYMTS6</t>
        </is>
      </c>
      <c r="L181" s="34">
        <f>HYPERLINK(Table65[[#This Row],[Column1]])</f>
        <v/>
      </c>
    </row>
    <row r="182" ht="45" customHeight="1" s="290">
      <c r="A182" s="30" t="inlineStr">
        <is>
          <t>ANCEL HD120 Heavy Duty Truck Scanner with DPF Regen for Volvo &amp; International MaxxForce Engine, Full-System HDOBD &amp; OBD2 Diesel Truck Diagnostic Tool, Lifetime Free Updates</t>
        </is>
      </c>
      <c r="B182" s="30" t="inlineStr">
        <is>
          <t>B0F8MY1FJQ</t>
        </is>
      </c>
      <c r="C182" s="30" t="inlineStr">
        <is>
          <t>Tablet</t>
        </is>
      </c>
      <c r="D182" s="324" t="n">
        <v>179.2768571428571</v>
      </c>
      <c r="E182" s="53" t="n">
        <v>126030.8961538462</v>
      </c>
      <c r="F182" s="53" t="n">
        <v>6274.69</v>
      </c>
      <c r="G182" s="55" t="n">
        <v>550</v>
      </c>
      <c r="H182" s="57" t="n">
        <v>35</v>
      </c>
      <c r="I182" s="55" t="n">
        <v>74</v>
      </c>
      <c r="J182" s="56" t="n">
        <v>3.7</v>
      </c>
      <c r="K182" s="56" t="inlineStr">
        <is>
          <t>https://amazon.com/dp/B0F8MY1FJQ</t>
        </is>
      </c>
      <c r="L182" s="34">
        <f>HYPERLINK(Table65[[#This Row],[Column1]])</f>
        <v/>
      </c>
    </row>
    <row r="183" ht="45" customHeight="1" s="290">
      <c r="A183" s="30" t="inlineStr">
        <is>
          <t>ANCEL Echo OBD2 Scanner Bluetooth - All Systems Code Reader, Car Diagnostic Tool for iOS Android, Vehicle Scanner for Oil Light &amp; Brake Reset, Battery Registration - Bidirectional Scan Tool, Live Data</t>
        </is>
      </c>
      <c r="B183" s="30" t="inlineStr">
        <is>
          <t>B0D8HQG673</t>
        </is>
      </c>
      <c r="C183" s="30" t="inlineStr">
        <is>
          <t>Dongle</t>
        </is>
      </c>
      <c r="D183" s="324" t="n">
        <v>98.62866666666667</v>
      </c>
      <c r="E183" s="53" t="n">
        <v>83243.97</v>
      </c>
      <c r="F183" s="53" t="n">
        <v>2958.86</v>
      </c>
      <c r="G183" s="55" t="n">
        <v>869</v>
      </c>
      <c r="H183" s="57" t="n">
        <v>30</v>
      </c>
      <c r="I183" s="55" t="n">
        <v>263</v>
      </c>
      <c r="J183" s="56" t="n">
        <v>4.1</v>
      </c>
      <c r="K183" s="56" t="inlineStr">
        <is>
          <t>https://amazon.com/dp/B0D8HQG673</t>
        </is>
      </c>
      <c r="L183" s="34">
        <f>HYPERLINK(Table65[[#This Row],[Column1]])</f>
        <v/>
      </c>
    </row>
    <row r="184" ht="45" customHeight="1" s="290">
      <c r="A184" s="30" t="inlineStr">
        <is>
          <t>ANCEL AD610 Pro ABS SRS OBD2 Scanner, ABS Bleeding, SAS Calibration, ABS, Airbag, EPB, Oil Reset, Full OBD2 Functions, AutoVIN, Free Lifetime WiFi Updates</t>
        </is>
      </c>
      <c r="B184" s="30" t="inlineStr">
        <is>
          <t>B0DBZC9PRC</t>
        </is>
      </c>
      <c r="C184" s="30" t="inlineStr">
        <is>
          <t>Handheld</t>
        </is>
      </c>
      <c r="D184" s="324" t="n">
        <v>150.9976666666667</v>
      </c>
      <c r="E184" s="53" t="n">
        <v>131712.35</v>
      </c>
      <c r="F184" s="53" t="n">
        <v>4529.93</v>
      </c>
      <c r="G184" s="55" t="n">
        <v>912</v>
      </c>
      <c r="H184" s="57" t="n">
        <v>30</v>
      </c>
      <c r="I184" s="55" t="n">
        <v>197</v>
      </c>
      <c r="J184" s="56" t="n">
        <v>4.3</v>
      </c>
      <c r="K184" s="56" t="inlineStr">
        <is>
          <t>https://amazon.com/dp/B0DBZC9PRC</t>
        </is>
      </c>
      <c r="L184" s="34">
        <f>HYPERLINK(Table65[[#This Row],[Column1]])</f>
        <v/>
      </c>
    </row>
    <row r="185" ht="45" customHeight="1" s="290">
      <c r="A185" s="30" t="inlineStr">
        <is>
          <t>ANCEL MT700 Motorcycle OBD2 Scanner Full Systems, ABS Transmission Diagnostic Tool with 35+ Reset Functions for Aprilia/Benelli/MMW/BRP/Ducati/Harley/Honda/Indian/Suzuki,Android, 7” Touch Screen, 16GB</t>
        </is>
      </c>
      <c r="B185" s="30" t="inlineStr">
        <is>
          <t>B0BMZW65LJ</t>
        </is>
      </c>
      <c r="C185" s="30" t="inlineStr">
        <is>
          <t>Tablet</t>
        </is>
      </c>
      <c r="D185" s="324" t="n">
        <v>1000.519310344828</v>
      </c>
      <c r="E185" s="53" t="n">
        <v>141223.82</v>
      </c>
      <c r="F185" s="53" t="n">
        <v>29015.06</v>
      </c>
      <c r="G185" s="55" t="n">
        <v>142</v>
      </c>
      <c r="H185" s="57" t="n">
        <v>29</v>
      </c>
      <c r="I185" s="55" t="n">
        <v>882</v>
      </c>
      <c r="J185" s="56" t="n">
        <v>4.5</v>
      </c>
      <c r="K185" s="56" t="inlineStr">
        <is>
          <t>https://amazon.com/dp/B0BMZW65LJ</t>
        </is>
      </c>
      <c r="L185" s="34">
        <f>HYPERLINK(Table65[[#This Row],[Column1]])</f>
        <v/>
      </c>
    </row>
    <row r="186" ht="60" customHeight="1" s="290">
      <c r="A186" s="30" t="inlineStr">
        <is>
          <t>ANCEL AD610 Pro OBD2 Scanner - ABS SRS Code Reader, Check Engine Light Diagnostic Tool with ABS Bleeding, AutoVIN, Real-Time Data, Full OBD2 Functions, SAS/Oil/EPB Reset</t>
        </is>
      </c>
      <c r="B186" s="30" t="inlineStr">
        <is>
          <t>B0DN9H8Z6W</t>
        </is>
      </c>
      <c r="C186" s="30" t="inlineStr">
        <is>
          <t>Handheld</t>
        </is>
      </c>
      <c r="D186" s="324" t="n">
        <v>152.538</v>
      </c>
      <c r="E186" s="53" t="n">
        <v>77728.06</v>
      </c>
      <c r="F186" s="53" t="n">
        <v>3813.45</v>
      </c>
      <c r="G186" s="55" t="n">
        <v>528</v>
      </c>
      <c r="H186" s="57" t="n">
        <v>25</v>
      </c>
      <c r="I186" s="55" t="n">
        <v>96</v>
      </c>
      <c r="J186" s="56" t="n">
        <v>4.2</v>
      </c>
      <c r="K186" s="56" t="inlineStr">
        <is>
          <t>https://amazon.com/dp/B0DN9H8Z6W</t>
        </is>
      </c>
      <c r="L186" s="34">
        <f>HYPERLINK(Table65[[#This Row],[Column1]])</f>
        <v/>
      </c>
    </row>
    <row r="187" ht="45" customHeight="1" s="290">
      <c r="A187" s="30" t="inlineStr">
        <is>
          <t>ANCEL MR500 Marine Diagnostic Tool for Yamaha (2003–2024) – Jet Ski &amp; Outboard Engine Scanner, 15+ Service Functions, Read/Clear Codes, Live Data, Active Tests</t>
        </is>
      </c>
      <c r="B187" s="30" t="inlineStr">
        <is>
          <t>B0CQNVYKDH</t>
        </is>
      </c>
      <c r="C187" s="30" t="inlineStr">
        <is>
          <t>Tablet</t>
        </is>
      </c>
      <c r="D187" s="324" t="n">
        <v>690.0427272727273</v>
      </c>
      <c r="E187" s="53" t="n">
        <v>102387.71</v>
      </c>
      <c r="F187" s="53" t="n">
        <v>15180.94</v>
      </c>
      <c r="G187" s="55" t="n">
        <v>142</v>
      </c>
      <c r="H187" s="57" t="n">
        <v>22</v>
      </c>
      <c r="I187" s="55" t="n">
        <v>9</v>
      </c>
      <c r="J187" s="56" t="n">
        <v>4.1</v>
      </c>
      <c r="K187" s="56" t="inlineStr">
        <is>
          <t>https://amazon.com/dp/B0CQNVYKDH</t>
        </is>
      </c>
      <c r="L187" s="34">
        <f>HYPERLINK(Table65[[#This Row],[Column1]])</f>
        <v/>
      </c>
    </row>
    <row r="188" ht="45" customHeight="1" s="290">
      <c r="A188" s="30" t="inlineStr">
        <is>
          <t>ANCEL AD310 Pro 2-in-1 OBD2 Scanner &amp; Car Battery Tester, Diagnostic Tool with Bluetooth APP for iPhone &amp; Android, Performance Test, Trip Analysis, Engine Health Self Check for All 1996+ Vehicles</t>
        </is>
      </c>
      <c r="B188" s="30" t="inlineStr">
        <is>
          <t>B0F8QRT8MB</t>
        </is>
      </c>
      <c r="C188" s="30" t="inlineStr">
        <is>
          <t>Handheld</t>
        </is>
      </c>
      <c r="D188" s="324" t="n">
        <v>112.3740909090909</v>
      </c>
      <c r="E188" s="53" t="n">
        <v>57171.9053846154</v>
      </c>
      <c r="F188" s="53" t="n">
        <v>2472.23</v>
      </c>
      <c r="G188" s="55" t="n">
        <v>467</v>
      </c>
      <c r="H188" s="57" t="n">
        <v>22</v>
      </c>
      <c r="I188" s="55" t="n">
        <v>75</v>
      </c>
      <c r="J188" s="56" t="n">
        <v>4.8</v>
      </c>
      <c r="K188" s="56" t="inlineStr">
        <is>
          <t>https://amazon.com/dp/B0F8QRT8MB</t>
        </is>
      </c>
      <c r="L188" s="34">
        <f>HYPERLINK(Table65[[#This Row],[Column1]])</f>
        <v/>
      </c>
    </row>
    <row r="189" ht="45" customHeight="1" s="290">
      <c r="A189" s="30" t="inlineStr">
        <is>
          <t>ANCEL EVA Hard Protective Case for V5 HD PRO Heavy Truck Scanner, Waterproof Shockproof Storage Bag with Large Capacity, Smooth Zippers and Easy Carry Handle, Travel Ready</t>
        </is>
      </c>
      <c r="B189" s="30" t="inlineStr">
        <is>
          <t>B0828TC9T9</t>
        </is>
      </c>
      <c r="C189" s="30" t="inlineStr">
        <is>
          <t>Other</t>
        </is>
      </c>
      <c r="D189" s="324" t="n">
        <v>31.572</v>
      </c>
      <c r="E189" s="53" t="n">
        <v>7106.944615384618</v>
      </c>
      <c r="F189" s="53" t="n">
        <v>631.4400000000001</v>
      </c>
      <c r="G189" s="55" t="n">
        <v>22</v>
      </c>
      <c r="H189" s="57" t="n">
        <v>20</v>
      </c>
      <c r="I189" s="55" t="n">
        <v>172</v>
      </c>
      <c r="J189" s="56" t="n">
        <v>4.2</v>
      </c>
      <c r="K189" s="56" t="inlineStr">
        <is>
          <t>https://amazon.com/dp/B0828TC9T9</t>
        </is>
      </c>
      <c r="L189" s="34">
        <f>HYPERLINK(Table65[[#This Row],[Column1]])</f>
        <v/>
      </c>
    </row>
    <row r="190" ht="60" customHeight="1" s="290">
      <c r="A190" s="30" t="inlineStr">
        <is>
          <t>ANCEL CAN 3 - CAN 1 Crossover Cable for 2016 &amp; Newer Paccar Peterbilts/Kenworths/Cummins Engines, 9 Pin Heavy Duty Truck Scanner Diagnostic Adapter Tool</t>
        </is>
      </c>
      <c r="B190" s="30" t="inlineStr">
        <is>
          <t>B0C4FGGVZ4</t>
        </is>
      </c>
      <c r="C190" s="30" t="inlineStr">
        <is>
          <t>Cable/Adapter</t>
        </is>
      </c>
      <c r="D190" s="324" t="n">
        <v>40.4921052631579</v>
      </c>
      <c r="E190" s="53" t="n">
        <v>16426.63</v>
      </c>
      <c r="F190" s="53" t="n">
        <v>769.35</v>
      </c>
      <c r="G190" s="55" t="n">
        <v>320</v>
      </c>
      <c r="H190" s="57" t="n">
        <v>19</v>
      </c>
      <c r="I190" s="55" t="n">
        <v>16</v>
      </c>
      <c r="J190" s="56" t="n">
        <v>4.5</v>
      </c>
      <c r="K190" s="56" t="inlineStr">
        <is>
          <t>https://amazon.com/dp/B0C4FGGVZ4</t>
        </is>
      </c>
      <c r="L190" s="34">
        <f>HYPERLINK(Table65[[#This Row],[Column1]])</f>
        <v/>
      </c>
    </row>
    <row r="191" ht="45" customHeight="1" s="290">
      <c r="A191" s="30" t="inlineStr">
        <is>
          <t>ANCEL V5 HD PRO Heavy Duty Truck Scanner, New Bi-Directional Control Diesel Scanner, Full System Diagnostic Scan Tool with 40+ Resets, ABS SRS D-P-F Regen for Semi Trucks Commercial Vehicles</t>
        </is>
      </c>
      <c r="B191" s="30" t="inlineStr">
        <is>
          <t>B0FH4FPPLL</t>
        </is>
      </c>
      <c r="C191" s="30" t="inlineStr">
        <is>
          <t>Tablet</t>
        </is>
      </c>
      <c r="D191" s="324" t="n">
        <v>711.8111111111111</v>
      </c>
      <c r="E191" s="53" t="n">
        <v>175179.466923077</v>
      </c>
      <c r="F191" s="53" t="n">
        <v>12812.6</v>
      </c>
      <c r="G191" s="55" t="n">
        <v>164</v>
      </c>
      <c r="H191" s="57" t="n">
        <v>18</v>
      </c>
      <c r="I191" s="55" t="n">
        <v>172</v>
      </c>
      <c r="J191" s="56" t="n">
        <v>4.2</v>
      </c>
      <c r="K191" s="56" t="inlineStr">
        <is>
          <t>https://amazon.com/dp/B0FH4FPPLL</t>
        </is>
      </c>
      <c r="L191" s="34">
        <f>HYPERLINK(Table65[[#This Row],[Column1]])</f>
        <v/>
      </c>
    </row>
    <row r="192" ht="45" customHeight="1" s="290">
      <c r="A192" s="30" t="inlineStr">
        <is>
          <t>ANCEL OBD2 Scanner V5BT-US All Systems Bidirectional Scan Tool, Wireless Car Scanner with Active Test,Oil/TPMS/EPB/BMS/SAS/DPF/Throttle Reset, ABS Bleeding, Car Diagnostic Tool for All Vehicles</t>
        </is>
      </c>
      <c r="B192" s="30" t="inlineStr">
        <is>
          <t>B0CP2PFJWS</t>
        </is>
      </c>
      <c r="C192" s="30" t="inlineStr">
        <is>
          <t>Tablet</t>
        </is>
      </c>
      <c r="D192" s="324" t="n">
        <v>406.516875</v>
      </c>
      <c r="E192" s="53" t="n">
        <v>81253.32999999999</v>
      </c>
      <c r="F192" s="53" t="n">
        <v>6504.27</v>
      </c>
      <c r="G192" s="55" t="n">
        <v>177</v>
      </c>
      <c r="H192" s="57" t="n">
        <v>16</v>
      </c>
      <c r="I192" s="55" t="n">
        <v>77</v>
      </c>
      <c r="J192" s="56" t="n">
        <v>4.5</v>
      </c>
      <c r="K192" s="56" t="inlineStr">
        <is>
          <t>https://amazon.com/dp/B0CP2PFJWS</t>
        </is>
      </c>
      <c r="L192" s="34">
        <f>HYPERLINK(Table65[[#This Row],[Column1]])</f>
        <v/>
      </c>
    </row>
    <row r="193" ht="60" customHeight="1" s="290">
      <c r="A193" s="30" t="inlineStr">
        <is>
          <t>ANCEL Large Hard Protective Case for Heavy Duty Truck Scanner HD3300 Plus+ HD3600 HD430, OBD2 Scanner Diagnostic Tool FX6000 Elite FX6100, Automotive Smoke Machine Leak Detector S3000 S3000 PRO</t>
        </is>
      </c>
      <c r="B193" s="30" t="inlineStr">
        <is>
          <t>B0FJFJRX71</t>
        </is>
      </c>
      <c r="C193" s="30" t="inlineStr">
        <is>
          <t>Other</t>
        </is>
      </c>
      <c r="D193" s="324" t="n">
        <v>31.85846153846154</v>
      </c>
      <c r="E193" s="53" t="n">
        <v>7230.660769230767</v>
      </c>
      <c r="F193" s="53" t="n">
        <v>414.16</v>
      </c>
      <c r="G193" s="55" t="n">
        <v>142</v>
      </c>
      <c r="H193" s="57" t="n">
        <v>13</v>
      </c>
      <c r="I193" s="55" t="n">
        <v>108</v>
      </c>
      <c r="J193" s="56" t="n">
        <v>3.4</v>
      </c>
      <c r="K193" s="56" t="inlineStr">
        <is>
          <t>https://amazon.com/dp/B0FJFJRX71</t>
        </is>
      </c>
      <c r="L193" s="34">
        <f>HYPERLINK(Table65[[#This Row],[Column1]])</f>
        <v/>
      </c>
    </row>
    <row r="194" ht="45" customHeight="1" s="290">
      <c r="A194" s="30" t="inlineStr">
        <is>
          <t>ANCEL Large Hard Protective Case Storage Box for ANCEL HD8000 Heavy Duty Truck Scanner (Only the Case)</t>
        </is>
      </c>
      <c r="B194" s="30" t="inlineStr">
        <is>
          <t>B0DPH4CDJ3</t>
        </is>
      </c>
      <c r="C194" s="30" t="inlineStr">
        <is>
          <t>Other</t>
        </is>
      </c>
      <c r="D194" s="324" t="n">
        <v>31.07416666666667</v>
      </c>
      <c r="E194" s="53" t="n">
        <v>6787.639999999999</v>
      </c>
      <c r="F194" s="53" t="n">
        <v>372.89</v>
      </c>
      <c r="G194" s="55" t="n">
        <v>242</v>
      </c>
      <c r="H194" s="57" t="n">
        <v>12</v>
      </c>
      <c r="I194" s="55" t="n">
        <v>72</v>
      </c>
      <c r="J194" s="56" t="n">
        <v>3.7</v>
      </c>
      <c r="K194" s="56" t="inlineStr">
        <is>
          <t>https://amazon.com/dp/B0DPH4CDJ3</t>
        </is>
      </c>
      <c r="L194" s="34">
        <f>HYPERLINK(Table65[[#This Row],[Column1]])</f>
        <v/>
      </c>
    </row>
    <row r="195" ht="45" customHeight="1" s="290">
      <c r="A195" s="30" t="inlineStr">
        <is>
          <t>ANCEL MT500 Plus Motorcycle Scanner, Full-System OBD2 Diagnostic Tool with Quick Service Resets &amp; Advanced Programming, Fits for BMW, Honda, Yamaha, Ducati, KTM, Kawasaki, Suzuki, Triumph</t>
        </is>
      </c>
      <c r="B195" s="30" t="inlineStr">
        <is>
          <t>B0BN8PKJ28</t>
        </is>
      </c>
      <c r="C195" s="30" t="inlineStr">
        <is>
          <t>Tablet</t>
        </is>
      </c>
      <c r="D195" s="324" t="n">
        <v>506.2828571428572</v>
      </c>
      <c r="E195" s="53" t="n">
        <v>45310.28</v>
      </c>
      <c r="F195" s="53" t="n">
        <v>3543.98</v>
      </c>
      <c r="G195" s="55" t="n">
        <v>82</v>
      </c>
      <c r="H195" s="57" t="n">
        <v>7</v>
      </c>
      <c r="I195" s="55" t="n">
        <v>16</v>
      </c>
      <c r="J195" s="56" t="n">
        <v>3.5</v>
      </c>
      <c r="K195" s="56" t="inlineStr">
        <is>
          <t>https://amazon.com/dp/B0BN8PKJ28</t>
        </is>
      </c>
      <c r="L195" s="34">
        <f>HYPERLINK(Table65[[#This Row],[Column1]])</f>
        <v/>
      </c>
    </row>
    <row r="196" ht="45" customHeight="1" s="290">
      <c r="A196" s="30" t="inlineStr">
        <is>
          <t>ANCEL MT700 Motorcycle Diagnostic Tool for Harley BMW Kawasaki Suzuki Piaggio Ducati Obd2 Scanner, ABS Bleeding Check Engine Code Reader with Oil Light Reset, 31+ Function, 16 Brand-Specific Adapters</t>
        </is>
      </c>
      <c r="B196" s="30" t="inlineStr">
        <is>
          <t>B0CGXFXRJY</t>
        </is>
      </c>
      <c r="C196" s="30" t="inlineStr">
        <is>
          <t>Tablet</t>
        </is>
      </c>
      <c r="D196" s="324" t="n">
        <v>844.0933333333334</v>
      </c>
      <c r="E196" s="53" t="n">
        <v>38555.69</v>
      </c>
      <c r="F196" s="53" t="n">
        <v>5064.56</v>
      </c>
      <c r="G196" s="55" t="n">
        <v>42</v>
      </c>
      <c r="H196" s="57" t="n">
        <v>6</v>
      </c>
      <c r="I196" s="55" t="n">
        <v>2</v>
      </c>
      <c r="J196" s="56" t="n">
        <v>2</v>
      </c>
      <c r="K196" s="56" t="inlineStr">
        <is>
          <t>https://amazon.com/dp/B0CGXFXRJY</t>
        </is>
      </c>
      <c r="L196" s="34">
        <f>HYPERLINK(Table65[[#This Row],[Column1]])</f>
        <v/>
      </c>
    </row>
    <row r="197" ht="45" customHeight="1" s="290">
      <c r="A197" s="30" t="inlineStr">
        <is>
          <t>ANCEL New HD601 Heavy Duty Truck Scanner, Diesel Full System Diagnostic Scan Tool Fits for Cummins, Detroit, Volvo, Paccar &amp; Caterpillar, 2 in 1 HDOBD &amp; OBD2 Code Reader for Commercial Vehicles &amp; Cars</t>
        </is>
      </c>
      <c r="B197" s="30" t="inlineStr">
        <is>
          <t>B0GL73Z9VW</t>
        </is>
      </c>
      <c r="C197" s="30" t="inlineStr">
        <is>
          <t>Tablet</t>
        </is>
      </c>
      <c r="D197" s="324" t="n">
        <v>169.9866666666667</v>
      </c>
      <c r="E197" s="53" t="n">
        <v>12317.49538461538</v>
      </c>
      <c r="F197" s="53" t="n">
        <v>1019.92</v>
      </c>
      <c r="G197" s="55" t="n">
        <v>6</v>
      </c>
      <c r="H197" s="57" t="n">
        <v>6</v>
      </c>
      <c r="I197" s="55" t="n"/>
      <c r="J197" s="56" t="n"/>
      <c r="K197" s="56" t="inlineStr">
        <is>
          <t>https://amazon.com/dp/B0GL73Z9VW</t>
        </is>
      </c>
      <c r="L197" s="34">
        <f>HYPERLINK(Table65[[#This Row],[Column1]])</f>
        <v/>
      </c>
    </row>
    <row r="198" ht="45" customHeight="1" s="290">
      <c r="A198" s="30" t="inlineStr">
        <is>
          <t>ANCEL HD Series-Compatible Printer for HD3100, HD3100 PRO, HD3200, HD3300, HD3400, HD3500, HD3600: Exclusive Heavy Duty Truck Scanner Diagnostic Tool Accessory for Diesel Vehicle Reports</t>
        </is>
      </c>
      <c r="B198" s="30" t="inlineStr">
        <is>
          <t>B097D8JHJG</t>
        </is>
      </c>
      <c r="C198" s="30" t="inlineStr">
        <is>
          <t>Other</t>
        </is>
      </c>
      <c r="D198" s="324" t="n">
        <v>134.78</v>
      </c>
      <c r="E198" s="53" t="n">
        <v>9418.449999999999</v>
      </c>
      <c r="F198" s="53" t="n">
        <v>808.6799999999999</v>
      </c>
      <c r="G198" s="55" t="n">
        <v>62</v>
      </c>
      <c r="H198" s="57" t="n">
        <v>6</v>
      </c>
      <c r="I198" s="55" t="n">
        <v>25</v>
      </c>
      <c r="J198" s="56" t="n">
        <v>3.8</v>
      </c>
      <c r="K198" s="56" t="inlineStr">
        <is>
          <t>https://amazon.com/dp/B097D8JHJG</t>
        </is>
      </c>
      <c r="L198" s="34">
        <f>HYPERLINK(Table65[[#This Row],[Column1]])</f>
        <v/>
      </c>
    </row>
    <row r="199" ht="45" customHeight="1" s="290">
      <c r="A199" s="30" t="inlineStr">
        <is>
          <t>ANCEL BD200 Pro OBD2 Scanner Bluetooth, Enhanced Wireless Code Readers ABS SRS Transmission Airbag Car Scanner Diagnostic Tool with Battery Test, Check Engine Light Exclusive App for iPhone &amp; Android</t>
        </is>
      </c>
      <c r="B199" s="30" t="inlineStr">
        <is>
          <t>B0CWN69XH4</t>
        </is>
      </c>
      <c r="C199" s="30" t="inlineStr">
        <is>
          <t>Dongle</t>
        </is>
      </c>
      <c r="D199" s="324" t="n">
        <v>73.312</v>
      </c>
      <c r="E199" s="53" t="n">
        <v>7603.463076923077</v>
      </c>
      <c r="F199" s="53" t="n">
        <v>366.56</v>
      </c>
      <c r="G199" s="55" t="n">
        <v>95</v>
      </c>
      <c r="H199" s="57" t="n">
        <v>5</v>
      </c>
      <c r="I199" s="55" t="n">
        <v>74</v>
      </c>
      <c r="J199" s="56" t="n">
        <v>3.5</v>
      </c>
      <c r="K199" s="56" t="inlineStr">
        <is>
          <t>https://amazon.com/dp/B0CWN69XH4</t>
        </is>
      </c>
      <c r="L199" s="34">
        <f>HYPERLINK(Table65[[#This Row],[Column1]])</f>
        <v/>
      </c>
    </row>
    <row r="200" ht="45" customHeight="1" s="290">
      <c r="A200" s="30" t="inlineStr">
        <is>
          <t>ANCEL Heavy Duty Truck Scanner HD3300 Plus+, D.P.F Reset/Force Regen, Full System Truck Scanner for Detroit, Cummins, Caterpillar, Paccar, Volvo Engine &amp; Commercial Trucks, Lifetime Free Update</t>
        </is>
      </c>
      <c r="B200" s="30" t="inlineStr">
        <is>
          <t>B0DPH5KRBX</t>
        </is>
      </c>
      <c r="C200" s="30" t="inlineStr">
        <is>
          <t>Tablet</t>
        </is>
      </c>
      <c r="D200" s="324" t="n">
        <v>482.096</v>
      </c>
      <c r="E200" s="53" t="n">
        <v>312510.51</v>
      </c>
      <c r="F200" s="53" t="n">
        <v>2410.48</v>
      </c>
      <c r="G200" s="55" t="n">
        <v>659</v>
      </c>
      <c r="H200" s="57" t="n">
        <v>5</v>
      </c>
      <c r="I200" s="55" t="n">
        <v>108</v>
      </c>
      <c r="J200" s="56" t="n">
        <v>3.4</v>
      </c>
      <c r="K200" s="56" t="inlineStr">
        <is>
          <t>https://amazon.com/dp/B0DPH5KRBX</t>
        </is>
      </c>
      <c r="L200" s="34">
        <f>HYPERLINK(Table65[[#This Row],[Column1]])</f>
        <v/>
      </c>
    </row>
    <row r="201" ht="45" customHeight="1" s="290">
      <c r="A201" s="30" t="inlineStr">
        <is>
          <t>ANCEL HD8000 Heavy Duty Truck Diagnostic Scanner, Advanced Diesel Scanner with DPF Regen, Idle &amp; Speed Limit Adjustment, Full-System ECU Diagnostics, Lifetime Free Updates</t>
        </is>
      </c>
      <c r="B201" s="30" t="inlineStr">
        <is>
          <t>B0CY542RHB</t>
        </is>
      </c>
      <c r="C201" s="30" t="inlineStr">
        <is>
          <t>Tablet</t>
        </is>
      </c>
      <c r="D201" s="324" t="n">
        <v>1093.715</v>
      </c>
      <c r="E201" s="53" t="n">
        <v>98784.73999999999</v>
      </c>
      <c r="F201" s="53" t="n">
        <v>4374.86</v>
      </c>
      <c r="G201" s="55" t="n">
        <v>85</v>
      </c>
      <c r="H201" s="57" t="n">
        <v>4</v>
      </c>
      <c r="I201" s="55" t="n">
        <v>72</v>
      </c>
      <c r="J201" s="56" t="n">
        <v>3.7</v>
      </c>
      <c r="K201" s="56" t="inlineStr">
        <is>
          <t>https://amazon.com/dp/B0CY542RHB</t>
        </is>
      </c>
      <c r="L201" s="34">
        <f>HYPERLINK(Table65[[#This Row],[Column1]])</f>
        <v/>
      </c>
    </row>
    <row r="202" ht="45" customHeight="1" s="290">
      <c r="A202" s="30" t="inlineStr">
        <is>
          <t>ANCEL FX2000 Plus OBD2 Scanner Diagnostic Tool with Protective Bag, ABS SRS Transmission Airbag Scan Tool, Check Engine Code Reader, Scanner for Car Lifetime Free Upgrade</t>
        </is>
      </c>
      <c r="B202" s="30" t="inlineStr">
        <is>
          <t>B0DQPJ8QVK</t>
        </is>
      </c>
      <c r="C202" s="30" t="inlineStr">
        <is>
          <t>Tablet</t>
        </is>
      </c>
      <c r="D202" s="324" t="n">
        <v>162.2</v>
      </c>
      <c r="E202" s="53" t="n">
        <v>29719.71230769231</v>
      </c>
      <c r="F202" s="53" t="n">
        <v>648.8</v>
      </c>
      <c r="G202" s="55" t="n">
        <v>191</v>
      </c>
      <c r="H202" s="57" t="n">
        <v>4</v>
      </c>
      <c r="I202" s="55" t="n">
        <v>48</v>
      </c>
      <c r="J202" s="56" t="n">
        <v>4.1</v>
      </c>
      <c r="K202" s="56" t="inlineStr">
        <is>
          <t>https://amazon.com/dp/B0DQPJ8QVK</t>
        </is>
      </c>
      <c r="L202" s="34">
        <f>HYPERLINK(Table65[[#This Row],[Column1]])</f>
        <v/>
      </c>
    </row>
    <row r="203" ht="45" customHeight="1" s="290">
      <c r="A203" s="30" t="inlineStr">
        <is>
          <t>ANCEL DS600 Elite OBD2 Scanner, 2025 New Bidirectional Full System Scan Tool with 34+Resets, ECU Online Coding, FCA SGW AutoAuth, VAG Guide, Wireless Car Scanner Diagnostic Tool with 2-Year Update</t>
        </is>
      </c>
      <c r="B203" s="30" t="inlineStr">
        <is>
          <t>B0CWNP8JDD</t>
        </is>
      </c>
      <c r="C203" s="30" t="inlineStr">
        <is>
          <t>Tablet</t>
        </is>
      </c>
      <c r="D203" s="324" t="n">
        <v>350.92</v>
      </c>
      <c r="E203" s="53" t="n">
        <v>14213.97</v>
      </c>
      <c r="F203" s="53" t="n">
        <v>350.92</v>
      </c>
      <c r="G203" s="55" t="n">
        <v>19</v>
      </c>
      <c r="H203" s="57" t="n">
        <v>1</v>
      </c>
      <c r="I203" s="55" t="n">
        <v>15</v>
      </c>
      <c r="J203" s="56" t="n">
        <v>3.4</v>
      </c>
      <c r="K203" s="56" t="inlineStr">
        <is>
          <t>https://amazon.com/dp/B0CWNP8JDD</t>
        </is>
      </c>
      <c r="L203" s="34">
        <f>HYPERLINK(Table65[[#This Row],[Column1]])</f>
        <v/>
      </c>
    </row>
    <row r="204" ht="17" customHeight="1" s="290">
      <c r="A204" s="30" t="inlineStr">
        <is>
          <t>ANCEL DS600 Plus Top Bi-Directional Scan Tool OEM All System Automotive OBD2 Scanner for All Cars, 34+ Reset Services Car Diagnostic Tablet, Online Coding, Active Test</t>
        </is>
      </c>
      <c r="B204" s="30" t="inlineStr">
        <is>
          <t>B0B1JD8D4H</t>
        </is>
      </c>
      <c r="C204" s="30" t="inlineStr">
        <is>
          <t>Tablet</t>
        </is>
      </c>
      <c r="D204" s="324" t="n">
        <v>359.99</v>
      </c>
      <c r="E204" s="53" t="n">
        <v>14518.16</v>
      </c>
      <c r="F204" s="53" t="n">
        <v>359.99</v>
      </c>
      <c r="G204" s="55" t="n">
        <v>22</v>
      </c>
      <c r="H204" s="57" t="n">
        <v>1</v>
      </c>
      <c r="I204" s="55" t="n">
        <v>12</v>
      </c>
      <c r="J204" s="56" t="n">
        <v>4.7</v>
      </c>
      <c r="K204" s="56" t="inlineStr">
        <is>
          <t>https://amazon.com/dp/B0B1JD8D4H</t>
        </is>
      </c>
      <c r="L204" s="34">
        <f>HYPERLINK(Table65[[#This Row],[Column1]])</f>
        <v/>
      </c>
    </row>
    <row r="205" ht="30" customHeight="1" s="290">
      <c r="A205" s="30" t="inlineStr">
        <is>
          <t>ANCEL Protective Case Storage Bag for OBD2 Scanner &amp; Small Diagnostic Tools – Compatible with BD310, Code Readers &amp; Battery Testers</t>
        </is>
      </c>
      <c r="B205" s="30" t="inlineStr">
        <is>
          <t>B0G8DGNVR7</t>
        </is>
      </c>
      <c r="C205" s="30" t="inlineStr">
        <is>
          <t>Other</t>
        </is>
      </c>
      <c r="D205" s="324" t="n">
        <v>19.98</v>
      </c>
      <c r="E205" s="53" t="n">
        <v>241.296923076923</v>
      </c>
      <c r="F205" s="53" t="n">
        <v>19.98</v>
      </c>
      <c r="G205" s="55" t="n">
        <v>1</v>
      </c>
      <c r="H205" s="57" t="n">
        <v>1</v>
      </c>
      <c r="I205" s="55" t="n"/>
      <c r="J205" s="56" t="n"/>
      <c r="K205" s="56" t="inlineStr">
        <is>
          <t>https://amazon.com/dp/B0G8DGNVR7</t>
        </is>
      </c>
      <c r="L205" s="34">
        <f>HYPERLINK(Table65[[#This Row],[Column1]])</f>
        <v/>
      </c>
    </row>
    <row r="206" ht="45" customHeight="1" s="290">
      <c r="A206" s="30" t="inlineStr">
        <is>
          <t>ANCEL Large Hard Protective Case, Waterproof Storage Box Diagnostic Scanner Tool (Only The Case), 13.39" x 8.27" x 4.92"</t>
        </is>
      </c>
      <c r="B206" s="30" t="inlineStr">
        <is>
          <t>B0FLXQ35LZ</t>
        </is>
      </c>
      <c r="C206" s="30" t="inlineStr">
        <is>
          <t>Other</t>
        </is>
      </c>
      <c r="D206" s="324" t="n">
        <v>29.29</v>
      </c>
      <c r="E206" s="53" t="n">
        <v>353.7330769230769</v>
      </c>
      <c r="F206" s="53" t="n">
        <v>29.29</v>
      </c>
      <c r="G206" s="55" t="n">
        <v>1</v>
      </c>
      <c r="H206" s="57" t="n">
        <v>1</v>
      </c>
      <c r="I206" s="55" t="n"/>
      <c r="J206" s="56" t="n"/>
      <c r="K206" s="56" t="inlineStr">
        <is>
          <t>https://amazon.com/dp/B0FLXQ35LZ</t>
        </is>
      </c>
      <c r="L206" s="34">
        <f>HYPERLINK(Table65[[#This Row],[Column1]])</f>
        <v/>
      </c>
    </row>
    <row r="207" ht="45" customHeight="1" s="290">
      <c r="A207" s="30" t="inlineStr">
        <is>
          <t>ANCEL Protective Case Storage Bag for HD100, HD110, HD120, HD200, HD210 Heavy Duty Truck Scanners(Only The Case)</t>
        </is>
      </c>
      <c r="B207" s="30" t="inlineStr">
        <is>
          <t>B0FX24WF6Q</t>
        </is>
      </c>
      <c r="C207" s="30" t="inlineStr">
        <is>
          <t>Other</t>
        </is>
      </c>
      <c r="D207" s="324" t="n">
        <v>19.99</v>
      </c>
      <c r="E207" s="53" t="n">
        <v>0</v>
      </c>
      <c r="F207" s="53" t="n">
        <v>0</v>
      </c>
      <c r="G207" s="55" t="n">
        <v>0</v>
      </c>
      <c r="H207" s="57" t="n">
        <v>0</v>
      </c>
      <c r="I207" s="55" t="n"/>
      <c r="J207" s="56" t="n"/>
      <c r="K207" s="56" t="inlineStr">
        <is>
          <t>https://amazon.com/dp/B0FX24WF6Q</t>
        </is>
      </c>
      <c r="L207" s="34">
        <f>HYPERLINK(Table65[[#This Row],[Column1]])</f>
        <v/>
      </c>
    </row>
    <row r="208" ht="17" customHeight="1" s="290">
      <c r="A208" s="30" t="inlineStr">
        <is>
          <t>ANCEL HD210 Bluetooth Heavy Duty Truck Scanner, Speed Limit and Idle Reset for Volvo &amp; International Engine, All System Diesel HDOBD/OBD2 Scanner Diagnostic Tool, Lifetime F-Ree Update Code Reader</t>
        </is>
      </c>
      <c r="B208" s="30" t="inlineStr">
        <is>
          <t>B0D9KB3GWR</t>
        </is>
      </c>
      <c r="C208" s="30" t="inlineStr">
        <is>
          <t>Cable/Adapter</t>
        </is>
      </c>
      <c r="D208" s="324" t="n">
        <v>172.2333333333333</v>
      </c>
      <c r="E208" s="53" t="n">
        <v>29768.75</v>
      </c>
      <c r="F208" s="53" t="n">
        <v>0</v>
      </c>
      <c r="G208" s="55" t="n">
        <v>156</v>
      </c>
      <c r="H208" s="57" t="n">
        <v>0</v>
      </c>
      <c r="I208" s="55" t="n">
        <v>59</v>
      </c>
      <c r="J208" s="56" t="n">
        <v>3</v>
      </c>
      <c r="K208" s="56" t="inlineStr">
        <is>
          <t>https://amazon.com/dp/B0D9KB3GWR</t>
        </is>
      </c>
      <c r="L208" s="34">
        <f>HYPERLINK(Table65[[#This Row],[Column1]])</f>
        <v/>
      </c>
    </row>
    <row r="209">
      <c r="A209" s="30" t="inlineStr">
        <is>
          <t>Ancel BD320 OBD2 Scanner Diagnostic Tool for VW Audi Skoda Seat, Full-System Diagnostics with EPB, Oil &amp; Throttle Reset, Battery Check, 3-in-1 Bluetooth Wired HUD Code Reader(Upgraded BD310)</t>
        </is>
      </c>
      <c r="B209" s="30" t="inlineStr">
        <is>
          <t>B0CRDY7JG5</t>
        </is>
      </c>
      <c r="C209" s="30" t="inlineStr">
        <is>
          <t>Dongle</t>
        </is>
      </c>
      <c r="D209" s="324" t="n">
        <v>61.944</v>
      </c>
      <c r="E209" s="53" t="n">
        <v>3760.340000000001</v>
      </c>
      <c r="F209" s="53" t="n">
        <v>0</v>
      </c>
      <c r="G209" s="55" t="n">
        <v>59</v>
      </c>
      <c r="H209" s="57" t="n">
        <v>0</v>
      </c>
      <c r="I209" s="55" t="n">
        <v>45</v>
      </c>
      <c r="J209" s="56" t="n">
        <v>3.5</v>
      </c>
      <c r="K209" s="56" t="inlineStr">
        <is>
          <t>https://amazon.com/dp/B0CRDY7JG5</t>
        </is>
      </c>
      <c r="L209" s="34">
        <f>HYPERLINK(TABLE209)</f>
        <v/>
      </c>
    </row>
    <row r="210">
      <c r="A210" s="33" t="inlineStr">
        <is>
          <t>Total</t>
        </is>
      </c>
      <c r="B210" s="32" t="n"/>
      <c r="C210" s="325" t="n"/>
      <c r="D210" s="59" t="n"/>
      <c r="E210" s="32" t="n"/>
      <c r="F210" s="32" t="n"/>
      <c r="G210" s="36">
        <f>SUM(G134:G209)</f>
        <v/>
      </c>
      <c r="H210" s="36">
        <f>SUM(H134:H209)</f>
        <v/>
      </c>
      <c r="I210" s="36" t="n"/>
      <c r="J210" s="167" t="n"/>
      <c r="K210" s="168" t="n"/>
      <c r="L210" s="32" t="n"/>
    </row>
  </sheetData>
  <mergeCells count="3">
    <mergeCell ref="A1:M5"/>
    <mergeCell ref="A131:L131"/>
    <mergeCell ref="A51:L51"/>
  </mergeCells>
  <conditionalFormatting sqref="C8:J17 L8:M17">
    <cfRule type="expression" priority="1" dxfId="30">
      <formula>C8&lt;0</formula>
    </cfRule>
  </conditionalFormatting>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3.xml><?xml version="1.0" encoding="utf-8"?>
<worksheet xmlns="http://schemas.openxmlformats.org/spreadsheetml/2006/main">
  <sheetPr>
    <outlinePr summaryBelow="1" summaryRight="1"/>
    <pageSetUpPr/>
  </sheetPr>
  <dimension ref="A1:Q1193"/>
  <sheetViews>
    <sheetView zoomScale="87" zoomScaleNormal="100" workbookViewId="0">
      <selection activeCell="L26" sqref="L26"/>
    </sheetView>
  </sheetViews>
  <sheetFormatPr baseColWidth="10" defaultColWidth="10.83203125" defaultRowHeight="16"/>
  <cols>
    <col width="50.6640625" customWidth="1" style="284" min="1" max="1"/>
    <col width="12.6640625" customWidth="1" style="284" min="2" max="2"/>
    <col width="12.6640625" customWidth="1" style="320" min="3" max="3"/>
    <col width="11.1640625" customWidth="1" style="296" min="4" max="4"/>
    <col width="24.83203125" bestFit="1" customWidth="1" style="284" min="5" max="5"/>
    <col width="17.6640625" bestFit="1" customWidth="1" style="286" min="6" max="6"/>
    <col width="21.6640625" bestFit="1" customWidth="1" style="286" min="7" max="7"/>
    <col width="19.1640625" bestFit="1" customWidth="1" style="286" min="8" max="8"/>
    <col width="13.5" bestFit="1" customWidth="1" style="287" min="9" max="9"/>
    <col width="12.6640625" bestFit="1" customWidth="1" style="284" min="10" max="10"/>
    <col hidden="1" width="18.1640625" customWidth="1" style="284" min="11" max="11"/>
    <col width="35.6640625" customWidth="1" style="284" min="12" max="12"/>
    <col width="15.6640625" customWidth="1" style="284" min="13" max="13"/>
    <col width="10.83203125" customWidth="1" style="284" min="14" max="16384"/>
  </cols>
  <sheetData>
    <row r="1">
      <c r="A1" s="282" t="inlineStr">
        <is>
          <t>AUTEL Monthly Summary</t>
        </is>
      </c>
    </row>
    <row r="2"/>
    <row r="3"/>
    <row r="4"/>
    <row r="5"/>
    <row r="6">
      <c r="A6" s="29" t="n"/>
      <c r="B6" s="29" t="n"/>
      <c r="C6" s="321" t="n"/>
      <c r="D6" s="47" t="n"/>
      <c r="E6" s="48" t="n"/>
      <c r="F6" s="48" t="n"/>
      <c r="G6" s="48" t="n"/>
      <c r="H6" s="48" t="n"/>
      <c r="I6" s="49" t="n"/>
      <c r="J6" s="50" t="n"/>
    </row>
    <row r="7" ht="32" customHeight="1" s="290">
      <c r="A7" s="80" t="n"/>
      <c r="B7" s="81" t="inlineStr">
        <is>
          <t>Avg Price</t>
        </is>
      </c>
      <c r="C7" s="81" t="inlineStr">
        <is>
          <t>Avg Price MoM</t>
        </is>
      </c>
      <c r="D7" s="82" t="inlineStr">
        <is>
          <t>Avg Price YoY</t>
        </is>
      </c>
      <c r="E7" s="81" t="inlineStr">
        <is>
          <t>Quantity/Mo</t>
        </is>
      </c>
      <c r="F7" s="84" t="inlineStr">
        <is>
          <t>Qty by %</t>
        </is>
      </c>
      <c r="G7" s="84" t="inlineStr">
        <is>
          <t>Qty MoM</t>
        </is>
      </c>
      <c r="H7" s="82" t="inlineStr">
        <is>
          <t>Qty YoY</t>
        </is>
      </c>
      <c r="I7" s="309" t="inlineStr">
        <is>
          <t>Revenue/Mo</t>
        </is>
      </c>
      <c r="J7" s="126" t="inlineStr">
        <is>
          <t>Revenue by %</t>
        </is>
      </c>
      <c r="K7" s="173" t="n"/>
      <c r="L7" s="126" t="inlineStr">
        <is>
          <t>Revenue MoM</t>
        </is>
      </c>
      <c r="M7" s="310" t="inlineStr">
        <is>
          <t>Revenue YoY</t>
        </is>
      </c>
      <c r="N7" s="286" t="n"/>
      <c r="O7" s="286" t="n"/>
      <c r="P7" s="49" t="n"/>
      <c r="Q7" s="50" t="n"/>
    </row>
    <row r="8">
      <c r="A8" s="93" t="inlineStr">
        <is>
          <t>Tablet $800+</t>
        </is>
      </c>
      <c r="B8" s="298" t="n">
        <v>1843.834891518738</v>
      </c>
      <c r="C8" s="270" t="n">
        <v>-0.03553013362648461</v>
      </c>
      <c r="D8" s="271" t="n">
        <v>-0.001004648033531397</v>
      </c>
      <c r="E8" s="269" t="n">
        <v>1014</v>
      </c>
      <c r="F8" s="270" t="n">
        <v>0.04982556139747433</v>
      </c>
      <c r="G8" s="270" t="n">
        <v>0.06289308176100628</v>
      </c>
      <c r="H8" s="271" t="n">
        <v>-0.03151862464183386</v>
      </c>
      <c r="I8" s="95" t="n">
        <v>1869648.58</v>
      </c>
      <c r="J8" s="128" t="n">
        <v>0.3294132658026904</v>
      </c>
      <c r="L8" s="128" t="n">
        <v>0.02512834853537171</v>
      </c>
      <c r="M8" s="128" t="n">
        <v>-0.03249160755109914</v>
      </c>
      <c r="N8" s="286" t="n"/>
      <c r="O8" s="286" t="n"/>
      <c r="P8" s="49" t="n"/>
      <c r="Q8" s="50" t="n"/>
    </row>
    <row r="9">
      <c r="A9" s="93" t="inlineStr">
        <is>
          <t>Tablet $400-$800</t>
        </is>
      </c>
      <c r="B9" s="298" t="n">
        <v>540.0820794435292</v>
      </c>
      <c r="C9" s="270" t="n">
        <v>0.008942642021537495</v>
      </c>
      <c r="D9" s="271" t="n">
        <v>0.1004086071531582</v>
      </c>
      <c r="E9" s="269" t="n">
        <v>5463</v>
      </c>
      <c r="F9" s="270" t="n">
        <v>0.2684388973514815</v>
      </c>
      <c r="G9" s="270" t="n">
        <v>0.1078888663557087</v>
      </c>
      <c r="H9" s="271" t="n">
        <v>0.427115987460815</v>
      </c>
      <c r="I9" s="95" t="n">
        <v>2950468.4</v>
      </c>
      <c r="J9" s="128" t="n">
        <v>0.5198428419589091</v>
      </c>
      <c r="L9" s="128" t="n">
        <v>0.1177963198871748</v>
      </c>
      <c r="M9" s="128" t="n">
        <v>0.5704107160077594</v>
      </c>
      <c r="N9" s="286" t="n"/>
      <c r="O9" s="286" t="n"/>
      <c r="P9" s="49" t="n"/>
      <c r="Q9" s="50" t="n"/>
    </row>
    <row r="10">
      <c r="A10" s="96" t="inlineStr">
        <is>
          <t>Tablet $400-</t>
        </is>
      </c>
      <c r="B10" s="299" t="n">
        <v>217.3441875</v>
      </c>
      <c r="C10" s="274" t="n">
        <v>-0.08489586227977541</v>
      </c>
      <c r="D10" s="275" t="n">
        <v>-0.5170597472366316</v>
      </c>
      <c r="E10" s="273" t="n">
        <v>160</v>
      </c>
      <c r="F10" s="274" t="n">
        <v>0.007862021522283918</v>
      </c>
      <c r="G10" s="274" t="n">
        <v>-0.08571428571428574</v>
      </c>
      <c r="H10" s="275" t="n">
        <v>13.54545454545454</v>
      </c>
      <c r="I10" s="98" t="n">
        <v>34775.07</v>
      </c>
      <c r="J10" s="127" t="n">
        <v>0.006127017397685059</v>
      </c>
      <c r="L10" s="127" t="n">
        <v>-0.1633333597986519</v>
      </c>
      <c r="M10" s="127" t="n">
        <v>6.024585494739904</v>
      </c>
      <c r="N10" s="286" t="n"/>
      <c r="O10" s="286" t="n"/>
      <c r="P10" s="49" t="n"/>
      <c r="Q10" s="50" t="n"/>
    </row>
    <row r="11">
      <c r="A11" s="101" t="inlineStr">
        <is>
          <t>Total Tablet</t>
        </is>
      </c>
      <c r="B11" s="300" t="n">
        <v>731.4889332529757</v>
      </c>
      <c r="C11" s="112" t="n">
        <v>-0.01585013790236767</v>
      </c>
      <c r="D11" s="104" t="n">
        <v>-0.06375588719026304</v>
      </c>
      <c r="E11" s="116" t="n">
        <v>6637</v>
      </c>
      <c r="F11" s="112" t="n">
        <v>0.3261264802712397</v>
      </c>
      <c r="G11" s="112" t="n">
        <v>0.09485318376773333</v>
      </c>
      <c r="H11" s="104" t="n">
        <v>0.3597623437820119</v>
      </c>
      <c r="I11" s="103" t="n">
        <v>4854892.05</v>
      </c>
      <c r="J11" s="129" t="n">
        <v>0.8553831251592845</v>
      </c>
      <c r="L11" s="129" t="n">
        <v>0.07749960982216852</v>
      </c>
      <c r="M11" s="129" t="n">
        <v>0.2730694891862784</v>
      </c>
      <c r="N11" s="286" t="n"/>
      <c r="O11" s="286" t="n"/>
      <c r="P11" s="49" t="n"/>
      <c r="Q11" s="50" t="n"/>
    </row>
    <row r="12">
      <c r="A12" s="93" t="inlineStr">
        <is>
          <t>Handheld $75+</t>
        </is>
      </c>
      <c r="B12" s="298" t="n">
        <v>194.0458776328987</v>
      </c>
      <c r="C12" s="270" t="n">
        <v>0.07359827600786262</v>
      </c>
      <c r="D12" s="271" t="n">
        <v>0.1780915811434922</v>
      </c>
      <c r="E12" s="269" t="n">
        <v>997</v>
      </c>
      <c r="F12" s="270" t="n">
        <v>0.04899022161073166</v>
      </c>
      <c r="G12" s="270" t="n">
        <v>0.1342434584755403</v>
      </c>
      <c r="H12" s="271" t="n">
        <v>0.2084848484848485</v>
      </c>
      <c r="I12" s="95" t="n">
        <v>193463.74</v>
      </c>
      <c r="J12" s="128" t="n">
        <v>0.03408636419139397</v>
      </c>
      <c r="L12" s="128" t="n">
        <v>0.2177218215925361</v>
      </c>
      <c r="M12" s="128" t="n">
        <v>0.4237058259394686</v>
      </c>
      <c r="N12" s="286" t="n"/>
      <c r="O12" s="286" t="n"/>
      <c r="P12" s="49" t="n"/>
      <c r="Q12" s="50" t="n"/>
    </row>
    <row r="13">
      <c r="A13" s="96" t="inlineStr">
        <is>
          <t>Handheld $75-</t>
        </is>
      </c>
      <c r="B13" s="299" t="n">
        <v>37.17327037773359</v>
      </c>
      <c r="C13" s="274" t="n">
        <v>0.01019449528182315</v>
      </c>
      <c r="D13" s="275" t="n">
        <v>0.09608643780625847</v>
      </c>
      <c r="E13" s="273" t="n">
        <v>6036</v>
      </c>
      <c r="F13" s="274" t="n">
        <v>0.2965947619281608</v>
      </c>
      <c r="G13" s="274" t="n">
        <v>-0.006583278472679366</v>
      </c>
      <c r="H13" s="275" t="n">
        <v>-0.06287843502561719</v>
      </c>
      <c r="I13" s="98" t="n">
        <v>224377.86</v>
      </c>
      <c r="J13" s="127" t="n">
        <v>0.03953312105123993</v>
      </c>
      <c r="L13" s="127" t="n">
        <v>0.003544103607815208</v>
      </c>
      <c r="M13" s="127" t="n">
        <v>0.02716623794419748</v>
      </c>
      <c r="N13" s="286" t="n"/>
      <c r="O13" s="286" t="n"/>
      <c r="P13" s="49" t="n"/>
      <c r="Q13" s="50" t="n"/>
    </row>
    <row r="14">
      <c r="A14" s="101" t="inlineStr">
        <is>
          <t>Total Handheld</t>
        </is>
      </c>
      <c r="B14" s="300" t="n">
        <v>59.41157400824683</v>
      </c>
      <c r="C14" s="112" t="n">
        <v>0.08039695874129005</v>
      </c>
      <c r="D14" s="104" t="n">
        <v>0.2183085435957792</v>
      </c>
      <c r="E14" s="116" t="n">
        <v>7033</v>
      </c>
      <c r="F14" s="112" t="n">
        <v>0.3455849835388924</v>
      </c>
      <c r="G14" s="112" t="n">
        <v>0.01121495327102795</v>
      </c>
      <c r="H14" s="104" t="n">
        <v>-0.03206716212496563</v>
      </c>
      <c r="I14" s="103" t="n">
        <v>417841.6</v>
      </c>
      <c r="J14" s="129" t="n">
        <v>0.07361948524263391</v>
      </c>
      <c r="L14" s="129" t="n">
        <v>0.09251356014773449</v>
      </c>
      <c r="M14" s="129" t="n">
        <v>0.1792408460100627</v>
      </c>
      <c r="N14" s="286" t="n"/>
      <c r="O14" s="286" t="n"/>
      <c r="P14" s="49" t="n"/>
      <c r="Q14" s="50" t="n"/>
    </row>
    <row r="15">
      <c r="A15" s="78" t="inlineStr">
        <is>
          <t>Total Dongle</t>
        </is>
      </c>
      <c r="B15" s="301" t="n">
        <v>93.1159166011015</v>
      </c>
      <c r="C15" s="113" t="n">
        <v>-0.1673625357850298</v>
      </c>
      <c r="D15" s="107" t="n">
        <v>0.1042013492619325</v>
      </c>
      <c r="E15" s="99" t="n">
        <v>1271</v>
      </c>
      <c r="F15" s="113" t="n">
        <v>0.06245393346764287</v>
      </c>
      <c r="G15" s="113" t="n">
        <v>0.1004329004329005</v>
      </c>
      <c r="H15" s="107" t="n">
        <v>0.3492569002123143</v>
      </c>
      <c r="I15" s="76" t="n">
        <v>118350.33</v>
      </c>
      <c r="J15" s="130" t="n">
        <v>0.02085213720437566</v>
      </c>
      <c r="L15" s="130" t="n">
        <v>-0.08373834024482507</v>
      </c>
      <c r="M15" s="130" t="n">
        <v>0.4898512897154097</v>
      </c>
      <c r="N15" s="286" t="n"/>
      <c r="O15" s="286" t="n"/>
      <c r="P15" s="49" t="n"/>
      <c r="Q15" s="50" t="n"/>
    </row>
    <row r="16">
      <c r="A16" s="78" t="inlineStr">
        <is>
          <t>Total Other Tools</t>
        </is>
      </c>
      <c r="B16" s="301" t="n">
        <v>54.08171032357473</v>
      </c>
      <c r="C16" s="113" t="n">
        <v>0.03425842972155313</v>
      </c>
      <c r="D16" s="107" t="n">
        <v>-0.06685499910695747</v>
      </c>
      <c r="E16" s="99" t="n">
        <v>5192</v>
      </c>
      <c r="F16" s="113" t="n">
        <v>0.2551225983981131</v>
      </c>
      <c r="G16" s="113" t="n">
        <v>0.03798480607756893</v>
      </c>
      <c r="H16" s="107" t="n">
        <v>0.3915840257303671</v>
      </c>
      <c r="I16" s="76" t="n">
        <v>280792.24</v>
      </c>
      <c r="J16" s="130" t="n">
        <v>0.04947276711779325</v>
      </c>
      <c r="L16" s="130" t="n">
        <v>0.07354453560861729</v>
      </c>
      <c r="M16" s="130" t="n">
        <v>0.2985496769329075</v>
      </c>
      <c r="N16" s="286" t="n"/>
      <c r="O16" s="286" t="n"/>
      <c r="P16" s="49" t="n"/>
      <c r="Q16" s="50" t="n"/>
    </row>
    <row r="17">
      <c r="A17" s="86" t="inlineStr">
        <is>
          <t>Total</t>
        </is>
      </c>
      <c r="B17" s="302" t="n">
        <v>281.720370535936</v>
      </c>
      <c r="C17" s="109" t="n">
        <v>0.02326681055366286</v>
      </c>
      <c r="D17" s="108" t="n">
        <v>0.06371015031655403</v>
      </c>
      <c r="E17" s="100" t="n">
        <v>20133</v>
      </c>
      <c r="F17" s="109" t="n">
        <v>0.9892879956758882</v>
      </c>
      <c r="G17" s="109" t="n">
        <v>0.05001564618754561</v>
      </c>
      <c r="H17" s="108" t="n">
        <v>0.1926426159587702</v>
      </c>
      <c r="I17" s="85" t="n">
        <v>5671876.22</v>
      </c>
      <c r="J17" s="109" t="n">
        <v>0.9993275147240873</v>
      </c>
      <c r="L17" s="109" t="n">
        <v>0.0744461613057732</v>
      </c>
      <c r="M17" s="109" t="n">
        <v>0.2686260562954317</v>
      </c>
      <c r="N17" s="286" t="n"/>
      <c r="O17" s="286" t="n"/>
      <c r="P17" s="49" t="n"/>
      <c r="Q17" s="50" t="n"/>
    </row>
    <row r="18">
      <c r="A18" s="29" t="n"/>
      <c r="B18" s="29" t="n"/>
      <c r="C18" s="321" t="n"/>
      <c r="D18" s="47" t="n"/>
      <c r="E18" s="48" t="n"/>
      <c r="F18" s="48" t="n"/>
      <c r="G18" s="48" t="n"/>
      <c r="H18" s="48" t="n"/>
      <c r="I18" s="49" t="n"/>
      <c r="J18" s="50" t="n"/>
    </row>
    <row r="19">
      <c r="A19" s="29" t="n"/>
      <c r="B19" s="29" t="n"/>
      <c r="C19" s="321" t="n"/>
      <c r="D19" s="47" t="n"/>
      <c r="E19" s="48" t="n"/>
      <c r="F19" s="48" t="n"/>
      <c r="G19" s="48" t="n"/>
      <c r="H19" s="48" t="n"/>
      <c r="I19" s="49" t="n"/>
      <c r="J19" s="50" t="n"/>
    </row>
    <row r="20">
      <c r="A20" s="29" t="n"/>
      <c r="B20" s="29" t="n"/>
      <c r="C20" s="321" t="n"/>
      <c r="D20" s="47" t="n"/>
      <c r="E20" s="48" t="n"/>
      <c r="F20" s="48" t="n"/>
      <c r="G20" s="48" t="n"/>
      <c r="H20" s="48" t="n"/>
      <c r="I20" s="49" t="n"/>
      <c r="J20" s="50" t="n"/>
    </row>
    <row r="21">
      <c r="A21" s="29" t="n"/>
      <c r="B21" s="29" t="n"/>
      <c r="C21" s="321" t="n"/>
      <c r="D21" s="47" t="n"/>
      <c r="E21" s="48" t="n"/>
      <c r="F21" s="48" t="n"/>
      <c r="G21" s="48" t="n"/>
      <c r="H21" s="48" t="n"/>
      <c r="I21" s="49" t="n"/>
      <c r="J21" s="50" t="n"/>
    </row>
    <row r="22">
      <c r="A22" s="29" t="n"/>
      <c r="B22" s="29" t="n"/>
      <c r="C22" s="321" t="n"/>
      <c r="D22" s="47" t="n"/>
      <c r="E22" s="48" t="n"/>
      <c r="F22" s="48" t="n"/>
      <c r="G22" s="48" t="n"/>
      <c r="H22" s="48" t="n"/>
      <c r="I22" s="49" t="n"/>
      <c r="J22" s="50" t="n"/>
    </row>
    <row r="23">
      <c r="A23" s="29" t="n"/>
      <c r="B23" s="29" t="n"/>
      <c r="C23" s="321" t="n"/>
      <c r="D23" s="47" t="n"/>
      <c r="E23" s="48" t="n"/>
      <c r="F23" s="48" t="n"/>
      <c r="G23" s="48" t="n"/>
      <c r="H23" s="48" t="n"/>
      <c r="I23" s="49" t="n"/>
      <c r="J23" s="50" t="n"/>
    </row>
    <row r="24">
      <c r="A24" s="29" t="n"/>
      <c r="B24" s="29" t="n"/>
      <c r="C24" s="321" t="n"/>
      <c r="D24" s="47" t="n"/>
      <c r="E24" s="48" t="n"/>
      <c r="F24" s="48" t="n"/>
      <c r="G24" s="48" t="n"/>
      <c r="H24" s="48" t="n"/>
      <c r="I24" s="49" t="n"/>
      <c r="J24" s="50" t="n"/>
    </row>
    <row r="25">
      <c r="A25" s="29" t="n"/>
      <c r="B25" s="29" t="n"/>
      <c r="C25" s="321" t="n"/>
      <c r="D25" s="47" t="n"/>
      <c r="E25" s="48" t="n"/>
      <c r="F25" s="48" t="n"/>
      <c r="G25" s="48" t="n"/>
      <c r="H25" s="48" t="n"/>
      <c r="I25" s="49" t="n"/>
      <c r="J25" s="50" t="n"/>
    </row>
    <row r="26">
      <c r="A26" s="29" t="n"/>
      <c r="B26" s="29" t="n"/>
      <c r="C26" s="321" t="n"/>
      <c r="D26" s="47" t="n"/>
      <c r="E26" s="48" t="n"/>
      <c r="F26" s="48" t="n"/>
      <c r="G26" s="48" t="n"/>
      <c r="H26" s="48" t="n"/>
      <c r="I26" s="49" t="n"/>
      <c r="J26" s="50" t="n"/>
    </row>
    <row r="27">
      <c r="A27" s="29" t="n"/>
      <c r="B27" s="29" t="n"/>
      <c r="C27" s="321" t="n"/>
      <c r="D27" s="47" t="n"/>
      <c r="E27" s="48" t="n"/>
      <c r="F27" s="48" t="n"/>
      <c r="G27" s="48" t="n"/>
      <c r="H27" s="48" t="n"/>
      <c r="I27" s="49" t="n"/>
      <c r="J27" s="50" t="n"/>
    </row>
    <row r="28">
      <c r="A28" s="29" t="n"/>
      <c r="B28" s="29" t="n"/>
      <c r="C28" s="321" t="n"/>
      <c r="D28" s="47" t="n"/>
      <c r="E28" s="48" t="n"/>
      <c r="F28" s="48" t="n"/>
      <c r="G28" s="48" t="n"/>
      <c r="H28" s="48" t="n"/>
      <c r="I28" s="49" t="n"/>
      <c r="J28" s="50" t="n"/>
    </row>
    <row r="29">
      <c r="A29" s="29" t="n"/>
      <c r="B29" s="29" t="n"/>
      <c r="C29" s="321" t="n"/>
      <c r="D29" s="47" t="n"/>
      <c r="E29" s="48" t="n"/>
      <c r="F29" s="48" t="n"/>
      <c r="G29" s="48" t="n"/>
      <c r="H29" s="48" t="n"/>
      <c r="I29" s="49" t="n"/>
      <c r="J29" s="50" t="n"/>
    </row>
    <row r="30">
      <c r="A30" s="29" t="n"/>
      <c r="B30" s="29" t="n"/>
      <c r="C30" s="321" t="n"/>
      <c r="D30" s="47" t="n"/>
      <c r="E30" s="48" t="n"/>
      <c r="F30" s="48" t="n"/>
      <c r="G30" s="48" t="n"/>
      <c r="H30" s="48" t="n"/>
      <c r="I30" s="49" t="n"/>
      <c r="J30" s="50" t="n"/>
    </row>
    <row r="31">
      <c r="A31" s="29" t="n"/>
      <c r="B31" s="29" t="n"/>
      <c r="C31" s="321" t="n"/>
      <c r="D31" s="47" t="n"/>
      <c r="E31" s="48" t="n"/>
      <c r="F31" s="48" t="n"/>
      <c r="G31" s="48" t="n"/>
      <c r="H31" s="48" t="n"/>
      <c r="I31" s="49" t="n"/>
      <c r="J31" s="50" t="n"/>
    </row>
    <row r="32">
      <c r="A32" s="29" t="n"/>
      <c r="B32" s="29" t="n"/>
      <c r="C32" s="321" t="n"/>
      <c r="D32" s="47" t="n"/>
      <c r="E32" s="48" t="n"/>
      <c r="F32" s="48" t="n"/>
      <c r="G32" s="48" t="n"/>
      <c r="H32" s="48" t="n"/>
      <c r="I32" s="49" t="n"/>
      <c r="J32" s="50" t="n"/>
    </row>
    <row r="33">
      <c r="A33" s="29" t="n"/>
      <c r="B33" s="29" t="n"/>
      <c r="C33" s="321" t="n"/>
      <c r="D33" s="47" t="n"/>
      <c r="E33" s="48" t="n"/>
      <c r="F33" s="48" t="n"/>
      <c r="G33" s="48" t="n"/>
      <c r="H33" s="48" t="n"/>
      <c r="I33" s="49" t="n"/>
      <c r="J33" s="50" t="n"/>
    </row>
    <row r="51">
      <c r="A51" s="283" t="inlineStr">
        <is>
          <t>Rank by Revenue</t>
        </is>
      </c>
    </row>
    <row r="52" ht="17" customHeight="1" s="290">
      <c r="A52" s="38" t="inlineStr">
        <is>
          <t>Product Name</t>
        </is>
      </c>
      <c r="B52" s="39" t="inlineStr">
        <is>
          <t>ASIN</t>
        </is>
      </c>
      <c r="C52" s="39" t="inlineStr">
        <is>
          <t>Type</t>
        </is>
      </c>
      <c r="D52" s="322" t="inlineStr">
        <is>
          <t>Avg Price</t>
        </is>
      </c>
      <c r="E52" s="41" t="inlineStr">
        <is>
          <t>Estimated 12mo Revenue</t>
        </is>
      </c>
      <c r="F52" s="39" t="inlineStr">
        <is>
          <t>Monthly Rev</t>
        </is>
      </c>
      <c r="G52" s="42" t="inlineStr">
        <is>
          <t>Estimated 12mo Units</t>
        </is>
      </c>
      <c r="H52" s="45" t="inlineStr">
        <is>
          <t>Monthly Units</t>
        </is>
      </c>
      <c r="I52" s="42" t="inlineStr">
        <is>
          <t># of Reviews</t>
        </is>
      </c>
      <c r="J52" s="43" t="inlineStr">
        <is>
          <t xml:space="preserve">Tool Rating </t>
        </is>
      </c>
      <c r="K52" s="43" t="inlineStr">
        <is>
          <t>Column1</t>
        </is>
      </c>
      <c r="L52" s="323" t="inlineStr">
        <is>
          <t>Link</t>
        </is>
      </c>
    </row>
    <row r="53" ht="60" customHeight="1" s="290">
      <c r="A53" s="30" t="inlineStr">
        <is>
          <t>Autel Scanner MaxiCOM MK808S: 2026 Bidirectional Tool as MX808S MK808BT Pro M808Z, Work as MaxiCheck MX900 MK900BT, 28+ Service, 3000+ Active Tests, All System OBD2 Diagnostics, OS 11, 10X Faster</t>
        </is>
      </c>
      <c r="B53" s="30" t="inlineStr">
        <is>
          <t>B0744B55QV</t>
        </is>
      </c>
      <c r="C53" s="30" t="inlineStr">
        <is>
          <t>Tablet</t>
        </is>
      </c>
      <c r="D53" s="324" t="n">
        <v>455.0867040358744</v>
      </c>
      <c r="E53" s="324" t="n">
        <v>7885233.039999999</v>
      </c>
      <c r="F53" s="326" t="n">
        <v>608906.01</v>
      </c>
      <c r="G53" s="55" t="n">
        <v>17363</v>
      </c>
      <c r="H53" s="55" t="n">
        <v>1338</v>
      </c>
      <c r="I53" s="55" t="n">
        <v>3847</v>
      </c>
      <c r="J53" s="56" t="n">
        <v>4.4</v>
      </c>
      <c r="K53" s="56" t="inlineStr">
        <is>
          <t>https://amazon.com/dp/B0744B55QV</t>
        </is>
      </c>
      <c r="L53" s="70">
        <f>HYPERLINK(Table1311[[#This Row],[Column1]])</f>
        <v/>
      </c>
    </row>
    <row r="54" ht="60" customHeight="1" s="290">
      <c r="A54" s="30" t="inlineStr">
        <is>
          <t>Autel Scanner MaxiCOM MK900BT, 2026 MK900-BT V2.0 Bidirectional Diagnostic Tool, 8in Up of MK900 MX900 MK808S MK808BT MX808S MK808Z, 3000+ Active Tests, 40+ Service, CAN-FD&amp;DOIP, All System, FCA 11 OS</t>
        </is>
      </c>
      <c r="B54" s="30" t="inlineStr">
        <is>
          <t>B098PYB8XG</t>
        </is>
      </c>
      <c r="C54" s="30" t="inlineStr">
        <is>
          <t>Tablet</t>
        </is>
      </c>
      <c r="D54" s="324" t="n">
        <v>658.7687378640776</v>
      </c>
      <c r="E54" s="324" t="n">
        <v>6159075.856923075</v>
      </c>
      <c r="F54" s="326" t="n">
        <v>542825.4399999999</v>
      </c>
      <c r="G54" s="55" t="n">
        <v>8585</v>
      </c>
      <c r="H54" s="55" t="n">
        <v>824</v>
      </c>
      <c r="I54" s="55" t="n">
        <v>708</v>
      </c>
      <c r="J54" s="56" t="n">
        <v>4.5</v>
      </c>
      <c r="K54" s="56" t="inlineStr">
        <is>
          <t>https://amazon.com/dp/B098PYB8XG</t>
        </is>
      </c>
      <c r="L54" s="70">
        <f>HYPERLINK(Table1311[[#This Row],[Column1]])</f>
        <v/>
      </c>
    </row>
    <row r="55" ht="60" customHeight="1" s="290">
      <c r="A55" s="30" t="inlineStr">
        <is>
          <t>Autel Scanner MaxiCheck MX808S, 2026 US Ver. of MaxiCOM MK808S MK808Z, Bidirectional 3000+ Active Test 11OS as MK900 MK900BT MX900, 28+ Service, OE All Systems OBD2 Diagnostic Tool, FCA, 10X Faster</t>
        </is>
      </c>
      <c r="B55" s="30" t="inlineStr">
        <is>
          <t>B08ML7T7KZ</t>
        </is>
      </c>
      <c r="C55" s="30" t="inlineStr">
        <is>
          <t>Tablet</t>
        </is>
      </c>
      <c r="D55" s="324" t="n">
        <v>430.9935983263599</v>
      </c>
      <c r="E55" s="324" t="n">
        <v>3546450.44</v>
      </c>
      <c r="F55" s="326" t="n">
        <v>206014.94</v>
      </c>
      <c r="G55" s="55" t="n">
        <v>8226</v>
      </c>
      <c r="H55" s="55" t="n">
        <v>478</v>
      </c>
      <c r="I55" s="55" t="n">
        <v>711</v>
      </c>
      <c r="J55" s="56" t="n">
        <v>4.7</v>
      </c>
      <c r="K55" s="56" t="inlineStr">
        <is>
          <t>https://amazon.com/dp/B08ML7T7KZ</t>
        </is>
      </c>
      <c r="L55" s="70">
        <f>HYPERLINK(Table1311[[#This Row],[Column1]])</f>
        <v/>
      </c>
    </row>
    <row r="56" ht="60" customHeight="1" s="290">
      <c r="A56" s="30" t="inlineStr">
        <is>
          <t>Autel Scanner MaxiCOM MK900BT, 2026 MK900-BT Bidirectional Diagnostic Scan Tool, 2.0 BT Ver. of MK900 MX900, 8in Up of MK808S MK808BT PRO MX808S MK808Z, 40+ Reset, 3K+ Active Tests, CAN FD &amp; DoIP, FCA</t>
        </is>
      </c>
      <c r="B56" s="30" t="inlineStr">
        <is>
          <t>B09712X5CW</t>
        </is>
      </c>
      <c r="C56" s="30" t="inlineStr">
        <is>
          <t>Tablet</t>
        </is>
      </c>
      <c r="D56" s="324" t="n">
        <v>658.3624742268041</v>
      </c>
      <c r="E56" s="324" t="n">
        <v>1561721.28</v>
      </c>
      <c r="F56" s="326" t="n">
        <v>191583.48</v>
      </c>
      <c r="G56" s="55" t="n">
        <v>2370</v>
      </c>
      <c r="H56" s="55" t="n">
        <v>291</v>
      </c>
      <c r="I56" s="55" t="n">
        <v>208</v>
      </c>
      <c r="J56" s="56" t="n">
        <v>4.6</v>
      </c>
      <c r="K56" s="56" t="inlineStr">
        <is>
          <t>https://amazon.com/dp/B09712X5CW</t>
        </is>
      </c>
      <c r="L56" s="70">
        <f>HYPERLINK(Table1311[[#This Row],[Column1]])</f>
        <v/>
      </c>
    </row>
    <row r="57" ht="60" customHeight="1" s="290">
      <c r="A57" s="30" t="inlineStr">
        <is>
          <t>Autel Scanner MaxiCOM MK900: 2026 Updated as MK900BT MK900-BT MX900 Bidirectional Diagnostic Tool, 8in Up of MK808S MK808BT Pro MX808S 808Z, 3K+ Active Tests, 40+ Service, CAN-FD&amp;DOIP, All System, FCA</t>
        </is>
      </c>
      <c r="B57" s="30" t="inlineStr">
        <is>
          <t>B073CQMF25</t>
        </is>
      </c>
      <c r="C57" s="30" t="inlineStr">
        <is>
          <t>Tablet</t>
        </is>
      </c>
      <c r="D57" s="324" t="n">
        <v>559.1208823529412</v>
      </c>
      <c r="E57" s="324" t="n">
        <v>2154287.09</v>
      </c>
      <c r="F57" s="326" t="n">
        <v>171090.99</v>
      </c>
      <c r="G57" s="55" t="n">
        <v>3794</v>
      </c>
      <c r="H57" s="55" t="n">
        <v>306</v>
      </c>
      <c r="I57" s="55" t="n">
        <v>371</v>
      </c>
      <c r="J57" s="56" t="n">
        <v>4.4</v>
      </c>
      <c r="K57" s="56" t="inlineStr">
        <is>
          <t>https://amazon.com/dp/B073CQMF25</t>
        </is>
      </c>
      <c r="L57" s="70">
        <f>HYPERLINK(Table1311[[#This Row],[Column1]])</f>
        <v/>
      </c>
    </row>
    <row r="58" ht="45" customHeight="1" s="290">
      <c r="A58" s="30" t="inlineStr">
        <is>
          <t>Autel Scanner MaxiCOM MK900BT: 2026 8in MK900-BT V2.0 Bidirectional Scan Tool, 33ft BT Ver. of MK900 MX900 MK808S MK808BT PRO MX808S MK808Z, 40+ Service, 3K+ Active Tests, DOIP CANFD, All System, FCA</t>
        </is>
      </c>
      <c r="B58" s="30" t="inlineStr">
        <is>
          <t>B07PGYY8SS</t>
        </is>
      </c>
      <c r="C58" s="30" t="inlineStr">
        <is>
          <t>Tablet</t>
        </is>
      </c>
      <c r="D58" s="324" t="n">
        <v>658.3173469387755</v>
      </c>
      <c r="E58" s="324" t="n">
        <v>1188045.54</v>
      </c>
      <c r="F58" s="326" t="n">
        <v>161287.75</v>
      </c>
      <c r="G58" s="55" t="n">
        <v>1578</v>
      </c>
      <c r="H58" s="55" t="n">
        <v>245</v>
      </c>
      <c r="I58" s="55" t="n">
        <v>173</v>
      </c>
      <c r="J58" s="56" t="n">
        <v>4.5</v>
      </c>
      <c r="K58" s="56" t="inlineStr">
        <is>
          <t>https://amazon.com/dp/B07PGYY8SS</t>
        </is>
      </c>
      <c r="L58" s="70">
        <f>HYPERLINK(Table1311[[#This Row],[Column1]])</f>
        <v/>
      </c>
    </row>
    <row r="59" ht="60" customHeight="1" s="290">
      <c r="A59" s="30" t="inlineStr">
        <is>
          <t>Autel Scanner MaxiCOM MK808BT PRO, 2026 Bidirectional Tool as MK900BT, Up Ver. of MK900 MaxiCheck MX900 MK808S MX808S, 3000+ Test, 28+ Service, All System Diagnostic, Injector Coding, FCA Android 11</t>
        </is>
      </c>
      <c r="B59" s="30" t="inlineStr">
        <is>
          <t>B07MBSZH48</t>
        </is>
      </c>
      <c r="C59" s="30" t="inlineStr">
        <is>
          <t>Tablet</t>
        </is>
      </c>
      <c r="D59" s="324" t="n">
        <v>548.6857421875</v>
      </c>
      <c r="E59" s="324" t="n">
        <v>1830531.78</v>
      </c>
      <c r="F59" s="326" t="n">
        <v>140463.55</v>
      </c>
      <c r="G59" s="55" t="n">
        <v>3407</v>
      </c>
      <c r="H59" s="55" t="n">
        <v>256</v>
      </c>
      <c r="I59" s="55" t="n">
        <v>1785</v>
      </c>
      <c r="J59" s="56" t="n">
        <v>4.6</v>
      </c>
      <c r="K59" s="56" t="inlineStr">
        <is>
          <t>https://amazon.com/dp/B07MBSZH48</t>
        </is>
      </c>
      <c r="L59" s="70">
        <f>HYPERLINK(Table1311[[#This Row],[Column1]])</f>
        <v/>
      </c>
    </row>
    <row r="60" ht="45" customHeight="1" s="290">
      <c r="A60" s="30" t="inlineStr">
        <is>
          <t>Autel MaxiCOM MK900 Bidirectional Scanner: 2026 Up of MaxiCheck MX808S MK808S, Work as MK900-BT MK900BT MX900 OBD2 Diagnostic Tool w/ 3000+ Active Test, 40+ Service, CAN-FD&amp;DOIP, All System, FCA 11 OS</t>
        </is>
      </c>
      <c r="B60" s="30" t="inlineStr">
        <is>
          <t>B0GDY7WJB7</t>
        </is>
      </c>
      <c r="C60" s="30" t="inlineStr">
        <is>
          <t>Tablet</t>
        </is>
      </c>
      <c r="D60" s="324" t="n">
        <v>589.6067948717948</v>
      </c>
      <c r="E60" s="324" t="n">
        <v>1403053.259230769</v>
      </c>
      <c r="F60" s="326" t="n">
        <v>137967.99</v>
      </c>
      <c r="G60" s="55" t="n">
        <v>435</v>
      </c>
      <c r="H60" s="55" t="n">
        <v>234</v>
      </c>
      <c r="I60" s="55" t="n">
        <v>23</v>
      </c>
      <c r="J60" s="56" t="n">
        <v>5</v>
      </c>
      <c r="K60" s="56" t="inlineStr">
        <is>
          <t>https://amazon.com/dp/B0GDY7WJB7</t>
        </is>
      </c>
      <c r="L60" s="70">
        <f>HYPERLINK(Table1311[[#This Row],[Column1]])</f>
        <v/>
      </c>
    </row>
    <row r="61" ht="60" customHeight="1" s="290">
      <c r="A61" s="30" t="inlineStr">
        <is>
          <t>Autel MaxiSys Ultra S2 Scanner, 2026 Top Intelligen Scan Diagnostic with AI, 6-in-1 VCMI2, Up of MSUltra MS919, Topology 3.0, Multi-Point DVI, Motor Truspeed Repair, EV Test, 48+ Service, ECU Program</t>
        </is>
      </c>
      <c r="B61" s="30" t="inlineStr">
        <is>
          <t>B0DZC1M7MZ</t>
        </is>
      </c>
      <c r="C61" s="30" t="inlineStr">
        <is>
          <t>Tablet</t>
        </is>
      </c>
      <c r="D61" s="324" t="n">
        <v>5558.342608695652</v>
      </c>
      <c r="E61" s="324" t="n">
        <v>1461214.87</v>
      </c>
      <c r="F61" s="326" t="n">
        <v>127841.88</v>
      </c>
      <c r="G61" s="55" t="n">
        <v>272</v>
      </c>
      <c r="H61" s="55" t="n">
        <v>23</v>
      </c>
      <c r="I61" s="55" t="n">
        <v>22</v>
      </c>
      <c r="J61" s="56" t="n">
        <v>4.8</v>
      </c>
      <c r="K61" s="56" t="inlineStr">
        <is>
          <t>https://amazon.com/dp/B0DZC1M7MZ</t>
        </is>
      </c>
      <c r="L61" s="70">
        <f>HYPERLINK(Table1311[[#This Row],[Column1]])</f>
        <v/>
      </c>
    </row>
    <row r="62" ht="60" customHeight="1" s="290">
      <c r="A62" s="30" t="inlineStr">
        <is>
          <t>Autel MaxiCheck MX900 Scanner, 2026 Bidirectional Scan Tool with 3000+ Active Test, DoIP&amp;CAN FD, 40+ Service, US Ver. of MaxiCOM MK900 MK900BT, Up of MK808BT MK808S MX808S, All-Sys Diagnose, FCA 11OS</t>
        </is>
      </c>
      <c r="B62" s="30" t="inlineStr">
        <is>
          <t>B09JFXPYKL</t>
        </is>
      </c>
      <c r="C62" s="30" t="inlineStr">
        <is>
          <t>Tablet</t>
        </is>
      </c>
      <c r="D62" s="324" t="n">
        <v>559.3285572139304</v>
      </c>
      <c r="E62" s="324" t="n">
        <v>712617.9700000001</v>
      </c>
      <c r="F62" s="326" t="n">
        <v>112425.04</v>
      </c>
      <c r="G62" s="55" t="n">
        <v>1274</v>
      </c>
      <c r="H62" s="55" t="n">
        <v>201</v>
      </c>
      <c r="I62" s="55" t="n">
        <v>117</v>
      </c>
      <c r="J62" s="56" t="n">
        <v>4.6</v>
      </c>
      <c r="K62" s="56" t="inlineStr">
        <is>
          <t>https://amazon.com/dp/B09JFXPYKL</t>
        </is>
      </c>
      <c r="L62" s="70">
        <f>HYPERLINK(Table1311[[#This Row],[Column1]])</f>
        <v/>
      </c>
    </row>
    <row r="63" ht="60" customHeight="1" s="290">
      <c r="A63" s="30" t="inlineStr">
        <is>
          <t>Autel Professional OBD2 Scanner AL319 Code Reader, Enhanced Check and Reset Engine Fault Code, Live Data, Freeze Frame, CAN Car Diagnostic Scan Tools for All OBDII Vehicles After 1996, 2026 Upgraded</t>
        </is>
      </c>
      <c r="B63" s="30" t="inlineStr">
        <is>
          <t>B007XE8C74</t>
        </is>
      </c>
      <c r="C63" s="30" t="inlineStr">
        <is>
          <t>Handheld</t>
        </is>
      </c>
      <c r="D63" s="324" t="n">
        <v>33.92090459901178</v>
      </c>
      <c r="E63" s="324" t="n">
        <v>1146321.48</v>
      </c>
      <c r="F63" s="326" t="n">
        <v>89245.89999999999</v>
      </c>
      <c r="G63" s="55" t="n">
        <v>34132</v>
      </c>
      <c r="H63" s="55" t="n">
        <v>2631</v>
      </c>
      <c r="I63" s="55" t="n">
        <v>25897</v>
      </c>
      <c r="J63" s="56" t="n">
        <v>4.6</v>
      </c>
      <c r="K63" s="56" t="inlineStr">
        <is>
          <t>https://amazon.com/dp/B007XE8C74</t>
        </is>
      </c>
      <c r="L63" s="70">
        <f>HYPERLINK(Table1311[[#This Row],[Column1]])</f>
        <v/>
      </c>
    </row>
    <row r="64" ht="45" customHeight="1" s="290">
      <c r="A64" s="30" t="inlineStr">
        <is>
          <t>Autel Scanner MaxiCOM MK808BT PRO, 2026 Bidirectional Diagnostic Scan Tool as MK900BT, 2.0 BT Ver. of MK808S MX808S MX900 MK900, 3000+ Active Tests, 28+ Reset, Injector Coding, All Systems, FCA, OS 11</t>
        </is>
      </c>
      <c r="B64" s="30" t="inlineStr">
        <is>
          <t>B07FFT8SCC</t>
        </is>
      </c>
      <c r="C64" s="30" t="inlineStr">
        <is>
          <t>Tablet</t>
        </is>
      </c>
      <c r="D64" s="324" t="n">
        <v>550.0850943396226</v>
      </c>
      <c r="E64" s="324" t="n">
        <v>631410.39</v>
      </c>
      <c r="F64" s="326" t="n">
        <v>87463.53</v>
      </c>
      <c r="G64" s="55" t="n">
        <v>1148</v>
      </c>
      <c r="H64" s="55" t="n">
        <v>159</v>
      </c>
      <c r="I64" s="55" t="n">
        <v>663</v>
      </c>
      <c r="J64" s="56" t="n">
        <v>4.5</v>
      </c>
      <c r="K64" s="56" t="inlineStr">
        <is>
          <t>https://amazon.com/dp/B07FFT8SCC</t>
        </is>
      </c>
      <c r="L64" s="70">
        <f>HYPERLINK(Table1311[[#This Row],[Column1]])</f>
        <v/>
      </c>
    </row>
    <row r="65" ht="45" customHeight="1" s="290">
      <c r="A65" s="30" t="inlineStr">
        <is>
          <t>Autel Scanner MaxiIM KM100 (X), Lifetime Free Updates, 2026 New Automotive Diagnostic OBD2 Scan Tool, V200 Wireless BT Connection, Auto Scan &amp; Auto VIN, Android 9.0, 2GB &amp; 64GB, 5.5in 1280 * 720</t>
        </is>
      </c>
      <c r="B65" s="30" t="inlineStr">
        <is>
          <t>B0FLKG4BTQ</t>
        </is>
      </c>
      <c r="C65" s="30" t="inlineStr">
        <is>
          <t>Tablet</t>
        </is>
      </c>
      <c r="D65" s="324" t="n">
        <v>520.1753703703704</v>
      </c>
      <c r="E65" s="324" t="n">
        <v>670104.6876923076</v>
      </c>
      <c r="F65" s="326" t="n">
        <v>84268.41</v>
      </c>
      <c r="G65" s="55" t="n">
        <v>384</v>
      </c>
      <c r="H65" s="55" t="n">
        <v>162</v>
      </c>
      <c r="I65" s="55" t="n">
        <v>19</v>
      </c>
      <c r="J65" s="56" t="n">
        <v>4.2</v>
      </c>
      <c r="K65" s="56" t="inlineStr">
        <is>
          <t>https://amazon.com/dp/B0FLKG4BTQ</t>
        </is>
      </c>
      <c r="L65" s="70">
        <f>HYPERLINK(Table1311[[#This Row],[Column1]])</f>
        <v/>
      </c>
    </row>
    <row r="66" ht="60" customHeight="1" s="290">
      <c r="A66" s="30" t="inlineStr">
        <is>
          <t>Autel Scanner MaxiCheck MX808S, 2026 US Ver of MaxiCOM MK808S MK808Z, Full Bidirectional Diagnostic Scan Tool as MK900 MX900 MK900BT MK808BT PRO, 3K+ Active Test, 28+ Service, OE All System, OS11, FCA</t>
        </is>
      </c>
      <c r="B66" s="30" t="inlineStr">
        <is>
          <t>B08TWMTD35</t>
        </is>
      </c>
      <c r="C66" s="30" t="inlineStr">
        <is>
          <t>Tablet</t>
        </is>
      </c>
      <c r="D66" s="324" t="n">
        <v>448.3831764705882</v>
      </c>
      <c r="E66" s="324" t="n">
        <v>598786.13</v>
      </c>
      <c r="F66" s="326" t="n">
        <v>76225.14</v>
      </c>
      <c r="G66" s="55" t="n">
        <v>1331</v>
      </c>
      <c r="H66" s="55" t="n">
        <v>170</v>
      </c>
      <c r="I66" s="55" t="n">
        <v>587</v>
      </c>
      <c r="J66" s="56" t="n">
        <v>4.6</v>
      </c>
      <c r="K66" s="56" t="inlineStr">
        <is>
          <t>https://amazon.com/dp/B08TWMTD35</t>
        </is>
      </c>
      <c r="L66" s="70">
        <f>HYPERLINK(Table1311[[#This Row],[Column1]])</f>
        <v/>
      </c>
    </row>
    <row r="67" ht="45" customHeight="1" s="290">
      <c r="A67" s="30" t="inlineStr">
        <is>
          <t>Autel MaxiSys MS906MAX 2026 Way Better Than MS906 Pro, Autel Scanner, Top Scan Tool DoIP CANFD Diagnostic Tool, Upgrade of MK900 MP900BT MS906BT MK908 3000+Active Test All System Diagnosis</t>
        </is>
      </c>
      <c r="B67" s="30" t="inlineStr">
        <is>
          <t>B0DRHX4MYX</t>
        </is>
      </c>
      <c r="C67" s="30" t="inlineStr">
        <is>
          <t>Tablet</t>
        </is>
      </c>
      <c r="D67" s="324" t="n">
        <v>1575.688</v>
      </c>
      <c r="E67" s="324" t="n">
        <v>728494.03</v>
      </c>
      <c r="F67" s="326" t="n">
        <v>63027.52</v>
      </c>
      <c r="G67" s="55" t="n">
        <v>466</v>
      </c>
      <c r="H67" s="55" t="n">
        <v>40</v>
      </c>
      <c r="I67" s="55" t="n">
        <v>32</v>
      </c>
      <c r="J67" s="56" t="n">
        <v>4.7</v>
      </c>
      <c r="K67" s="56" t="inlineStr">
        <is>
          <t>https://amazon.com/dp/B0DRHX4MYX</t>
        </is>
      </c>
      <c r="L67" s="70">
        <f>HYPERLINK(Table1311[[#This Row],[Column1]])</f>
        <v/>
      </c>
    </row>
    <row r="68" ht="45" customHeight="1" s="290">
      <c r="A68" s="30" t="inlineStr">
        <is>
          <t>2026 Autel MaxiCOM MK900TS Scanner, MK900-TS Up of MK808S-TS MK900BT MK900 MX900, Bidirectional Scan Tool w/Top TPMS Function, All System, CAN FD &amp; DoIP, 3000+ Active Test, 40+ Service, FCA, OS 11.0</t>
        </is>
      </c>
      <c r="B68" s="30" t="inlineStr">
        <is>
          <t>B08PB6DHBS</t>
        </is>
      </c>
      <c r="C68" s="30" t="inlineStr">
        <is>
          <t>Tablet</t>
        </is>
      </c>
      <c r="D68" s="324" t="n">
        <v>874.6203333333334</v>
      </c>
      <c r="E68" s="324" t="n">
        <v>313027.51</v>
      </c>
      <c r="F68" s="326" t="n">
        <v>52477.22</v>
      </c>
      <c r="G68" s="55" t="n">
        <v>356</v>
      </c>
      <c r="H68" s="55" t="n">
        <v>60</v>
      </c>
      <c r="I68" s="55" t="n">
        <v>88</v>
      </c>
      <c r="J68" s="56" t="n">
        <v>4.8</v>
      </c>
      <c r="K68" s="56" t="inlineStr">
        <is>
          <t>https://amazon.com/dp/B08PB6DHBS</t>
        </is>
      </c>
      <c r="L68" s="70">
        <f>HYPERLINK(Table1311[[#This Row],[Column1]])</f>
        <v/>
      </c>
    </row>
    <row r="69" ht="45" customHeight="1" s="290">
      <c r="A69" s="30" t="inlineStr">
        <is>
          <t>2026 Autel Scanner MaxiIM IM508S PRO: OBD2 Diagnostic Scan Tool, Full Bundle Pro Version, Enhanced All System Diagnose w/ 3000+ Active Test, 40+ Service, OS11.0, FCA SGW</t>
        </is>
      </c>
      <c r="B69" s="30" t="inlineStr">
        <is>
          <t>B01DDKAF8K</t>
        </is>
      </c>
      <c r="C69" s="30" t="inlineStr">
        <is>
          <t>Tablet</t>
        </is>
      </c>
      <c r="D69" s="324" t="n">
        <v>1589.451212121212</v>
      </c>
      <c r="E69" s="324" t="n">
        <v>217067.63</v>
      </c>
      <c r="F69" s="326" t="n">
        <v>52451.89</v>
      </c>
      <c r="G69" s="55" t="n">
        <v>146</v>
      </c>
      <c r="H69" s="55" t="n">
        <v>33</v>
      </c>
      <c r="I69" s="55" t="n">
        <v>91</v>
      </c>
      <c r="J69" s="56" t="n">
        <v>4.6</v>
      </c>
      <c r="K69" s="56" t="inlineStr">
        <is>
          <t>https://amazon.com/dp/B01DDKAF8K</t>
        </is>
      </c>
      <c r="L69" s="70">
        <f>HYPERLINK(Table1311[[#This Row],[Column1]])</f>
        <v/>
      </c>
    </row>
    <row r="70" ht="45" customHeight="1" s="290">
      <c r="A70" s="30" t="inlineStr">
        <is>
          <t>Autel MaxiSys Elite II Pro Scanner, 2026 Elite 2 Pro with 2 Years Update, J2534 Tool as MS Ultra MS909 MS919 Up of MS908S PRO II MK908P, Motor TruSpeed Repair, 40+ Resets, 3K+ Active Test, DOIP CANFD</t>
        </is>
      </c>
      <c r="B70" s="30" t="inlineStr">
        <is>
          <t>B09KNDC9PP</t>
        </is>
      </c>
      <c r="C70" s="30" t="inlineStr">
        <is>
          <t>Tablet</t>
        </is>
      </c>
      <c r="D70" s="324" t="n">
        <v>2407.118095238096</v>
      </c>
      <c r="E70" s="324" t="n">
        <v>428536.11</v>
      </c>
      <c r="F70" s="326" t="n">
        <v>50549.48</v>
      </c>
      <c r="G70" s="55" t="n">
        <v>178</v>
      </c>
      <c r="H70" s="55" t="n">
        <v>21</v>
      </c>
      <c r="I70" s="55" t="n">
        <v>57</v>
      </c>
      <c r="J70" s="56" t="n">
        <v>4.6</v>
      </c>
      <c r="K70" s="56" t="inlineStr">
        <is>
          <t>https://amazon.com/dp/B09KNDC9PP</t>
        </is>
      </c>
      <c r="L70" s="70">
        <f>HYPERLINK(Table1311[[#This Row],[Column1]])</f>
        <v/>
      </c>
    </row>
    <row r="71" ht="60" customHeight="1" s="290">
      <c r="A71" s="30" t="inlineStr">
        <is>
          <t>Autel Scanner MaxiSYS MS906 PRO-TS, 2026 MS906PROTS Same as MS906 PRO2-TS Up of MS906MAX MS906PRO MP900TS, Top TPMS &amp; OE C0d-ing, Bidirectional, 36+ Service, CAN FD&amp;DoIP, Auto Scan 2.0, FCA OS 10</t>
        </is>
      </c>
      <c r="B71" s="30" t="inlineStr">
        <is>
          <t>B09JG9L1QC</t>
        </is>
      </c>
      <c r="C71" s="30" t="inlineStr">
        <is>
          <t>Tablet</t>
        </is>
      </c>
      <c r="D71" s="324" t="n">
        <v>1550.966875</v>
      </c>
      <c r="E71" s="324" t="n">
        <v>746839.02</v>
      </c>
      <c r="F71" s="326" t="n">
        <v>49630.94</v>
      </c>
      <c r="G71" s="55" t="n">
        <v>477</v>
      </c>
      <c r="H71" s="55" t="n">
        <v>32</v>
      </c>
      <c r="I71" s="55" t="n">
        <v>197</v>
      </c>
      <c r="J71" s="56" t="n">
        <v>4.7</v>
      </c>
      <c r="K71" s="56" t="inlineStr">
        <is>
          <t>https://amazon.com/dp/B09JG9L1QC</t>
        </is>
      </c>
      <c r="L71" s="70">
        <f>HYPERLINK(Table1311[[#This Row],[Column1]])</f>
        <v/>
      </c>
    </row>
    <row r="72" ht="45" customHeight="1" s="290">
      <c r="A72" s="30" t="inlineStr">
        <is>
          <t>Autel PowerScan PS100 Automotive Circuit Tester 2.0, 12-24V Power Circuit Probe Tool, Electrical Short Open Circuit Finder, AC/DC/Resistance/Component/Signal/Test Light Automotive, 20ft Extension Cord</t>
        </is>
      </c>
      <c r="B72" s="30" t="inlineStr">
        <is>
          <t>B0BW48DKFG</t>
        </is>
      </c>
      <c r="C72" s="30" t="inlineStr">
        <is>
          <t>Probe</t>
        </is>
      </c>
      <c r="D72" s="324" t="n">
        <v>89.97608286252354</v>
      </c>
      <c r="E72" s="324" t="n">
        <v>509231.6592307692</v>
      </c>
      <c r="F72" s="326" t="n">
        <v>47777.3</v>
      </c>
      <c r="G72" s="55" t="n">
        <v>4189</v>
      </c>
      <c r="H72" s="55" t="n">
        <v>531</v>
      </c>
      <c r="I72" s="55" t="n">
        <v>366</v>
      </c>
      <c r="J72" s="56" t="n">
        <v>4.7</v>
      </c>
      <c r="K72" s="56" t="inlineStr">
        <is>
          <t>https://amazon.com/dp/B0BW48DKFG</t>
        </is>
      </c>
      <c r="L72" s="70">
        <f>HYPERLINK(Table1311[[#This Row],[Column1]])</f>
        <v/>
      </c>
    </row>
    <row r="73" ht="45" customHeight="1" s="290">
      <c r="A73" s="30" t="inlineStr">
        <is>
          <t>Autel Scanner MaxiIM IM608 PRO II, 2026 IM608 PRO 2 Diagnostic Scan Tool with $1314 Full KIT, 40 Services, ECU as Elite II Pro, 3K+ Bidirectional Tool, OE Full System, DOIP CANFD, OS10, 4G&amp;128G, 16MP</t>
        </is>
      </c>
      <c r="B73" s="30" t="inlineStr">
        <is>
          <t>B07VHN3PZ3</t>
        </is>
      </c>
      <c r="C73" s="30" t="inlineStr">
        <is>
          <t>Tablet</t>
        </is>
      </c>
      <c r="D73" s="324" t="n">
        <v>3364.228571428571</v>
      </c>
      <c r="E73" s="324" t="n">
        <v>312991.6</v>
      </c>
      <c r="F73" s="326" t="n">
        <v>47099.2</v>
      </c>
      <c r="G73" s="55" t="n">
        <v>96</v>
      </c>
      <c r="H73" s="55" t="n">
        <v>14</v>
      </c>
      <c r="I73" s="55" t="n">
        <v>50</v>
      </c>
      <c r="J73" s="56" t="n">
        <v>4.6</v>
      </c>
      <c r="K73" s="56" t="inlineStr">
        <is>
          <t>https://amazon.com/dp/B07VHN3PZ3</t>
        </is>
      </c>
      <c r="L73" s="70">
        <f>HYPERLINK(Table1311[[#This Row],[Column1]])</f>
        <v/>
      </c>
    </row>
    <row r="74" ht="45" customHeight="1" s="290">
      <c r="A74" s="30" t="inlineStr">
        <is>
          <t>Autel Scanner MaxilM KM100 Diagnostic Tool 2026, 2026 New KM100 OBD Scan Tool for 99% Vehicles, Lifetime Update, IM508S &amp; IM608 PRO II Lite Model, No IP Limit</t>
        </is>
      </c>
      <c r="B74" s="30" t="inlineStr">
        <is>
          <t>B0G2LT49CN</t>
        </is>
      </c>
      <c r="C74" s="30" t="inlineStr">
        <is>
          <t>Tablet</t>
        </is>
      </c>
      <c r="D74" s="324" t="n">
        <v>467.3973195876289</v>
      </c>
      <c r="E74" s="324" t="n">
        <v>354597.2484615384</v>
      </c>
      <c r="F74" s="326" t="n">
        <v>45337.54</v>
      </c>
      <c r="G74" s="55" t="n">
        <v>128</v>
      </c>
      <c r="H74" s="55" t="n">
        <v>97</v>
      </c>
      <c r="I74" s="55" t="n">
        <v>3</v>
      </c>
      <c r="J74" s="56" t="n">
        <v>5</v>
      </c>
      <c r="K74" s="56" t="inlineStr">
        <is>
          <t>https://amazon.com/dp/B0G2LT49CN</t>
        </is>
      </c>
      <c r="L74" s="70">
        <f>HYPERLINK(Table1311[[#This Row],[Column1]])</f>
        <v/>
      </c>
    </row>
    <row r="75" ht="60" customHeight="1" s="290">
      <c r="A75" s="30" t="inlineStr">
        <is>
          <t>Autel MaxiPRO MP900TS Scanner, 2026 8in MP900-TS up of MaxiSYS MS906 PRO MS906TS MP900-BT MK900-TS, Top TPMS as MS906 Pro-TS, Car Bidirectional Scan Tool, 40+ Service, All System, CAN FD&amp;DOIP, OS 11.0</t>
        </is>
      </c>
      <c r="B75" s="30" t="inlineStr">
        <is>
          <t>B08R3MHLG7</t>
        </is>
      </c>
      <c r="C75" s="30" t="inlineStr">
        <is>
          <t>Tablet</t>
        </is>
      </c>
      <c r="D75" s="324" t="n">
        <v>1097.467317073171</v>
      </c>
      <c r="E75" s="324" t="n">
        <v>482064.07</v>
      </c>
      <c r="F75" s="326" t="n">
        <v>44996.16</v>
      </c>
      <c r="G75" s="55" t="n">
        <v>434</v>
      </c>
      <c r="H75" s="55" t="n">
        <v>41</v>
      </c>
      <c r="I75" s="55" t="n">
        <v>119</v>
      </c>
      <c r="J75" s="56" t="n">
        <v>4.6</v>
      </c>
      <c r="K75" s="56" t="inlineStr">
        <is>
          <t>https://amazon.com/dp/B08R3MHLG7</t>
        </is>
      </c>
      <c r="L75" s="70">
        <f>HYPERLINK(Table1311[[#This Row],[Column1]])</f>
        <v/>
      </c>
    </row>
    <row r="76" ht="45" customHeight="1" s="290">
      <c r="A76" s="30" t="inlineStr">
        <is>
          <t>Autel Scanner MaxiIM IM508S PRO w/ $512 PRO Bundle, 2026 Same as IM608 PRO 2/ IM608S II, Enhanced of IM508S IM508, Bidirectional Diagnostic Scan Tool, 3000+ Tests, 40+ Service, All-Sys, OS 11.0, FCA</t>
        </is>
      </c>
      <c r="B76" s="30" t="inlineStr">
        <is>
          <t>B07W6YYLY8</t>
        </is>
      </c>
      <c r="C76" s="30" t="inlineStr">
        <is>
          <t>Tablet</t>
        </is>
      </c>
      <c r="D76" s="324" t="n">
        <v>1610.449230769231</v>
      </c>
      <c r="E76" s="324" t="n">
        <v>562358.35</v>
      </c>
      <c r="F76" s="326" t="n">
        <v>41871.68</v>
      </c>
      <c r="G76" s="55" t="n">
        <v>332</v>
      </c>
      <c r="H76" s="55" t="n">
        <v>26</v>
      </c>
      <c r="I76" s="55" t="n">
        <v>83</v>
      </c>
      <c r="J76" s="56" t="n">
        <v>4.4</v>
      </c>
      <c r="K76" s="56" t="inlineStr">
        <is>
          <t>https://amazon.com/dp/B07W6YYLY8</t>
        </is>
      </c>
      <c r="L76" s="70">
        <f>HYPERLINK(Table1311[[#This Row],[Column1]])</f>
        <v/>
      </c>
    </row>
    <row r="77" ht="60" customHeight="1" s="290">
      <c r="A77" s="30" t="inlineStr">
        <is>
          <t>Autel MaxiIM IM608 PRO 2 Scanner, 2026 IM608 PRO II Automotive Diagnostic Tool with $1316 Bundle, Advanced as Elite II Pro, 3000+ Tests, 40 Reset Services Bidirectional Tool, OS10 4/128GB CAN FD DoIP</t>
        </is>
      </c>
      <c r="B77" s="30" t="inlineStr">
        <is>
          <t>B08PNTTMQ8</t>
        </is>
      </c>
      <c r="C77" s="30" t="inlineStr">
        <is>
          <t>Tablet</t>
        </is>
      </c>
      <c r="D77" s="324" t="n">
        <v>3216.47</v>
      </c>
      <c r="E77" s="324" t="n">
        <v>1050334.14</v>
      </c>
      <c r="F77" s="326" t="n">
        <v>41814.11</v>
      </c>
      <c r="G77" s="55" t="n">
        <v>320</v>
      </c>
      <c r="H77" s="55" t="n">
        <v>13</v>
      </c>
      <c r="I77" s="55" t="n">
        <v>79</v>
      </c>
      <c r="J77" s="56" t="n">
        <v>4.8</v>
      </c>
      <c r="K77" s="56" t="inlineStr">
        <is>
          <t>https://amazon.com/dp/B08PNTTMQ8</t>
        </is>
      </c>
      <c r="L77" s="70">
        <f>HYPERLINK(Table1311[[#This Row],[Column1]])</f>
        <v/>
      </c>
    </row>
    <row r="78" ht="45" customHeight="1" s="290">
      <c r="A78" s="30" t="inlineStr">
        <is>
          <t>Autel MaxiPRO MP900-BT KIT Scanner: 2026 Same as MS906 Pro MS906 MAX MK908 w/OE C0ding, 3000+ Test, 40+ Service, 150+ Makes, Up of MP900-BT MP900BT w/ 200 Bucks 11 PCS OBD Cables, CAN FD &amp; FCA SGW</t>
        </is>
      </c>
      <c r="B78" s="30" t="inlineStr">
        <is>
          <t>B0751G1W5C</t>
        </is>
      </c>
      <c r="C78" s="30" t="inlineStr">
        <is>
          <t>Tablet</t>
        </is>
      </c>
      <c r="D78" s="324" t="n">
        <v>942.283953488372</v>
      </c>
      <c r="E78" s="324" t="n">
        <v>420490.92</v>
      </c>
      <c r="F78" s="326" t="n">
        <v>40518.21</v>
      </c>
      <c r="G78" s="55" t="n">
        <v>442</v>
      </c>
      <c r="H78" s="55" t="n">
        <v>43</v>
      </c>
      <c r="I78" s="55" t="n">
        <v>145</v>
      </c>
      <c r="J78" s="56" t="n">
        <v>4.6</v>
      </c>
      <c r="K78" s="56" t="inlineStr">
        <is>
          <t>https://amazon.com/dp/B0751G1W5C</t>
        </is>
      </c>
      <c r="L78" s="70">
        <f>HYPERLINK(Table1311[[#This Row],[Column1]])</f>
        <v/>
      </c>
    </row>
    <row r="79" ht="45" customHeight="1" s="290">
      <c r="A79" s="30" t="inlineStr">
        <is>
          <t>Autel MaxiAP AP200 OBD2 Scanner Bluetooth Wireless OBDII Auto Diagnostic Tool with Full System Diagnostic, 19 Reset Functions, AutoVIN, Check Engine Light Code Reader for iPhone Android</t>
        </is>
      </c>
      <c r="B79" s="30" t="inlineStr">
        <is>
          <t>B07QD4GZW4</t>
        </is>
      </c>
      <c r="C79" s="30" t="inlineStr">
        <is>
          <t>Dongle</t>
        </is>
      </c>
      <c r="D79" s="324" t="n">
        <v>62.67936608557845</v>
      </c>
      <c r="E79" s="324" t="n">
        <v>548747.09</v>
      </c>
      <c r="F79" s="326" t="n">
        <v>39550.68</v>
      </c>
      <c r="G79" s="55" t="n">
        <v>8571</v>
      </c>
      <c r="H79" s="55" t="n">
        <v>631</v>
      </c>
      <c r="I79" s="55" t="n">
        <v>3186</v>
      </c>
      <c r="J79" s="56" t="n">
        <v>4.1</v>
      </c>
      <c r="K79" s="56" t="inlineStr">
        <is>
          <t>https://amazon.com/dp/B07QD4GZW4</t>
        </is>
      </c>
      <c r="L79" s="70">
        <f>HYPERLINK(Table1311[[#This Row],[Column1]])</f>
        <v/>
      </c>
    </row>
    <row r="80" ht="60" customHeight="1" s="290">
      <c r="A80" s="30" t="inlineStr">
        <is>
          <t>Autel MaxiSys MS906 PRO Scanner, 2026 MS906Pro Same as MS906MAX, Top ECU Elite 2.0 of MS906BT MP900BT MP900 MS908S, Bidirectional 3K+ Test, OE All Sys, CAN FD DoIP, 36+ Service, AutoScan 2.0</t>
        </is>
      </c>
      <c r="B80" s="30" t="inlineStr">
        <is>
          <t>B00UEHHI3G</t>
        </is>
      </c>
      <c r="C80" s="30" t="inlineStr">
        <is>
          <t>Tablet</t>
        </is>
      </c>
      <c r="D80" s="324" t="n">
        <v>1358.563793103448</v>
      </c>
      <c r="E80" s="324" t="n">
        <v>336133.61</v>
      </c>
      <c r="F80" s="326" t="n">
        <v>39398.35</v>
      </c>
      <c r="G80" s="55" t="n">
        <v>262</v>
      </c>
      <c r="H80" s="55" t="n">
        <v>29</v>
      </c>
      <c r="I80" s="55" t="n">
        <v>26</v>
      </c>
      <c r="J80" s="56" t="n">
        <v>4.6</v>
      </c>
      <c r="K80" s="56" t="inlineStr">
        <is>
          <t>https://amazon.com/dp/B00UEHHI3G</t>
        </is>
      </c>
      <c r="L80" s="70">
        <f>HYPERLINK(Table1311[[#This Row],[Column1]])</f>
        <v/>
      </c>
    </row>
    <row r="81" ht="45" customHeight="1" s="290">
      <c r="A81" s="30" t="inlineStr">
        <is>
          <t>Autel MaxiSYS MS906 PRO Scanner: 2026 MS906PRO V2.0 Same as MS906MAX Up of MS906BT MP900BT MS908S, CAN FD DoIP, 36+ Resets, Bidirectional 3K+ Tests, Full Diagnostic, Auto Scan 2.0, FCA</t>
        </is>
      </c>
      <c r="B81" s="30" t="inlineStr">
        <is>
          <t>B086DRGM15</t>
        </is>
      </c>
      <c r="C81" s="30" t="inlineStr">
        <is>
          <t>Tablet</t>
        </is>
      </c>
      <c r="D81" s="324" t="n">
        <v>1498.8628</v>
      </c>
      <c r="E81" s="324" t="n">
        <v>388605.7</v>
      </c>
      <c r="F81" s="326" t="n">
        <v>37471.57</v>
      </c>
      <c r="G81" s="55" t="n">
        <v>265</v>
      </c>
      <c r="H81" s="55" t="n">
        <v>25</v>
      </c>
      <c r="I81" s="55" t="n">
        <v>88</v>
      </c>
      <c r="J81" s="56" t="n">
        <v>4.4</v>
      </c>
      <c r="K81" s="56" t="inlineStr">
        <is>
          <t>https://amazon.com/dp/B086DRGM15</t>
        </is>
      </c>
      <c r="L81" s="70">
        <f>HYPERLINK(Table1311[[#This Row],[Column1]])</f>
        <v/>
      </c>
    </row>
    <row r="82" ht="60" customHeight="1" s="290">
      <c r="A82" s="30" t="inlineStr">
        <is>
          <t>Autel Scanner MaxiIM KM100(X), 2026 New Car Diagnostic Scan Tool, Lifetime Fre.e Updates, OBD-Learn on 95% Car, Wireless Auto Tool, Auto VIN &amp; Scan VIN/License, Android 9.0, 2+64GB, 5.5in 1280x720</t>
        </is>
      </c>
      <c r="B82" s="30" t="inlineStr">
        <is>
          <t>B0G6DZWVJ5</t>
        </is>
      </c>
      <c r="C82" s="30" t="inlineStr">
        <is>
          <t>Tablet</t>
        </is>
      </c>
      <c r="D82" s="324" t="n">
        <v>537.8907462686567</v>
      </c>
      <c r="E82" s="324" t="n">
        <v>546068.6707692306</v>
      </c>
      <c r="F82" s="326" t="n">
        <v>36038.68</v>
      </c>
      <c r="G82" s="55" t="n">
        <v>548</v>
      </c>
      <c r="H82" s="55" t="n">
        <v>67</v>
      </c>
      <c r="I82" s="55" t="n">
        <v>80</v>
      </c>
      <c r="J82" s="56" t="n">
        <v>4.3</v>
      </c>
      <c r="K82" s="56" t="inlineStr">
        <is>
          <t>https://amazon.com/dp/B0G6DZWVJ5</t>
        </is>
      </c>
      <c r="L82" s="70">
        <f>HYPERLINK(Table1311[[#This Row],[Column1]])</f>
        <v/>
      </c>
    </row>
    <row r="83" ht="45" customHeight="1" s="290">
      <c r="A83" s="30" t="inlineStr">
        <is>
          <t>Autel MaxiCOM MK808Z OBD2 Scanner, 2026 Bidirectional Scan Tool Same As MK808S MX808S, Work as MaxiCheck MX900 MK900BT, Active Test, 28+ Service, All System Diagnose, Injector Coding, FCA Autoauth</t>
        </is>
      </c>
      <c r="B83" s="30" t="inlineStr">
        <is>
          <t>B094VZN94S</t>
        </is>
      </c>
      <c r="C83" s="30" t="inlineStr">
        <is>
          <t>Tablet</t>
        </is>
      </c>
      <c r="D83" s="324" t="n">
        <v>411.8664705882353</v>
      </c>
      <c r="E83" s="324" t="n">
        <v>310011.6776923077</v>
      </c>
      <c r="F83" s="326" t="n">
        <v>35008.65</v>
      </c>
      <c r="G83" s="55" t="n">
        <v>425</v>
      </c>
      <c r="H83" s="55" t="n">
        <v>85</v>
      </c>
      <c r="I83" s="55" t="n">
        <v>66</v>
      </c>
      <c r="J83" s="56" t="n">
        <v>4.4</v>
      </c>
      <c r="K83" s="56" t="inlineStr">
        <is>
          <t>https://amazon.com/dp/B094VZN94S</t>
        </is>
      </c>
      <c r="L83" s="70">
        <f>HYPERLINK(Table1311[[#This Row],[Column1]])</f>
        <v/>
      </c>
    </row>
    <row r="84" ht="45" customHeight="1" s="290">
      <c r="A84" s="30" t="inlineStr">
        <is>
          <t>Autel MaxiCOM Ultra Lite Intelligent Scanner: 2 Years Free Update, 2026 Ultra Lite Up of Elite II Pro MS909 MS919, Same as MaxiSys Ultra, Motor TruSpeed Repair, Topology 2.0, 40+ Services, DOIP CANFD</t>
        </is>
      </c>
      <c r="B84" s="30" t="inlineStr">
        <is>
          <t>B07MNY9VW3</t>
        </is>
      </c>
      <c r="C84" s="30" t="inlineStr">
        <is>
          <t>Tablet</t>
        </is>
      </c>
      <c r="D84" s="324" t="n">
        <v>2900.336666666667</v>
      </c>
      <c r="E84" s="324" t="n">
        <v>484350.91</v>
      </c>
      <c r="F84" s="326" t="n">
        <v>34804.04</v>
      </c>
      <c r="G84" s="55" t="n">
        <v>163</v>
      </c>
      <c r="H84" s="55" t="n">
        <v>12</v>
      </c>
      <c r="I84" s="55" t="n">
        <v>47</v>
      </c>
      <c r="J84" s="56" t="n">
        <v>4.1</v>
      </c>
      <c r="K84" s="56" t="inlineStr">
        <is>
          <t>https://amazon.com/dp/B07MNY9VW3</t>
        </is>
      </c>
      <c r="L84" s="70">
        <f>HYPERLINK(Table1311[[#This Row],[Column1]])</f>
        <v/>
      </c>
    </row>
    <row r="85" ht="60" customHeight="1" s="290">
      <c r="A85" s="30" t="inlineStr">
        <is>
          <t>Autel MaxiSYS MS906 PRO Scanner, 2026 MS906PRO V2.0 Same as MS906 MAX, 3K+ Bidirectional Diagnostic Scan Tool, Top ECU Function Up of MP900BT MS906BT MS908 MK908, CAN FD DoIP, 36+ Reset, Auto Scan 2.0</t>
        </is>
      </c>
      <c r="B85" s="30" t="inlineStr">
        <is>
          <t>B09JGL9BXC</t>
        </is>
      </c>
      <c r="C85" s="30" t="inlineStr">
        <is>
          <t>Tablet</t>
        </is>
      </c>
      <c r="D85" s="324" t="n">
        <v>1470.948260869565</v>
      </c>
      <c r="E85" s="324" t="n">
        <v>357960.65</v>
      </c>
      <c r="F85" s="326" t="n">
        <v>33831.81</v>
      </c>
      <c r="G85" s="55" t="n">
        <v>253</v>
      </c>
      <c r="H85" s="55" t="n">
        <v>23</v>
      </c>
      <c r="I85" s="55" t="n">
        <v>65</v>
      </c>
      <c r="J85" s="56" t="n">
        <v>4.8</v>
      </c>
      <c r="K85" s="56" t="inlineStr">
        <is>
          <t>https://amazon.com/dp/B09JGL9BXC</t>
        </is>
      </c>
      <c r="L85" s="70">
        <f>HYPERLINK(Table1311[[#This Row],[Column1]])</f>
        <v/>
      </c>
    </row>
    <row r="86" ht="45" customHeight="1" s="290">
      <c r="A86" s="30" t="inlineStr">
        <is>
          <t>Autel MaxiIM IM608S II Scanner: 2026 Global Ver. of IM608 PRO 2 with $1316 Full KIT, Bidirectional Scan Tool, ECU Function as Elite II Pro, 40+ Services, 3K+ Tests, OE Full Sys, CANFD DoIP, OS10, FCA</t>
        </is>
      </c>
      <c r="B86" s="30" t="inlineStr">
        <is>
          <t>B089GGB6TV</t>
        </is>
      </c>
      <c r="C86" s="30" t="inlineStr">
        <is>
          <t>Tablet</t>
        </is>
      </c>
      <c r="D86" s="324" t="n">
        <v>3378.005</v>
      </c>
      <c r="E86" s="324" t="n">
        <v>278937.57</v>
      </c>
      <c r="F86" s="326" t="n">
        <v>33780.05</v>
      </c>
      <c r="G86" s="55" t="n">
        <v>85</v>
      </c>
      <c r="H86" s="55" t="n">
        <v>10</v>
      </c>
      <c r="I86" s="55" t="n">
        <v>42</v>
      </c>
      <c r="J86" s="56" t="n">
        <v>4.5</v>
      </c>
      <c r="K86" s="56" t="inlineStr">
        <is>
          <t>https://amazon.com/dp/B089GGB6TV</t>
        </is>
      </c>
      <c r="L86" s="70">
        <f>HYPERLINK(Table1311[[#This Row],[Column1]])</f>
        <v/>
      </c>
    </row>
    <row r="87" ht="45" customHeight="1" s="290">
      <c r="A87" s="30" t="inlineStr">
        <is>
          <t>Autel OBD2 Scanner AutoLink AL549(Upgraded Ver. of AL519)Code Reader with AutoVin, Read/Erase DTCs for ABS, Universal Car Battery Test,OBD2 Scan with Live Data,Check Engine Fault OBD2 Diagnostic Tool</t>
        </is>
      </c>
      <c r="B87" s="30" t="inlineStr">
        <is>
          <t>B0CZ8TZCQS</t>
        </is>
      </c>
      <c r="C87" s="30" t="inlineStr">
        <is>
          <t>Handheld</t>
        </is>
      </c>
      <c r="D87" s="324" t="n">
        <v>64.31249500998004</v>
      </c>
      <c r="E87" s="324" t="n">
        <v>249406.0753846154</v>
      </c>
      <c r="F87" s="326" t="n">
        <v>32220.56</v>
      </c>
      <c r="G87" s="55" t="n">
        <v>3383</v>
      </c>
      <c r="H87" s="55" t="n">
        <v>501</v>
      </c>
      <c r="I87" s="55" t="n">
        <v>571</v>
      </c>
      <c r="J87" s="56" t="n">
        <v>4.4</v>
      </c>
      <c r="K87" s="56" t="inlineStr">
        <is>
          <t>https://amazon.com/dp/B0CZ8TZCQS</t>
        </is>
      </c>
      <c r="L87" s="70">
        <f>HYPERLINK(Table1311[[#This Row],[Column1]])</f>
        <v/>
      </c>
    </row>
    <row r="88" ht="60" customHeight="1" s="290">
      <c r="A88" s="30" t="inlineStr">
        <is>
          <t>Autel Scanner MaxiSys Elite 2 PRO: 2026 2-Year Updates Elite II PRO w/ MV105S, J2534 Programming as Ultra MS909 MS919 Up of MS908S PRO II, Motor TruSpeed Repair, 40+ Resets, 3K Active Test, DOIP CANFD</t>
        </is>
      </c>
      <c r="B88" s="30" t="inlineStr">
        <is>
          <t>B0GCJVNQY1</t>
        </is>
      </c>
      <c r="C88" s="30" t="inlineStr">
        <is>
          <t>Tablet</t>
        </is>
      </c>
      <c r="D88" s="324" t="n">
        <v>2579.396666666667</v>
      </c>
      <c r="E88" s="324" t="n">
        <v>332215.3761538462</v>
      </c>
      <c r="F88" s="326" t="n">
        <v>30952.76</v>
      </c>
      <c r="G88" s="55" t="n">
        <v>30</v>
      </c>
      <c r="H88" s="55" t="n">
        <v>12</v>
      </c>
      <c r="I88" s="55" t="n">
        <v>1</v>
      </c>
      <c r="J88" s="56" t="n">
        <v>5</v>
      </c>
      <c r="K88" s="56" t="inlineStr">
        <is>
          <t>https://amazon.com/dp/B0GCJVNQY1</t>
        </is>
      </c>
      <c r="L88" s="70">
        <f>HYPERLINK(Table1311[[#This Row],[Column1]])</f>
        <v/>
      </c>
    </row>
    <row r="89" ht="45" customHeight="1" s="290">
      <c r="A89" s="30" t="inlineStr">
        <is>
          <t>Autel Scanner MaxiSys Elite 2 Pro : 2026 Elite II Pro with 2-Years Update, J2534 Tool as MS Ultra Lite MS909 S2 MS919 Up of MS908S PRO II, 40+ Service, 3K+ Active Test, DOIP CANFD, Intelligent Motor</t>
        </is>
      </c>
      <c r="B89" s="30" t="inlineStr">
        <is>
          <t>B00RD6B6MU</t>
        </is>
      </c>
      <c r="C89" s="30" t="inlineStr">
        <is>
          <t>Tablet</t>
        </is>
      </c>
      <c r="D89" s="324" t="n">
        <v>2404.539166666667</v>
      </c>
      <c r="E89" s="324" t="n">
        <v>453394.9753846154</v>
      </c>
      <c r="F89" s="326" t="n">
        <v>28854.47</v>
      </c>
      <c r="G89" s="55" t="n">
        <v>177</v>
      </c>
      <c r="H89" s="55" t="n">
        <v>12</v>
      </c>
      <c r="I89" s="55" t="n">
        <v>79</v>
      </c>
      <c r="J89" s="56" t="n">
        <v>4.4</v>
      </c>
      <c r="K89" s="56" t="inlineStr">
        <is>
          <t>https://amazon.com/dp/B00RD6B6MU</t>
        </is>
      </c>
      <c r="L89" s="70">
        <f>HYPERLINK(Table1311[[#This Row],[Column1]])</f>
        <v/>
      </c>
    </row>
    <row r="90" ht="45" customHeight="1" s="290">
      <c r="A90" s="30" t="inlineStr">
        <is>
          <t>Autel Scanner MaxiSys MS909 Intelligent Scan Tool, 2026 Motor TruSpeed Same as MSUltra Ultra S2 MS919, TSB, Topology 2.0, Up of Elite 2 PRO MS908S PRO II, DOIP &amp; CAN FD, 40+ Service, 3K+ Bidirectional</t>
        </is>
      </c>
      <c r="B90" s="30" t="inlineStr">
        <is>
          <t>B08P3CX6MY</t>
        </is>
      </c>
      <c r="C90" s="30" t="inlineStr">
        <is>
          <t>Tablet</t>
        </is>
      </c>
      <c r="D90" s="324" t="n">
        <v>2862.403</v>
      </c>
      <c r="E90" s="324" t="n">
        <v>343921.3215384615</v>
      </c>
      <c r="F90" s="326" t="n">
        <v>28624.03</v>
      </c>
      <c r="G90" s="55" t="n">
        <v>102</v>
      </c>
      <c r="H90" s="55" t="n">
        <v>10</v>
      </c>
      <c r="I90" s="55" t="n">
        <v>24</v>
      </c>
      <c r="J90" s="56" t="n">
        <v>4.8</v>
      </c>
      <c r="K90" s="56" t="inlineStr">
        <is>
          <t>https://amazon.com/dp/B08P3CX6MY</t>
        </is>
      </c>
      <c r="L90" s="70">
        <f>HYPERLINK(Table1311[[#This Row],[Column1]])</f>
        <v/>
      </c>
    </row>
    <row r="91" ht="60" customHeight="1" s="290">
      <c r="A91" s="30" t="inlineStr">
        <is>
          <t>Autel MaxiPRO MP900 Scanner, 2026 Newer of MP808BT PRO MP808S MK900 MX900, ECU C0ding, Same as MS906 MAX MS906 PRO MP900BT, Bidirectional Diagnostic Scan Tool 3000+ Test, 40+ Service, CAN FD&amp;DOIP, FCA</t>
        </is>
      </c>
      <c r="B91" s="30" t="inlineStr">
        <is>
          <t>B09YM7YPDJ</t>
        </is>
      </c>
      <c r="C91" s="30" t="inlineStr">
        <is>
          <t>Tablet</t>
        </is>
      </c>
      <c r="D91" s="324" t="n">
        <v>794.0426470588236</v>
      </c>
      <c r="E91" s="324" t="n">
        <v>193711.44</v>
      </c>
      <c r="F91" s="326" t="n">
        <v>26997.45</v>
      </c>
      <c r="G91" s="55" t="n">
        <v>241</v>
      </c>
      <c r="H91" s="55" t="n">
        <v>34</v>
      </c>
      <c r="I91" s="55" t="n">
        <v>39</v>
      </c>
      <c r="J91" s="56" t="n">
        <v>4.5</v>
      </c>
      <c r="K91" s="56" t="inlineStr">
        <is>
          <t>https://amazon.com/dp/B09YM7YPDJ</t>
        </is>
      </c>
      <c r="L91" s="70">
        <f>HYPERLINK(Table1311[[#This Row],[Column1]])</f>
        <v/>
      </c>
    </row>
    <row r="92" ht="45" customHeight="1" s="290">
      <c r="A92" s="30" t="inlineStr">
        <is>
          <t>Autel MaxiSYS MS906 MAX Scanner 2026, MS906MAX 10.1" V2.0 of MS906 PRO MP900BT MS908S MK908 MS906PRO-TS, Top Bidirectional Scan Tool, 3000+ Tests, 40+ Service, All System, CAN FD &amp; DoIP, OS 10.0, FCA</t>
        </is>
      </c>
      <c r="B92" s="30" t="inlineStr">
        <is>
          <t>B09TR9KTMB</t>
        </is>
      </c>
      <c r="C92" s="30" t="inlineStr">
        <is>
          <t>Tablet</t>
        </is>
      </c>
      <c r="D92" s="324" t="n">
        <v>1553.913529411765</v>
      </c>
      <c r="E92" s="324" t="n">
        <v>269699.1892307692</v>
      </c>
      <c r="F92" s="326" t="n">
        <v>26416.53</v>
      </c>
      <c r="G92" s="55" t="n">
        <v>158</v>
      </c>
      <c r="H92" s="55" t="n">
        <v>17</v>
      </c>
      <c r="I92" s="55" t="n">
        <v>19</v>
      </c>
      <c r="J92" s="56" t="n">
        <v>4.7</v>
      </c>
      <c r="K92" s="56" t="inlineStr">
        <is>
          <t>https://amazon.com/dp/B09TR9KTMB</t>
        </is>
      </c>
      <c r="L92" s="70">
        <f>HYPERLINK(Table1311[[#This Row],[Column1]])</f>
        <v/>
      </c>
    </row>
    <row r="93" ht="45" customHeight="1" s="290">
      <c r="A93" s="30" t="inlineStr">
        <is>
          <t>Autel OBD2 Scanner MS309 Universal Car Engine Fault Code Reader, Check Engine Light and Emission Monitor Status, OBDII CAN Diagnostic Scan Tool</t>
        </is>
      </c>
      <c r="B93" s="30" t="inlineStr">
        <is>
          <t>B07Q5H7M5S</t>
        </is>
      </c>
      <c r="C93" s="30" t="inlineStr">
        <is>
          <t>Handheld</t>
        </is>
      </c>
      <c r="D93" s="324" t="n">
        <v>22.98575278810409</v>
      </c>
      <c r="E93" s="324" t="n">
        <v>376205.9</v>
      </c>
      <c r="F93" s="326" t="n">
        <v>24732.67</v>
      </c>
      <c r="G93" s="55" t="n">
        <v>16814</v>
      </c>
      <c r="H93" s="55" t="n">
        <v>1076</v>
      </c>
      <c r="I93" s="55" t="n">
        <v>17084</v>
      </c>
      <c r="J93" s="56" t="n">
        <v>4.6</v>
      </c>
      <c r="K93" s="56" t="inlineStr">
        <is>
          <t>https://amazon.com/dp/B07Q5H7M5S</t>
        </is>
      </c>
      <c r="L93" s="70">
        <f>HYPERLINK(Table1311[[#This Row],[Column1]])</f>
        <v/>
      </c>
    </row>
    <row r="94" ht="45" customHeight="1" s="290">
      <c r="A94" s="30" t="inlineStr">
        <is>
          <t>Autel MaxiSys MS908CV II Top CV Scanner, 2026 V2.0 of MS908CV Heavy Duty Diesel Truck Diagnostic Tool, OE-Level J2534 Functions, Lite of MS909CV, Bidirectional 3000+ Test, 64 Services, 10 OS 4/128GB</t>
        </is>
      </c>
      <c r="B94" s="30" t="inlineStr">
        <is>
          <t>B09FLP47CD</t>
        </is>
      </c>
      <c r="C94" s="30" t="inlineStr">
        <is>
          <t>Tablet</t>
        </is>
      </c>
      <c r="D94" s="324" t="n">
        <v>3035.3975</v>
      </c>
      <c r="E94" s="324" t="n">
        <v>226720.36</v>
      </c>
      <c r="F94" s="326" t="n">
        <v>24283.18</v>
      </c>
      <c r="G94" s="55" t="n">
        <v>78</v>
      </c>
      <c r="H94" s="55" t="n">
        <v>8</v>
      </c>
      <c r="I94" s="55" t="n">
        <v>36</v>
      </c>
      <c r="J94" s="56" t="n">
        <v>4.8</v>
      </c>
      <c r="K94" s="56" t="inlineStr">
        <is>
          <t>https://amazon.com/dp/B09FLP47CD</t>
        </is>
      </c>
      <c r="L94" s="70">
        <f>HYPERLINK(Table1311[[#This Row],[Column1]])</f>
        <v/>
      </c>
    </row>
    <row r="95" ht="45" customHeight="1" s="290">
      <c r="A95" s="30" t="inlineStr">
        <is>
          <t>Autel Scanner MaxiCOM MK808BT PRO: 2026 Upgrade of MK808S MX808S MK808Z Bidirectional Diagnostic Tool, 2.0 BT Ver. of MK900 MX900 MK900BT, 3000+ Active Test, 28+ Service, OE All System, FCA, 11 OS</t>
        </is>
      </c>
      <c r="B95" s="30" t="inlineStr">
        <is>
          <t>B07H3M98FL</t>
        </is>
      </c>
      <c r="C95" s="30" t="inlineStr">
        <is>
          <t>Tablet</t>
        </is>
      </c>
      <c r="D95" s="324" t="n">
        <v>578.1202380952381</v>
      </c>
      <c r="E95" s="324" t="n">
        <v>297660.03</v>
      </c>
      <c r="F95" s="326" t="n">
        <v>24281.05</v>
      </c>
      <c r="G95" s="55" t="n">
        <v>517</v>
      </c>
      <c r="H95" s="55" t="n">
        <v>42</v>
      </c>
      <c r="I95" s="55" t="n">
        <v>651</v>
      </c>
      <c r="J95" s="56" t="n">
        <v>4.5</v>
      </c>
      <c r="K95" s="56" t="inlineStr">
        <is>
          <t>https://amazon.com/dp/B07H3M98FL</t>
        </is>
      </c>
      <c r="L95" s="70">
        <f>HYPERLINK(Table1311[[#This Row],[Column1]])</f>
        <v/>
      </c>
    </row>
    <row r="96" ht="60" customHeight="1" s="290">
      <c r="A96" s="30" t="inlineStr">
        <is>
          <t>Autel MaxiPRO MP900-BT Scanner w/ $60 MV108S | 2026 MP900BT Same as MS906 PRO MS906 MAX MK908 w/ECU C0ding, 3000+ Active Test, 40+ Service, 150+Makes, SGW DoIP &amp; CAN-FD, Up of MP900 MP808BT PRO DS808</t>
        </is>
      </c>
      <c r="B96" s="30" t="inlineStr">
        <is>
          <t>B07WR7P3FF</t>
        </is>
      </c>
      <c r="C96" s="30" t="inlineStr">
        <is>
          <t>Tablet</t>
        </is>
      </c>
      <c r="D96" s="324" t="n">
        <v>925.9419230769232</v>
      </c>
      <c r="E96" s="324" t="n">
        <v>214636.8</v>
      </c>
      <c r="F96" s="326" t="n">
        <v>24074.49</v>
      </c>
      <c r="G96" s="55" t="n">
        <v>231</v>
      </c>
      <c r="H96" s="55" t="n">
        <v>26</v>
      </c>
      <c r="I96" s="55" t="n">
        <v>415</v>
      </c>
      <c r="J96" s="56" t="n">
        <v>4.6</v>
      </c>
      <c r="K96" s="56" t="inlineStr">
        <is>
          <t>https://amazon.com/dp/B07WR7P3FF</t>
        </is>
      </c>
      <c r="L96" s="70">
        <f>HYPERLINK(Table1311[[#This Row],[Column1]])</f>
        <v/>
      </c>
    </row>
    <row r="97" ht="45" customHeight="1" s="290">
      <c r="A97" s="30" t="inlineStr">
        <is>
          <t>Autel MaxiCOM MK808S Scanner, 2026 Bidirectional Scan Tool as MK808BT Pro MX808S MK808Z, Work as MaxiCheck MX900 MK900 MK900BT, 28+ Reset, 3K+ Active Test, FCA AutoAuth, OE All System Diagnostic,OS 11</t>
        </is>
      </c>
      <c r="B97" s="30" t="inlineStr">
        <is>
          <t>B0744JBC7W</t>
        </is>
      </c>
      <c r="C97" s="30" t="inlineStr">
        <is>
          <t>Tablet</t>
        </is>
      </c>
      <c r="D97" s="324" t="n">
        <v>452.6094230769231</v>
      </c>
      <c r="E97" s="324" t="n">
        <v>179690.83</v>
      </c>
      <c r="F97" s="326" t="n">
        <v>23535.69</v>
      </c>
      <c r="G97" s="55" t="n">
        <v>384</v>
      </c>
      <c r="H97" s="55" t="n">
        <v>52</v>
      </c>
      <c r="I97" s="55" t="n">
        <v>708</v>
      </c>
      <c r="J97" s="56" t="n">
        <v>4.5</v>
      </c>
      <c r="K97" s="56" t="inlineStr">
        <is>
          <t>https://amazon.com/dp/B0744JBC7W</t>
        </is>
      </c>
      <c r="L97" s="70">
        <f>HYPERLINK(Table1311[[#This Row],[Column1]])</f>
        <v/>
      </c>
    </row>
    <row r="98" ht="45" customHeight="1" s="290">
      <c r="A98" s="30" t="inlineStr">
        <is>
          <t>Autel J2534 Pass-Thru Programmer, 2026 OEM Reprogramming Diagnostic Tool, Pro 2.0 Ver. of MaxiFlash Elite, Support J2534/ D-PDU/CAN FD/DoIP Protocols, Work with OE Tools &amp; Ultra Lite Elite II PRO</t>
        </is>
      </c>
      <c r="B98" s="30" t="inlineStr">
        <is>
          <t>B0D5MDKFCF</t>
        </is>
      </c>
      <c r="C98" s="30" t="inlineStr">
        <is>
          <t>VCI</t>
        </is>
      </c>
      <c r="D98" s="324" t="n">
        <v>897.8576923076923</v>
      </c>
      <c r="E98" s="324" t="n">
        <v>181142.36</v>
      </c>
      <c r="F98" s="326" t="n">
        <v>23344.3</v>
      </c>
      <c r="G98" s="55" t="n">
        <v>190</v>
      </c>
      <c r="H98" s="55" t="n">
        <v>26</v>
      </c>
      <c r="I98" s="55" t="n">
        <v>68</v>
      </c>
      <c r="J98" s="56" t="n">
        <v>4.6</v>
      </c>
      <c r="K98" s="56" t="inlineStr">
        <is>
          <t>https://amazon.com/dp/B0D5MDKFCF</t>
        </is>
      </c>
      <c r="L98" s="70">
        <f>HYPERLINK(Table1311[[#This Row],[Column1]])</f>
        <v/>
      </c>
    </row>
    <row r="99" ht="45" customHeight="1" s="290">
      <c r="A99" s="30" t="inlineStr">
        <is>
          <t>Autel MaxiCheck MX900 Scanner, 2026 Bidirectional Diagnostic Scan Tool, 8in Up of MaxiCOM MK808S MX808S MK808BT PRO Same as MK900 MK900BT, CAN FD DoIP, 3K+ Active Tests, 40+ Services, All Systems, FCA</t>
        </is>
      </c>
      <c r="B99" s="30" t="inlineStr">
        <is>
          <t>B0BZS52VQD</t>
        </is>
      </c>
      <c r="C99" s="30" t="inlineStr">
        <is>
          <t>Tablet</t>
        </is>
      </c>
      <c r="D99" s="324" t="n">
        <v>564.3635</v>
      </c>
      <c r="E99" s="324" t="n">
        <v>219902.67</v>
      </c>
      <c r="F99" s="326" t="n">
        <v>22574.54</v>
      </c>
      <c r="G99" s="55" t="n">
        <v>422</v>
      </c>
      <c r="H99" s="55" t="n">
        <v>40</v>
      </c>
      <c r="I99" s="55" t="n">
        <v>68</v>
      </c>
      <c r="J99" s="56" t="n">
        <v>4.4</v>
      </c>
      <c r="K99" s="56" t="inlineStr">
        <is>
          <t>https://amazon.com/dp/B0BZS52VQD</t>
        </is>
      </c>
      <c r="L99" s="70">
        <f>HYPERLINK(Table1311[[#This Row],[Column1]])</f>
        <v/>
      </c>
    </row>
    <row r="100" ht="45" customHeight="1" s="290">
      <c r="A100" s="30" t="inlineStr">
        <is>
          <t>2026 Autel Scanner MaxiSys MS906 MAX, 10.1" MS906MAX 2.0 Up of MS906 PRO MP900BT MS908S MK908, OE Bidirectional Diagnostic Scan Tool, CAN FD DoIP, 3000+ Active Tests, 40+ Reset, All Sys, Auto Scan 2.0</t>
        </is>
      </c>
      <c r="B100" s="30" t="inlineStr">
        <is>
          <t>B09RWVB7FJ</t>
        </is>
      </c>
      <c r="C100" s="30" t="inlineStr">
        <is>
          <t>Tablet</t>
        </is>
      </c>
      <c r="D100" s="324" t="n">
        <v>1557.75</v>
      </c>
      <c r="E100" s="324" t="n">
        <v>210330.6330769231</v>
      </c>
      <c r="F100" s="326" t="n">
        <v>21808.5</v>
      </c>
      <c r="G100" s="55" t="n">
        <v>120</v>
      </c>
      <c r="H100" s="55" t="n">
        <v>14</v>
      </c>
      <c r="I100" s="55" t="n">
        <v>39</v>
      </c>
      <c r="J100" s="56" t="n">
        <v>4.5</v>
      </c>
      <c r="K100" s="56" t="inlineStr">
        <is>
          <t>https://amazon.com/dp/B09RWVB7FJ</t>
        </is>
      </c>
      <c r="L100" s="70">
        <f>HYPERLINK(Table1311[[#This Row],[Column1]])</f>
        <v/>
      </c>
    </row>
    <row r="101" ht="45" customHeight="1" s="290">
      <c r="A101" s="30" t="inlineStr">
        <is>
          <t>Autel Scanner MaxiIM IM608 PRO 2, 2026 IM608 PRO II Same As IM608 II Automotive Diagnostic Tool with $1316 Bundle, Advanced as Elite II Pro 40 Reset Services 3000+ Tests Bidirectional Tool, OS10</t>
        </is>
      </c>
      <c r="B101" s="30" t="inlineStr">
        <is>
          <t>B07NRNHJFP</t>
        </is>
      </c>
      <c r="C101" s="30" t="inlineStr">
        <is>
          <t>Tablet</t>
        </is>
      </c>
      <c r="D101" s="324" t="n">
        <v>3107.401428571429</v>
      </c>
      <c r="E101" s="324" t="n">
        <v>193391.4507692308</v>
      </c>
      <c r="F101" s="326" t="n">
        <v>21751.81</v>
      </c>
      <c r="G101" s="55" t="n">
        <v>10</v>
      </c>
      <c r="H101" s="55" t="n">
        <v>7</v>
      </c>
      <c r="I101" s="55" t="n">
        <v>16</v>
      </c>
      <c r="J101" s="56" t="n">
        <v>4.7</v>
      </c>
      <c r="K101" s="56" t="inlineStr">
        <is>
          <t>https://amazon.com/dp/B07NRNHJFP</t>
        </is>
      </c>
      <c r="L101" s="70">
        <f>HYPERLINK(Table1311[[#This Row],[Column1]])</f>
        <v/>
      </c>
    </row>
    <row r="102" ht="60" customHeight="1" s="290">
      <c r="A102" s="30" t="inlineStr">
        <is>
          <t>OBD2 12+8 Adapter for Chrysler, 12 8 OBD II Security Gateway Bypass Cable, OBD2 12&amp;8 Connector for FCA SGW Car SGM, Work for All OBD 2 Scanner, for Dodge, for Jeep, for Ram, for Fiat Year 2018+</t>
        </is>
      </c>
      <c r="B102" s="30" t="inlineStr">
        <is>
          <t>B0BJQKK2TJ</t>
        </is>
      </c>
      <c r="C102" s="30" t="inlineStr">
        <is>
          <t>Cable/Adapter</t>
        </is>
      </c>
      <c r="D102" s="324" t="n">
        <v>25.9953947368421</v>
      </c>
      <c r="E102" s="324" t="n">
        <v>237733.66</v>
      </c>
      <c r="F102" s="326" t="n">
        <v>19756.5</v>
      </c>
      <c r="G102" s="55" t="n">
        <v>9339</v>
      </c>
      <c r="H102" s="55" t="n">
        <v>760</v>
      </c>
      <c r="I102" s="55" t="n">
        <v>517</v>
      </c>
      <c r="J102" s="56" t="n">
        <v>4.7</v>
      </c>
      <c r="K102" s="56" t="inlineStr">
        <is>
          <t>https://amazon.com/dp/B0BJQKK2TJ</t>
        </is>
      </c>
      <c r="L102" s="70">
        <f>HYPERLINK(Table1311[[#This Row],[Column1]])</f>
        <v/>
      </c>
    </row>
    <row r="103" ht="45" customHeight="1" s="290">
      <c r="A103" s="30" t="inlineStr">
        <is>
          <t>Autel Scanner MaxiCheck MX808S-TS: 2026 Same as MaxiCOM MK900TS MX900-TS TS900, US Ver. of MK808S-TS Up of MK808S, Top TPMS Programming Tool, 3000+ Bidirecitonal Active Test, 28+ Service, 11 OS, FCA</t>
        </is>
      </c>
      <c r="B103" s="30" t="inlineStr">
        <is>
          <t>B09QX69JQW</t>
        </is>
      </c>
      <c r="C103" s="30" t="inlineStr">
        <is>
          <t>Tablet</t>
        </is>
      </c>
      <c r="D103" s="324" t="n">
        <v>658.467</v>
      </c>
      <c r="E103" s="324" t="n">
        <v>315251.13</v>
      </c>
      <c r="F103" s="326" t="n">
        <v>19754.01</v>
      </c>
      <c r="G103" s="55" t="n">
        <v>482</v>
      </c>
      <c r="H103" s="55" t="n">
        <v>30</v>
      </c>
      <c r="I103" s="55" t="n">
        <v>106</v>
      </c>
      <c r="J103" s="56" t="n">
        <v>4.7</v>
      </c>
      <c r="K103" s="56" t="inlineStr">
        <is>
          <t>https://amazon.com/dp/B09QX69JQW</t>
        </is>
      </c>
      <c r="L103" s="70">
        <f>HYPERLINK(Table1311[[#This Row],[Column1]])</f>
        <v/>
      </c>
    </row>
    <row r="104" ht="45" customHeight="1" s="290">
      <c r="A104" s="30" t="inlineStr">
        <is>
          <t>Autel MaxiSys Ultra Scanner, 2026 Top Intelligent Scan Tool with MV108 &amp; 5-in-1 VCMI [$2000], Up of Ultra Lite/ MS919/ MS909 S2/ Elite, Motor TruSpeed, Topology Map 2.0, 40+ Service, Programming ﻿</t>
        </is>
      </c>
      <c r="B104" s="30" t="inlineStr">
        <is>
          <t>B0C1FFYHFF</t>
        </is>
      </c>
      <c r="C104" s="30" t="inlineStr">
        <is>
          <t>Tablet</t>
        </is>
      </c>
      <c r="D104" s="324" t="n">
        <v>3945.218</v>
      </c>
      <c r="E104" s="324" t="n">
        <v>520259.9400000001</v>
      </c>
      <c r="F104" s="326" t="n">
        <v>19726.09</v>
      </c>
      <c r="G104" s="55" t="n">
        <v>135</v>
      </c>
      <c r="H104" s="55" t="n">
        <v>5</v>
      </c>
      <c r="I104" s="55" t="n">
        <v>20</v>
      </c>
      <c r="J104" s="56" t="n">
        <v>4.1</v>
      </c>
      <c r="K104" s="56" t="inlineStr">
        <is>
          <t>https://amazon.com/dp/B0C1FFYHFF</t>
        </is>
      </c>
      <c r="L104" s="70">
        <f>HYPERLINK(Table1311[[#This Row],[Column1]])</f>
        <v/>
      </c>
    </row>
    <row r="105" ht="60" customHeight="1" s="290">
      <c r="A105" s="30" t="inlineStr">
        <is>
          <t>Autel MS906 MAX Bi-Directional Scanner: 2026 MS906MAX Updated of MS906 Pro MP900BT with ECU C0ding, DoIP, CANFD, FCA SGW AutAuth, All System Scan, 40+ Service 3000+ Active Tests as MS908S PRO II</t>
        </is>
      </c>
      <c r="B105" s="30" t="inlineStr">
        <is>
          <t>B0DXKBMLVB</t>
        </is>
      </c>
      <c r="C105" s="30" t="inlineStr">
        <is>
          <t>Tablet</t>
        </is>
      </c>
      <c r="D105" s="324" t="n">
        <v>1610.810833333333</v>
      </c>
      <c r="E105" s="324" t="n">
        <v>185506.8476923077</v>
      </c>
      <c r="F105" s="326" t="n">
        <v>19329.73</v>
      </c>
      <c r="G105" s="55" t="n">
        <v>108</v>
      </c>
      <c r="H105" s="55" t="n">
        <v>12</v>
      </c>
      <c r="I105" s="55" t="n">
        <v>18</v>
      </c>
      <c r="J105" s="56" t="n">
        <v>4.8</v>
      </c>
      <c r="K105" s="56" t="inlineStr">
        <is>
          <t>https://amazon.com/dp/B0DXKBMLVB</t>
        </is>
      </c>
      <c r="L105" s="70">
        <f>HYPERLINK(Table1311[[#This Row],[Column1]])</f>
        <v/>
      </c>
    </row>
    <row r="106" ht="60" customHeight="1" s="290">
      <c r="A106" s="30" t="inlineStr">
        <is>
          <t>Autel MaxiSys MS908CV II: 2026 Heavy Duty Truck Scanner Upgrade of MS908CV, Same as MS909CV, Semi Truck Tool with J2534 Tool, C0ding, Active Test, 64 Service, Diesel Diagnostic Tool</t>
        </is>
      </c>
      <c r="B106" s="30" t="inlineStr">
        <is>
          <t>B08RBR1VHV</t>
        </is>
      </c>
      <c r="C106" s="30" t="inlineStr">
        <is>
          <t>Tablet</t>
        </is>
      </c>
      <c r="D106" s="324" t="n">
        <v>2754.892857142857</v>
      </c>
      <c r="E106" s="324" t="n">
        <v>300954.37</v>
      </c>
      <c r="F106" s="326" t="n">
        <v>19284.25</v>
      </c>
      <c r="G106" s="55" t="n">
        <v>105</v>
      </c>
      <c r="H106" s="55" t="n">
        <v>7</v>
      </c>
      <c r="I106" s="55" t="n">
        <v>20</v>
      </c>
      <c r="J106" s="56" t="n">
        <v>4.6</v>
      </c>
      <c r="K106" s="56" t="inlineStr">
        <is>
          <t>https://amazon.com/dp/B08RBR1VHV</t>
        </is>
      </c>
      <c r="L106" s="70">
        <f>HYPERLINK(Table1311[[#This Row],[Column1]])</f>
        <v/>
      </c>
    </row>
    <row r="107" ht="45" customHeight="1" s="290">
      <c r="A107" s="30" t="inlineStr">
        <is>
          <t>Autel MaxiSys Elite II Pro 2026 Diagnostic Scanner, J2534 ECU Programming Tool (As Ultra/MS908S PRO II), CAN FD &amp; DoIP, Bidirectional Control, 150+ Car Brands, 40+ Services, 2-Year Free Updates</t>
        </is>
      </c>
      <c r="B107" s="30" t="inlineStr">
        <is>
          <t>B0FJLSKLBP</t>
        </is>
      </c>
      <c r="C107" s="30" t="inlineStr">
        <is>
          <t>Tablet</t>
        </is>
      </c>
      <c r="D107" s="324" t="n">
        <v>2397.08375</v>
      </c>
      <c r="E107" s="324" t="n">
        <v>208762.4192307693</v>
      </c>
      <c r="F107" s="326" t="n">
        <v>19176.67</v>
      </c>
      <c r="G107" s="55" t="n">
        <v>45</v>
      </c>
      <c r="H107" s="55" t="n">
        <v>8</v>
      </c>
      <c r="I107" s="55" t="n">
        <v>4</v>
      </c>
      <c r="J107" s="56" t="n">
        <v>5</v>
      </c>
      <c r="K107" s="56" t="inlineStr">
        <is>
          <t>https://amazon.com/dp/B0FJLSKLBP</t>
        </is>
      </c>
      <c r="L107" s="70">
        <f>HYPERLINK(Table1311[[#This Row],[Column1]])</f>
        <v/>
      </c>
    </row>
    <row r="108" ht="45" customHeight="1" s="290">
      <c r="A108" s="30" t="inlineStr">
        <is>
          <t>Autel Code Reader Diagnostic Tool, 2026 OBDII Scan Tool with Lifetime Free Updates, Wireless BT Scan Tool, 2GB &amp; 64GB Android 9.0, for Home Mechanics &amp; DIYers</t>
        </is>
      </c>
      <c r="B108" s="30" t="inlineStr">
        <is>
          <t>B0F6VCB25L</t>
        </is>
      </c>
      <c r="C108" s="30" t="inlineStr">
        <is>
          <t>Cable/Adapter</t>
        </is>
      </c>
      <c r="D108" s="324" t="n">
        <v>540.0205714285714</v>
      </c>
      <c r="E108" s="324" t="n">
        <v>141906.6684615385</v>
      </c>
      <c r="F108" s="326" t="n">
        <v>18900.72</v>
      </c>
      <c r="G108" s="55" t="n">
        <v>233</v>
      </c>
      <c r="H108" s="55" t="n">
        <v>35</v>
      </c>
      <c r="I108" s="55" t="n">
        <v>25</v>
      </c>
      <c r="J108" s="56" t="n">
        <v>4.6</v>
      </c>
      <c r="K108" s="56" t="inlineStr">
        <is>
          <t>https://amazon.com/dp/B0F6VCB25L</t>
        </is>
      </c>
      <c r="L108" s="70">
        <f>HYPERLINK(Table1311[[#This Row],[Column1]])</f>
        <v/>
      </c>
    </row>
    <row r="109" ht="60" customHeight="1" s="290">
      <c r="A109" s="30" t="inlineStr">
        <is>
          <t>Autel Scanner MaxiCOM MK808BT PRO: 2026 Bidirectional Scan Tool Work as MK900BT, 33FT BT 2.0 Ver. of MK900 MX900 MK808S MaxiCheck MX808S MK808Z, 3K+ Active Tests, 28+ Services, OE Full Sys, OS 11, FCA</t>
        </is>
      </c>
      <c r="B109" s="30" t="inlineStr">
        <is>
          <t>B07KXDKWRS</t>
        </is>
      </c>
      <c r="C109" s="30" t="inlineStr">
        <is>
          <t>Tablet</t>
        </is>
      </c>
      <c r="D109" s="324" t="n">
        <v>554.6626470588235</v>
      </c>
      <c r="E109" s="324" t="n">
        <v>307003.49</v>
      </c>
      <c r="F109" s="326" t="n">
        <v>18858.53</v>
      </c>
      <c r="G109" s="55" t="n">
        <v>558</v>
      </c>
      <c r="H109" s="55" t="n">
        <v>34</v>
      </c>
      <c r="I109" s="55" t="n">
        <v>602</v>
      </c>
      <c r="J109" s="56" t="n">
        <v>4.6</v>
      </c>
      <c r="K109" s="56" t="inlineStr">
        <is>
          <t>https://amazon.com/dp/B07KXDKWRS</t>
        </is>
      </c>
      <c r="L109" s="70">
        <f>HYPERLINK(Table1311[[#This Row],[Column1]])</f>
        <v/>
      </c>
    </row>
    <row r="110" ht="60" customHeight="1" s="290">
      <c r="A110" s="30" t="inlineStr">
        <is>
          <t>Autel Scanner MaxiSYS MS908S PRO II 2026: J2534 ECU Pr0gramming C0ding PMI As MSUltra MS919 Elite II PRO w/AutoScan 2.0, US Ver. of MK908 Pro II, Up of MS906 MAX, 4000+ Test, 38+ Reset, 8-Core 4/128G</t>
        </is>
      </c>
      <c r="B110" s="30" t="inlineStr">
        <is>
          <t>B088FRCPTB</t>
        </is>
      </c>
      <c r="C110" s="30" t="inlineStr">
        <is>
          <t>Tablet</t>
        </is>
      </c>
      <c r="D110" s="324" t="n">
        <v>1871.002</v>
      </c>
      <c r="E110" s="324" t="n">
        <v>378262.1899999999</v>
      </c>
      <c r="F110" s="326" t="n">
        <v>18710.02</v>
      </c>
      <c r="G110" s="55" t="n">
        <v>194</v>
      </c>
      <c r="H110" s="55" t="n">
        <v>10</v>
      </c>
      <c r="I110" s="55" t="n">
        <v>106</v>
      </c>
      <c r="J110" s="56" t="n">
        <v>4.6</v>
      </c>
      <c r="K110" s="56" t="inlineStr">
        <is>
          <t>https://amazon.com/dp/B088FRCPTB</t>
        </is>
      </c>
      <c r="L110" s="70">
        <f>HYPERLINK(Table1311[[#This Row],[Column1]])</f>
        <v/>
      </c>
    </row>
    <row r="111" ht="45" customHeight="1" s="290">
      <c r="A111" s="30" t="inlineStr">
        <is>
          <t>Autel MaxiSys MS908CV II Truck Scanner: 2026 Heavy Duty Tool for Commercial Semi Trucks, OE C0ding, J-2534 Pr0grammer, 64 Service as MS909CV MS908S Pro II Elite II Pro Ultra Lite</t>
        </is>
      </c>
      <c r="B111" s="30" t="inlineStr">
        <is>
          <t>B0749MHKXT</t>
        </is>
      </c>
      <c r="C111" s="30" t="inlineStr">
        <is>
          <t>Tablet</t>
        </is>
      </c>
      <c r="D111" s="324" t="n">
        <v>3092.245</v>
      </c>
      <c r="E111" s="324" t="n">
        <v>207689.36</v>
      </c>
      <c r="F111" s="326" t="n">
        <v>18553.47</v>
      </c>
      <c r="G111" s="55" t="n">
        <v>72</v>
      </c>
      <c r="H111" s="55" t="n">
        <v>6</v>
      </c>
      <c r="I111" s="55" t="n">
        <v>26</v>
      </c>
      <c r="J111" s="56" t="n">
        <v>4.4</v>
      </c>
      <c r="K111" s="56" t="inlineStr">
        <is>
          <t>https://amazon.com/dp/B0749MHKXT</t>
        </is>
      </c>
      <c r="L111" s="70">
        <f>HYPERLINK(Table1311[[#This Row],[Column1]])</f>
        <v/>
      </c>
    </row>
    <row r="112" ht="45" customHeight="1" s="290">
      <c r="A112" s="30" t="inlineStr">
        <is>
          <t>Autel Scanner MaxiIM IM608 PRO 2, 2026 IM608 PRO II Bidirectional Diagnostic Tool with XP400 PRO GBOX3 APB112, Up of IM508S PRO/ IM608, Advanced Function as Elite II Pro, 3000+ Tests, 40 Reset, OS10</t>
        </is>
      </c>
      <c r="B112" s="30" t="inlineStr">
        <is>
          <t>B08PDMD8ZT</t>
        </is>
      </c>
      <c r="C112" s="30" t="inlineStr">
        <is>
          <t>Tablet</t>
        </is>
      </c>
      <c r="D112" s="324" t="n">
        <v>3012.308333333333</v>
      </c>
      <c r="E112" s="324" t="n">
        <v>173254.9038461539</v>
      </c>
      <c r="F112" s="326" t="n">
        <v>18073.85</v>
      </c>
      <c r="G112" s="55" t="n">
        <v>53</v>
      </c>
      <c r="H112" s="55" t="n">
        <v>6</v>
      </c>
      <c r="I112" s="55" t="n">
        <v>155</v>
      </c>
      <c r="J112" s="56" t="n">
        <v>4.5</v>
      </c>
      <c r="K112" s="56" t="inlineStr">
        <is>
          <t>https://amazon.com/dp/B08PDMD8ZT</t>
        </is>
      </c>
      <c r="L112" s="70">
        <f>HYPERLINK(Table1311[[#This Row],[Column1]])</f>
        <v/>
      </c>
    </row>
    <row r="113" ht="60" customHeight="1" s="290">
      <c r="A113" s="30" t="inlineStr">
        <is>
          <t>Autel Scanner MaxilM KM100 Diagnostic Tool, 2026 New KM100 Scan Tool, Lifetime Fr.ee Update, OBD-Learn for 99% Cars, with Updated Hardware 2.0 for Home Mechanics &amp; DIYers (Model KM Series 100)</t>
        </is>
      </c>
      <c r="B113" s="30" t="inlineStr">
        <is>
          <t>B0F7LK3CN5</t>
        </is>
      </c>
      <c r="C113" s="30" t="inlineStr">
        <is>
          <t>Handheld</t>
        </is>
      </c>
      <c r="D113" s="324" t="n">
        <v>533.4039393939395</v>
      </c>
      <c r="E113" s="324" t="n">
        <v>177113.0392307692</v>
      </c>
      <c r="F113" s="326" t="n">
        <v>17602.33</v>
      </c>
      <c r="G113" s="55" t="n">
        <v>270</v>
      </c>
      <c r="H113" s="55" t="n">
        <v>33</v>
      </c>
      <c r="I113" s="55" t="n">
        <v>23</v>
      </c>
      <c r="J113" s="56" t="n">
        <v>4.4</v>
      </c>
      <c r="K113" s="56" t="inlineStr">
        <is>
          <t>https://amazon.com/dp/B0F7LK3CN5</t>
        </is>
      </c>
      <c r="L113" s="70">
        <f>HYPERLINK(Table1311[[#This Row],[Column1]])</f>
        <v/>
      </c>
    </row>
    <row r="114" ht="45" customHeight="1" s="290">
      <c r="A114" s="30" t="inlineStr">
        <is>
          <t>2026 Autel MaxiSYS CV MS908CV II Heavy Duty Truck Scanner, Same as MS909CV Up of MS908CV, J2534 Pr0-grammer, C0ding, Semi Truck Full System Diagnostic Tool, Bidirectional Diesel Scan Tool, 3000+ Tests</t>
        </is>
      </c>
      <c r="B114" s="30" t="inlineStr">
        <is>
          <t>B0CWTM3KVX</t>
        </is>
      </c>
      <c r="C114" s="30" t="inlineStr">
        <is>
          <t>Tablet</t>
        </is>
      </c>
      <c r="D114" s="324" t="n">
        <v>2921.86</v>
      </c>
      <c r="E114" s="324" t="n">
        <v>187675.01</v>
      </c>
      <c r="F114" s="326" t="n">
        <v>17531.16</v>
      </c>
      <c r="G114" s="55" t="n">
        <v>65</v>
      </c>
      <c r="H114" s="55" t="n">
        <v>6</v>
      </c>
      <c r="I114" s="55" t="n">
        <v>16</v>
      </c>
      <c r="J114" s="56" t="n">
        <v>4.8</v>
      </c>
      <c r="K114" s="56" t="inlineStr">
        <is>
          <t>https://amazon.com/dp/B0CWTM3KVX</t>
        </is>
      </c>
      <c r="L114" s="70">
        <f>HYPERLINK(Table1311[[#This Row],[Column1]])</f>
        <v/>
      </c>
    </row>
    <row r="115" ht="60" customHeight="1" s="290">
      <c r="A115" s="30" t="inlineStr">
        <is>
          <t>Autel MK900 Scanner, 2026 OBD2 Diagnostic Tool Up of MK808S MX808S MK808BT, Works as MaxiCOM MX900 MK900BT MK900-BT w/ 3000+ Bidirectional Active Tests, All System, 40+ Resets, DOIP CANFD, FCA</t>
        </is>
      </c>
      <c r="B115" s="30" t="inlineStr">
        <is>
          <t>B07BQQFDKQ</t>
        </is>
      </c>
      <c r="C115" s="30" t="inlineStr">
        <is>
          <t>Tablet</t>
        </is>
      </c>
      <c r="D115" s="324" t="n">
        <v>563.7567741935484</v>
      </c>
      <c r="E115" s="324" t="n">
        <v>319618.51</v>
      </c>
      <c r="F115" s="326" t="n">
        <v>17476.46</v>
      </c>
      <c r="G115" s="55" t="n">
        <v>590</v>
      </c>
      <c r="H115" s="55" t="n">
        <v>31</v>
      </c>
      <c r="I115" s="55" t="n">
        <v>134</v>
      </c>
      <c r="J115" s="56" t="n">
        <v>4.6</v>
      </c>
      <c r="K115" s="56" t="inlineStr">
        <is>
          <t>https://amazon.com/dp/B07BQQFDKQ</t>
        </is>
      </c>
      <c r="L115" s="70">
        <f>HYPERLINK(Table1311[[#This Row],[Column1]])</f>
        <v/>
      </c>
    </row>
    <row r="116" ht="60" customHeight="1" s="290">
      <c r="A116" s="30" t="inlineStr">
        <is>
          <t>Autel MaxiSys MS906 Pro2 TS Scanner Full TPMS Functionality 2.0 Up of MS906 PRO TS MK906 PRO-TS MP900TS MS906PRO MS906MAX OE-Level All Systems Diagnostics &amp; Services Same as MK906S PRO2-TS</t>
        </is>
      </c>
      <c r="B116" s="30" t="inlineStr">
        <is>
          <t>B0FPKHZ6ML</t>
        </is>
      </c>
      <c r="C116" s="30" t="inlineStr">
        <is>
          <t>Tablet</t>
        </is>
      </c>
      <c r="D116" s="324" t="n">
        <v>1718.025</v>
      </c>
      <c r="E116" s="324" t="n">
        <v>183142.6738461539</v>
      </c>
      <c r="F116" s="326" t="n">
        <v>17180.25</v>
      </c>
      <c r="G116" s="55" t="n">
        <v>50</v>
      </c>
      <c r="H116" s="55" t="n">
        <v>10</v>
      </c>
      <c r="I116" s="55" t="n">
        <v>3</v>
      </c>
      <c r="J116" s="56" t="n">
        <v>5</v>
      </c>
      <c r="K116" s="56" t="inlineStr">
        <is>
          <t>https://amazon.com/dp/B0FPKHZ6ML</t>
        </is>
      </c>
      <c r="L116" s="70">
        <f>HYPERLINK(Table1311[[#This Row],[Column1]])</f>
        <v/>
      </c>
    </row>
    <row r="117" ht="45" customHeight="1" s="290">
      <c r="A117" s="30" t="inlineStr">
        <is>
          <t>Autel MaxiSys Ultra S2 AI Scanner, 2026 UltraS2 Top Intelligent Scan Tool, Up of MS919 S2 MSUltra EV, 6IN1 VCMI2, Multi-Point DVI, Topology 3.0, Motor Truspeed, 48+ Service, EV Tests, 3K+ Active Tests</t>
        </is>
      </c>
      <c r="B117" s="30" t="inlineStr">
        <is>
          <t>B0936PQ6Y8</t>
        </is>
      </c>
      <c r="C117" s="30" t="inlineStr">
        <is>
          <t>Tablet</t>
        </is>
      </c>
      <c r="D117" s="324" t="n">
        <v>5715.826666666667</v>
      </c>
      <c r="E117" s="324" t="n">
        <v>122687.2330769231</v>
      </c>
      <c r="F117" s="326" t="n">
        <v>17147.48</v>
      </c>
      <c r="G117" s="55" t="n">
        <v>20</v>
      </c>
      <c r="H117" s="55" t="n">
        <v>3</v>
      </c>
      <c r="I117" s="55" t="n">
        <v>8</v>
      </c>
      <c r="J117" s="56" t="n">
        <v>5</v>
      </c>
      <c r="K117" s="56" t="inlineStr">
        <is>
          <t>https://amazon.com/dp/B0936PQ6Y8</t>
        </is>
      </c>
      <c r="L117" s="70">
        <f>HYPERLINK(Table1311[[#This Row],[Column1]])</f>
        <v/>
      </c>
    </row>
    <row r="118" ht="60" customHeight="1" s="290">
      <c r="A118" s="30" t="inlineStr">
        <is>
          <t>Autel AutoLink AL619 Scanner, 2026 ABS SRS Airbag Warning Light Diagnostic Scan Tool, Up of AL519 ML519 ML619, 10 OBDII Test Modes, DTCs Lookup, Live Data, Turn Off Check Engine Light OBD2 Code Reader</t>
        </is>
      </c>
      <c r="B118" s="30" t="inlineStr">
        <is>
          <t>B0925G7QY1</t>
        </is>
      </c>
      <c r="C118" s="30" t="inlineStr">
        <is>
          <t>Handheld</t>
        </is>
      </c>
      <c r="D118" s="324" t="n">
        <v>99.98058823529412</v>
      </c>
      <c r="E118" s="324" t="n">
        <v>205865.65</v>
      </c>
      <c r="F118" s="326" t="n">
        <v>16996.7</v>
      </c>
      <c r="G118" s="55" t="n">
        <v>2097</v>
      </c>
      <c r="H118" s="55" t="n">
        <v>170</v>
      </c>
      <c r="I118" s="55" t="n">
        <v>563</v>
      </c>
      <c r="J118" s="56" t="n">
        <v>4.3</v>
      </c>
      <c r="K118" s="56" t="inlineStr">
        <is>
          <t>https://amazon.com/dp/B0925G7QY1</t>
        </is>
      </c>
      <c r="L118" s="70">
        <f>HYPERLINK(Table1311[[#This Row],[Column1]])</f>
        <v/>
      </c>
    </row>
    <row r="119" ht="60" customHeight="1" s="290">
      <c r="A119" s="30" t="inlineStr">
        <is>
          <t>2026 Autel MaxiSYS Elite 2 PRO Scanner, Elite II Pro 2-Year Free Update ($2590) OE-Level J2534 Programming Coding Tool as MSUltra MS919 MS909, Motor TruSpeed, 40+ Service 3000+ Active Test CAN FD DoIP</t>
        </is>
      </c>
      <c r="B119" s="30" t="inlineStr">
        <is>
          <t>B09TT2GQ6P</t>
        </is>
      </c>
      <c r="C119" s="30" t="inlineStr">
        <is>
          <t>Tablet</t>
        </is>
      </c>
      <c r="D119" s="324" t="n">
        <v>2418.074285714286</v>
      </c>
      <c r="E119" s="324" t="n">
        <v>307030.77</v>
      </c>
      <c r="F119" s="326" t="n">
        <v>16926.52</v>
      </c>
      <c r="G119" s="55" t="n">
        <v>127</v>
      </c>
      <c r="H119" s="55" t="n">
        <v>7</v>
      </c>
      <c r="I119" s="55" t="n">
        <v>17</v>
      </c>
      <c r="J119" s="56" t="n">
        <v>4.8</v>
      </c>
      <c r="K119" s="56" t="inlineStr">
        <is>
          <t>https://amazon.com/dp/B09TT2GQ6P</t>
        </is>
      </c>
      <c r="L119" s="70">
        <f>HYPERLINK(Table1311[[#This Row],[Column1]])</f>
        <v/>
      </c>
    </row>
    <row r="120" ht="60" customHeight="1" s="290">
      <c r="A120" s="30" t="inlineStr">
        <is>
          <t>Autel Scanner IM508S OBD2 Scanner, 2026 Bidirectional Scan Tool, with XP200 Programmer, Smart &amp; Expert Mode, All System Diagnostic, 3000+ Active Test, 40+ Service, Up of MK900BT MK808S, FCA AutoAuth</t>
        </is>
      </c>
      <c r="B120" s="30" t="inlineStr">
        <is>
          <t>B0G1Y9LC4Q</t>
        </is>
      </c>
      <c r="C120" s="30" t="inlineStr">
        <is>
          <t>Tablet</t>
        </is>
      </c>
      <c r="D120" s="324" t="n">
        <v>1201.681428571429</v>
      </c>
      <c r="E120" s="324" t="n">
        <v>190871.9323076924</v>
      </c>
      <c r="F120" s="326" t="n">
        <v>16823.54</v>
      </c>
      <c r="G120" s="55" t="n">
        <v>56</v>
      </c>
      <c r="H120" s="55" t="n">
        <v>14</v>
      </c>
      <c r="I120" s="55" t="n">
        <v>4</v>
      </c>
      <c r="J120" s="56" t="n">
        <v>4.7</v>
      </c>
      <c r="K120" s="56" t="inlineStr">
        <is>
          <t>https://amazon.com/dp/B0G1Y9LC4Q</t>
        </is>
      </c>
      <c r="L120" s="70">
        <f>HYPERLINK(Table1311[[#This Row],[Column1]])</f>
        <v/>
      </c>
    </row>
    <row r="121" ht="60" customHeight="1" s="290">
      <c r="A121" s="30" t="inlineStr">
        <is>
          <t>Autel Scanner MaxiCOM MK808Z: 2026 Bidirectional Scan Tool as MK808BT Pro MX808S OBD2 Scanner, 28+ Resets, Active Test, All System Diagnostic, Injector C0ding, Escaner Automotriz,Work as MX900 MK900BT</t>
        </is>
      </c>
      <c r="B121" s="30" t="inlineStr">
        <is>
          <t>B098TDC7FM</t>
        </is>
      </c>
      <c r="C121" s="30" t="inlineStr">
        <is>
          <t>Tablet</t>
        </is>
      </c>
      <c r="D121" s="324" t="n">
        <v>419.388</v>
      </c>
      <c r="E121" s="324" t="n">
        <v>244815.01</v>
      </c>
      <c r="F121" s="326" t="n">
        <v>16775.52</v>
      </c>
      <c r="G121" s="55" t="n">
        <v>568</v>
      </c>
      <c r="H121" s="55" t="n">
        <v>40</v>
      </c>
      <c r="I121" s="55" t="n">
        <v>366</v>
      </c>
      <c r="J121" s="56" t="n">
        <v>4.4</v>
      </c>
      <c r="K121" s="56" t="inlineStr">
        <is>
          <t>https://amazon.com/dp/B098TDC7FM</t>
        </is>
      </c>
      <c r="L121" s="70">
        <f>HYPERLINK(Table1311[[#This Row],[Column1]])</f>
        <v/>
      </c>
    </row>
    <row r="122" ht="45" customHeight="1" s="290">
      <c r="A122" s="30" t="inlineStr">
        <is>
          <t>Autel MaxiIM IM608 PRO 2 Scanner with Full Kit ($1316), 2026 IM608 PRO II Diagnostic Tool Upgrade of IM608 Pro IM608S II IM508S, ECU as Elite II Pro, 40+Reset, 3000+ Active Tests, Full System</t>
        </is>
      </c>
      <c r="B122" s="30" t="inlineStr">
        <is>
          <t>B07NYR2STX</t>
        </is>
      </c>
      <c r="C122" s="30" t="inlineStr">
        <is>
          <t>Tablet</t>
        </is>
      </c>
      <c r="D122" s="324" t="n">
        <v>3318.036</v>
      </c>
      <c r="E122" s="324" t="n">
        <v>117504.1623076923</v>
      </c>
      <c r="F122" s="326" t="n">
        <v>16590.18</v>
      </c>
      <c r="G122" s="55" t="n">
        <v>31</v>
      </c>
      <c r="H122" s="55" t="n">
        <v>5</v>
      </c>
      <c r="I122" s="55" t="n">
        <v>8</v>
      </c>
      <c r="J122" s="56" t="n">
        <v>4.5</v>
      </c>
      <c r="K122" s="56" t="inlineStr">
        <is>
          <t>https://amazon.com/dp/B07NYR2STX</t>
        </is>
      </c>
      <c r="L122" s="70">
        <f>HYPERLINK(Table1311[[#This Row],[Column1]])</f>
        <v/>
      </c>
    </row>
    <row r="123" ht="45" customHeight="1" s="290">
      <c r="A123" s="30" t="inlineStr">
        <is>
          <t>Autel OBD2 Scanner AL329, Upgraded AutoLink AL319, Auto VIN, Check-Engine-Light Code Reader, MIL Reset, One-Click I/M Readiness, CAN Car Diagnostic Scan Tool, for All OBD II Vehicles After 1996</t>
        </is>
      </c>
      <c r="B123" s="30" t="inlineStr">
        <is>
          <t>B0BHNRPZXR</t>
        </is>
      </c>
      <c r="C123" s="30" t="inlineStr">
        <is>
          <t>Handheld</t>
        </is>
      </c>
      <c r="D123" s="324" t="n">
        <v>34.95733050847458</v>
      </c>
      <c r="E123" s="324" t="n">
        <v>129034.19</v>
      </c>
      <c r="F123" s="326" t="n">
        <v>16499.86</v>
      </c>
      <c r="G123" s="55" t="n">
        <v>3727</v>
      </c>
      <c r="H123" s="55" t="n">
        <v>472</v>
      </c>
      <c r="I123" s="55" t="n">
        <v>140</v>
      </c>
      <c r="J123" s="56" t="n">
        <v>4.6</v>
      </c>
      <c r="K123" s="56" t="inlineStr">
        <is>
          <t>https://amazon.com/dp/B0BHNRPZXR</t>
        </is>
      </c>
      <c r="L123" s="70">
        <f>HYPERLINK(Table1311[[#This Row],[Column1]])</f>
        <v/>
      </c>
    </row>
    <row r="124" ht="45" customHeight="1" s="290">
      <c r="A124" s="30" t="inlineStr">
        <is>
          <t>Autel Scanner MaxiCOM MK900TS, 2026 MK900-TS Same as MX900TS TS900, Top TPMS Functions Bidirectional Scan Tool, Up of MK900BT MK900 MX900 MK808S-TS MK808S, DoIP CAN FD, 40+ Service, 3000+ Tests, FCA</t>
        </is>
      </c>
      <c r="B124" s="30" t="inlineStr">
        <is>
          <t>B09YM97Q9N</t>
        </is>
      </c>
      <c r="C124" s="30" t="inlineStr">
        <is>
          <t>Tablet</t>
        </is>
      </c>
      <c r="D124" s="324" t="n">
        <v>883.96</v>
      </c>
      <c r="E124" s="324" t="n">
        <v>147016.72</v>
      </c>
      <c r="F124" s="326" t="n">
        <v>15911.28</v>
      </c>
      <c r="G124" s="55" t="n">
        <v>169</v>
      </c>
      <c r="H124" s="55" t="n">
        <v>18</v>
      </c>
      <c r="I124" s="55" t="n">
        <v>28</v>
      </c>
      <c r="J124" s="56" t="n">
        <v>4.5</v>
      </c>
      <c r="K124" s="56" t="inlineStr">
        <is>
          <t>https://amazon.com/dp/B09YM97Q9N</t>
        </is>
      </c>
      <c r="L124" s="70">
        <f>HYPERLINK(Table1311[[#This Row],[Column1]])</f>
        <v/>
      </c>
    </row>
    <row r="125" ht="60" customHeight="1" s="290">
      <c r="A125" s="30" t="inlineStr">
        <is>
          <t>Autel MaxiTPMS ITS600 (E) TPMS Programming Tool, 2026 Complete TPMS Functions as ITS600 Pro Up of TS508WF/ MK808S-TS/ TS900, Relearn/Activate Sensors, Oil Reset EPB BMS SAS, Lifetime Free Updates</t>
        </is>
      </c>
      <c r="B125" s="30" t="inlineStr">
        <is>
          <t>B09QX9B31K</t>
        </is>
      </c>
      <c r="C125" s="30" t="inlineStr">
        <is>
          <t>Handheld</t>
        </is>
      </c>
      <c r="D125" s="324" t="n">
        <v>406.4310256410257</v>
      </c>
      <c r="E125" s="324" t="n">
        <v>117051.93</v>
      </c>
      <c r="F125" s="326" t="n">
        <v>15850.81</v>
      </c>
      <c r="G125" s="55" t="n">
        <v>245</v>
      </c>
      <c r="H125" s="55" t="n">
        <v>39</v>
      </c>
      <c r="I125" s="55" t="n">
        <v>15</v>
      </c>
      <c r="J125" s="56" t="n">
        <v>4.9</v>
      </c>
      <c r="K125" s="56" t="inlineStr">
        <is>
          <t>https://amazon.com/dp/B09QX9B31K</t>
        </is>
      </c>
      <c r="L125" s="70">
        <f>HYPERLINK(Table1311[[#This Row],[Column1]])</f>
        <v/>
      </c>
    </row>
    <row r="126" ht="45" customHeight="1" s="290">
      <c r="A126" s="30" t="inlineStr">
        <is>
          <t>Autel Scanner MaxiSYS MS906 PRO, 2026 MS906PRO Same as MS906MAX w/ECU C0ding, CAN FD DoIP, V2.0 of MP900BT MP900 MS906BT Elite 2, Bidirectional Diagnostic Scan Tool, 36+ Service, 3000+ Test, FCA SGW</t>
        </is>
      </c>
      <c r="B126" s="30" t="inlineStr">
        <is>
          <t>B09QX9KV2X</t>
        </is>
      </c>
      <c r="C126" s="30" t="inlineStr">
        <is>
          <t>Tablet</t>
        </is>
      </c>
      <c r="D126" s="324" t="n">
        <v>1402.304545454545</v>
      </c>
      <c r="E126" s="324" t="n">
        <v>315349.06</v>
      </c>
      <c r="F126" s="326" t="n">
        <v>15425.35</v>
      </c>
      <c r="G126" s="55" t="n">
        <v>228</v>
      </c>
      <c r="H126" s="55" t="n">
        <v>11</v>
      </c>
      <c r="I126" s="55" t="n">
        <v>73</v>
      </c>
      <c r="J126" s="56" t="n">
        <v>4.5</v>
      </c>
      <c r="K126" s="56" t="inlineStr">
        <is>
          <t>https://amazon.com/dp/B09QX9KV2X</t>
        </is>
      </c>
      <c r="L126" s="70">
        <f>HYPERLINK(Table1311[[#This Row],[Column1]])</f>
        <v/>
      </c>
    </row>
    <row r="127" ht="45" customHeight="1" s="290">
      <c r="A127" s="30" t="inlineStr">
        <is>
          <t>Autel Scanner MaxiSys MS906 PRO, 2026 MS906PRO Same as MS906MAX, 2.0 of MS908S MS906BT, Lite of Elite II PRO, DoIP CAN FD, 36+ Service, 3000+ Active Tests, Auto Scan 2.0, OE Bidirectional Diagnostic</t>
        </is>
      </c>
      <c r="B127" s="30" t="inlineStr">
        <is>
          <t>B09JFZF3ZC</t>
        </is>
      </c>
      <c r="C127" s="30" t="inlineStr">
        <is>
          <t>Tablet</t>
        </is>
      </c>
      <c r="D127" s="324" t="n">
        <v>1531.152</v>
      </c>
      <c r="E127" s="324" t="n">
        <v>363086.4899999999</v>
      </c>
      <c r="F127" s="326" t="n">
        <v>15311.52</v>
      </c>
      <c r="G127" s="55" t="n">
        <v>243</v>
      </c>
      <c r="H127" s="55" t="n">
        <v>10</v>
      </c>
      <c r="I127" s="55" t="n">
        <v>73</v>
      </c>
      <c r="J127" s="56" t="n">
        <v>4.6</v>
      </c>
      <c r="K127" s="56" t="inlineStr">
        <is>
          <t>https://amazon.com/dp/B09JFZF3ZC</t>
        </is>
      </c>
      <c r="L127" s="70">
        <f>HYPERLINK(Table1311[[#This Row],[Column1]])</f>
        <v/>
      </c>
    </row>
    <row r="128" ht="45" customHeight="1" s="290">
      <c r="A128" s="30" t="inlineStr">
        <is>
          <t>Autel MaxiCOM MK906 PRO2-TS Scanner: 2026 Multilingual of MS906 PRO2-TS, 2.0 Up of MS906 PRO TS MK906PRO-TS MP900TS MS906PRO MS906MAX, TPMS 2.0 &amp; ECU Coding, 3K+ Bidirectional 40+ Reset, DoIP CAN FD</t>
        </is>
      </c>
      <c r="B128" s="30" t="inlineStr">
        <is>
          <t>B07F31NFDB</t>
        </is>
      </c>
      <c r="C128" s="30" t="inlineStr">
        <is>
          <t>Tablet</t>
        </is>
      </c>
      <c r="D128" s="324" t="n">
        <v>1500.803</v>
      </c>
      <c r="E128" s="324" t="n">
        <v>61756.61</v>
      </c>
      <c r="F128" s="326" t="n">
        <v>15008.03</v>
      </c>
      <c r="G128" s="55" t="n">
        <v>40</v>
      </c>
      <c r="H128" s="55" t="n">
        <v>10</v>
      </c>
      <c r="I128" s="55" t="n">
        <v>17</v>
      </c>
      <c r="J128" s="56" t="n">
        <v>4.8</v>
      </c>
      <c r="K128" s="56" t="inlineStr">
        <is>
          <t>https://amazon.com/dp/B07F31NFDB</t>
        </is>
      </c>
      <c r="L128" s="70">
        <f>HYPERLINK(Table1311[[#This Row],[Column1]])</f>
        <v/>
      </c>
    </row>
    <row r="129" ht="45" customHeight="1" s="290">
      <c r="A129" s="30" t="inlineStr">
        <is>
          <t>Autel Scanner IM608 PRO 2, 2026 IM608 II Automotive Diagnostic Tool with XP400 PRO GBOX3 Up of IM508S PRO/IM608 Advanced Function as Elite II Pro, 3000+ Tests, 40 Reset, OS10 4/128GB CAN FD DoIP</t>
        </is>
      </c>
      <c r="B129" s="30" t="inlineStr">
        <is>
          <t>B0FMKDJD8S</t>
        </is>
      </c>
      <c r="C129" s="30" t="inlineStr">
        <is>
          <t>Tablet</t>
        </is>
      </c>
      <c r="D129" s="324" t="n">
        <v>2967.208</v>
      </c>
      <c r="E129" s="324" t="n">
        <v>167874.543076923</v>
      </c>
      <c r="F129" s="326" t="n">
        <v>14836.04</v>
      </c>
      <c r="G129" s="55" t="n">
        <v>23</v>
      </c>
      <c r="H129" s="55" t="n">
        <v>5</v>
      </c>
      <c r="I129" s="55" t="n">
        <v>4</v>
      </c>
      <c r="J129" s="56" t="n">
        <v>5</v>
      </c>
      <c r="K129" s="56" t="inlineStr">
        <is>
          <t>https://amazon.com/dp/B0FMKDJD8S</t>
        </is>
      </c>
      <c r="L129" s="70">
        <f>HYPERLINK(Table1311[[#This Row],[Column1]])</f>
        <v/>
      </c>
    </row>
    <row r="130" ht="45" customHeight="1" s="290">
      <c r="A130" s="30" t="inlineStr">
        <is>
          <t>Autel MaxiSys Elite II PRO Scanner, 2026 2-Year Free Update [$2590] Elite 2 PRO, J2534 Programming Coding as MSUltra MS919 MS909 UP of MK908P, Motor TruSpeed, 40+ Reset, 3K+ Bidirectional, DoIP CAN FD</t>
        </is>
      </c>
      <c r="B130" s="30" t="inlineStr">
        <is>
          <t>B0F6LPJ94T</t>
        </is>
      </c>
      <c r="C130" s="30" t="inlineStr">
        <is>
          <t>Tablet</t>
        </is>
      </c>
      <c r="D130" s="324" t="n">
        <v>2455.343333333333</v>
      </c>
      <c r="E130" s="324" t="n">
        <v>155824.9446153846</v>
      </c>
      <c r="F130" s="326" t="n">
        <v>14732.06</v>
      </c>
      <c r="G130" s="55" t="n">
        <v>59</v>
      </c>
      <c r="H130" s="55" t="n">
        <v>6</v>
      </c>
      <c r="I130" s="55" t="n">
        <v>2</v>
      </c>
      <c r="J130" s="56" t="n">
        <v>5</v>
      </c>
      <c r="K130" s="56" t="inlineStr">
        <is>
          <t>https://amazon.com/dp/B0F6LPJ94T</t>
        </is>
      </c>
      <c r="L130" s="70">
        <f>HYPERLINK(Table1311[[#This Row],[Column1]])</f>
        <v/>
      </c>
    </row>
    <row r="131" ht="45" customHeight="1" s="290">
      <c r="A131" s="30" t="inlineStr">
        <is>
          <t>Autel MaxiSys MS909CV 2026 Top Heavy Duty Truck Scanner for Semi Commercial Cars, Upgrade of MS908CV with Intelligent Scan, 60+ Services, J2534 Programmer Coding, 3000+ Test,Topology 2.0</t>
        </is>
      </c>
      <c r="B131" s="30" t="inlineStr">
        <is>
          <t>B094XRTNPK</t>
        </is>
      </c>
      <c r="C131" s="30" t="inlineStr">
        <is>
          <t>Tablet</t>
        </is>
      </c>
      <c r="D131" s="324" t="n">
        <v>4854.066666666667</v>
      </c>
      <c r="E131" s="324" t="n">
        <v>164926.48</v>
      </c>
      <c r="F131" s="326" t="n">
        <v>14562.2</v>
      </c>
      <c r="G131" s="55" t="n">
        <v>38</v>
      </c>
      <c r="H131" s="55" t="n">
        <v>3</v>
      </c>
      <c r="I131" s="55" t="n">
        <v>8</v>
      </c>
      <c r="J131" s="56" t="n">
        <v>4.6</v>
      </c>
      <c r="K131" s="56" t="inlineStr">
        <is>
          <t>https://amazon.com/dp/B094XRTNPK</t>
        </is>
      </c>
      <c r="L131" s="70">
        <f>HYPERLINK(Table1311[[#This Row],[Column1]])</f>
        <v/>
      </c>
    </row>
    <row r="132" ht="45" customHeight="1" s="290">
      <c r="A132" s="30" t="inlineStr">
        <is>
          <t>Autel MaxiVCI V200 VCI200 Wireless Diagnostic Dongle, 2026 VCI 200 OBD2 Connector Adapter, Work with Scanner MK900BT MP900-BT MaxiSys MS906 PRO MS906MAX MS906 PRO-TS MK906 PRO-TS KM100 BT608 BT609</t>
        </is>
      </c>
      <c r="B132" s="30" t="inlineStr">
        <is>
          <t>B0BBFY2848</t>
        </is>
      </c>
      <c r="C132" s="30" t="inlineStr">
        <is>
          <t>Dongle</t>
        </is>
      </c>
      <c r="D132" s="324" t="n">
        <v>219.7278787878788</v>
      </c>
      <c r="E132" s="324" t="n">
        <v>172344.55</v>
      </c>
      <c r="F132" s="326" t="n">
        <v>14502.04</v>
      </c>
      <c r="G132" s="55" t="n">
        <v>813</v>
      </c>
      <c r="H132" s="55" t="n">
        <v>66</v>
      </c>
      <c r="I132" s="55" t="n">
        <v>68</v>
      </c>
      <c r="J132" s="56" t="n">
        <v>4.6</v>
      </c>
      <c r="K132" s="56" t="inlineStr">
        <is>
          <t>https://amazon.com/dp/B0BBFY2848</t>
        </is>
      </c>
      <c r="L132" s="70">
        <f>HYPERLINK(Table1311[[#This Row],[Column1]])</f>
        <v/>
      </c>
    </row>
    <row r="133" ht="60" customHeight="1" s="290">
      <c r="A133" s="30" t="inlineStr">
        <is>
          <t>Autel MaxiCOM MK908 Pro II: 2026 MK908PRO II Same as MaxiSys MS908S Pro II Ultra Elite 2 Pro, J2534 Programming Scan Tool Up of MS908S Pro Elite MS906MAX MS906PRO, 38+ Resets, 3K+ Test, 4+128G</t>
        </is>
      </c>
      <c r="B133" s="30" t="inlineStr">
        <is>
          <t>B06WRSXPX1</t>
        </is>
      </c>
      <c r="C133" s="30" t="inlineStr">
        <is>
          <t>Tablet</t>
        </is>
      </c>
      <c r="D133" s="324" t="n">
        <v>2034.058571428571</v>
      </c>
      <c r="E133" s="324" t="n">
        <v>65345.5</v>
      </c>
      <c r="F133" s="326" t="n">
        <v>14238.41</v>
      </c>
      <c r="G133" s="55" t="n">
        <v>34</v>
      </c>
      <c r="H133" s="55" t="n">
        <v>7</v>
      </c>
      <c r="I133" s="55" t="n">
        <v>70</v>
      </c>
      <c r="J133" s="56" t="n">
        <v>4.4</v>
      </c>
      <c r="K133" s="56" t="inlineStr">
        <is>
          <t>https://amazon.com/dp/B06WRSXPX1</t>
        </is>
      </c>
      <c r="L133" s="70">
        <f>HYPERLINK(Table1311[[#This Row],[Column1]])</f>
        <v/>
      </c>
    </row>
    <row r="134" ht="45" customHeight="1" s="290">
      <c r="A134" s="30" t="inlineStr">
        <is>
          <t>Autel AutoLink AL519 OBD2 Scanner Enhanced Mode 6 Car Diagnostic Tool Check Engine Code Reader CAN Scan Tool, Advanced Ver. of AL319</t>
        </is>
      </c>
      <c r="B134" s="30" t="inlineStr">
        <is>
          <t>B07PQH6HSQ</t>
        </is>
      </c>
      <c r="C134" s="30" t="inlineStr">
        <is>
          <t>Handheld</t>
        </is>
      </c>
      <c r="D134" s="324" t="n">
        <v>60.02823275862069</v>
      </c>
      <c r="E134" s="324" t="n">
        <v>205997.48</v>
      </c>
      <c r="F134" s="326" t="n">
        <v>13926.55</v>
      </c>
      <c r="G134" s="55" t="n">
        <v>3517</v>
      </c>
      <c r="H134" s="55" t="n">
        <v>232</v>
      </c>
      <c r="I134" s="55" t="n">
        <v>2619</v>
      </c>
      <c r="J134" s="56" t="n">
        <v>4.5</v>
      </c>
      <c r="K134" s="56" t="inlineStr">
        <is>
          <t>https://amazon.com/dp/B07PQH6HSQ</t>
        </is>
      </c>
      <c r="L134" s="70">
        <f>HYPERLINK(Table1311[[#This Row],[Column1]])</f>
        <v/>
      </c>
    </row>
    <row r="135" ht="30" customHeight="1" s="290">
      <c r="A135" s="30" t="inlineStr">
        <is>
          <t>Autel MaxiSYS MS906MAX Scanner, 2026 10.1" MS906 MAX 2.0 Upgrade of MS906 PRO MP900BT MS906BT MS908S, OE ECU C0ding Bidirectional Scan Tool, 3000+ Active Test, 40+ Reset, All-System, CAN FD DoIP</t>
        </is>
      </c>
      <c r="B135" s="30" t="inlineStr">
        <is>
          <t>B0DXFPD42C</t>
        </is>
      </c>
      <c r="C135" s="30" t="inlineStr">
        <is>
          <t>Tablet</t>
        </is>
      </c>
      <c r="D135" s="324" t="n">
        <v>1649.235</v>
      </c>
      <c r="E135" s="324" t="n">
        <v>163342.1861538462</v>
      </c>
      <c r="F135" s="326" t="n">
        <v>13193.88</v>
      </c>
      <c r="G135" s="55" t="n">
        <v>96</v>
      </c>
      <c r="H135" s="55" t="n">
        <v>8</v>
      </c>
      <c r="I135" s="55" t="n">
        <v>13</v>
      </c>
      <c r="J135" s="56" t="n">
        <v>4.5</v>
      </c>
      <c r="K135" s="56" t="inlineStr">
        <is>
          <t>https://amazon.com/dp/B0DXFPD42C</t>
        </is>
      </c>
      <c r="L135" s="70">
        <f>HYPERLINK(Table1311[[#This Row],[Column1]])</f>
        <v/>
      </c>
    </row>
    <row r="136" ht="60" customHeight="1" s="290">
      <c r="A136" s="30" t="inlineStr">
        <is>
          <t>Autel MaxiTPMS TS900 Scanner, 2026 Bidirectional Scan Tool, Top TPMS as MS906 PRO-TS, Up of MK900TS MX900TS MK808S-TS MK900 TS608, 3000+ Active Tests, 40+ Service, CAN-FD &amp; DOIP, OS 11.0, FCA SGW</t>
        </is>
      </c>
      <c r="B136" s="30" t="inlineStr">
        <is>
          <t>B09YMB3CWN</t>
        </is>
      </c>
      <c r="C136" s="30" t="inlineStr">
        <is>
          <t>Tablet</t>
        </is>
      </c>
      <c r="D136" s="324" t="n">
        <v>815.921875</v>
      </c>
      <c r="E136" s="324" t="n">
        <v>91385.84</v>
      </c>
      <c r="F136" s="326" t="n">
        <v>13054.75</v>
      </c>
      <c r="G136" s="55" t="n">
        <v>111</v>
      </c>
      <c r="H136" s="55" t="n">
        <v>16</v>
      </c>
      <c r="I136" s="55" t="n">
        <v>20</v>
      </c>
      <c r="J136" s="56" t="n">
        <v>4.6</v>
      </c>
      <c r="K136" s="56" t="inlineStr">
        <is>
          <t>https://amazon.com/dp/B09YMB3CWN</t>
        </is>
      </c>
      <c r="L136" s="70">
        <f>HYPERLINK(Table1311[[#This Row],[Column1]])</f>
        <v/>
      </c>
    </row>
    <row r="137" ht="45" customHeight="1" s="290">
      <c r="A137" s="30" t="inlineStr">
        <is>
          <t>Autel MaxiCheck PRO Auto Bleed Scan Tool for ABS Brake Bleeding, OBD2 ABS SRS Diagnostic Scanner, Oil Reset, BMS, EPB, Airbag, SAS Services for Specific Vehicles Up to 2015, Lifetime Free Updates</t>
        </is>
      </c>
      <c r="B137" s="30" t="inlineStr">
        <is>
          <t>B075ZLVXHY</t>
        </is>
      </c>
      <c r="C137" s="30" t="inlineStr">
        <is>
          <t>Handheld</t>
        </is>
      </c>
      <c r="D137" s="324" t="n">
        <v>199.2264615384615</v>
      </c>
      <c r="E137" s="324" t="n">
        <v>143308.79</v>
      </c>
      <c r="F137" s="326" t="n">
        <v>12949.72</v>
      </c>
      <c r="G137" s="55" t="n">
        <v>721</v>
      </c>
      <c r="H137" s="55" t="n">
        <v>65</v>
      </c>
      <c r="I137" s="55" t="n">
        <v>504</v>
      </c>
      <c r="J137" s="56" t="n">
        <v>4.4</v>
      </c>
      <c r="K137" s="56" t="inlineStr">
        <is>
          <t>https://amazon.com/dp/B075ZLVXHY</t>
        </is>
      </c>
      <c r="L137" s="70">
        <f>HYPERLINK(Table1311[[#This Row],[Column1]])</f>
        <v/>
      </c>
    </row>
    <row r="138" ht="45" customHeight="1" s="290">
      <c r="A138" s="30" t="inlineStr">
        <is>
          <t>Autel MaxiSys Elite II Pro Scanner, 2026 2 Years Free Update Elite 2 Pro, J2534 Reprogramming Tool as Ultra MS909 MS919 Up of MS908SP II MK908P II, Motor TruSpeed, 45+ Resets, CAN FD DoIP, 3K+ Test</t>
        </is>
      </c>
      <c r="B138" s="30" t="inlineStr">
        <is>
          <t>B01EHL39ZU</t>
        </is>
      </c>
      <c r="C138" s="30" t="inlineStr">
        <is>
          <t>Tablet</t>
        </is>
      </c>
      <c r="D138" s="324" t="n">
        <v>2586.468</v>
      </c>
      <c r="E138" s="324" t="n">
        <v>182636.34</v>
      </c>
      <c r="F138" s="326" t="n">
        <v>12932.34</v>
      </c>
      <c r="G138" s="55" t="n">
        <v>77</v>
      </c>
      <c r="H138" s="55" t="n">
        <v>5</v>
      </c>
      <c r="I138" s="55" t="n">
        <v>161</v>
      </c>
      <c r="J138" s="56" t="n">
        <v>4.4</v>
      </c>
      <c r="K138" s="56" t="inlineStr">
        <is>
          <t>https://amazon.com/dp/B01EHL39ZU</t>
        </is>
      </c>
      <c r="L138" s="70">
        <f>HYPERLINK(Table1311[[#This Row],[Column1]])</f>
        <v/>
      </c>
    </row>
    <row r="139" ht="45" customHeight="1" s="290">
      <c r="A139" s="30" t="inlineStr">
        <is>
          <t>Autel MaxiSYS Ultra S2 OBD2 Scanner, New Diagnostic with AI, Upgraded MS Ultra, 6-in-1 VCMI2, Topology 3.0, EV Tests, WiFi 6, 48+ Services, Motor Truspeed Repair, Multi-Point DVI, ECU Programming</t>
        </is>
      </c>
      <c r="B139" s="30" t="inlineStr">
        <is>
          <t>B0F2M4JM9H</t>
        </is>
      </c>
      <c r="C139" s="30" t="inlineStr">
        <is>
          <t>Tablet</t>
        </is>
      </c>
      <c r="D139" s="324" t="n">
        <v>6447.125</v>
      </c>
      <c r="E139" s="324" t="n">
        <v>217331.33</v>
      </c>
      <c r="F139" s="326" t="n">
        <v>12894.25</v>
      </c>
      <c r="G139" s="55" t="n">
        <v>37</v>
      </c>
      <c r="H139" s="55" t="n">
        <v>2</v>
      </c>
      <c r="I139" s="55" t="n">
        <v>4</v>
      </c>
      <c r="J139" s="56" t="n">
        <v>5</v>
      </c>
      <c r="K139" s="56" t="inlineStr">
        <is>
          <t>https://amazon.com/dp/B0F2M4JM9H</t>
        </is>
      </c>
      <c r="L139" s="70">
        <f>HYPERLINK(Table1311[[#This Row],[Column1]])</f>
        <v/>
      </c>
    </row>
    <row r="140" ht="45" customHeight="1" s="290">
      <c r="A140" s="30" t="inlineStr">
        <is>
          <t>2026 Autel Scanner MaxiIM KM100(E), Car Diagnostic Scan Tool with Lifetime Fre.e Update, OBD-Learn for 95% Car, Auto Tool Lite of IM508S IM608 PRO 2, 2GB &amp; 64GB Android 9.0</t>
        </is>
      </c>
      <c r="B140" s="30" t="inlineStr">
        <is>
          <t>B0CHYB2T6T</t>
        </is>
      </c>
      <c r="C140" s="30" t="inlineStr">
        <is>
          <t>Tablet</t>
        </is>
      </c>
      <c r="D140" s="324" t="n">
        <v>529.2545833333334</v>
      </c>
      <c r="E140" s="324" t="n">
        <v>14319.99</v>
      </c>
      <c r="F140" s="326" t="n">
        <v>12702.11</v>
      </c>
      <c r="G140" s="55" t="n">
        <v>27</v>
      </c>
      <c r="H140" s="55" t="n">
        <v>24</v>
      </c>
      <c r="I140" s="55" t="n">
        <v>17</v>
      </c>
      <c r="J140" s="56" t="n">
        <v>4.8</v>
      </c>
      <c r="K140" s="56" t="inlineStr">
        <is>
          <t>https://amazon.com/dp/B0CHYB2T6T</t>
        </is>
      </c>
      <c r="L140" s="70">
        <f>HYPERLINK(Table1311[[#This Row],[Column1]])</f>
        <v/>
      </c>
    </row>
    <row r="141" ht="60" customHeight="1" s="290">
      <c r="A141" s="30" t="inlineStr">
        <is>
          <t>2026 Autel MaxiSYS MS908S PRO II Scanner, w/ $219 TS501 PRO TPMS Relearn Tool, Bidirectional Diagnostic Scan as Ultra MS909 Elite 2 Pro, J2534 ECU Functions, Up of MK908P MS906MAX, 3K+Tests, 40+ Reset</t>
        </is>
      </c>
      <c r="B141" s="30" t="inlineStr">
        <is>
          <t>B07NN6J4BH</t>
        </is>
      </c>
      <c r="C141" s="30" t="inlineStr">
        <is>
          <t>Tablet</t>
        </is>
      </c>
      <c r="D141" s="324" t="n">
        <v>2111.086666666667</v>
      </c>
      <c r="E141" s="324" t="n">
        <v>97603.88</v>
      </c>
      <c r="F141" s="326" t="n">
        <v>12666.52</v>
      </c>
      <c r="G141" s="55" t="n">
        <v>45</v>
      </c>
      <c r="H141" s="55" t="n">
        <v>6</v>
      </c>
      <c r="I141" s="55" t="n">
        <v>23</v>
      </c>
      <c r="J141" s="56" t="n">
        <v>4.7</v>
      </c>
      <c r="K141" s="56" t="inlineStr">
        <is>
          <t>https://amazon.com/dp/B07NN6J4BH</t>
        </is>
      </c>
      <c r="L141" s="70">
        <f>HYPERLINK(Table1311[[#This Row],[Column1]])</f>
        <v/>
      </c>
    </row>
    <row r="142" ht="60" customHeight="1" s="290">
      <c r="A142" s="30" t="inlineStr">
        <is>
          <t>Autel AL519 OBD2 Scanner, 2026 Newer Professional Mechanic OBDII &amp; CAN Car Diagnostic Code Reader Tool for Check Engine Light, One-Click Smog Check, DTCs Lookup, Upgraded Ver. of AL319/ MS309</t>
        </is>
      </c>
      <c r="B142" s="30" t="inlineStr">
        <is>
          <t>B07CJHWHNX</t>
        </is>
      </c>
      <c r="C142" s="30" t="inlineStr">
        <is>
          <t>Handheld</t>
        </is>
      </c>
      <c r="D142" s="324" t="n">
        <v>59.88119617224881</v>
      </c>
      <c r="E142" s="324" t="n">
        <v>164078.7746153846</v>
      </c>
      <c r="F142" s="326" t="n">
        <v>12515.17</v>
      </c>
      <c r="G142" s="55" t="n">
        <v>2579</v>
      </c>
      <c r="H142" s="55" t="n">
        <v>209</v>
      </c>
      <c r="I142" s="55" t="n">
        <v>1105</v>
      </c>
      <c r="J142" s="56" t="n">
        <v>4.5</v>
      </c>
      <c r="K142" s="56" t="inlineStr">
        <is>
          <t>https://amazon.com/dp/B07CJHWHNX</t>
        </is>
      </c>
      <c r="L142" s="70">
        <f>HYPERLINK(Table1311[[#This Row],[Column1]])</f>
        <v/>
      </c>
    </row>
    <row r="143" ht="45" customHeight="1" s="290">
      <c r="A143" s="30" t="inlineStr">
        <is>
          <t>Autel MaxiPRO MP808BT PRO Scanner, 2026 Bidirectional Scan Tool with 2-Year Update, Pro ECU C0ding as MS906 PRO MS906 MAX MP900BT, 30+ Service, 3000+ Test, Up of MK900BT MK900 MX900 MK808S, FCA, OS 11</t>
        </is>
      </c>
      <c r="B143" s="30" t="inlineStr">
        <is>
          <t>B09F3MZZ3F</t>
        </is>
      </c>
      <c r="C143" s="30" t="inlineStr">
        <is>
          <t>Tablet</t>
        </is>
      </c>
      <c r="D143" s="324" t="n">
        <v>716.1994117647058</v>
      </c>
      <c r="E143" s="324" t="n">
        <v>155750.29</v>
      </c>
      <c r="F143" s="326" t="n">
        <v>12175.39</v>
      </c>
      <c r="G143" s="55" t="n">
        <v>217</v>
      </c>
      <c r="H143" s="55" t="n">
        <v>17</v>
      </c>
      <c r="I143" s="55" t="n">
        <v>86</v>
      </c>
      <c r="J143" s="56" t="n">
        <v>4.6</v>
      </c>
      <c r="K143" s="56" t="inlineStr">
        <is>
          <t>https://amazon.com/dp/B09F3MZZ3F</t>
        </is>
      </c>
      <c r="L143" s="70">
        <f>HYPERLINK(Table1311[[#This Row],[Column1]])</f>
        <v/>
      </c>
    </row>
    <row r="144" ht="60" customHeight="1" s="290">
      <c r="A144" s="30" t="inlineStr">
        <is>
          <t>Autel AP200(HT200) Bluetooth OBD2 Scanner, Code Reader with Full Systems Diagnoses and 19 Service Functions, Mini Size Version of MK808 Diagnostic, Vehicle Scan Tool for iPhone &amp; Android Devices</t>
        </is>
      </c>
      <c r="B144" s="30" t="inlineStr">
        <is>
          <t>B07Y8K6XZF</t>
        </is>
      </c>
      <c r="C144" s="30" t="inlineStr">
        <is>
          <t>Dongle</t>
        </is>
      </c>
      <c r="D144" s="324" t="n">
        <v>58.90209756097561</v>
      </c>
      <c r="E144" s="324" t="n">
        <v>76767.88</v>
      </c>
      <c r="F144" s="326" t="n">
        <v>12074.93</v>
      </c>
      <c r="G144" s="55" t="n">
        <v>1287</v>
      </c>
      <c r="H144" s="55" t="n">
        <v>205</v>
      </c>
      <c r="I144" s="55" t="n">
        <v>793</v>
      </c>
      <c r="J144" s="56" t="n">
        <v>4</v>
      </c>
      <c r="K144" s="56" t="inlineStr">
        <is>
          <t>https://amazon.com/dp/B07Y8K6XZF</t>
        </is>
      </c>
      <c r="L144" s="70">
        <f>HYPERLINK(Table1311[[#This Row],[Column1]])</f>
        <v/>
      </c>
    </row>
    <row r="145" ht="45" customHeight="1" s="290">
      <c r="A145" s="30" t="inlineStr">
        <is>
          <t>Autel MaxiSYS Ultra S2 Diagnostic Scanner, 6-in-1 VCMI2, Topology 3.0, AI-Powered Inspection, EV/HV System Tests, WiFi 6, 48+ Services, Motor Truspeed Repair, Multi-Point DVI, ECU Programming, FCA SGW</t>
        </is>
      </c>
      <c r="B145" s="30" t="inlineStr">
        <is>
          <t>B0F3X8ZWBN</t>
        </is>
      </c>
      <c r="C145" s="30" t="inlineStr">
        <is>
          <t>Tablet</t>
        </is>
      </c>
      <c r="D145" s="324" t="n">
        <v>5980.1</v>
      </c>
      <c r="E145" s="324" t="n">
        <v>270495.77</v>
      </c>
      <c r="F145" s="326" t="n">
        <v>11960.2</v>
      </c>
      <c r="G145" s="55" t="n">
        <v>46</v>
      </c>
      <c r="H145" s="55" t="n">
        <v>2</v>
      </c>
      <c r="I145" s="55" t="n">
        <v>5</v>
      </c>
      <c r="J145" s="56" t="n">
        <v>4.4</v>
      </c>
      <c r="K145" s="56" t="inlineStr">
        <is>
          <t>https://amazon.com/dp/B0F3X8ZWBN</t>
        </is>
      </c>
      <c r="L145" s="70">
        <f>HYPERLINK(Table1311[[#This Row],[Column1]])</f>
        <v/>
      </c>
    </row>
    <row r="146" ht="45" customHeight="1" s="290">
      <c r="A146" s="30" t="inlineStr">
        <is>
          <t>Autel Scanner MaxiPRO MP900TS, 2026 8in MP900-TS Top TPMS as MS906 Pro-TS, Up of MaxiSYS MS906 PRO MS906TS MK900TS, Advanced Function 40+ Service, Bidirectional Scan Tool, Aut0 Scan 2.0 CAN FD&amp;DOIP</t>
        </is>
      </c>
      <c r="B146" s="30" t="inlineStr">
        <is>
          <t>B08P1RBNHY</t>
        </is>
      </c>
      <c r="C146" s="30" t="inlineStr">
        <is>
          <t>Tablet</t>
        </is>
      </c>
      <c r="D146" s="324" t="n">
        <v>1082.259090909091</v>
      </c>
      <c r="E146" s="324" t="n">
        <v>109611.06</v>
      </c>
      <c r="F146" s="326" t="n">
        <v>11904.85</v>
      </c>
      <c r="G146" s="55" t="n">
        <v>99</v>
      </c>
      <c r="H146" s="55" t="n">
        <v>11</v>
      </c>
      <c r="I146" s="55" t="n">
        <v>113</v>
      </c>
      <c r="J146" s="56" t="n">
        <v>4.4</v>
      </c>
      <c r="K146" s="56" t="inlineStr">
        <is>
          <t>https://amazon.com/dp/B08P1RBNHY</t>
        </is>
      </c>
      <c r="L146" s="70">
        <f>HYPERLINK(Table1311[[#This Row],[Column1]])</f>
        <v/>
      </c>
    </row>
    <row r="147" ht="60" customHeight="1" s="290">
      <c r="A147" s="30" t="inlineStr">
        <is>
          <t>Autel MaxiSYS MS906 PRO2-TS Scanner: 2026 MS906Pro2-TS Up of MS906Pro-TS MK900TS MP900BT Kit MS908S MS906 PRO,Top TPMS Function&amp; ECU Coding, Bidirectional Tool, 36+ Service, Auto Scan2.0, CAN FD&amp;DoIP</t>
        </is>
      </c>
      <c r="B147" s="30" t="inlineStr">
        <is>
          <t>B0FN72T1LS</t>
        </is>
      </c>
      <c r="C147" s="30" t="inlineStr">
        <is>
          <t>Tablet</t>
        </is>
      </c>
      <c r="D147" s="324" t="n">
        <v>1690.201428571429</v>
      </c>
      <c r="E147" s="324" t="n">
        <v>160371.1992307692</v>
      </c>
      <c r="F147" s="326" t="n">
        <v>11831.41</v>
      </c>
      <c r="G147" s="55" t="n">
        <v>55</v>
      </c>
      <c r="H147" s="55" t="n">
        <v>7</v>
      </c>
      <c r="I147" s="55" t="n">
        <v>5</v>
      </c>
      <c r="J147" s="56" t="n">
        <v>5</v>
      </c>
      <c r="K147" s="56" t="inlineStr">
        <is>
          <t>https://amazon.com/dp/B0FN72T1LS</t>
        </is>
      </c>
      <c r="L147" s="70">
        <f>HYPERLINK(Table1311[[#This Row],[Column1]])</f>
        <v/>
      </c>
    </row>
    <row r="148" ht="60" customHeight="1" s="290">
      <c r="A148" s="30" t="inlineStr">
        <is>
          <t>Autel MaxiPRO MP900TS Scanner, 2026 8IN MP900-TS up of MS906 PRO MP900-BT MP900 MS906TS MK900TS, V2.0 DOIP CANFD, Full TPMS as MS906 Pro-TS, OE C0ding, 40+ Services, 3K+ Bidirectional Scan Tool, OS 11</t>
        </is>
      </c>
      <c r="B148" s="30" t="inlineStr">
        <is>
          <t>B08K72QDGQ</t>
        </is>
      </c>
      <c r="C148" s="30" t="inlineStr">
        <is>
          <t>Tablet</t>
        </is>
      </c>
      <c r="D148" s="324" t="n">
        <v>1064.168181818182</v>
      </c>
      <c r="E148" s="324" t="n">
        <v>182106.82</v>
      </c>
      <c r="F148" s="326" t="n">
        <v>11705.85</v>
      </c>
      <c r="G148" s="55" t="n">
        <v>166</v>
      </c>
      <c r="H148" s="55" t="n">
        <v>11</v>
      </c>
      <c r="I148" s="55" t="n">
        <v>78</v>
      </c>
      <c r="J148" s="56" t="n">
        <v>4.5</v>
      </c>
      <c r="K148" s="56" t="inlineStr">
        <is>
          <t>https://amazon.com/dp/B08K72QDGQ</t>
        </is>
      </c>
      <c r="L148" s="70">
        <f>HYPERLINK(Table1311[[#This Row],[Column1]])</f>
        <v/>
      </c>
    </row>
    <row r="149" ht="45" customHeight="1" s="290">
      <c r="A149" s="30" t="inlineStr">
        <is>
          <t>2026 Autel Scanner MaxiIM IM508S PRO, Plus Upgraded $569 PRO Bundle, Same as IM608 PRO 2, Bidirectional Scan Tool, 40+ Service, 3000+ Tests, OE All System Diagnostics, Auto Scan 2.0, FCA, OS 11.0</t>
        </is>
      </c>
      <c r="B149" s="30" t="inlineStr">
        <is>
          <t>B08DLGGXP6</t>
        </is>
      </c>
      <c r="C149" s="30" t="inlineStr">
        <is>
          <t>Tablet</t>
        </is>
      </c>
      <c r="D149" s="324" t="n">
        <v>1629.407142857143</v>
      </c>
      <c r="E149" s="324" t="n">
        <v>112981.6169230769</v>
      </c>
      <c r="F149" s="326" t="n">
        <v>11405.85</v>
      </c>
      <c r="G149" s="55" t="n">
        <v>63</v>
      </c>
      <c r="H149" s="55" t="n">
        <v>7</v>
      </c>
      <c r="I149" s="55" t="n">
        <v>36</v>
      </c>
      <c r="J149" s="56" t="n">
        <v>4.6</v>
      </c>
      <c r="K149" s="56" t="inlineStr">
        <is>
          <t>https://amazon.com/dp/B08DLGGXP6</t>
        </is>
      </c>
      <c r="L149" s="70">
        <f>HYPERLINK(Table1311[[#This Row],[Column1]])</f>
        <v/>
      </c>
    </row>
    <row r="150" ht="45" customHeight="1" s="290">
      <c r="A150" s="30" t="inlineStr">
        <is>
          <t>Autel MaxiIM IM508S Automotive Diagnostic Scan Tool, 2026 Full System Diagnostic, 3000+ Bidirectional Tests, 40+ Resets, Android 11, 4-Core, 4/64G, FCA AutoAuth, Upgraded of MK808S MK808 MK900</t>
        </is>
      </c>
      <c r="B150" s="30" t="inlineStr">
        <is>
          <t>B0DFH2ZX33</t>
        </is>
      </c>
      <c r="C150" s="30" t="inlineStr">
        <is>
          <t>Tablet</t>
        </is>
      </c>
      <c r="D150" s="324" t="n">
        <v>1261.093333333333</v>
      </c>
      <c r="E150" s="324" t="n">
        <v>160278.18</v>
      </c>
      <c r="F150" s="326" t="n">
        <v>11349.84</v>
      </c>
      <c r="G150" s="55" t="n">
        <v>132</v>
      </c>
      <c r="H150" s="55" t="n">
        <v>9</v>
      </c>
      <c r="I150" s="55" t="n">
        <v>126</v>
      </c>
      <c r="J150" s="56" t="n">
        <v>4.6</v>
      </c>
      <c r="K150" s="56" t="inlineStr">
        <is>
          <t>https://amazon.com/dp/B0DFH2ZX33</t>
        </is>
      </c>
      <c r="L150" s="70">
        <f>HYPERLINK(Table1311[[#This Row],[Column1]])</f>
        <v/>
      </c>
    </row>
    <row r="151" ht="45" customHeight="1" s="290">
      <c r="A151" s="30" t="inlineStr">
        <is>
          <t>Autel Scanner Maxicom MK908 Pro II 2026, J2534 Diagnostic Tool As MS908S PRO II Elite 2 Pro MSUltra w/AutoScan 2.0, Up of MS906MAX/MS906 PRO, 3000+ Active Test 38+ Services OS10.0 4/128G</t>
        </is>
      </c>
      <c r="B151" s="30" t="inlineStr">
        <is>
          <t>B07MV26KVM</t>
        </is>
      </c>
      <c r="C151" s="30" t="inlineStr">
        <is>
          <t>Tablet</t>
        </is>
      </c>
      <c r="D151" s="324" t="n">
        <v>1885.476666666667</v>
      </c>
      <c r="E151" s="324" t="n">
        <v>220170.58</v>
      </c>
      <c r="F151" s="326" t="n">
        <v>11312.86</v>
      </c>
      <c r="G151" s="55" t="n">
        <v>112</v>
      </c>
      <c r="H151" s="55" t="n">
        <v>6</v>
      </c>
      <c r="I151" s="55" t="n">
        <v>71</v>
      </c>
      <c r="J151" s="56" t="n">
        <v>4.2</v>
      </c>
      <c r="K151" s="56" t="inlineStr">
        <is>
          <t>https://amazon.com/dp/B07MV26KVM</t>
        </is>
      </c>
      <c r="L151" s="70">
        <f>HYPERLINK(Table1311[[#This Row],[Column1]])</f>
        <v/>
      </c>
    </row>
    <row r="152" ht="60" customHeight="1" s="290">
      <c r="A152" s="30" t="inlineStr">
        <is>
          <t>Autel Maxisys Elite 2 Pro Scanner, 2026 2-Year Free Update Elite II Pro,Same as MS Ultra MS908S PRO II, Motor TruSpeed Repair, 40+ Hot Services 3K+ Active Test, CANFD &amp;DoIP</t>
        </is>
      </c>
      <c r="B152" s="30" t="inlineStr">
        <is>
          <t>B0761SHWQC</t>
        </is>
      </c>
      <c r="C152" s="30" t="inlineStr">
        <is>
          <t>Tablet</t>
        </is>
      </c>
      <c r="D152" s="324" t="n">
        <v>2208.582</v>
      </c>
      <c r="E152" s="324" t="n">
        <v>113943.44</v>
      </c>
      <c r="F152" s="326" t="n">
        <v>11042.91</v>
      </c>
      <c r="G152" s="55" t="n">
        <v>50</v>
      </c>
      <c r="H152" s="55" t="n">
        <v>5</v>
      </c>
      <c r="I152" s="55" t="n">
        <v>28</v>
      </c>
      <c r="J152" s="56" t="n">
        <v>4.5</v>
      </c>
      <c r="K152" s="56" t="inlineStr">
        <is>
          <t>https://amazon.com/dp/B0761SHWQC</t>
        </is>
      </c>
      <c r="L152" s="70">
        <f>HYPERLINK(Table1311[[#This Row],[Column1]])</f>
        <v/>
      </c>
    </row>
    <row r="153" ht="45" customHeight="1" s="290">
      <c r="A153" s="30" t="inlineStr">
        <is>
          <t>Autel MaxiPRO MP900-BT Scanner: 2026 MP900BT Same as MS906 PRO MS906 MAX w/OE C0ding, 3000+ Active Test, 40+ Reset, Bidirectional Scan Tool Up of MP900 MP900Z-BT MP808BT PRO MK900BT MK900, DOIP&amp;CAN FD</t>
        </is>
      </c>
      <c r="B153" s="30" t="inlineStr">
        <is>
          <t>B07F4H3WZC</t>
        </is>
      </c>
      <c r="C153" s="30" t="inlineStr">
        <is>
          <t>Tablet</t>
        </is>
      </c>
      <c r="D153" s="324" t="n">
        <v>911.9241666666668</v>
      </c>
      <c r="E153" s="324" t="n">
        <v>212919.81</v>
      </c>
      <c r="F153" s="326" t="n">
        <v>10943.09</v>
      </c>
      <c r="G153" s="55" t="n">
        <v>237</v>
      </c>
      <c r="H153" s="55" t="n">
        <v>12</v>
      </c>
      <c r="I153" s="55" t="n">
        <v>354</v>
      </c>
      <c r="J153" s="56" t="n">
        <v>4.6</v>
      </c>
      <c r="K153" s="56" t="inlineStr">
        <is>
          <t>https://amazon.com/dp/B07F4H3WZC</t>
        </is>
      </c>
      <c r="L153" s="70">
        <f>HYPERLINK(Table1311[[#This Row],[Column1]])</f>
        <v/>
      </c>
    </row>
    <row r="154" ht="60" customHeight="1" s="290">
      <c r="A154" s="30" t="inlineStr">
        <is>
          <t>Autel MaxiCheck MX900 OBD2 Scanner, Same as MaxiCOM MK900 MK900BT, Bidirectional Scan Tool, All System Diagnose for Cars, Up of MK808 MX808, 40+ Services, 3000+ Active Tests, CAN FD/DoIP, FCA</t>
        </is>
      </c>
      <c r="B154" s="30" t="inlineStr">
        <is>
          <t>B0C65KF99Q</t>
        </is>
      </c>
      <c r="C154" s="30" t="inlineStr">
        <is>
          <t>Tablet</t>
        </is>
      </c>
      <c r="D154" s="324" t="n">
        <v>558.6278947368421</v>
      </c>
      <c r="E154" s="324" t="n">
        <v>180904.99</v>
      </c>
      <c r="F154" s="326" t="n">
        <v>10613.93</v>
      </c>
      <c r="G154" s="55" t="n">
        <v>327</v>
      </c>
      <c r="H154" s="55" t="n">
        <v>19</v>
      </c>
      <c r="I154" s="55" t="n">
        <v>139</v>
      </c>
      <c r="J154" s="56" t="n">
        <v>4.5</v>
      </c>
      <c r="K154" s="56" t="inlineStr">
        <is>
          <t>https://amazon.com/dp/B0C65KF99Q</t>
        </is>
      </c>
      <c r="L154" s="70">
        <f>HYPERLINK(Table1311[[#This Row],[Column1]])</f>
        <v/>
      </c>
    </row>
    <row r="155" ht="45" customHeight="1" s="290">
      <c r="A155" s="30" t="inlineStr">
        <is>
          <t>Autel Scanner MaxiSys Elite 2 PRO, 2026 Elite II PRO 2-Year Update $2590, ECU Functions as Ultra MS919 MS909, Up of MK908P, Bidirectional Diagnostic Scan Tool, Intelligent Motor, 40+ Reset, CANFD DoIP</t>
        </is>
      </c>
      <c r="B155" s="30" t="inlineStr">
        <is>
          <t>B09YGZRW51</t>
        </is>
      </c>
      <c r="C155" s="30" t="inlineStr">
        <is>
          <t>Tablet</t>
        </is>
      </c>
      <c r="D155" s="324" t="n">
        <v>2559.28</v>
      </c>
      <c r="E155" s="324" t="n">
        <v>157036.7792307692</v>
      </c>
      <c r="F155" s="326" t="n">
        <v>10237.12</v>
      </c>
      <c r="G155" s="55" t="n">
        <v>62</v>
      </c>
      <c r="H155" s="55" t="n">
        <v>4</v>
      </c>
      <c r="I155" s="55" t="n">
        <v>12</v>
      </c>
      <c r="J155" s="56" t="n">
        <v>4.6</v>
      </c>
      <c r="K155" s="56" t="inlineStr">
        <is>
          <t>https://amazon.com/dp/B09YGZRW51</t>
        </is>
      </c>
      <c r="L155" s="70">
        <f>HYPERLINK(Table1311[[#This Row],[Column1]])</f>
        <v/>
      </c>
    </row>
    <row r="156" ht="45" customHeight="1" s="290">
      <c r="A156" s="30" t="inlineStr">
        <is>
          <t>Autel MaxiSys MS906MAX OBD2 Scanner, Way Better Than MS906 Pro, 2026 MS906 MAX Up of MS906S MS906BT MS908, ECU Coding, 3000+ Active Test, 40+ Service, All System Diagnostic, CAN FD/DoIP, AutoScan 2.0</t>
        </is>
      </c>
      <c r="B156" s="30" t="inlineStr">
        <is>
          <t>B0DRG4YXXJ</t>
        </is>
      </c>
      <c r="C156" s="30" t="inlineStr">
        <is>
          <t>Tablet</t>
        </is>
      </c>
      <c r="D156" s="324" t="n">
        <v>1685.475</v>
      </c>
      <c r="E156" s="324" t="n">
        <v>141515.55</v>
      </c>
      <c r="F156" s="326" t="n">
        <v>10112.85</v>
      </c>
      <c r="G156" s="55" t="n">
        <v>97</v>
      </c>
      <c r="H156" s="55" t="n">
        <v>6</v>
      </c>
      <c r="I156" s="55" t="n">
        <v>9</v>
      </c>
      <c r="J156" s="56" t="n">
        <v>4.7</v>
      </c>
      <c r="K156" s="56" t="inlineStr">
        <is>
          <t>https://amazon.com/dp/B0DRG4YXXJ</t>
        </is>
      </c>
      <c r="L156" s="70">
        <f>HYPERLINK(Table1311[[#This Row],[Column1]])</f>
        <v/>
      </c>
    </row>
    <row r="157" ht="45" customHeight="1" s="290">
      <c r="A157" s="30" t="inlineStr">
        <is>
          <t>Autel MaxiTPMS TS508WF TPMS Programming Tool, WiFi Relearn &amp; Reset for Tire Pressure Sensors, Diagnose, Activate &amp; Program MX-Sensors (315/433MHz), OBD2 Scanner, Free Lifetime Updates</t>
        </is>
      </c>
      <c r="B157" s="30" t="inlineStr">
        <is>
          <t>B0DGQ5N9K2</t>
        </is>
      </c>
      <c r="C157" s="30" t="inlineStr">
        <is>
          <t>Handheld</t>
        </is>
      </c>
      <c r="D157" s="324" t="n">
        <v>265.1262162162162</v>
      </c>
      <c r="E157" s="324" t="n">
        <v>65916.33</v>
      </c>
      <c r="F157" s="326" t="n">
        <v>9809.67</v>
      </c>
      <c r="G157" s="55" t="n">
        <v>249</v>
      </c>
      <c r="H157" s="55" t="n">
        <v>37</v>
      </c>
      <c r="I157" s="55" t="n">
        <v>11</v>
      </c>
      <c r="J157" s="56" t="n">
        <v>4.8</v>
      </c>
      <c r="K157" s="56" t="inlineStr">
        <is>
          <t>https://amazon.com/dp/B0DGQ5N9K2</t>
        </is>
      </c>
      <c r="L157" s="70">
        <f>HYPERLINK(Table1311[[#This Row],[Column1]])</f>
        <v/>
      </c>
    </row>
    <row r="158" ht="60" customHeight="1" s="290">
      <c r="A158" s="30" t="inlineStr">
        <is>
          <t>Autel MaxiTPMS TS408S PRO TPMS Programming Tool: 2026 Ver. Same as TS501 Pro 508WF MX808TS MK808TS MP900TS Relearn Tool, Activate Relearn 99% Sensors, Program Autel MX-Sensors, TPMS Reset/Diagnosis</t>
        </is>
      </c>
      <c r="B158" s="30" t="inlineStr">
        <is>
          <t>B07VZFHJ6H</t>
        </is>
      </c>
      <c r="C158" s="30" t="inlineStr">
        <is>
          <t>Handheld</t>
        </is>
      </c>
      <c r="D158" s="324" t="n">
        <v>188.0476923076923</v>
      </c>
      <c r="E158" s="324" t="n">
        <v>118181.4</v>
      </c>
      <c r="F158" s="326" t="n">
        <v>9778.48</v>
      </c>
      <c r="G158" s="55" t="n">
        <v>624</v>
      </c>
      <c r="H158" s="55" t="n">
        <v>52</v>
      </c>
      <c r="I158" s="55" t="n">
        <v>981</v>
      </c>
      <c r="J158" s="56" t="n">
        <v>4.3</v>
      </c>
      <c r="K158" s="56" t="inlineStr">
        <is>
          <t>https://amazon.com/dp/B07VZFHJ6H</t>
        </is>
      </c>
      <c r="L158" s="70">
        <f>HYPERLINK(Table1311[[#This Row],[Column1]])</f>
        <v/>
      </c>
    </row>
    <row r="159" ht="60" customHeight="1" s="290">
      <c r="A159" s="30" t="inlineStr">
        <is>
          <t>Autel Scanner MaxiCOM MK906S PRO2-TS, 2026 Multilingual of MS906 PRO2-TS, 2.0 Up of MS906 PRO TS MK906 PRO-TS MP900TS MS906PRO MS906MAX, TPMS 2.0, 3K+ Bidirectional Diagnostic, 40+ Reset, CAN FD DoIP</t>
        </is>
      </c>
      <c r="B159" s="30" t="inlineStr">
        <is>
          <t>B09YM9HHGL</t>
        </is>
      </c>
      <c r="C159" s="30" t="inlineStr">
        <is>
          <t>Tablet</t>
        </is>
      </c>
      <c r="D159" s="324" t="n">
        <v>1599.138333333333</v>
      </c>
      <c r="E159" s="324" t="n">
        <v>81613.35000000001</v>
      </c>
      <c r="F159" s="326" t="n">
        <v>9594.83</v>
      </c>
      <c r="G159" s="55" t="n">
        <v>51</v>
      </c>
      <c r="H159" s="55" t="n">
        <v>6</v>
      </c>
      <c r="I159" s="55" t="n">
        <v>11</v>
      </c>
      <c r="J159" s="56" t="n">
        <v>4.5</v>
      </c>
      <c r="K159" s="56" t="inlineStr">
        <is>
          <t>https://amazon.com/dp/B09YM9HHGL</t>
        </is>
      </c>
      <c r="L159" s="70">
        <f>HYPERLINK(Table1311[[#This Row],[Column1]])</f>
        <v/>
      </c>
    </row>
    <row r="160" ht="60" customHeight="1" s="290">
      <c r="A160" s="30" t="inlineStr">
        <is>
          <t>Autel MaxiTPMS TS508WF TPMS Programming Tool, 2026 WiFi Ver. of TS601 TS508 TS501 TS408, Activate/Relearn TPMS Sensors, Program MX Sensor, TPMS Diagnosis, Read/Clear TPMS Code, Free Lifetime Update</t>
        </is>
      </c>
      <c r="B160" s="30" t="inlineStr">
        <is>
          <t>B08FHXKV2M</t>
        </is>
      </c>
      <c r="C160" s="30" t="inlineStr">
        <is>
          <t>Handheld</t>
        </is>
      </c>
      <c r="D160" s="324" t="n">
        <v>262.2111428571428</v>
      </c>
      <c r="E160" s="324" t="n">
        <v>96635.19</v>
      </c>
      <c r="F160" s="326" t="n">
        <v>9177.389999999999</v>
      </c>
      <c r="G160" s="55" t="n">
        <v>369</v>
      </c>
      <c r="H160" s="55" t="n">
        <v>35</v>
      </c>
      <c r="I160" s="55" t="n">
        <v>137</v>
      </c>
      <c r="J160" s="56" t="n">
        <v>4.5</v>
      </c>
      <c r="K160" s="56" t="inlineStr">
        <is>
          <t>https://amazon.com/dp/B08FHXKV2M</t>
        </is>
      </c>
      <c r="L160" s="70">
        <f>HYPERLINK(Table1311[[#This Row],[Column1]])</f>
        <v/>
      </c>
    </row>
    <row r="161" ht="60" customHeight="1" s="290">
      <c r="A161" s="30" t="inlineStr">
        <is>
          <t>Autel MaxiCom Ultra Lite Scanner, 2 Years Free Updates, Same as MaxiSys Ultra, 2026 Up of MS919 MS909 MS906 Elite II Pro, Topology 2.0, Motor TruSpeed Repair, 40+ Service, Repair Tips, FCA SGW,</t>
        </is>
      </c>
      <c r="B161" s="30" t="inlineStr">
        <is>
          <t>B0FJLZ19KF</t>
        </is>
      </c>
      <c r="C161" s="30" t="inlineStr">
        <is>
          <t>Tablet</t>
        </is>
      </c>
      <c r="D161" s="324" t="n">
        <v>3055.933333333333</v>
      </c>
      <c r="E161" s="324" t="n">
        <v>134026.323076923</v>
      </c>
      <c r="F161" s="326" t="n">
        <v>9167.799999999999</v>
      </c>
      <c r="G161" s="55" t="n">
        <v>32</v>
      </c>
      <c r="H161" s="55" t="n">
        <v>3</v>
      </c>
      <c r="I161" s="55" t="n">
        <v>8</v>
      </c>
      <c r="J161" s="56" t="n">
        <v>5</v>
      </c>
      <c r="K161" s="56" t="inlineStr">
        <is>
          <t>https://amazon.com/dp/B0FJLZ19KF</t>
        </is>
      </c>
      <c r="L161" s="70">
        <f>HYPERLINK(Table1311[[#This Row],[Column1]])</f>
        <v/>
      </c>
    </row>
    <row r="162" ht="45" customHeight="1" s="290">
      <c r="A162" s="30" t="inlineStr">
        <is>
          <t>2026 Autel MaxiCOM Ultra Lite Intelligent Scanner, 2 Years Free Update, Up of MS919 Elite II Pro Same as MaxiSys Ultra, Motor TruSpeed, Topology 2.0, 40+ Service, 3000+ Active Test, FCA SGW</t>
        </is>
      </c>
      <c r="B162" s="30" t="inlineStr">
        <is>
          <t>B0GVXCG3S3</t>
        </is>
      </c>
      <c r="C162" s="30" t="inlineStr">
        <is>
          <t>Tablet</t>
        </is>
      </c>
      <c r="D162" s="324" t="n">
        <v>2969</v>
      </c>
      <c r="E162" s="324" t="n">
        <v>107569.1538461539</v>
      </c>
      <c r="F162" s="326" t="n">
        <v>8907</v>
      </c>
      <c r="G162" s="55" t="n">
        <v>3</v>
      </c>
      <c r="H162" s="55" t="n">
        <v>3</v>
      </c>
      <c r="I162" s="55" t="n"/>
      <c r="J162" s="56" t="n"/>
      <c r="K162" s="56" t="inlineStr">
        <is>
          <t>https://amazon.com/dp/B0GVXCG3S3</t>
        </is>
      </c>
      <c r="L162" s="70">
        <f>HYPERLINK(Table1311[[#This Row],[Column1]])</f>
        <v/>
      </c>
    </row>
    <row r="163" ht="60" customHeight="1" s="290">
      <c r="A163" s="30" t="inlineStr">
        <is>
          <t>Autel MaxiPRO MP900TS Scanner: 2026 8in MP900-TS up of MaxiSYS MS906 PRO MS906TS MP900BT MK900-TS, Full TPMS as MS906 Pro-TS, Car Bidirectional Scan Tool, 40+ Service, All System, CAN FD&amp;DOIP, OS 11.0</t>
        </is>
      </c>
      <c r="B163" s="30" t="inlineStr">
        <is>
          <t>B073CS2RLP</t>
        </is>
      </c>
      <c r="C163" s="30" t="inlineStr">
        <is>
          <t>Tablet</t>
        </is>
      </c>
      <c r="D163" s="324" t="n">
        <v>1067.65625</v>
      </c>
      <c r="E163" s="324" t="n">
        <v>190654.32</v>
      </c>
      <c r="F163" s="326" t="n">
        <v>8541.25</v>
      </c>
      <c r="G163" s="55" t="n">
        <v>173</v>
      </c>
      <c r="H163" s="55" t="n">
        <v>8</v>
      </c>
      <c r="I163" s="55" t="n">
        <v>76</v>
      </c>
      <c r="J163" s="56" t="n">
        <v>4.7</v>
      </c>
      <c r="K163" s="56" t="inlineStr">
        <is>
          <t>https://amazon.com/dp/B073CS2RLP</t>
        </is>
      </c>
      <c r="L163" s="70">
        <f>HYPERLINK(Table1311[[#This Row],[Column1]])</f>
        <v/>
      </c>
    </row>
    <row r="164" ht="45" customHeight="1" s="290">
      <c r="A164" s="30" t="inlineStr">
        <is>
          <t>Autel MaxiSYS MS906 PRO-TS Scanner, 2026 MS906 Pro TS Up of MS906 MAX MS906Pro MP900TS MS906TS MP900BT, OE TPMS &amp; Code, Bidirectional Scan Tool, 3000+ Test, 36+ Service, DOIP&amp;CAN FD, FCA</t>
        </is>
      </c>
      <c r="B164" s="30" t="inlineStr">
        <is>
          <t>B008PTN992</t>
        </is>
      </c>
      <c r="C164" s="30" t="inlineStr">
        <is>
          <t>Handheld</t>
        </is>
      </c>
      <c r="D164" s="324" t="n">
        <v>1681.67</v>
      </c>
      <c r="E164" s="324" t="n">
        <v>110950.19</v>
      </c>
      <c r="F164" s="326" t="n">
        <v>8408.35</v>
      </c>
      <c r="G164" s="55" t="n">
        <v>70</v>
      </c>
      <c r="H164" s="55" t="n">
        <v>5</v>
      </c>
      <c r="I164" s="55" t="n">
        <v>122</v>
      </c>
      <c r="J164" s="56" t="n">
        <v>4.6</v>
      </c>
      <c r="K164" s="56" t="inlineStr">
        <is>
          <t>https://amazon.com/dp/B008PTN992</t>
        </is>
      </c>
      <c r="L164" s="70">
        <f>HYPERLINK(Table1311[[#This Row],[Column1]])</f>
        <v/>
      </c>
    </row>
    <row r="165" ht="60" customHeight="1" s="290">
      <c r="A165" s="30" t="inlineStr">
        <is>
          <t>Autel MaxiSYS VCI100 Wireless Diagnostic Interface, 2026 MaxiVCI VCI V100 Car Communication Interface, OBD2 Connector Adapter Dongle, Compatible for Autel Scanner MS906BT MK906BT MS906TS</t>
        </is>
      </c>
      <c r="B165" s="30" t="inlineStr">
        <is>
          <t>B0BL79T62P</t>
        </is>
      </c>
      <c r="C165" s="30" t="inlineStr">
        <is>
          <t>Dongle</t>
        </is>
      </c>
      <c r="D165" s="324" t="n">
        <v>199.9826190476191</v>
      </c>
      <c r="E165" s="324" t="n">
        <v>75507.39</v>
      </c>
      <c r="F165" s="326" t="n">
        <v>8399.27</v>
      </c>
      <c r="G165" s="55" t="n">
        <v>388</v>
      </c>
      <c r="H165" s="55" t="n">
        <v>42</v>
      </c>
      <c r="I165" s="55" t="n">
        <v>27</v>
      </c>
      <c r="J165" s="56" t="n">
        <v>4.6</v>
      </c>
      <c r="K165" s="56" t="inlineStr">
        <is>
          <t>https://amazon.com/dp/B0BL79T62P</t>
        </is>
      </c>
      <c r="L165" s="70">
        <f>HYPERLINK(Table1311[[#This Row],[Column1]])</f>
        <v/>
      </c>
    </row>
    <row r="166" ht="60" customHeight="1" s="290">
      <c r="A166" s="30" t="inlineStr">
        <is>
          <t>Autel MaxiSYS MS906 PRO-TS Scanner: 2026 MS906Pro TS Up of MP900TS MK900TS MP900BT Kit MS906 MAX, Full TPMS &amp; OE C0ding, Bidirectional Tool, 3000+ Active Test, 36+ Service, CAN FD&amp;DoIP, Auto Scan 2.0</t>
        </is>
      </c>
      <c r="B166" s="30" t="inlineStr">
        <is>
          <t>B073ZMGT2R</t>
        </is>
      </c>
      <c r="C166" s="30" t="inlineStr">
        <is>
          <t>Tablet</t>
        </is>
      </c>
      <c r="D166" s="324" t="n">
        <v>1651.378</v>
      </c>
      <c r="E166" s="324" t="n">
        <v>89065.42923076922</v>
      </c>
      <c r="F166" s="326" t="n">
        <v>8256.889999999999</v>
      </c>
      <c r="G166" s="55" t="n">
        <v>47</v>
      </c>
      <c r="H166" s="55" t="n">
        <v>5</v>
      </c>
      <c r="I166" s="55" t="n">
        <v>48</v>
      </c>
      <c r="J166" s="56" t="n">
        <v>4.8</v>
      </c>
      <c r="K166" s="56" t="inlineStr">
        <is>
          <t>https://amazon.com/dp/B073ZMGT2R</t>
        </is>
      </c>
      <c r="L166" s="70">
        <f>HYPERLINK(Table1311[[#This Row],[Column1]])</f>
        <v/>
      </c>
    </row>
    <row r="167" ht="60" customHeight="1" s="290">
      <c r="A167" s="30" t="inlineStr">
        <is>
          <t>Autel MaxiVCI V200 VCI200 Wireless Dongle: 2026 VCI 200 OBD2 Connector 2.0 of VCI100 V100 Adapter Car Communication Interface for MaxiSys MS906 Pro MS906 Pro-TS S906 MAX KM100 BT608 BT609 ITS600 etc.</t>
        </is>
      </c>
      <c r="B167" s="30" t="inlineStr">
        <is>
          <t>B0FHPHLR77</t>
        </is>
      </c>
      <c r="C167" s="30" t="inlineStr">
        <is>
          <t>Dongle</t>
        </is>
      </c>
      <c r="D167" s="324" t="n">
        <v>216.9705263157894</v>
      </c>
      <c r="E167" s="324" t="n">
        <v>72968.26384615386</v>
      </c>
      <c r="F167" s="326" t="n">
        <v>8244.879999999999</v>
      </c>
      <c r="G167" s="55" t="n">
        <v>193</v>
      </c>
      <c r="H167" s="55" t="n">
        <v>38</v>
      </c>
      <c r="I167" s="55" t="n">
        <v>9</v>
      </c>
      <c r="J167" s="56" t="n">
        <v>4.8</v>
      </c>
      <c r="K167" s="56" t="inlineStr">
        <is>
          <t>https://amazon.com/dp/B0FHPHLR77</t>
        </is>
      </c>
      <c r="L167" s="70">
        <f>HYPERLINK(Table1311[[#This Row],[Column1]])</f>
        <v/>
      </c>
    </row>
    <row r="168" ht="45" customHeight="1" s="290">
      <c r="A168" s="30" t="inlineStr">
        <is>
          <t>Autel Scanner MK906 PRO2-TS with V2.0 Full TPMS &amp; ECU Coding, Bi-Directional Diagnostic Scan Tool, Upgrade of MS906 PRO-TS MK906 PRO-TS MP900TS MS906 MAX, 40+ Resets, 3000+ Active Tests, CAN FD &amp; DoIP</t>
        </is>
      </c>
      <c r="B168" s="30" t="inlineStr">
        <is>
          <t>B0GCN51PM5</t>
        </is>
      </c>
      <c r="C168" s="30" t="inlineStr">
        <is>
          <t>Tablet</t>
        </is>
      </c>
      <c r="D168" s="324" t="n">
        <v>1626.222</v>
      </c>
      <c r="E168" s="324" t="n">
        <v>88434.12999999999</v>
      </c>
      <c r="F168" s="326" t="n">
        <v>8131.11</v>
      </c>
      <c r="G168" s="55" t="n">
        <v>8</v>
      </c>
      <c r="H168" s="55" t="n">
        <v>5</v>
      </c>
      <c r="I168" s="55" t="n">
        <v>1</v>
      </c>
      <c r="J168" s="56" t="n">
        <v>5</v>
      </c>
      <c r="K168" s="56" t="inlineStr">
        <is>
          <t>https://amazon.com/dp/B0GCN51PM5</t>
        </is>
      </c>
      <c r="L168" s="70">
        <f>HYPERLINK(Table1311[[#This Row],[Column1]])</f>
        <v/>
      </c>
    </row>
    <row r="169" ht="60" customHeight="1" s="290">
      <c r="A169" s="30" t="inlineStr">
        <is>
          <t>Autel MaxiTPMS TS508WF TPMS Programming Tool Kit, 2026 WiFi Tire Sensor Relearn Activation Tool, Up of TS508 TS601 TS501 PRO, Clear TPMS DTCs, 4PCS 315+433MHz MX Sensors ($120), Lifetime Free Updates</t>
        </is>
      </c>
      <c r="B169" s="30" t="inlineStr">
        <is>
          <t>B0788GG1PZ</t>
        </is>
      </c>
      <c r="C169" s="30" t="inlineStr">
        <is>
          <t>Handheld</t>
        </is>
      </c>
      <c r="D169" s="324" t="n">
        <v>312.0953846153846</v>
      </c>
      <c r="E169" s="324" t="n">
        <v>126698.14</v>
      </c>
      <c r="F169" s="326" t="n">
        <v>8114.48</v>
      </c>
      <c r="G169" s="55" t="n">
        <v>409</v>
      </c>
      <c r="H169" s="55" t="n">
        <v>26</v>
      </c>
      <c r="I169" s="55" t="n">
        <v>222</v>
      </c>
      <c r="J169" s="56" t="n">
        <v>4.5</v>
      </c>
      <c r="K169" s="56" t="inlineStr">
        <is>
          <t>https://amazon.com/dp/B0788GG1PZ</t>
        </is>
      </c>
      <c r="L169" s="70">
        <f>HYPERLINK(Table1311[[#This Row],[Column1]])</f>
        <v/>
      </c>
    </row>
    <row r="170" ht="45" customHeight="1" s="290">
      <c r="A170" s="30" t="inlineStr">
        <is>
          <t>Autel AL539B OBD2 Scanner, 3-in-1 Code Reader Battery Tester Avometer for 12 Volts Batteries, Full OBDII Diagnosis and Circuit Starting &amp; Charging Systems Test, All Enhanced Ver. of AL519 AL539</t>
        </is>
      </c>
      <c r="B170" s="30" t="inlineStr">
        <is>
          <t>B079GXRV1M</t>
        </is>
      </c>
      <c r="C170" s="30" t="inlineStr">
        <is>
          <t>Handheld</t>
        </is>
      </c>
      <c r="D170" s="324" t="n">
        <v>88.13978260869565</v>
      </c>
      <c r="E170" s="324" t="n">
        <v>134921.95</v>
      </c>
      <c r="F170" s="326" t="n">
        <v>8108.86</v>
      </c>
      <c r="G170" s="55" t="n">
        <v>1576</v>
      </c>
      <c r="H170" s="55" t="n">
        <v>92</v>
      </c>
      <c r="I170" s="55" t="n">
        <v>1448</v>
      </c>
      <c r="J170" s="56" t="n">
        <v>4.6</v>
      </c>
      <c r="K170" s="56" t="inlineStr">
        <is>
          <t>https://amazon.com/dp/B079GXRV1M</t>
        </is>
      </c>
      <c r="L170" s="70">
        <f>HYPERLINK(Table1311[[#This Row],[Column1]])</f>
        <v/>
      </c>
    </row>
    <row r="171" ht="45" customHeight="1" s="290">
      <c r="A171" s="30" t="inlineStr">
        <is>
          <t>Autel MaxiSYS MS906 PRO Scanner, 2026 MS906PRO Same as MS906MAX, V2.0 Upgraded of MS908S Elite 2 MS906BT MP900BT, DoIP CAN FD, 36+ Service, Bidirectional 3000+ Active Test, VAG Guided</t>
        </is>
      </c>
      <c r="B171" s="30" t="inlineStr">
        <is>
          <t>B07GWHXWBQ</t>
        </is>
      </c>
      <c r="C171" s="30" t="inlineStr">
        <is>
          <t>Other</t>
        </is>
      </c>
      <c r="D171" s="324" t="n">
        <v>1589.736</v>
      </c>
      <c r="E171" s="324" t="n">
        <v>72117.50153846154</v>
      </c>
      <c r="F171" s="326" t="n">
        <v>7948.68</v>
      </c>
      <c r="G171" s="55" t="n">
        <v>14</v>
      </c>
      <c r="H171" s="55" t="n">
        <v>5</v>
      </c>
      <c r="I171" s="55" t="n">
        <v>39</v>
      </c>
      <c r="J171" s="56" t="n">
        <v>4.6</v>
      </c>
      <c r="K171" s="56" t="inlineStr">
        <is>
          <t>https://amazon.com/dp/B07GWHXWBQ</t>
        </is>
      </c>
      <c r="L171" s="70">
        <f>HYPERLINK(Table1311[[#This Row],[Column1]])</f>
        <v/>
      </c>
    </row>
    <row r="172" ht="60" customHeight="1" s="290">
      <c r="A172" s="30" t="inlineStr">
        <is>
          <t>Autel MaxilM KM100 OBD2 Diagnostic Scanner, 2026 Lite of IM508S IM608 PRO II with Lifetime Free Update, Compatible with 95% Cars, VCI V200 Wireless Diagnostic, Scan Tool for Home Mechanics &amp; DIYers</t>
        </is>
      </c>
      <c r="B172" s="30" t="inlineStr">
        <is>
          <t>B0FX9VGDRW</t>
        </is>
      </c>
      <c r="C172" s="30" t="inlineStr">
        <is>
          <t>Tablet</t>
        </is>
      </c>
      <c r="D172" s="324" t="n">
        <v>523.0773333333333</v>
      </c>
      <c r="E172" s="324" t="n">
        <v>81701.98307692308</v>
      </c>
      <c r="F172" s="326" t="n">
        <v>7846.16</v>
      </c>
      <c r="G172" s="55" t="n">
        <v>32</v>
      </c>
      <c r="H172" s="55" t="n">
        <v>15</v>
      </c>
      <c r="I172" s="55" t="n">
        <v>5</v>
      </c>
      <c r="J172" s="56" t="n">
        <v>4.2</v>
      </c>
      <c r="K172" s="56" t="inlineStr">
        <is>
          <t>https://amazon.com/dp/B0FX9VGDRW</t>
        </is>
      </c>
      <c r="L172" s="70">
        <f>HYPERLINK(Table1311[[#This Row],[Column1]])</f>
        <v/>
      </c>
    </row>
    <row r="173" ht="45" customHeight="1" s="290">
      <c r="A173" s="30" t="inlineStr">
        <is>
          <t>Autel G-BOX3 Accessory Tool Adapter, 2026 Upgraded of Gox2 G-BOX2, Gbox3 Adapter for Mercedes-Benz/for BMW, Works W/MaxiIM IM508(S) + XP400, IM608 PRO II, IM608S II, IM608 PRO 2 Scanner</t>
        </is>
      </c>
      <c r="B173" s="30" t="inlineStr">
        <is>
          <t>B089GJ4NTX</t>
        </is>
      </c>
      <c r="C173" s="30" t="inlineStr">
        <is>
          <t>Key</t>
        </is>
      </c>
      <c r="D173" s="324" t="n">
        <v>129.7426666666667</v>
      </c>
      <c r="E173" s="324" t="n">
        <v>91044.90999999999</v>
      </c>
      <c r="F173" s="326" t="n">
        <v>7784.56</v>
      </c>
      <c r="G173" s="55" t="n">
        <v>705</v>
      </c>
      <c r="H173" s="55" t="n">
        <v>60</v>
      </c>
      <c r="I173" s="55" t="n">
        <v>98</v>
      </c>
      <c r="J173" s="56" t="n">
        <v>4.6</v>
      </c>
      <c r="K173" s="56" t="inlineStr">
        <is>
          <t>https://amazon.com/dp/B089GJ4NTX</t>
        </is>
      </c>
      <c r="L173" s="70">
        <f>HYPERLINK(Table1311[[#This Row],[Column1]])</f>
        <v/>
      </c>
    </row>
    <row r="174" ht="45" customHeight="1" s="290">
      <c r="A174" s="30" t="inlineStr">
        <is>
          <t>Autel MaxiSYS Ultra EV Intelligent Scanner, 2026 EV Ver of Ultra S2, High-Voltage System &amp; Battery Pack Analyze, $1000 EVDiag KIT, 5IN1 VCMI, 2.0 Topology, 3K+ Bidirectional, 40+ Reset, Motor Truspeed</t>
        </is>
      </c>
      <c r="B174" s="30" t="inlineStr">
        <is>
          <t>B08PNNVX78</t>
        </is>
      </c>
      <c r="C174" s="30" t="inlineStr">
        <is>
          <t>Tablet</t>
        </is>
      </c>
      <c r="D174" s="324" t="n">
        <v>3891.505</v>
      </c>
      <c r="E174" s="324" t="n">
        <v>112867.67</v>
      </c>
      <c r="F174" s="326" t="n">
        <v>7783.01</v>
      </c>
      <c r="G174" s="55" t="n">
        <v>21</v>
      </c>
      <c r="H174" s="55" t="n">
        <v>2</v>
      </c>
      <c r="I174" s="55" t="n">
        <v>14</v>
      </c>
      <c r="J174" s="56" t="n">
        <v>4.9</v>
      </c>
      <c r="K174" s="56" t="inlineStr">
        <is>
          <t>https://amazon.com/dp/B08PNNVX78</t>
        </is>
      </c>
      <c r="L174" s="70">
        <f>HYPERLINK(Table1311[[#This Row],[Column1]])</f>
        <v/>
      </c>
    </row>
    <row r="175" ht="45" customHeight="1" s="290">
      <c r="A175" s="30" t="inlineStr">
        <is>
          <t>Autel APB112 Accessory Tool, Working with Autel MaxiIM IM608Pro II/ IM608S II/ IM608 II/ IM508S II/ XP400 PRO</t>
        </is>
      </c>
      <c r="B175" s="30" t="inlineStr">
        <is>
          <t>B0DFXSX4Y1</t>
        </is>
      </c>
      <c r="C175" s="30" t="inlineStr">
        <is>
          <t>Key</t>
        </is>
      </c>
      <c r="D175" s="324" t="n">
        <v>255.413</v>
      </c>
      <c r="E175" s="324" t="n">
        <v>51548.7</v>
      </c>
      <c r="F175" s="326" t="n">
        <v>7662.39</v>
      </c>
      <c r="G175" s="55" t="n">
        <v>201</v>
      </c>
      <c r="H175" s="55" t="n">
        <v>30</v>
      </c>
      <c r="I175" s="55" t="n">
        <v>10</v>
      </c>
      <c r="J175" s="56" t="n">
        <v>5</v>
      </c>
      <c r="K175" s="56" t="inlineStr">
        <is>
          <t>https://amazon.com/dp/B0DFXSX4Y1</t>
        </is>
      </c>
      <c r="L175" s="70">
        <f>HYPERLINK(Table1311[[#This Row],[Column1]])</f>
        <v/>
      </c>
    </row>
    <row r="176" ht="60" customHeight="1" s="290">
      <c r="A176" s="30" t="inlineStr">
        <is>
          <t>Autel MaxiSys MS919 Scanner, 2026 Top Intelligent Scan Tool as Ultra, Motor TruSpeed Up of Ultra Lite MS909, Topology 2.0, Same OE Functions as Ultra S2, 40+ Service, 3K+ Test, [$2000] 5in1 VCMI</t>
        </is>
      </c>
      <c r="B176" s="30" t="inlineStr">
        <is>
          <t>B0GGH8W79N</t>
        </is>
      </c>
      <c r="C176" s="30" t="inlineStr">
        <is>
          <t>Tablet</t>
        </is>
      </c>
      <c r="D176" s="324" t="n">
        <v>3799</v>
      </c>
      <c r="E176" s="324" t="n">
        <v>92344.9130769231</v>
      </c>
      <c r="F176" s="326" t="n">
        <v>7598</v>
      </c>
      <c r="G176" s="55" t="n">
        <v>4</v>
      </c>
      <c r="H176" s="55" t="n">
        <v>2</v>
      </c>
      <c r="I176" s="55" t="n"/>
      <c r="J176" s="56" t="n"/>
      <c r="K176" s="56" t="inlineStr">
        <is>
          <t>https://amazon.com/dp/B0GGH8W79N</t>
        </is>
      </c>
      <c r="L176" s="70">
        <f>HYPERLINK(Table1311[[#This Row],[Column1]])</f>
        <v/>
      </c>
    </row>
    <row r="177" ht="60" customHeight="1" s="290">
      <c r="A177" s="30" t="inlineStr">
        <is>
          <t>Autel Scanner MaxiCOM MK906S PRO 2-TS: 2026 Up of MaxiSYS MS906 PRO2-TS/ MS906 MAX/ MS906PRO TS, Coding Same as Elite II PRO, Top TPMS Programming Tool, 40+ Services 3000+ Active Tests CAN FD DOIP</t>
        </is>
      </c>
      <c r="B177" s="30" t="inlineStr">
        <is>
          <t>B09YM9KJ1F</t>
        </is>
      </c>
      <c r="C177" s="30" t="inlineStr">
        <is>
          <t>Tablet</t>
        </is>
      </c>
      <c r="D177" s="324" t="n">
        <v>1492.94</v>
      </c>
      <c r="E177" s="324" t="n">
        <v>68594.70153846154</v>
      </c>
      <c r="F177" s="326" t="n">
        <v>7464.7</v>
      </c>
      <c r="G177" s="55" t="n">
        <v>22</v>
      </c>
      <c r="H177" s="55" t="n">
        <v>5</v>
      </c>
      <c r="I177" s="55" t="n">
        <v>9</v>
      </c>
      <c r="J177" s="56" t="n">
        <v>4.5</v>
      </c>
      <c r="K177" s="56" t="inlineStr">
        <is>
          <t>https://amazon.com/dp/B09YM9KJ1F</t>
        </is>
      </c>
      <c r="L177" s="70">
        <f>HYPERLINK(Table1311[[#This Row],[Column1]])</f>
        <v/>
      </c>
    </row>
    <row r="178" ht="45" customHeight="1" s="290">
      <c r="A178" s="30" t="inlineStr">
        <is>
          <t>Autel MaxiCOM MK908 II Scanner: 2026 Up of MS906 PRO MS906MAX MP900BT MS906BT MK908, 38+ Services as Elite 2 PRO MK908P II MS908S Pro II, 3K+ Bidirectional Scan Tool, OE All Sys, Auto Scan 2.0, OS 10</t>
        </is>
      </c>
      <c r="B178" s="30" t="inlineStr">
        <is>
          <t>B07PDG5YR9</t>
        </is>
      </c>
      <c r="C178" s="30" t="inlineStr">
        <is>
          <t>Tablet</t>
        </is>
      </c>
      <c r="D178" s="324" t="n">
        <v>1481.594</v>
      </c>
      <c r="E178" s="324" t="n">
        <v>84657.20999999998</v>
      </c>
      <c r="F178" s="326" t="n">
        <v>7407.97</v>
      </c>
      <c r="G178" s="55" t="n">
        <v>55</v>
      </c>
      <c r="H178" s="55" t="n">
        <v>5</v>
      </c>
      <c r="I178" s="55" t="n">
        <v>36</v>
      </c>
      <c r="J178" s="56" t="n">
        <v>4.8</v>
      </c>
      <c r="K178" s="56" t="inlineStr">
        <is>
          <t>https://amazon.com/dp/B07PDG5YR9</t>
        </is>
      </c>
      <c r="L178" s="70">
        <f>HYPERLINK(Table1311[[#This Row],[Column1]])</f>
        <v/>
      </c>
    </row>
    <row r="179" ht="60" customHeight="1" s="290">
      <c r="A179" s="30" t="inlineStr">
        <is>
          <t>Autel MaxiSys MS909 S2 Scanner 2026, Same as Ultra S2 Up of MS909, Top Intelligent Scan Tool with Topology 3.0, Enhanced PID Analysis, Motor TruSpeed Repair, ECU Programming, 48+ Services, CAN FD&amp;DOIP</t>
        </is>
      </c>
      <c r="B179" s="30" t="inlineStr">
        <is>
          <t>B0FSDM8LB5</t>
        </is>
      </c>
      <c r="C179" s="30" t="inlineStr">
        <is>
          <t>Tablet</t>
        </is>
      </c>
      <c r="D179" s="324" t="n">
        <v>3669.56</v>
      </c>
      <c r="E179" s="324" t="n">
        <v>85881.84307692306</v>
      </c>
      <c r="F179" s="326" t="n">
        <v>7339.12</v>
      </c>
      <c r="G179" s="55" t="n">
        <v>5</v>
      </c>
      <c r="H179" s="55" t="n">
        <v>2</v>
      </c>
      <c r="I179" s="55" t="n">
        <v>2</v>
      </c>
      <c r="J179" s="56" t="n">
        <v>5</v>
      </c>
      <c r="K179" s="56" t="inlineStr">
        <is>
          <t>https://amazon.com/dp/B0FSDM8LB5</t>
        </is>
      </c>
      <c r="L179" s="70">
        <f>HYPERLINK(Table1311[[#This Row],[Column1]])</f>
        <v/>
      </c>
    </row>
    <row r="180" ht="45" customHeight="1" s="290">
      <c r="A180" s="30" t="inlineStr">
        <is>
          <t>Autel MaxiSys MS909S2 Diagnostic Scanner with AI, Up of MS909, Topology 3.0, Data-Driven PID Analysis, Multi-Point DVI, 40+ Services, Motor TruSpeed Repair, 15000+ Vehicles, OS 13.0</t>
        </is>
      </c>
      <c r="B180" s="30" t="inlineStr">
        <is>
          <t>B0G2WS8ZHP</t>
        </is>
      </c>
      <c r="C180" s="30" t="inlineStr">
        <is>
          <t>Tablet</t>
        </is>
      </c>
      <c r="D180" s="324" t="n">
        <v>3626.13</v>
      </c>
      <c r="E180" s="324" t="n">
        <v>92634.77076923079</v>
      </c>
      <c r="F180" s="326" t="n">
        <v>7252.26</v>
      </c>
      <c r="G180" s="55" t="n">
        <v>11</v>
      </c>
      <c r="H180" s="55" t="n">
        <v>2</v>
      </c>
      <c r="I180" s="55" t="n">
        <v>1</v>
      </c>
      <c r="J180" s="56" t="n">
        <v>5</v>
      </c>
      <c r="K180" s="56" t="inlineStr">
        <is>
          <t>https://amazon.com/dp/B0G2WS8ZHP</t>
        </is>
      </c>
      <c r="L180" s="70">
        <f>HYPERLINK(Table1311[[#This Row],[Column1]])</f>
        <v/>
      </c>
    </row>
    <row r="181" ht="45" customHeight="1" s="290">
      <c r="A181" s="30" t="inlineStr">
        <is>
          <t>Autel Scanner MaxiSYS MS919, 2026 Top Intelligent Same as MSUltra, $2000 5in1 VCMI, Motor TruSpeed Topology 2.0, OE-Level J2534 Functions, Up of MS909 Elite 2 Pro Ultra Lite, 40+ Services, 3000+ Tests</t>
        </is>
      </c>
      <c r="B181" s="30" t="inlineStr">
        <is>
          <t>B08PPBL1GS</t>
        </is>
      </c>
      <c r="C181" s="30" t="inlineStr">
        <is>
          <t>Tablet</t>
        </is>
      </c>
      <c r="D181" s="324" t="n">
        <v>3620.855</v>
      </c>
      <c r="E181" s="324" t="n">
        <v>119339.1507692308</v>
      </c>
      <c r="F181" s="326" t="n">
        <v>7241.71</v>
      </c>
      <c r="G181" s="55" t="n">
        <v>28</v>
      </c>
      <c r="H181" s="55" t="n">
        <v>2</v>
      </c>
      <c r="I181" s="55" t="n">
        <v>21</v>
      </c>
      <c r="J181" s="56" t="n">
        <v>4.4</v>
      </c>
      <c r="K181" s="56" t="inlineStr">
        <is>
          <t>https://amazon.com/dp/B08PPBL1GS</t>
        </is>
      </c>
      <c r="L181" s="70">
        <f>HYPERLINK(Table1311[[#This Row],[Column1]])</f>
        <v/>
      </c>
    </row>
    <row r="182" ht="45" customHeight="1" s="290">
      <c r="A182" s="30" t="inlineStr">
        <is>
          <t>Autel TPMS Sensors 4 Pack 2026</t>
        </is>
      </c>
      <c r="B182" s="30" t="inlineStr">
        <is>
          <t>B0122TXAQ2</t>
        </is>
      </c>
      <c r="C182" s="30" t="inlineStr">
        <is>
          <t>Handheld</t>
        </is>
      </c>
      <c r="D182" s="324" t="n">
        <v>199.1363888888889</v>
      </c>
      <c r="E182" s="324" t="n">
        <v>36583.39999999999</v>
      </c>
      <c r="F182" s="326" t="n">
        <v>7168.91</v>
      </c>
      <c r="G182" s="55" t="n">
        <v>180</v>
      </c>
      <c r="H182" s="55" t="n">
        <v>36</v>
      </c>
      <c r="I182" s="55" t="n">
        <v>83</v>
      </c>
      <c r="J182" s="56" t="n">
        <v>4.3</v>
      </c>
      <c r="K182" s="56" t="inlineStr">
        <is>
          <t>https://amazon.com/dp/B0122TXAQ2</t>
        </is>
      </c>
      <c r="L182" s="70">
        <f>HYPERLINK(Table1311[[#This Row],[Column1]])</f>
        <v/>
      </c>
    </row>
    <row r="183" ht="60" customHeight="1" s="290">
      <c r="A183" s="30" t="inlineStr">
        <is>
          <t>Autel MaxiTPMS TS501 PRO TPMS Programming Relearn Tool, 2026 Same as TS508WF TS508, Up of TS501 TS408S, Activate Tire Sensors, Program Autel MX-Sensors, Turn Off TPMS Light, Lifetime Free Update</t>
        </is>
      </c>
      <c r="B183" s="30" t="inlineStr">
        <is>
          <t>B096XFB7WY</t>
        </is>
      </c>
      <c r="C183" s="30" t="inlineStr">
        <is>
          <t>Handheld</t>
        </is>
      </c>
      <c r="D183" s="324" t="n">
        <v>216.6757575757576</v>
      </c>
      <c r="E183" s="324" t="n">
        <v>62946.64000000001</v>
      </c>
      <c r="F183" s="326" t="n">
        <v>7150.3</v>
      </c>
      <c r="G183" s="55" t="n">
        <v>287</v>
      </c>
      <c r="H183" s="55" t="n">
        <v>33</v>
      </c>
      <c r="I183" s="55" t="n">
        <v>36</v>
      </c>
      <c r="J183" s="56" t="n">
        <v>4.2</v>
      </c>
      <c r="K183" s="56" t="inlineStr">
        <is>
          <t>https://amazon.com/dp/B096XFB7WY</t>
        </is>
      </c>
      <c r="L183" s="70">
        <f>HYPERLINK(Table1311[[#This Row],[Column1]])</f>
        <v/>
      </c>
    </row>
    <row r="184" ht="60" customHeight="1" s="290">
      <c r="A184" s="30" t="inlineStr">
        <is>
          <t>Autel MaxiPRO MP900-BT Kit Scanner w/ 200 Bucks OBD1 Kit: 2026 MP900BT Kit New Model of MK900BT MP900-BT(No Cables), Pro C0ding as MS906 Pro MS906 MAX, 40+ Service, 3000+ Tests, OS 11, CAN FD FCA SGW</t>
        </is>
      </c>
      <c r="B184" s="30" t="inlineStr">
        <is>
          <t>B01CQNNBA4</t>
        </is>
      </c>
      <c r="C184" s="30" t="inlineStr">
        <is>
          <t>Tablet</t>
        </is>
      </c>
      <c r="D184" s="324" t="n">
        <v>1012.644285714286</v>
      </c>
      <c r="E184" s="324" t="n">
        <v>114711.97</v>
      </c>
      <c r="F184" s="326" t="n">
        <v>7088.51</v>
      </c>
      <c r="G184" s="55" t="n">
        <v>119</v>
      </c>
      <c r="H184" s="55" t="n">
        <v>7</v>
      </c>
      <c r="I184" s="55" t="n">
        <v>245</v>
      </c>
      <c r="J184" s="56" t="n">
        <v>4.5</v>
      </c>
      <c r="K184" s="56" t="inlineStr">
        <is>
          <t>https://amazon.com/dp/B01CQNNBA4</t>
        </is>
      </c>
      <c r="L184" s="70">
        <f>HYPERLINK(Table1311[[#This Row],[Column1]])</f>
        <v/>
      </c>
    </row>
    <row r="185" ht="60" customHeight="1" s="290">
      <c r="A185" s="30" t="inlineStr">
        <is>
          <t>2026 Autel MaxiSys MS909CV Truck Scanner: Top Heavy Duty Truck Tool for Semi Commercial Cars, Updated of MS908CV with Intelligent Diagnosis, Topology, J2534 ECU C0ding, 64+ Services, Active Test</t>
        </is>
      </c>
      <c r="B185" s="30" t="inlineStr">
        <is>
          <t>B08F7TQZ41</t>
        </is>
      </c>
      <c r="C185" s="30" t="inlineStr">
        <is>
          <t>Tablet</t>
        </is>
      </c>
      <c r="D185" s="324" t="n">
        <v>3540.77</v>
      </c>
      <c r="E185" s="324" t="n">
        <v>78670.78</v>
      </c>
      <c r="F185" s="326" t="n">
        <v>7081.54</v>
      </c>
      <c r="G185" s="55" t="n">
        <v>18</v>
      </c>
      <c r="H185" s="55" t="n">
        <v>2</v>
      </c>
      <c r="I185" s="55" t="n">
        <v>2</v>
      </c>
      <c r="J185" s="56" t="n">
        <v>5</v>
      </c>
      <c r="K185" s="56" t="inlineStr">
        <is>
          <t>https://amazon.com/dp/B08F7TQZ41</t>
        </is>
      </c>
      <c r="L185" s="70">
        <f>HYPERLINK(Table1311[[#This Row],[Column1]])</f>
        <v/>
      </c>
    </row>
    <row r="186" ht="45" customHeight="1" s="290">
      <c r="A186" s="30" t="inlineStr">
        <is>
          <t>Autel MaxiSys Ultra Lite 2026 Top Autel Scanner 2 Year Free Update MaxiFlash VCI ECU C*ding/Pr*gr*mming Cloud Service Topology Mapping 40+ Services Advanced MS906 PRO MS908S PRO MS909 MS919</t>
        </is>
      </c>
      <c r="B186" s="30" t="inlineStr">
        <is>
          <t>B0GQ3VXNV4</t>
        </is>
      </c>
      <c r="C186" s="30" t="inlineStr">
        <is>
          <t>Tablet</t>
        </is>
      </c>
      <c r="D186" s="324" t="n">
        <v>3539.59</v>
      </c>
      <c r="E186" s="324" t="n">
        <v>85494.71230769233</v>
      </c>
      <c r="F186" s="326" t="n">
        <v>7079.18</v>
      </c>
      <c r="G186" s="55" t="n">
        <v>2</v>
      </c>
      <c r="H186" s="55" t="n">
        <v>2</v>
      </c>
      <c r="I186" s="55" t="n"/>
      <c r="J186" s="56" t="n"/>
      <c r="K186" s="56" t="inlineStr">
        <is>
          <t>https://amazon.com/dp/B0GQ3VXNV4</t>
        </is>
      </c>
      <c r="L186" s="70">
        <f>HYPERLINK(Table1311[[#This Row],[Column1]])</f>
        <v/>
      </c>
    </row>
    <row r="187" ht="45" customHeight="1" s="290">
      <c r="A187" s="30" t="inlineStr">
        <is>
          <t>Autel MaxiTPMS TBE200 (E) Automotive Tire Tread Depth &amp; Brake Disc Examiner: 2026 Top Laser Uneven Wear Analysis Tool, Upgrade of TBE100, Dual Camera, 0.1mm High Accuracy, Real-time Data, Supp. ITS600</t>
        </is>
      </c>
      <c r="B187" s="30" t="inlineStr">
        <is>
          <t>B09KGSRHMH</t>
        </is>
      </c>
      <c r="C187" s="30" t="inlineStr">
        <is>
          <t>Other</t>
        </is>
      </c>
      <c r="D187" s="324" t="n">
        <v>469.47</v>
      </c>
      <c r="E187" s="324" t="n">
        <v>74769.71000000001</v>
      </c>
      <c r="F187" s="326" t="n">
        <v>7042.05</v>
      </c>
      <c r="G187" s="55" t="n">
        <v>187</v>
      </c>
      <c r="H187" s="55" t="n">
        <v>15</v>
      </c>
      <c r="I187" s="55" t="n">
        <v>12</v>
      </c>
      <c r="J187" s="56" t="n">
        <v>4.7</v>
      </c>
      <c r="K187" s="56" t="inlineStr">
        <is>
          <t>https://amazon.com/dp/B09KGSRHMH</t>
        </is>
      </c>
      <c r="L187" s="70">
        <f>HYPERLINK(Table1311[[#This Row],[Column1]])</f>
        <v/>
      </c>
    </row>
    <row r="188" ht="60" customHeight="1" s="290">
      <c r="A188" s="30" t="inlineStr">
        <is>
          <t>Autel MaxiLink ML519 Enhanced Mode 6 OBD2 Scanner Auto Diagnostic Scan Tool Check Engine Fault Code Reader CAN Scan Tool, Upgraded Ver. of AL319</t>
        </is>
      </c>
      <c r="B188" s="30" t="inlineStr">
        <is>
          <t>B07NQFM2P2</t>
        </is>
      </c>
      <c r="C188" s="30" t="inlineStr">
        <is>
          <t>Handheld</t>
        </is>
      </c>
      <c r="D188" s="324" t="n">
        <v>60.14008620689656</v>
      </c>
      <c r="E188" s="324" t="n">
        <v>75963.45538461539</v>
      </c>
      <c r="F188" s="326" t="n">
        <v>6976.25</v>
      </c>
      <c r="G188" s="55" t="n">
        <v>1183</v>
      </c>
      <c r="H188" s="55" t="n">
        <v>116</v>
      </c>
      <c r="I188" s="55" t="n">
        <v>2619</v>
      </c>
      <c r="J188" s="56" t="n">
        <v>4.5</v>
      </c>
      <c r="K188" s="56" t="inlineStr">
        <is>
          <t>https://amazon.com/dp/B07NQFM2P2</t>
        </is>
      </c>
      <c r="L188" s="70">
        <f>HYPERLINK(Table1311[[#This Row],[Column1]])</f>
        <v/>
      </c>
    </row>
    <row r="189" ht="45" customHeight="1" s="290">
      <c r="A189" s="30" t="inlineStr">
        <is>
          <t>Autel Scanner MaxiSYS MS906 MAX, 2026 10'' MS906MAX 2.0 Ver. of MS906 PRO MS908S MK908 II, Lite of Elite 2 PRO, Top Scan Tool Bidirectional, 3000+ Active Test, 40+ Resets, CAN FD DoIP Auto Scan2.0 FCA</t>
        </is>
      </c>
      <c r="B189" s="30" t="inlineStr">
        <is>
          <t>B09PG3L6K1</t>
        </is>
      </c>
      <c r="C189" s="30" t="inlineStr">
        <is>
          <t>Tablet</t>
        </is>
      </c>
      <c r="D189" s="324" t="n">
        <v>1729.81</v>
      </c>
      <c r="E189" s="324" t="n">
        <v>159490.5007692308</v>
      </c>
      <c r="F189" s="326" t="n">
        <v>6919.24</v>
      </c>
      <c r="G189" s="55" t="n">
        <v>98</v>
      </c>
      <c r="H189" s="55" t="n">
        <v>4</v>
      </c>
      <c r="I189" s="55" t="n">
        <v>12</v>
      </c>
      <c r="J189" s="56" t="n">
        <v>4.8</v>
      </c>
      <c r="K189" s="56" t="inlineStr">
        <is>
          <t>https://amazon.com/dp/B09PG3L6K1</t>
        </is>
      </c>
      <c r="L189" s="70">
        <f>HYPERLINK(Table1311[[#This Row],[Column1]])</f>
        <v/>
      </c>
    </row>
    <row r="190" ht="45" customHeight="1" s="290">
      <c r="A190" s="30" t="inlineStr">
        <is>
          <t>Autel MaxiPRO MP808S-TS Scanner, 2026 Bidirectional Control Scan Tool, 2-Year Free Updated, Full TPMS, ECU Coding Same as MP808BT Pro/MS906TS/MS906 Pro-TS, 31+ Services, All-System Scan &amp; FCA AutoAuth</t>
        </is>
      </c>
      <c r="B190" s="30" t="inlineStr">
        <is>
          <t>B07GWL2HBJ</t>
        </is>
      </c>
      <c r="C190" s="30" t="inlineStr">
        <is>
          <t>Tablet</t>
        </is>
      </c>
      <c r="D190" s="324" t="n">
        <v>861.98625</v>
      </c>
      <c r="E190" s="324" t="n">
        <v>66422.14999999999</v>
      </c>
      <c r="F190" s="326" t="n">
        <v>6895.89</v>
      </c>
      <c r="G190" s="55" t="n">
        <v>74</v>
      </c>
      <c r="H190" s="55" t="n">
        <v>8</v>
      </c>
      <c r="I190" s="55" t="n">
        <v>162</v>
      </c>
      <c r="J190" s="56" t="n">
        <v>4.4</v>
      </c>
      <c r="K190" s="56" t="inlineStr">
        <is>
          <t>https://amazon.com/dp/B07GWL2HBJ</t>
        </is>
      </c>
      <c r="L190" s="70">
        <f>HYPERLINK(Table1311[[#This Row],[Column1]])</f>
        <v/>
      </c>
    </row>
    <row r="191" ht="45" customHeight="1" s="290">
      <c r="A191" s="30" t="inlineStr">
        <is>
          <t>Autel MaxiSys MS909 Intelligent Scanner: 2026 MS909 Same as Ultra MS919, Up of MS908S PRO II Elite II PRO, Motor TruSpeed Repair as Ultra S2, Topology 2.0, ECU Programming, 40+ Resets, 3K+ Test</t>
        </is>
      </c>
      <c r="B191" s="30" t="inlineStr">
        <is>
          <t>B09FX53KGZ</t>
        </is>
      </c>
      <c r="C191" s="30" t="inlineStr">
        <is>
          <t>Tablet</t>
        </is>
      </c>
      <c r="D191" s="324" t="n">
        <v>3376.83</v>
      </c>
      <c r="E191" s="324" t="n">
        <v>117834.35</v>
      </c>
      <c r="F191" s="326" t="n">
        <v>6753.66</v>
      </c>
      <c r="G191" s="55" t="n">
        <v>39</v>
      </c>
      <c r="H191" s="55" t="n">
        <v>2</v>
      </c>
      <c r="I191" s="55" t="n">
        <v>5</v>
      </c>
      <c r="J191" s="56" t="n">
        <v>5</v>
      </c>
      <c r="K191" s="56" t="inlineStr">
        <is>
          <t>https://amazon.com/dp/B09FX53KGZ</t>
        </is>
      </c>
      <c r="L191" s="70">
        <f>HYPERLINK(Table1311[[#This Row],[Column1]])</f>
        <v/>
      </c>
    </row>
    <row r="192" ht="60" customHeight="1" s="290">
      <c r="A192" s="30" t="inlineStr">
        <is>
          <t>Autel Obd2 Scanner Diagnostic Tool MaxiCOM MK808Z: 2026 Bidirectional Scan Tool, 28+ Service, Active Tests Scanner for Car, All System OBD2 Diagnostics Car Scanner for DIY, Mechanic and Small Shops</t>
        </is>
      </c>
      <c r="B192" s="30" t="inlineStr">
        <is>
          <t>B0GMQD4M5N</t>
        </is>
      </c>
      <c r="C192" s="30" t="inlineStr">
        <is>
          <t>Tablet</t>
        </is>
      </c>
      <c r="D192" s="324" t="n">
        <v>449</v>
      </c>
      <c r="E192" s="324" t="n">
        <v>81338.07692307694</v>
      </c>
      <c r="F192" s="326" t="n">
        <v>6735</v>
      </c>
      <c r="G192" s="55" t="n">
        <v>15</v>
      </c>
      <c r="H192" s="55" t="n">
        <v>15</v>
      </c>
      <c r="I192" s="55" t="n"/>
      <c r="J192" s="56" t="n"/>
      <c r="K192" s="56" t="inlineStr">
        <is>
          <t>https://amazon.com/dp/B0GMQD4M5N</t>
        </is>
      </c>
      <c r="L192" s="70">
        <f>HYPERLINK(Table1311[[#This Row],[Column1]])</f>
        <v/>
      </c>
    </row>
    <row r="193" ht="45" customHeight="1" s="290">
      <c r="A193" s="30" t="inlineStr">
        <is>
          <t>Autel Original OBD2 Main Test Cable - 16 Pin 3 Rows OBDII Diagnostic Test Connector, Only for MaxiSys MS908P, MS908S PRO II, MK908 Pro II, MS908CV II, Elite II, MS909, MS919, Ultra Lite, Ultra</t>
        </is>
      </c>
      <c r="B193" s="30" t="inlineStr">
        <is>
          <t>B0F7LX9SKK</t>
        </is>
      </c>
      <c r="C193" s="30" t="inlineStr">
        <is>
          <t>Cable/Adapter</t>
        </is>
      </c>
      <c r="D193" s="324" t="n">
        <v>25.94552123552124</v>
      </c>
      <c r="E193" s="324" t="n">
        <v>57287.94615384615</v>
      </c>
      <c r="F193" s="326" t="n">
        <v>6719.89</v>
      </c>
      <c r="G193" s="55" t="n">
        <v>1490</v>
      </c>
      <c r="H193" s="55" t="n">
        <v>259</v>
      </c>
      <c r="I193" s="55" t="n">
        <v>29</v>
      </c>
      <c r="J193" s="56" t="n">
        <v>4.7</v>
      </c>
      <c r="K193" s="56" t="inlineStr">
        <is>
          <t>https://amazon.com/dp/B0F7LX9SKK</t>
        </is>
      </c>
      <c r="L193" s="70">
        <f>HYPERLINK(Table1311[[#This Row],[Column1]])</f>
        <v/>
      </c>
    </row>
    <row r="194" ht="45" customHeight="1" s="290">
      <c r="A194" s="30" t="inlineStr">
        <is>
          <t>Autel MaxiSys MS909 S2 Scanner, 2026 Same as Ultra S2 Up of MS Ultra MS909, Top Intelligen Scan Diagnostic with AI, Topology 3.0, Enhanced PID Analysis, Motor Truspeed, 48+ Service, ECU Program</t>
        </is>
      </c>
      <c r="B194" s="30" t="inlineStr">
        <is>
          <t>B0FKMK8YNR</t>
        </is>
      </c>
      <c r="C194" s="30" t="inlineStr">
        <is>
          <t>Tablet</t>
        </is>
      </c>
      <c r="D194" s="324" t="n">
        <v>3330.42</v>
      </c>
      <c r="E194" s="324" t="n">
        <v>90080.35846153846</v>
      </c>
      <c r="F194" s="326" t="n">
        <v>6660.84</v>
      </c>
      <c r="G194" s="55" t="n">
        <v>17</v>
      </c>
      <c r="H194" s="55" t="n">
        <v>2</v>
      </c>
      <c r="I194" s="55" t="n">
        <v>1</v>
      </c>
      <c r="J194" s="56" t="n">
        <v>5</v>
      </c>
      <c r="K194" s="56" t="inlineStr">
        <is>
          <t>https://amazon.com/dp/B0FKMK8YNR</t>
        </is>
      </c>
      <c r="L194" s="70">
        <f>HYPERLINK(Table1311[[#This Row],[Column1]])</f>
        <v/>
      </c>
    </row>
    <row r="195" ht="45" customHeight="1" s="290">
      <c r="A195" s="30" t="inlineStr">
        <is>
          <t>Autel Scanner MaxiSYS Ultra, 2026 MSUltra Top Intelligent Scan Tool, Motor TruSpeed, Topology 2.0, [$2000] 5in1 VCMI, OE-Level J2534 Functions, Up of MS919 MS909 Ultra Lite Elite II PRO, 40+ Services</t>
        </is>
      </c>
      <c r="B195" s="30" t="inlineStr">
        <is>
          <t>B08P47HP15</t>
        </is>
      </c>
      <c r="C195" s="30" t="inlineStr">
        <is>
          <t>Tablet</t>
        </is>
      </c>
      <c r="D195" s="324" t="n">
        <v>3318.47</v>
      </c>
      <c r="E195" s="324" t="n">
        <v>179969.42</v>
      </c>
      <c r="F195" s="326" t="n">
        <v>6636.94</v>
      </c>
      <c r="G195" s="55" t="n">
        <v>49</v>
      </c>
      <c r="H195" s="55" t="n">
        <v>2</v>
      </c>
      <c r="I195" s="55" t="n">
        <v>70</v>
      </c>
      <c r="J195" s="56" t="n">
        <v>4.5</v>
      </c>
      <c r="K195" s="56" t="inlineStr">
        <is>
          <t>https://amazon.com/dp/B08P47HP15</t>
        </is>
      </c>
      <c r="L195" s="70">
        <f>HYPERLINK(Table1311[[#This Row],[Column1]])</f>
        <v/>
      </c>
    </row>
    <row r="196" ht="60" customHeight="1" s="290">
      <c r="A196" s="30" t="inlineStr">
        <is>
          <t>Autel 7 Pin OBD1 to OBD2 Adapter Cable for Ford, 7Pin OBD1 to 16 Pin OBD2 Diagnostic Cable, Fit for Ford Vehicles with 7Pin Port, Work with Scan Tool and Code Reader</t>
        </is>
      </c>
      <c r="B196" s="30" t="inlineStr">
        <is>
          <t>B0DCFRHNF5</t>
        </is>
      </c>
      <c r="C196" s="30" t="inlineStr">
        <is>
          <t>Cable/Adapter</t>
        </is>
      </c>
      <c r="D196" s="324" t="n">
        <v>19.96475155279503</v>
      </c>
      <c r="E196" s="324" t="n">
        <v>60947.33</v>
      </c>
      <c r="F196" s="326" t="n">
        <v>6428.65</v>
      </c>
      <c r="G196" s="55" t="n">
        <v>3055</v>
      </c>
      <c r="H196" s="55" t="n">
        <v>322</v>
      </c>
      <c r="I196" s="55" t="n">
        <v>119</v>
      </c>
      <c r="J196" s="56" t="n">
        <v>3.8</v>
      </c>
      <c r="K196" s="56" t="inlineStr">
        <is>
          <t>https://amazon.com/dp/B0DCFRHNF5</t>
        </is>
      </c>
      <c r="L196" s="70">
        <f>HYPERLINK(Table1311[[#This Row],[Column1]])</f>
        <v/>
      </c>
    </row>
    <row r="197" ht="45" customHeight="1" s="290">
      <c r="A197" s="30" t="inlineStr">
        <is>
          <t>Autel Original OBD2 16 Pin OBDII Y Splitter Extension Adapter Cable, 16Pin 1x Male to 2X Female Extension Y Connector, Fits for All Standard OBD II Scanners (1FT/30CM)</t>
        </is>
      </c>
      <c r="B197" s="30" t="inlineStr">
        <is>
          <t>B0DF2WK54W</t>
        </is>
      </c>
      <c r="C197" s="30" t="inlineStr">
        <is>
          <t>Cable/Adapter</t>
        </is>
      </c>
      <c r="D197" s="324" t="n">
        <v>19.96224299065421</v>
      </c>
      <c r="E197" s="324" t="n">
        <v>52025.41</v>
      </c>
      <c r="F197" s="326" t="n">
        <v>6407.88</v>
      </c>
      <c r="G197" s="55" t="n">
        <v>2606</v>
      </c>
      <c r="H197" s="55" t="n">
        <v>321</v>
      </c>
      <c r="I197" s="55" t="n">
        <v>76</v>
      </c>
      <c r="J197" s="56" t="n">
        <v>4.5</v>
      </c>
      <c r="K197" s="56" t="inlineStr">
        <is>
          <t>https://amazon.com/dp/B0DF2WK54W</t>
        </is>
      </c>
      <c r="L197" s="70">
        <f>HYPERLINK(Table1311[[#This Row],[Column1]])</f>
        <v/>
      </c>
    </row>
    <row r="198" ht="60" customHeight="1" s="290">
      <c r="A198" s="30" t="inlineStr">
        <is>
          <t>Autel MaxiSYS Ultra S2 AI Scanner, 2026 UltraS2 Top Intelligent Scan Tool, 6-in-1 VCMI2, Up of MSUltra Ultra EV, Topology 3.0 &amp; Multi-Point DVI, EV Test, Motor Truspeed, 48+ Service, 3000+ Active Test</t>
        </is>
      </c>
      <c r="B198" s="30" t="inlineStr">
        <is>
          <t>B0F37T2WCZ</t>
        </is>
      </c>
      <c r="C198" s="30" t="inlineStr">
        <is>
          <t>Tablet</t>
        </is>
      </c>
      <c r="D198" s="324" t="n">
        <v>6380.38</v>
      </c>
      <c r="E198" s="324" t="n">
        <v>219695.8930769231</v>
      </c>
      <c r="F198" s="326" t="n">
        <v>6380.38</v>
      </c>
      <c r="G198" s="55" t="n">
        <v>36</v>
      </c>
      <c r="H198" s="55" t="n">
        <v>1</v>
      </c>
      <c r="I198" s="55" t="n">
        <v>8</v>
      </c>
      <c r="J198" s="56" t="n">
        <v>4.8</v>
      </c>
      <c r="K198" s="56" t="inlineStr">
        <is>
          <t>https://amazon.com/dp/B0F37T2WCZ</t>
        </is>
      </c>
      <c r="L198" s="70">
        <f>HYPERLINK(Table1311[[#This Row],[Column1]])</f>
        <v/>
      </c>
    </row>
    <row r="199" ht="60" customHeight="1" s="290">
      <c r="A199" s="30" t="inlineStr">
        <is>
          <t>Autel MaxiCOM MK808S-TS Scanner, 2024 Complete TPMS Check/Activate/Relearn Tool, Same as MX808S-TS MK808Z-TS, 28+Service, BT Full System Scan,Bidirectional, FCA AutoAuth,Upgrade of MK808BT PRO MK808S</t>
        </is>
      </c>
      <c r="B199" s="30" t="inlineStr">
        <is>
          <t>B07GXGZCDW</t>
        </is>
      </c>
      <c r="C199" s="30" t="inlineStr">
        <is>
          <t>Tablet</t>
        </is>
      </c>
      <c r="D199" s="324" t="n">
        <v>697.6288888888889</v>
      </c>
      <c r="E199" s="324" t="n">
        <v>70822.64</v>
      </c>
      <c r="F199" s="326" t="n">
        <v>6278.66</v>
      </c>
      <c r="G199" s="55" t="n">
        <v>109</v>
      </c>
      <c r="H199" s="55" t="n">
        <v>9</v>
      </c>
      <c r="I199" s="55" t="n">
        <v>250</v>
      </c>
      <c r="J199" s="56" t="n">
        <v>4.4</v>
      </c>
      <c r="K199" s="56" t="inlineStr">
        <is>
          <t>https://amazon.com/dp/B07GXGZCDW</t>
        </is>
      </c>
      <c r="L199" s="70">
        <f>HYPERLINK(Table1311[[#This Row],[Column1]])</f>
        <v/>
      </c>
    </row>
    <row r="200" ht="60" customHeight="1" s="290">
      <c r="A200" s="30" t="inlineStr">
        <is>
          <t>2026 Autel Scanner MaxiPRO MP900 KIT, 11PCS OBD Adapters $200, DoIP CAN FD Same as MS906 PRO MS906MAX, ECU Function Up of MS906 MX900 MK900 MK808S, Full Bidirectional as MP900BT, 40+ Reset, 3000+ Test</t>
        </is>
      </c>
      <c r="B200" s="30" t="inlineStr">
        <is>
          <t>B08PDJ21WS</t>
        </is>
      </c>
      <c r="C200" s="30" t="inlineStr">
        <is>
          <t>Tablet</t>
        </is>
      </c>
      <c r="D200" s="324" t="n">
        <v>889.8557142857143</v>
      </c>
      <c r="E200" s="324" t="n">
        <v>88164.02999999998</v>
      </c>
      <c r="F200" s="326" t="n">
        <v>6228.99</v>
      </c>
      <c r="G200" s="55" t="n">
        <v>102</v>
      </c>
      <c r="H200" s="55" t="n">
        <v>7</v>
      </c>
      <c r="I200" s="55" t="n">
        <v>56</v>
      </c>
      <c r="J200" s="56" t="n">
        <v>4.3</v>
      </c>
      <c r="K200" s="56" t="inlineStr">
        <is>
          <t>https://amazon.com/dp/B08PDJ21WS</t>
        </is>
      </c>
      <c r="L200" s="70">
        <f>HYPERLINK(Table1311[[#This Row],[Column1]])</f>
        <v/>
      </c>
    </row>
    <row r="201" ht="45" customHeight="1" s="290">
      <c r="A201" s="30" t="inlineStr">
        <is>
          <t>Autel MaxiSys MS906 MAX Scanner, 2026 MS906MAX 10.1" 2.0 Ver. of MS906 PRO-TS/MS906 PRO/MP900BT KIT/ MK900BT, Bi-Directional Diagnostic Tool, 3000+Tests 40+ Services, CAN FD&amp;DoIP, 160+ Brands</t>
        </is>
      </c>
      <c r="B201" s="30" t="inlineStr">
        <is>
          <t>B0DXFK2ZGD</t>
        </is>
      </c>
      <c r="C201" s="30" t="inlineStr">
        <is>
          <t>Tablet</t>
        </is>
      </c>
      <c r="D201" s="324" t="n">
        <v>1538.4975</v>
      </c>
      <c r="E201" s="324" t="n">
        <v>57358.5</v>
      </c>
      <c r="F201" s="326" t="n">
        <v>6153.99</v>
      </c>
      <c r="G201" s="55" t="n">
        <v>41</v>
      </c>
      <c r="H201" s="55" t="n">
        <v>4</v>
      </c>
      <c r="I201" s="55" t="n">
        <v>113</v>
      </c>
      <c r="J201" s="56" t="n">
        <v>4.4</v>
      </c>
      <c r="K201" s="56" t="inlineStr">
        <is>
          <t>https://amazon.com/dp/B0DXFK2ZGD</t>
        </is>
      </c>
      <c r="L201" s="70">
        <f>HYPERLINK(Table1311[[#This Row],[Column1]])</f>
        <v/>
      </c>
    </row>
    <row r="202" ht="45" customHeight="1" s="290">
      <c r="A202" s="30" t="inlineStr">
        <is>
          <t>Autel Scanner MaxiCOM MK908 Pro MS908S PRO II: 2026 J2534 Reprogramming Tool as MaxiSYS MS909 MS919 Elite II PRO Ultra Lite S2, OE Coding, 38+ Resets, All System Scan, 3K+ Active Tests, CANFD &amp; DoIP</t>
        </is>
      </c>
      <c r="B202" s="30" t="inlineStr">
        <is>
          <t>B00RFUY6XU</t>
        </is>
      </c>
      <c r="C202" s="30" t="inlineStr">
        <is>
          <t>Tablet</t>
        </is>
      </c>
      <c r="D202" s="324" t="n">
        <v>2024.45</v>
      </c>
      <c r="E202" s="324" t="n">
        <v>165981.26</v>
      </c>
      <c r="F202" s="326" t="n">
        <v>6073.35</v>
      </c>
      <c r="G202" s="55" t="n">
        <v>84</v>
      </c>
      <c r="H202" s="55" t="n">
        <v>3</v>
      </c>
      <c r="I202" s="55" t="n">
        <v>177</v>
      </c>
      <c r="J202" s="56" t="n">
        <v>4.5</v>
      </c>
      <c r="K202" s="56" t="inlineStr">
        <is>
          <t>https://amazon.com/dp/B00RFUY6XU</t>
        </is>
      </c>
      <c r="L202" s="70">
        <f>HYPERLINK(Table1311[[#This Row],[Column1]])</f>
        <v/>
      </c>
    </row>
    <row r="203" ht="60" customHeight="1" s="290">
      <c r="A203" s="30" t="inlineStr">
        <is>
          <t>Autel MaxiSys MS919 S2 AI Scanner, 2026 MS919S2 Same as Ultra S2 Up of MSUltra MS909 S2, Top Intelligent Scan Tool, Topology 3.0, 6-in-1 VCMI2 [$2000 Value], Multi-Point DVI, EV Test, 12+256GB, 13 OS</t>
        </is>
      </c>
      <c r="B203" s="30" t="inlineStr">
        <is>
          <t>B0FXMP177Q</t>
        </is>
      </c>
      <c r="C203" s="30" t="inlineStr">
        <is>
          <t>Tablet</t>
        </is>
      </c>
      <c r="D203" s="324" t="n">
        <v>6061.51</v>
      </c>
      <c r="E203" s="324" t="n">
        <v>72762.89999999999</v>
      </c>
      <c r="F203" s="326" t="n">
        <v>6061.51</v>
      </c>
      <c r="G203" s="55" t="n">
        <v>4</v>
      </c>
      <c r="H203" s="55" t="n">
        <v>1</v>
      </c>
      <c r="I203" s="55" t="n"/>
      <c r="J203" s="56" t="n"/>
      <c r="K203" s="56" t="inlineStr">
        <is>
          <t>https://amazon.com/dp/B0FXMP177Q</t>
        </is>
      </c>
      <c r="L203" s="70">
        <f>HYPERLINK(Table1311[[#This Row],[Column1]])</f>
        <v/>
      </c>
    </row>
    <row r="204" ht="60" customHeight="1" s="290">
      <c r="A204" s="30" t="inlineStr">
        <is>
          <t>Autel Scanner MAXIDIAG MD600CV Heavy Duty Truck Scanner D-P-F Regen Full System Diesel Diagnostic Scan Tool Wireless Android Touchscreen Tablet for Truck Light Medium and Heavy Duty Truck Vehicle</t>
        </is>
      </c>
      <c r="B204" s="30" t="inlineStr">
        <is>
          <t>B0D97BL8PJ</t>
        </is>
      </c>
      <c r="C204" s="30" t="inlineStr">
        <is>
          <t>Handheld</t>
        </is>
      </c>
      <c r="D204" s="324" t="n">
        <v>997.165</v>
      </c>
      <c r="E204" s="324" t="n">
        <v>61809.55</v>
      </c>
      <c r="F204" s="326" t="n">
        <v>5982.99</v>
      </c>
      <c r="G204" s="55" t="n">
        <v>63</v>
      </c>
      <c r="H204" s="55" t="n">
        <v>6</v>
      </c>
      <c r="I204" s="55" t="n">
        <v>8</v>
      </c>
      <c r="J204" s="56" t="n">
        <v>4.8</v>
      </c>
      <c r="K204" s="56" t="inlineStr">
        <is>
          <t>https://amazon.com/dp/B0D97BL8PJ</t>
        </is>
      </c>
      <c r="L204" s="70">
        <f>HYPERLINK(Table1311[[#This Row],[Column1]])</f>
        <v/>
      </c>
    </row>
    <row r="205" ht="60" customHeight="1" s="290">
      <c r="A205" s="30" t="inlineStr">
        <is>
          <t>Autel CAN FD CANFD Adapter for GM MY2020 Vehicles, 2026 Compatible with Autel Scanner Diagnostic Scan Tool MaxiCOM MK808S MX808S DS808 Maxisys Elite 908 Series Models W/CAN FD Protocol (100% Original)</t>
        </is>
      </c>
      <c r="B205" s="30" t="inlineStr">
        <is>
          <t>B08B4KZGF3</t>
        </is>
      </c>
      <c r="C205" s="30" t="inlineStr">
        <is>
          <t>Cable/Adapter</t>
        </is>
      </c>
      <c r="D205" s="324" t="n">
        <v>118.3352</v>
      </c>
      <c r="E205" s="324" t="n">
        <v>85062.14</v>
      </c>
      <c r="F205" s="326" t="n">
        <v>5916.76</v>
      </c>
      <c r="G205" s="55" t="n">
        <v>715</v>
      </c>
      <c r="H205" s="55" t="n">
        <v>50</v>
      </c>
      <c r="I205" s="55" t="n">
        <v>71</v>
      </c>
      <c r="J205" s="56" t="n">
        <v>4.4</v>
      </c>
      <c r="K205" s="56" t="inlineStr">
        <is>
          <t>https://amazon.com/dp/B08B4KZGF3</t>
        </is>
      </c>
      <c r="L205" s="70">
        <f>HYPERLINK(Table1311[[#This Row],[Column1]])</f>
        <v/>
      </c>
    </row>
    <row r="206" ht="45" customHeight="1" s="290">
      <c r="A206" s="30" t="inlineStr">
        <is>
          <t>Autel MaxiVCI V150 Wireless Bluetooth Diagnostic Dongle, 2026 VCI 150 OBD2 Connector Adapter Car Communication Interface, Work w/Autel Scanner MK900BT MP900BT MP900Z-BT MP900TS MK900TS MX900TS TS900</t>
        </is>
      </c>
      <c r="B206" s="30" t="inlineStr">
        <is>
          <t>B0DK4RV3TZ</t>
        </is>
      </c>
      <c r="C206" s="30" t="inlineStr">
        <is>
          <t>Dongle</t>
        </is>
      </c>
      <c r="D206" s="324" t="n">
        <v>200.0613793103448</v>
      </c>
      <c r="E206" s="324" t="n">
        <v>61426.45</v>
      </c>
      <c r="F206" s="326" t="n">
        <v>5801.78</v>
      </c>
      <c r="G206" s="55" t="n">
        <v>311</v>
      </c>
      <c r="H206" s="55" t="n">
        <v>29</v>
      </c>
      <c r="I206" s="55" t="n">
        <v>10</v>
      </c>
      <c r="J206" s="56" t="n">
        <v>4.8</v>
      </c>
      <c r="K206" s="56" t="inlineStr">
        <is>
          <t>https://amazon.com/dp/B0DK4RV3TZ</t>
        </is>
      </c>
      <c r="L206" s="70">
        <f>HYPERLINK(Table1311[[#This Row],[Column1]])</f>
        <v/>
      </c>
    </row>
    <row r="207" ht="45" customHeight="1" s="290">
      <c r="A207" s="30" t="inlineStr">
        <is>
          <t>Autel MS300 OBD2 Scanner Code Reader, Turn Off Check Engine Light, Read &amp; Erase Fault Codes, Check Emission Monitor Status CAN Diagnostic Scan Tool</t>
        </is>
      </c>
      <c r="B207" s="30" t="inlineStr">
        <is>
          <t>B001LHVOVK</t>
        </is>
      </c>
      <c r="C207" s="30" t="inlineStr">
        <is>
          <t>Handheld</t>
        </is>
      </c>
      <c r="D207" s="324" t="n">
        <v>19.95560975609756</v>
      </c>
      <c r="E207" s="324" t="n">
        <v>84315.16307692308</v>
      </c>
      <c r="F207" s="326" t="n">
        <v>5727.26</v>
      </c>
      <c r="G207" s="55" t="n">
        <v>3744</v>
      </c>
      <c r="H207" s="55" t="n">
        <v>287</v>
      </c>
      <c r="I207" s="55" t="n">
        <v>20230</v>
      </c>
      <c r="J207" s="56" t="n">
        <v>4.4</v>
      </c>
      <c r="K207" s="56" t="inlineStr">
        <is>
          <t>https://amazon.com/dp/B001LHVOVK</t>
        </is>
      </c>
      <c r="L207" s="70">
        <f>HYPERLINK(Table1311[[#This Row],[Column1]])</f>
        <v/>
      </c>
    </row>
    <row r="208" ht="45" customHeight="1" s="290">
      <c r="A208" s="30" t="inlineStr">
        <is>
          <t>Autel Scanner MaxiPRO MP808BT PRO, 2 Years Update ($700), 2026 Up of MaxiSys MS906BT MaxiCOM MK900BT MK900, Advanced as MS906MAX MS906 PRO MP900-BT, 3000+ Active Test, 30+ Service, FCA, 11OS 4/ 64GB</t>
        </is>
      </c>
      <c r="B208" s="30" t="inlineStr">
        <is>
          <t>B09F2VJHW1</t>
        </is>
      </c>
      <c r="C208" s="30" t="inlineStr">
        <is>
          <t>Tablet</t>
        </is>
      </c>
      <c r="D208" s="324" t="n">
        <v>711.8512500000001</v>
      </c>
      <c r="E208" s="324" t="n">
        <v>109152.58</v>
      </c>
      <c r="F208" s="326" t="n">
        <v>5694.81</v>
      </c>
      <c r="G208" s="55" t="n">
        <v>146</v>
      </c>
      <c r="H208" s="55" t="n">
        <v>8</v>
      </c>
      <c r="I208" s="55" t="n">
        <v>108</v>
      </c>
      <c r="J208" s="56" t="n">
        <v>4.6</v>
      </c>
      <c r="K208" s="56" t="inlineStr">
        <is>
          <t>https://amazon.com/dp/B09F2VJHW1</t>
        </is>
      </c>
      <c r="L208" s="70">
        <f>HYPERLINK(Table1311[[#This Row],[Column1]])</f>
        <v/>
      </c>
    </row>
    <row r="209" ht="60" customHeight="1" s="290">
      <c r="A209" s="30" t="inlineStr">
        <is>
          <t>Autel MaxiSYS Ultra S2 AI Scanner: 2026 Top Intelligent Scan Tool, Up of Ultra EV MSUltra Elite II Pro MS909 MS919, 6-in-1 VCMI2, Topology 3.0, Motor Truspeed, 48+ Service, OE Programming, EV Tests</t>
        </is>
      </c>
      <c r="B209" s="30" t="inlineStr">
        <is>
          <t>B07JJD3NFL</t>
        </is>
      </c>
      <c r="C209" s="30" t="inlineStr">
        <is>
          <t>Tablet</t>
        </is>
      </c>
      <c r="D209" s="324" t="n">
        <v>5681</v>
      </c>
      <c r="E209" s="324" t="n">
        <v>75113.14</v>
      </c>
      <c r="F209" s="326" t="n">
        <v>5681</v>
      </c>
      <c r="G209" s="55" t="n">
        <v>10</v>
      </c>
      <c r="H209" s="55" t="n">
        <v>1</v>
      </c>
      <c r="I209" s="55" t="n">
        <v>28</v>
      </c>
      <c r="J209" s="56" t="n">
        <v>4</v>
      </c>
      <c r="K209" s="56" t="inlineStr">
        <is>
          <t>https://amazon.com/dp/B07JJD3NFL</t>
        </is>
      </c>
      <c r="L209" s="70">
        <f>HYPERLINK(Table1311[[#This Row],[Column1]])</f>
        <v/>
      </c>
    </row>
    <row r="210" ht="60" customHeight="1" s="290">
      <c r="A210" s="30" t="inlineStr">
        <is>
          <t>Autel OBD2 Scanner MaxiDIAG MD906PRO Scan Tool, 2026 MD906 PRO All System Diagnostic, Code Reader, 11 Reset Services, Oil/Brake/BMS/SAS/Injector, Free Lifetime Upgrade, Same MD909 PRO Lite of MK808S</t>
        </is>
      </c>
      <c r="B210" s="30" t="inlineStr">
        <is>
          <t>B0FG3DDHHB</t>
        </is>
      </c>
      <c r="C210" s="30" t="inlineStr">
        <is>
          <t>Tablet</t>
        </is>
      </c>
      <c r="D210" s="324" t="n">
        <v>282.5125</v>
      </c>
      <c r="E210" s="324" t="n">
        <v>69602.41153846153</v>
      </c>
      <c r="F210" s="326" t="n">
        <v>5650.25</v>
      </c>
      <c r="G210" s="55" t="n">
        <v>171</v>
      </c>
      <c r="H210" s="55" t="n">
        <v>20</v>
      </c>
      <c r="I210" s="55" t="n">
        <v>40</v>
      </c>
      <c r="J210" s="56" t="n">
        <v>4.7</v>
      </c>
      <c r="K210" s="56" t="inlineStr">
        <is>
          <t>https://amazon.com/dp/B0FG3DDHHB</t>
        </is>
      </c>
      <c r="L210" s="70">
        <f>HYPERLINK(Table1311[[#This Row],[Column1]])</f>
        <v/>
      </c>
    </row>
    <row r="211" ht="45" customHeight="1" s="290">
      <c r="A211" s="30" t="inlineStr">
        <is>
          <t>Autel AP2500E/AP2500 OBD2 Scanner Bluetooth Code Reader, Upgraded of AP200, OBDII Scanner All-System Diagnostic Tool, CAN FD, 5 Hot Resets, AutoVIN, Check Engine Light, Car Code Reader for Android/iOS</t>
        </is>
      </c>
      <c r="B211" s="30" t="inlineStr">
        <is>
          <t>B07Y8HLS33</t>
        </is>
      </c>
      <c r="C211" s="30" t="inlineStr">
        <is>
          <t>Dongle</t>
        </is>
      </c>
      <c r="D211" s="324" t="n">
        <v>59.03425531914894</v>
      </c>
      <c r="E211" s="324" t="n">
        <v>46366.92</v>
      </c>
      <c r="F211" s="326" t="n">
        <v>5549.22</v>
      </c>
      <c r="G211" s="55" t="n">
        <v>784</v>
      </c>
      <c r="H211" s="55" t="n">
        <v>94</v>
      </c>
      <c r="I211" s="55" t="n">
        <v>474</v>
      </c>
      <c r="J211" s="56" t="n">
        <v>3.9</v>
      </c>
      <c r="K211" s="56" t="inlineStr">
        <is>
          <t>https://amazon.com/dp/B07Y8HLS33</t>
        </is>
      </c>
      <c r="L211" s="70">
        <f>HYPERLINK(Table1311[[#This Row],[Column1]])</f>
        <v/>
      </c>
    </row>
    <row r="212" ht="30" customHeight="1" s="290">
      <c r="A212" s="30" t="inlineStr">
        <is>
          <t>Autel IM508S Pro Scanner OE Level Automotive Diagnostic Scan Tool 5X Faster Android 11.0 View Freeze Frame and Live Data FCA SGW 40+ Service Auto Scan 2.0 4-Core 4/64G</t>
        </is>
      </c>
      <c r="B212" s="30" t="inlineStr">
        <is>
          <t>B0G2RJ5HFL</t>
        </is>
      </c>
      <c r="C212" s="30" t="inlineStr">
        <is>
          <t>Tablet</t>
        </is>
      </c>
      <c r="D212" s="324" t="n">
        <v>1846.26</v>
      </c>
      <c r="E212" s="324" t="n">
        <v>70651.49000000001</v>
      </c>
      <c r="F212" s="326" t="n">
        <v>5538.78</v>
      </c>
      <c r="G212" s="55" t="n">
        <v>18</v>
      </c>
      <c r="H212" s="55" t="n">
        <v>3</v>
      </c>
      <c r="I212" s="55" t="n"/>
      <c r="J212" s="56" t="n"/>
      <c r="K212" s="56" t="inlineStr">
        <is>
          <t>https://amazon.com/dp/B0G2RJ5HFL</t>
        </is>
      </c>
      <c r="L212" s="70">
        <f>HYPERLINK(Table1311[[#This Row],[Column1]])</f>
        <v/>
      </c>
    </row>
    <row r="213" ht="45" customHeight="1" s="290">
      <c r="A213" s="30" t="inlineStr">
        <is>
          <t>Autel MaxiLink ML519 OBD2 Scanner [Same as AutoLink AL519], 2026 OBDII Diagnostic Scan Tool, Enhanced Mode 6 Fault Code Reader, Check Engine Light (MIL), One-Click Smog Check, Upgraded Ver. of AL319</t>
        </is>
      </c>
      <c r="B213" s="30" t="inlineStr">
        <is>
          <t>B07L8XS1ZG</t>
        </is>
      </c>
      <c r="C213" s="30" t="inlineStr">
        <is>
          <t>Handheld</t>
        </is>
      </c>
      <c r="D213" s="324" t="n">
        <v>60.14282608695652</v>
      </c>
      <c r="E213" s="324" t="n">
        <v>51749.82000000001</v>
      </c>
      <c r="F213" s="326" t="n">
        <v>5533.14</v>
      </c>
      <c r="G213" s="55" t="n">
        <v>873</v>
      </c>
      <c r="H213" s="55" t="n">
        <v>92</v>
      </c>
      <c r="I213" s="55" t="n">
        <v>1105</v>
      </c>
      <c r="J213" s="56" t="n">
        <v>4.5</v>
      </c>
      <c r="K213" s="56" t="inlineStr">
        <is>
          <t>https://amazon.com/dp/B07L8XS1ZG</t>
        </is>
      </c>
      <c r="L213" s="70">
        <f>HYPERLINK(Table1311[[#This Row],[Column1]])</f>
        <v/>
      </c>
    </row>
    <row r="214" ht="60" customHeight="1" s="290">
      <c r="A214" s="30" t="inlineStr">
        <is>
          <t>Autel Autolink Al329(Upgraded AL319) Code Reader OBDII Scanner</t>
        </is>
      </c>
      <c r="B214" s="30" t="inlineStr">
        <is>
          <t>B073RF7Z47</t>
        </is>
      </c>
      <c r="C214" s="30" t="inlineStr">
        <is>
          <t>Handheld</t>
        </is>
      </c>
      <c r="D214" s="324" t="n">
        <v>35.07866242038217</v>
      </c>
      <c r="E214" s="324" t="n">
        <v>45034.16000000001</v>
      </c>
      <c r="F214" s="326" t="n">
        <v>5507.35</v>
      </c>
      <c r="G214" s="55" t="n">
        <v>1307</v>
      </c>
      <c r="H214" s="55" t="n">
        <v>157</v>
      </c>
      <c r="I214" s="55" t="n">
        <v>546</v>
      </c>
      <c r="J214" s="56" t="n">
        <v>4.6</v>
      </c>
      <c r="K214" s="56" t="inlineStr">
        <is>
          <t>https://amazon.com/dp/B073RF7Z47</t>
        </is>
      </c>
      <c r="L214" s="70">
        <f>HYPERLINK(Table1311[[#This Row],[Column1]])</f>
        <v/>
      </c>
    </row>
    <row r="215" ht="45" customHeight="1" s="290">
      <c r="A215" s="30" t="inlineStr">
        <is>
          <t>Autel Original OBD2 Main Test Cable, 5.6ft 1.7M, 16 Pin OBDII Diagnostic Test Cable, Work with Scanner MK808 MK808S MK808Z MX808 MX808S MP808 MP808S MP808K DS708 DS808 MS906 MS908, IM508 IM508S</t>
        </is>
      </c>
      <c r="B215" s="30" t="inlineStr">
        <is>
          <t>B0DCZCNGFM</t>
        </is>
      </c>
      <c r="C215" s="30" t="inlineStr">
        <is>
          <t>Cable/Adapter</t>
        </is>
      </c>
      <c r="D215" s="324" t="n">
        <v>22.99435146443514</v>
      </c>
      <c r="E215" s="324" t="n">
        <v>39888.93000000001</v>
      </c>
      <c r="F215" s="326" t="n">
        <v>5495.65</v>
      </c>
      <c r="G215" s="55" t="n">
        <v>1737</v>
      </c>
      <c r="H215" s="55" t="n">
        <v>239</v>
      </c>
      <c r="I215" s="55" t="n">
        <v>61</v>
      </c>
      <c r="J215" s="56" t="n">
        <v>4.5</v>
      </c>
      <c r="K215" s="56" t="inlineStr">
        <is>
          <t>https://amazon.com/dp/B0DCZCNGFM</t>
        </is>
      </c>
      <c r="L215" s="70">
        <f>HYPERLINK(Table1311[[#This Row],[Column1]])</f>
        <v/>
      </c>
    </row>
    <row r="216" ht="60" customHeight="1" s="290">
      <c r="A216" s="30" t="inlineStr">
        <is>
          <t>Autel MaxiSys MS909CV Truck Scanner: 2026 Top MS909CV Up of MS908CV II, Topology 2.0, Intelligent Scanner for Commercial/Heavy Duty Truck, ECU Programmer Coding, 3K+ Test, 64 Service, Auto Scan 2.0</t>
        </is>
      </c>
      <c r="B216" s="30" t="inlineStr">
        <is>
          <t>B075ZLBR63</t>
        </is>
      </c>
      <c r="C216" s="30" t="inlineStr">
        <is>
          <t>Tablet</t>
        </is>
      </c>
      <c r="D216" s="324" t="n">
        <v>5349.39</v>
      </c>
      <c r="E216" s="324" t="n">
        <v>95835.78999999999</v>
      </c>
      <c r="F216" s="326" t="n">
        <v>5349.39</v>
      </c>
      <c r="G216" s="55" t="n">
        <v>21</v>
      </c>
      <c r="H216" s="55" t="n">
        <v>1</v>
      </c>
      <c r="I216" s="55" t="n">
        <v>6</v>
      </c>
      <c r="J216" s="56" t="n">
        <v>5</v>
      </c>
      <c r="K216" s="56" t="inlineStr">
        <is>
          <t>https://amazon.com/dp/B075ZLBR63</t>
        </is>
      </c>
      <c r="L216" s="70">
        <f>HYPERLINK(Table1311[[#This Row],[Column1]])</f>
        <v/>
      </c>
    </row>
    <row r="217" ht="45" customHeight="1" s="290">
      <c r="A217" s="30" t="inlineStr">
        <is>
          <t>Autel MaxiIM KM100 (X) OBD2 Scanner, 2026 Car Scan Tool, Lifetime Free Updates, VCI V200 Wireless BT Diagnostic, Auto VIN, 2GB &amp; 64GB, OS 9.0, for Home Mechanics &amp; DIYers, Lite of IM508S IM608 PRO 2</t>
        </is>
      </c>
      <c r="B217" s="30" t="inlineStr">
        <is>
          <t>B0FNN4RL6L</t>
        </is>
      </c>
      <c r="C217" s="30" t="inlineStr">
        <is>
          <t>Dongle</t>
        </is>
      </c>
      <c r="D217" s="324" t="n">
        <v>533.927</v>
      </c>
      <c r="E217" s="324" t="n">
        <v>57196.35153846155</v>
      </c>
      <c r="F217" s="326" t="n">
        <v>5339.27</v>
      </c>
      <c r="G217" s="55" t="n">
        <v>53</v>
      </c>
      <c r="H217" s="55" t="n">
        <v>10</v>
      </c>
      <c r="I217" s="55" t="n">
        <v>9</v>
      </c>
      <c r="J217" s="56" t="n">
        <v>4.4</v>
      </c>
      <c r="K217" s="56" t="inlineStr">
        <is>
          <t>https://amazon.com/dp/B0FNN4RL6L</t>
        </is>
      </c>
      <c r="L217" s="70">
        <f>HYPERLINK(Table1311[[#This Row],[Column1]])</f>
        <v/>
      </c>
    </row>
    <row r="218" ht="60" customHeight="1" s="290">
      <c r="A218" s="30" t="inlineStr">
        <is>
          <t>Autel Enet OBD 2 Cable for BMW F G Series Coding, Ethernet to OBD II OBDII Interface Cable, Compatible with BMW Software E-SYS ICOM ISTA+, Programming/Refresh Hidden Function, High Speed, 6.6ft/ 2M</t>
        </is>
      </c>
      <c r="B218" s="30" t="inlineStr">
        <is>
          <t>B0D4MCRF6P</t>
        </is>
      </c>
      <c r="C218" s="30" t="inlineStr">
        <is>
          <t>Cable/Adapter</t>
        </is>
      </c>
      <c r="D218" s="324" t="n">
        <v>19.94462406015038</v>
      </c>
      <c r="E218" s="324" t="n">
        <v>29956.23</v>
      </c>
      <c r="F218" s="326" t="n">
        <v>5305.27</v>
      </c>
      <c r="G218" s="55" t="n">
        <v>1501</v>
      </c>
      <c r="H218" s="55" t="n">
        <v>266</v>
      </c>
      <c r="I218" s="55" t="n">
        <v>66</v>
      </c>
      <c r="J218" s="56" t="n">
        <v>4.6</v>
      </c>
      <c r="K218" s="56" t="inlineStr">
        <is>
          <t>https://amazon.com/dp/B0D4MCRF6P</t>
        </is>
      </c>
      <c r="L218" s="70">
        <f>HYPERLINK(Table1311[[#This Row],[Column1]])</f>
        <v/>
      </c>
    </row>
    <row r="219" ht="45" customHeight="1" s="290">
      <c r="A219" s="30" t="inlineStr">
        <is>
          <t>Autel MaxiSys MS919S2 Scanner, 2026 Top Intelligent &amp; AI Diagnostic, ECU J2534 Pr0gram C0ding, Same as Ultra S2 Up of MSUltra MS909 S2, Topology 3.0, 6-in-1 VCMI2, Multi-Point DVI, 48+ Service</t>
        </is>
      </c>
      <c r="B219" s="30" t="inlineStr">
        <is>
          <t>B0GCZSL3X4</t>
        </is>
      </c>
      <c r="C219" s="30" t="inlineStr">
        <is>
          <t>Tablet</t>
        </is>
      </c>
      <c r="D219" s="324" t="n">
        <v>5299.98</v>
      </c>
      <c r="E219" s="324" t="n">
        <v>58621.87230769231</v>
      </c>
      <c r="F219" s="326" t="n">
        <v>5299.98</v>
      </c>
      <c r="G219" s="55" t="n">
        <v>2</v>
      </c>
      <c r="H219" s="55" t="n">
        <v>1</v>
      </c>
      <c r="I219" s="55" t="n">
        <v>2</v>
      </c>
      <c r="J219" s="56" t="n">
        <v>5</v>
      </c>
      <c r="K219" s="56" t="inlineStr">
        <is>
          <t>https://amazon.com/dp/B0GCZSL3X4</t>
        </is>
      </c>
      <c r="L219" s="70">
        <f>HYPERLINK(Table1311[[#This Row],[Column1]])</f>
        <v/>
      </c>
    </row>
    <row r="220" ht="45" customHeight="1" s="290">
      <c r="A220" s="30" t="inlineStr">
        <is>
          <t>Autel Scanner MaxiPRO MP900-BT w/ MV108S: 2026 MP900BT V2.0 Newer of MP900 MS906BT MS906 MP808BT PRO, 40+ Reset, OE Bidirectional Diagnostic Scan Tool as MS906 PRO/MAX, CAN FD/DoIP, 3K+ Tests, OS11</t>
        </is>
      </c>
      <c r="B220" s="30" t="inlineStr">
        <is>
          <t>B01B1P8JQ4</t>
        </is>
      </c>
      <c r="C220" s="30" t="inlineStr">
        <is>
          <t>Tablet</t>
        </is>
      </c>
      <c r="D220" s="324" t="n">
        <v>879.875</v>
      </c>
      <c r="E220" s="324" t="n">
        <v>157715.93</v>
      </c>
      <c r="F220" s="326" t="n">
        <v>5279.25</v>
      </c>
      <c r="G220" s="55" t="n">
        <v>169</v>
      </c>
      <c r="H220" s="55" t="n">
        <v>6</v>
      </c>
      <c r="I220" s="55" t="n">
        <v>319</v>
      </c>
      <c r="J220" s="56" t="n">
        <v>4.6</v>
      </c>
      <c r="K220" s="56" t="inlineStr">
        <is>
          <t>https://amazon.com/dp/B01B1P8JQ4</t>
        </is>
      </c>
      <c r="L220" s="70">
        <f>HYPERLINK(Table1311[[#This Row],[Column1]])</f>
        <v/>
      </c>
    </row>
    <row r="221" ht="45" customHeight="1" s="290">
      <c r="A221" s="30" t="inlineStr">
        <is>
          <t>Autel MaxiPRO MP900TS Scanner: 2026 MP900-TS Same as MS906 Pro-TS, Top TPMS Up of MaxiSYS MS906 PRO MS906TS MP900-BT MK900-TS, Bidirectional Scan Tool, 40+ Resets, Full Diagnostic, CAN FD&amp;DOIP</t>
        </is>
      </c>
      <c r="B221" s="30" t="inlineStr">
        <is>
          <t>B07YJGHSD4</t>
        </is>
      </c>
      <c r="C221" s="30" t="inlineStr">
        <is>
          <t>Tablet</t>
        </is>
      </c>
      <c r="D221" s="324" t="n">
        <v>1032.894</v>
      </c>
      <c r="E221" s="324" t="n">
        <v>45523.29</v>
      </c>
      <c r="F221" s="326" t="n">
        <v>5164.47</v>
      </c>
      <c r="G221" s="55" t="n">
        <v>42</v>
      </c>
      <c r="H221" s="55" t="n">
        <v>5</v>
      </c>
      <c r="I221" s="55" t="n">
        <v>169</v>
      </c>
      <c r="J221" s="56" t="n">
        <v>4.5</v>
      </c>
      <c r="K221" s="56" t="inlineStr">
        <is>
          <t>https://amazon.com/dp/B07YJGHSD4</t>
        </is>
      </c>
      <c r="L221" s="70">
        <f>HYPERLINK(Table1311[[#This Row],[Column1]])</f>
        <v/>
      </c>
    </row>
    <row r="222" ht="45" customHeight="1" s="290">
      <c r="A222" s="30" t="inlineStr">
        <is>
          <t>Autel Scanner MP900Z-BT 2026: Bidirectional OBD2 Scanner with ECU Coding &amp; 40+ Services, Upgraded of MP900/MP900E, Wireless VCI150, DoIP/CAN FD, All-System Diagnostic Tool, Alternative to MS906 Pro</t>
        </is>
      </c>
      <c r="B222" s="30" t="inlineStr">
        <is>
          <t>B0FL7N86JT</t>
        </is>
      </c>
      <c r="C222" s="30" t="inlineStr">
        <is>
          <t>Tablet</t>
        </is>
      </c>
      <c r="D222" s="324" t="n">
        <v>848.3266666666667</v>
      </c>
      <c r="E222" s="324" t="n">
        <v>45822.64769230771</v>
      </c>
      <c r="F222" s="326" t="n">
        <v>5089.96</v>
      </c>
      <c r="G222" s="55" t="n">
        <v>22</v>
      </c>
      <c r="H222" s="55" t="n">
        <v>6</v>
      </c>
      <c r="I222" s="55" t="n">
        <v>6</v>
      </c>
      <c r="J222" s="56" t="n">
        <v>5</v>
      </c>
      <c r="K222" s="56" t="inlineStr">
        <is>
          <t>https://amazon.com/dp/B0FL7N86JT</t>
        </is>
      </c>
      <c r="L222" s="70">
        <f>HYPERLINK(Table1311[[#This Row],[Column1]])</f>
        <v/>
      </c>
    </row>
    <row r="223" ht="45" customHeight="1" s="290">
      <c r="A223" s="30" t="inlineStr">
        <is>
          <t>12+8 Cable for Chrysler, 12 8 Pin Connector to OBD2 Adapter 2.6ft/ 0.8M, OBDII Security Gateway Bypass Cable for FCA SGW Vehicles, for Dodge, for Ram, for Chrysler, for Fiat, Fit All Auto Scanners</t>
        </is>
      </c>
      <c r="B223" s="30" t="inlineStr">
        <is>
          <t>B0D7VMLVNW</t>
        </is>
      </c>
      <c r="C223" s="30" t="inlineStr">
        <is>
          <t>Cable/Adapter</t>
        </is>
      </c>
      <c r="D223" s="324" t="n">
        <v>27.01031914893617</v>
      </c>
      <c r="E223" s="324" t="n">
        <v>92867.17</v>
      </c>
      <c r="F223" s="326" t="n">
        <v>5077.94</v>
      </c>
      <c r="G223" s="55" t="n">
        <v>3466</v>
      </c>
      <c r="H223" s="55" t="n">
        <v>188</v>
      </c>
      <c r="I223" s="55" t="n">
        <v>124</v>
      </c>
      <c r="J223" s="56" t="n">
        <v>4.7</v>
      </c>
      <c r="K223" s="56" t="inlineStr">
        <is>
          <t>https://amazon.com/dp/B0D7VMLVNW</t>
        </is>
      </c>
      <c r="L223" s="70">
        <f>HYPERLINK(Table1311[[#This Row],[Column1]])</f>
        <v/>
      </c>
    </row>
    <row r="224" ht="45" customHeight="1" s="290">
      <c r="A224" s="30" t="inlineStr">
        <is>
          <t>Autel MaxiSys Ultra ADAS, 2026 Top Intelligent Scan Diagnostic Tool with ADAS System Calibration Software, Up of MSUltra Lite MS919 MS909 MS908 Pro, Topology 2.0, 40+ Services, J2534 Programming</t>
        </is>
      </c>
      <c r="B224" s="30" t="inlineStr">
        <is>
          <t>B0D8VMZL46</t>
        </is>
      </c>
      <c r="C224" s="30" t="inlineStr">
        <is>
          <t>Tablet</t>
        </is>
      </c>
      <c r="D224" s="324" t="n">
        <v>5063.38</v>
      </c>
      <c r="E224" s="324" t="n">
        <v>58061.82</v>
      </c>
      <c r="F224" s="326" t="n">
        <v>5063.38</v>
      </c>
      <c r="G224" s="55" t="n">
        <v>11</v>
      </c>
      <c r="H224" s="55" t="n">
        <v>1</v>
      </c>
      <c r="I224" s="55" t="n">
        <v>1</v>
      </c>
      <c r="J224" s="56" t="n">
        <v>5</v>
      </c>
      <c r="K224" s="56" t="inlineStr">
        <is>
          <t>https://amazon.com/dp/B0D8VMZL46</t>
        </is>
      </c>
      <c r="L224" s="70">
        <f>HYPERLINK(Table1311[[#This Row],[Column1]])</f>
        <v/>
      </c>
    </row>
    <row r="225" ht="60" customHeight="1" s="290">
      <c r="A225" s="30" t="inlineStr">
        <is>
          <t>2026 Autel Scanner MaxiPRO MP808BT PRO KIT, 2 Years Update with 11PCS OBD Adapters, Function as MaxiSYS MS906 PRO MS906MAX, Up of MS906BT MK900BT MK900, Bidirectional 3000+Test, 30+ Services, FCA</t>
        </is>
      </c>
      <c r="B225" s="30" t="inlineStr">
        <is>
          <t>B098PXKRRL</t>
        </is>
      </c>
      <c r="C225" s="30" t="inlineStr">
        <is>
          <t>Tablet</t>
        </is>
      </c>
      <c r="D225" s="324" t="n">
        <v>714.6028571428571</v>
      </c>
      <c r="E225" s="324" t="n">
        <v>57069.42</v>
      </c>
      <c r="F225" s="326" t="n">
        <v>5002.22</v>
      </c>
      <c r="G225" s="55" t="n">
        <v>77</v>
      </c>
      <c r="H225" s="55" t="n">
        <v>7</v>
      </c>
      <c r="I225" s="55" t="n">
        <v>50</v>
      </c>
      <c r="J225" s="56" t="n">
        <v>4.7</v>
      </c>
      <c r="K225" s="56" t="inlineStr">
        <is>
          <t>https://amazon.com/dp/B098PXKRRL</t>
        </is>
      </c>
      <c r="L225" s="70">
        <f>HYPERLINK(Table1311[[#This Row],[Column1]])</f>
        <v/>
      </c>
    </row>
    <row r="226" ht="45" customHeight="1" s="290">
      <c r="A226" s="30" t="inlineStr">
        <is>
          <t>2026 Autel MaxiIM XP400 PRO Bi-Directional K** Progra-mer I-O Tool, 3000+ Chip Re-d/Wr-te/Learn/F-OB, EEPROM-Data, Work with Autel Scanner IM508 IM608 IM508S IM608 Pro 2 IM608S II</t>
        </is>
      </c>
      <c r="B226" s="30" t="inlineStr">
        <is>
          <t>B0DFWNZPQG</t>
        </is>
      </c>
      <c r="C226" s="30" t="inlineStr">
        <is>
          <t>Other</t>
        </is>
      </c>
      <c r="D226" s="324" t="n">
        <v>499.887</v>
      </c>
      <c r="E226" s="324" t="n">
        <v>29544.32</v>
      </c>
      <c r="F226" s="326" t="n">
        <v>4998.87</v>
      </c>
      <c r="G226" s="55" t="n">
        <v>59</v>
      </c>
      <c r="H226" s="55" t="n">
        <v>10</v>
      </c>
      <c r="I226" s="55" t="n">
        <v>34</v>
      </c>
      <c r="J226" s="56" t="n">
        <v>4.3</v>
      </c>
      <c r="K226" s="56" t="inlineStr">
        <is>
          <t>https://amazon.com/dp/B0DFWNZPQG</t>
        </is>
      </c>
      <c r="L226" s="70">
        <f>HYPERLINK(Table1311[[#This Row],[Column1]])</f>
        <v/>
      </c>
    </row>
    <row r="227" ht="30" customHeight="1" s="290">
      <c r="A227" s="30" t="inlineStr">
        <is>
          <t>Autel MaxiSYS Ultra EV 2026 Top EV Intelligent Diagnostic Scanner High-Voltage System &amp; Battery Pack Analysis 5-in-1 VCMI Topology 2.0 Motor TruSpeed Repair Up of MSUltra/ MS919</t>
        </is>
      </c>
      <c r="B227" s="30" t="inlineStr">
        <is>
          <t>B0BVV7PRXR</t>
        </is>
      </c>
      <c r="C227" s="30" t="inlineStr">
        <is>
          <t>Tablet</t>
        </is>
      </c>
      <c r="D227" s="324" t="n">
        <v>4994.88</v>
      </c>
      <c r="E227" s="324" t="n">
        <v>22347.77</v>
      </c>
      <c r="F227" s="326" t="n">
        <v>4994.88</v>
      </c>
      <c r="G227" s="55" t="n">
        <v>5</v>
      </c>
      <c r="H227" s="55" t="n">
        <v>1</v>
      </c>
      <c r="I227" s="55" t="n">
        <v>9</v>
      </c>
      <c r="J227" s="56" t="n">
        <v>4.8</v>
      </c>
      <c r="K227" s="56" t="inlineStr">
        <is>
          <t>https://amazon.com/dp/B0BVV7PRXR</t>
        </is>
      </c>
      <c r="L227" s="70">
        <f>HYPERLINK(Table1311[[#This Row],[Column1]])</f>
        <v/>
      </c>
    </row>
    <row r="228" ht="45" customHeight="1" s="290">
      <c r="A228" s="30" t="inlineStr">
        <is>
          <t>Autel MaxiCheck PRO AutoBleed Scan Tool, ABS Brake Bleed with with ABS SRS Diagnostics, Full OBDII, BMS EPB SRS SAS Oil Reset Services for Specific Vehicles, Free Update, Functions Not for All Cars</t>
        </is>
      </c>
      <c r="B228" s="30" t="inlineStr">
        <is>
          <t>B07NV4943F</t>
        </is>
      </c>
      <c r="C228" s="30" t="inlineStr">
        <is>
          <t>Handheld</t>
        </is>
      </c>
      <c r="D228" s="324" t="n">
        <v>178.2125</v>
      </c>
      <c r="E228" s="324" t="n">
        <v>60617.13769230769</v>
      </c>
      <c r="F228" s="326" t="n">
        <v>4989.95</v>
      </c>
      <c r="G228" s="55" t="n">
        <v>288</v>
      </c>
      <c r="H228" s="55" t="n">
        <v>28</v>
      </c>
      <c r="I228" s="55" t="n">
        <v>498</v>
      </c>
      <c r="J228" s="56" t="n">
        <v>4.4</v>
      </c>
      <c r="K228" s="56" t="inlineStr">
        <is>
          <t>https://amazon.com/dp/B07NV4943F</t>
        </is>
      </c>
      <c r="L228" s="70">
        <f>HYPERLINK(Table1311[[#This Row],[Column1]])</f>
        <v/>
      </c>
    </row>
    <row r="229" ht="60" customHeight="1" s="290">
      <c r="A229" s="30" t="inlineStr">
        <is>
          <t>Autel MaxiDiag MD806 OBD2 Scanner, ABS SRS Engine Transmission 4 Systems Diagnostic Scan Tool, 7 Hot Service as MD808 Pro, Oil Reset D-P.F, EPB SAS BMS Throttle A/F, Up of MD805 MD802, Free Update</t>
        </is>
      </c>
      <c r="B229" s="30" t="inlineStr">
        <is>
          <t>B07PXQVKBY</t>
        </is>
      </c>
      <c r="C229" s="30" t="inlineStr">
        <is>
          <t>Handheld</t>
        </is>
      </c>
      <c r="D229" s="324" t="n">
        <v>175.1292857142857</v>
      </c>
      <c r="E229" s="324" t="n">
        <v>52593.08</v>
      </c>
      <c r="F229" s="326" t="n">
        <v>4903.62</v>
      </c>
      <c r="G229" s="55" t="n">
        <v>269</v>
      </c>
      <c r="H229" s="55" t="n">
        <v>28</v>
      </c>
      <c r="I229" s="55" t="n">
        <v>1149</v>
      </c>
      <c r="J229" s="56" t="n">
        <v>4.4</v>
      </c>
      <c r="K229" s="56" t="inlineStr">
        <is>
          <t>https://amazon.com/dp/B07PXQVKBY</t>
        </is>
      </c>
      <c r="L229" s="70">
        <f>HYPERLINK(Table1311[[#This Row],[Column1]])</f>
        <v/>
      </c>
    </row>
    <row r="230" ht="60" customHeight="1" s="290">
      <c r="A230" s="30" t="inlineStr">
        <is>
          <t>Autel Scanner MaxiCOM MK908 II w/ $60 MV108S | 2026 10.1" Up of MaxiSYS MS908S II MS906 PRO MS906MAX, 3000+ Active Tests, 38+ Service as Elite II Pro MK908 PRO II, AutoScan2.0, OS10, OE All-Sys</t>
        </is>
      </c>
      <c r="B230" s="30" t="inlineStr">
        <is>
          <t>B07SKVMYK8</t>
        </is>
      </c>
      <c r="C230" s="30" t="inlineStr">
        <is>
          <t>Tablet</t>
        </is>
      </c>
      <c r="D230" s="324" t="n">
        <v>1605.133333333333</v>
      </c>
      <c r="E230" s="324" t="n">
        <v>46762.8</v>
      </c>
      <c r="F230" s="326" t="n">
        <v>4815.4</v>
      </c>
      <c r="G230" s="55" t="n">
        <v>30</v>
      </c>
      <c r="H230" s="55" t="n">
        <v>3</v>
      </c>
      <c r="I230" s="55" t="n">
        <v>78</v>
      </c>
      <c r="J230" s="56" t="n">
        <v>4.6</v>
      </c>
      <c r="K230" s="56" t="inlineStr">
        <is>
          <t>https://amazon.com/dp/B07SKVMYK8</t>
        </is>
      </c>
      <c r="L230" s="70">
        <f>HYPERLINK(Table1311[[#This Row],[Column1]])</f>
        <v/>
      </c>
    </row>
    <row r="231" ht="60" customHeight="1" s="290">
      <c r="A231" s="30" t="inlineStr">
        <is>
          <t>Autel MaxiCOM MK808S-TS OBD2 Scanner: 2026 Same TPMS Tool as MX808S-TS MP900-TS MS906 Pro w/ 3000+ Active Tests, 32 Service, TPMS Pr0gramming Relearn Retrofit, Full System, Up of MK900BT MK808BT Pro</t>
        </is>
      </c>
      <c r="B231" s="30" t="inlineStr">
        <is>
          <t>B07GZBCH7K</t>
        </is>
      </c>
      <c r="C231" s="30" t="inlineStr">
        <is>
          <t>Tablet</t>
        </is>
      </c>
      <c r="D231" s="324" t="n">
        <v>686.2214285714286</v>
      </c>
      <c r="E231" s="324" t="n">
        <v>225043.52</v>
      </c>
      <c r="F231" s="326" t="n">
        <v>4803.55</v>
      </c>
      <c r="G231" s="55" t="n">
        <v>326</v>
      </c>
      <c r="H231" s="55" t="n">
        <v>7</v>
      </c>
      <c r="I231" s="55" t="n">
        <v>630</v>
      </c>
      <c r="J231" s="56" t="n">
        <v>4.5</v>
      </c>
      <c r="K231" s="56" t="inlineStr">
        <is>
          <t>https://amazon.com/dp/B07GZBCH7K</t>
        </is>
      </c>
      <c r="L231" s="70">
        <f>HYPERLINK(Table1311[[#This Row],[Column1]])</f>
        <v/>
      </c>
    </row>
    <row r="232" ht="45" customHeight="1" s="290">
      <c r="A232" s="30" t="inlineStr">
        <is>
          <t>Autel Scanner MaxiCOM MK808Z-BT: Same As MK808BT Pro, Android 11 Bidirectional Scan Tool with 28+ Services, MK808S &amp; MX808S &amp; MK808 Upgraded, Bluetooth OBD2 Scanner Support BT506 &amp; FCA AutoAuth</t>
        </is>
      </c>
      <c r="B232" s="30" t="inlineStr">
        <is>
          <t>B08DG5SL9S</t>
        </is>
      </c>
      <c r="C232" s="30" t="inlineStr">
        <is>
          <t>Tablet</t>
        </is>
      </c>
      <c r="D232" s="324" t="n">
        <v>480.023</v>
      </c>
      <c r="E232" s="324" t="n">
        <v>47106</v>
      </c>
      <c r="F232" s="326" t="n">
        <v>4800.23</v>
      </c>
      <c r="G232" s="55" t="n">
        <v>91</v>
      </c>
      <c r="H232" s="55" t="n">
        <v>10</v>
      </c>
      <c r="I232" s="55" t="n">
        <v>133</v>
      </c>
      <c r="J232" s="56" t="n">
        <v>4.4</v>
      </c>
      <c r="K232" s="56" t="inlineStr">
        <is>
          <t>https://amazon.com/dp/B08DG5SL9S</t>
        </is>
      </c>
      <c r="L232" s="70">
        <f>HYPERLINK(Table1311[[#This Row],[Column1]])</f>
        <v/>
      </c>
    </row>
    <row r="233" ht="45" customHeight="1" s="290">
      <c r="A233" s="30" t="inlineStr">
        <is>
          <t>Autel MaxiIM OBD2 Scanner, 2026 OBDII Diagnostic Scan Tool with Lifetime Free Updates, Wireless BT Tool, 2GB &amp; 64GB Android 9.0, for Home Mechanics &amp; DIYers</t>
        </is>
      </c>
      <c r="B233" s="30" t="inlineStr">
        <is>
          <t>B0B31C95GX</t>
        </is>
      </c>
      <c r="C233" s="30" t="inlineStr">
        <is>
          <t>Key</t>
        </is>
      </c>
      <c r="D233" s="324" t="n">
        <v>533.2688888888889</v>
      </c>
      <c r="E233" s="324" t="n">
        <v>73048.09692307693</v>
      </c>
      <c r="F233" s="326" t="n">
        <v>4799.42</v>
      </c>
      <c r="G233" s="55" t="n">
        <v>79</v>
      </c>
      <c r="H233" s="55" t="n">
        <v>9</v>
      </c>
      <c r="I233" s="55" t="n">
        <v>225</v>
      </c>
      <c r="J233" s="56" t="n">
        <v>4.4</v>
      </c>
      <c r="K233" s="56" t="inlineStr">
        <is>
          <t>https://amazon.com/dp/B0B31C95GX</t>
        </is>
      </c>
      <c r="L233" s="70">
        <f>HYPERLINK(Table1311[[#This Row],[Column1]])</f>
        <v/>
      </c>
    </row>
    <row r="234" ht="60" customHeight="1" s="290">
      <c r="A234" s="30" t="inlineStr">
        <is>
          <t>Autel AutoLink AL619 OBD2 Scanner | 2026 ABS/SRS/CAN Diagnostic Tool | Read/Erase Codes, Check Engine Light, OBDII Live Data &amp; DTC Library | Upgrade for AL519, ML519, ML619 (Vehicle-Specific)</t>
        </is>
      </c>
      <c r="B234" s="30" t="inlineStr">
        <is>
          <t>B07PQJTQN2</t>
        </is>
      </c>
      <c r="C234" s="30" t="inlineStr">
        <is>
          <t>Handheld</t>
        </is>
      </c>
      <c r="D234" s="324" t="n">
        <v>99.94020833333332</v>
      </c>
      <c r="E234" s="324" t="n">
        <v>51012.91999999999</v>
      </c>
      <c r="F234" s="326" t="n">
        <v>4797.13</v>
      </c>
      <c r="G234" s="55" t="n">
        <v>509</v>
      </c>
      <c r="H234" s="55" t="n">
        <v>48</v>
      </c>
      <c r="I234" s="55" t="n">
        <v>541</v>
      </c>
      <c r="J234" s="56" t="n">
        <v>4.4</v>
      </c>
      <c r="K234" s="56" t="inlineStr">
        <is>
          <t>https://amazon.com/dp/B07PQJTQN2</t>
        </is>
      </c>
      <c r="L234" s="70">
        <f>HYPERLINK(Table1311[[#This Row],[Column1]])</f>
        <v/>
      </c>
    </row>
    <row r="235" ht="45" customHeight="1" s="290">
      <c r="A235" s="30" t="inlineStr">
        <is>
          <t>Autel MaxiSys MS906MAX Scanner, Upgrade Version of Ms906Pro, Top Scan Tool, Bidirectional Diagnostic Tool, Upgrade of MK900, MP900BT, MS906BT, MK908, ECU Coding, 40+ Services, All System Diagnosis</t>
        </is>
      </c>
      <c r="B235" s="30" t="inlineStr">
        <is>
          <t>B0DWMP16VT</t>
        </is>
      </c>
      <c r="C235" s="30" t="inlineStr">
        <is>
          <t>Tablet</t>
        </is>
      </c>
      <c r="D235" s="324" t="n">
        <v>1547.206666666667</v>
      </c>
      <c r="E235" s="324" t="n">
        <v>34583.46153846155</v>
      </c>
      <c r="F235" s="326" t="n">
        <v>4641.62</v>
      </c>
      <c r="G235" s="55" t="n">
        <v>8</v>
      </c>
      <c r="H235" s="55" t="n">
        <v>3</v>
      </c>
      <c r="I235" s="55" t="n">
        <v>1</v>
      </c>
      <c r="J235" s="56" t="n">
        <v>5</v>
      </c>
      <c r="K235" s="56" t="inlineStr">
        <is>
          <t>https://amazon.com/dp/B0DWMP16VT</t>
        </is>
      </c>
      <c r="L235" s="70">
        <f>HYPERLINK(Table1311[[#This Row],[Column1]])</f>
        <v/>
      </c>
    </row>
    <row r="236" ht="45" customHeight="1" s="290">
      <c r="A236" s="30" t="inlineStr">
        <is>
          <t>Autel MD600CV Heavy Duty Truck Scanner with D-P*F Regen/VGT Programming, Diesel Truck Full-System Diagnostic Scan Tool, 30+ Reset for Cummins, Detroit, Caterpillar, Volvo, Paccar, Dodge, Hino,Thomas</t>
        </is>
      </c>
      <c r="B236" s="30" t="inlineStr">
        <is>
          <t>B0D95SMX19</t>
        </is>
      </c>
      <c r="C236" s="30" t="inlineStr">
        <is>
          <t>Handheld</t>
        </is>
      </c>
      <c r="D236" s="324" t="n">
        <v>891.256</v>
      </c>
      <c r="E236" s="324" t="n">
        <v>36330.42</v>
      </c>
      <c r="F236" s="326" t="n">
        <v>4456.28</v>
      </c>
      <c r="G236" s="55" t="n">
        <v>36</v>
      </c>
      <c r="H236" s="55" t="n">
        <v>5</v>
      </c>
      <c r="I236" s="55" t="n">
        <v>3</v>
      </c>
      <c r="J236" s="56" t="n">
        <v>5</v>
      </c>
      <c r="K236" s="56" t="inlineStr">
        <is>
          <t>https://amazon.com/dp/B0D95SMX19</t>
        </is>
      </c>
      <c r="L236" s="70">
        <f>HYPERLINK(Table1311[[#This Row],[Column1]])</f>
        <v/>
      </c>
    </row>
    <row r="237" ht="45" customHeight="1" s="290">
      <c r="A237" s="30" t="inlineStr">
        <is>
          <t>Autel Scanner MaxiIM KM100 (X), 2026 OBD2 Diagnostic Scan Tool, Lifetime Free Updates, Compatible with 99% Cars, Auto Scan, V200 Wireless Conneciton, OS 9.0, 2GB+64GB, No IP Limited, Multilingual</t>
        </is>
      </c>
      <c r="B237" s="30" t="inlineStr">
        <is>
          <t>B0GKPBNHWS</t>
        </is>
      </c>
      <c r="C237" s="30" t="inlineStr">
        <is>
          <t>Tablet</t>
        </is>
      </c>
      <c r="D237" s="324" t="n">
        <v>555.35375</v>
      </c>
      <c r="E237" s="324" t="n">
        <v>51406.24846153845</v>
      </c>
      <c r="F237" s="326" t="n">
        <v>4442.83</v>
      </c>
      <c r="G237" s="55" t="n">
        <v>19</v>
      </c>
      <c r="H237" s="55" t="n">
        <v>8</v>
      </c>
      <c r="I237" s="55" t="n">
        <v>1</v>
      </c>
      <c r="J237" s="56" t="n">
        <v>5</v>
      </c>
      <c r="K237" s="56" t="inlineStr">
        <is>
          <t>https://amazon.com/dp/B0GKPBNHWS</t>
        </is>
      </c>
      <c r="L237" s="70">
        <f>HYPERLINK(Table1311[[#This Row],[Column1]])</f>
        <v/>
      </c>
    </row>
    <row r="238" ht="45" customHeight="1" s="290">
      <c r="A238" s="30" t="inlineStr">
        <is>
          <t>Autel MaxiSys Ultra Pro 2026 Scanner with MSOAK MSOBD2KIT Upgraded of Ultra Lite MS919 MS909 OBD2 Scanner 5-in-1 MaxiFlash VCMI Topology ECU Programming 15000+ Vehicle 40+ Service</t>
        </is>
      </c>
      <c r="B238" s="30" t="inlineStr">
        <is>
          <t>B0D6G96Y35</t>
        </is>
      </c>
      <c r="C238" s="30" t="inlineStr">
        <is>
          <t>Tablet</t>
        </is>
      </c>
      <c r="D238" s="324" t="n">
        <v>4399</v>
      </c>
      <c r="E238" s="324" t="n">
        <v>35036.49</v>
      </c>
      <c r="F238" s="326" t="n">
        <v>4399</v>
      </c>
      <c r="G238" s="55" t="n">
        <v>8</v>
      </c>
      <c r="H238" s="55" t="n">
        <v>1</v>
      </c>
      <c r="I238" s="55" t="n"/>
      <c r="J238" s="56" t="n"/>
      <c r="K238" s="56" t="inlineStr">
        <is>
          <t>https://amazon.com/dp/B0D6G96Y35</t>
        </is>
      </c>
      <c r="L238" s="70">
        <f>HYPERLINK(Table1311[[#This Row],[Column1]])</f>
        <v/>
      </c>
    </row>
    <row r="239" ht="45" customHeight="1" s="290">
      <c r="A239" s="30" t="inlineStr">
        <is>
          <t>Autel Scanner MaxiSYS MS906 MAX, 2026 MS906MAX Bi-Directional Tool Up of MS906 Pro MP900BT w/ECU C0ding, DoIP CANFD, FCA SGW AutAuth, All System Scan, 40+ Service 3000+ Active Tests as MS908S PRO II</t>
        </is>
      </c>
      <c r="B239" s="30" t="inlineStr">
        <is>
          <t>B089XWCTX3</t>
        </is>
      </c>
      <c r="C239" s="30" t="inlineStr">
        <is>
          <t>Tablet</t>
        </is>
      </c>
      <c r="D239" s="324" t="n">
        <v>1463.016666666667</v>
      </c>
      <c r="E239" s="324" t="n">
        <v>44903.3576923077</v>
      </c>
      <c r="F239" s="326" t="n">
        <v>4389.05</v>
      </c>
      <c r="G239" s="55" t="n">
        <v>3</v>
      </c>
      <c r="H239" s="55" t="n">
        <v>3</v>
      </c>
      <c r="I239" s="55" t="n">
        <v>191</v>
      </c>
      <c r="J239" s="56" t="n">
        <v>4.4</v>
      </c>
      <c r="K239" s="56" t="inlineStr">
        <is>
          <t>https://amazon.com/dp/B089XWCTX3</t>
        </is>
      </c>
      <c r="L239" s="70">
        <f>HYPERLINK(Table1311[[#This Row],[Column1]])</f>
        <v/>
      </c>
    </row>
    <row r="240" ht="45" customHeight="1" s="290">
      <c r="A240" s="30" t="inlineStr">
        <is>
          <t>Autel MaxiSys MaxiVCI VCI Mini Bluetooth Diagnostic Interface, 2026 Vehicle Wireless Dongle, Work with Autel Scanner MaxiCOM MK808BT PRO MK808Z-BT MP808BT Pro MK808S-TS MX808S-TS MP808S-TS MK808TS</t>
        </is>
      </c>
      <c r="B240" s="30" t="inlineStr">
        <is>
          <t>B0BL6VPVYL</t>
        </is>
      </c>
      <c r="C240" s="30" t="inlineStr">
        <is>
          <t>Dongle</t>
        </is>
      </c>
      <c r="D240" s="324" t="n">
        <v>118.482972972973</v>
      </c>
      <c r="E240" s="324" t="n">
        <v>54966.90999999999</v>
      </c>
      <c r="F240" s="326" t="n">
        <v>4383.87</v>
      </c>
      <c r="G240" s="55" t="n">
        <v>513</v>
      </c>
      <c r="H240" s="55" t="n">
        <v>37</v>
      </c>
      <c r="I240" s="55" t="n">
        <v>66</v>
      </c>
      <c r="J240" s="56" t="n">
        <v>4.4</v>
      </c>
      <c r="K240" s="56" t="inlineStr">
        <is>
          <t>https://amazon.com/dp/B0BL6VPVYL</t>
        </is>
      </c>
      <c r="L240" s="70">
        <f>HYPERLINK(Table1311[[#This Row],[Column1]])</f>
        <v/>
      </c>
    </row>
    <row r="241" ht="45" customHeight="1" s="290">
      <c r="A241" s="30" t="inlineStr">
        <is>
          <t>Autel MaxiPRO MP900-TS Scanner: 2026 Level-up of MP808S-TS, MP808BT Pro, MS906TS w/DoIP CAN-FD, 40+ Services, OE ECU C0ding, TPMS Pr0gramming Relearn, Bi-Directional Test, All System Scan, FCA SGW</t>
        </is>
      </c>
      <c r="B241" s="30" t="inlineStr">
        <is>
          <t>B01IVFC0GW</t>
        </is>
      </c>
      <c r="C241" s="30" t="inlineStr">
        <is>
          <t>Tablet</t>
        </is>
      </c>
      <c r="D241" s="324" t="n">
        <v>1082.9425</v>
      </c>
      <c r="E241" s="324" t="n">
        <v>79524.41999999998</v>
      </c>
      <c r="F241" s="326" t="n">
        <v>4331.77</v>
      </c>
      <c r="G241" s="55" t="n">
        <v>73</v>
      </c>
      <c r="H241" s="55" t="n">
        <v>4</v>
      </c>
      <c r="I241" s="55" t="n">
        <v>42</v>
      </c>
      <c r="J241" s="56" t="n">
        <v>4.5</v>
      </c>
      <c r="K241" s="56" t="inlineStr">
        <is>
          <t>https://amazon.com/dp/B01IVFC0GW</t>
        </is>
      </c>
      <c r="L241" s="70">
        <f>HYPERLINK(Table1311[[#This Row],[Column1]])</f>
        <v/>
      </c>
    </row>
    <row r="242" ht="45" customHeight="1" s="290">
      <c r="A242" s="30" t="inlineStr">
        <is>
          <t>Autel MaxiCOM MK900-TS TPMS Scanner, 2026 Bidirectional Tool Updated of MaxiCheck MX808S-TS, MK808S-TS, MS906TS w/ 40+ Service, 3000+ Active Tests, All System Diagnose, No-IP Limited Ver. of MX900TS</t>
        </is>
      </c>
      <c r="B242" s="30" t="inlineStr">
        <is>
          <t>B08DFPK2HC</t>
        </is>
      </c>
      <c r="C242" s="30" t="inlineStr">
        <is>
          <t>Tablet</t>
        </is>
      </c>
      <c r="D242" s="324" t="n">
        <v>864.324</v>
      </c>
      <c r="E242" s="324" t="n">
        <v>63102.88999999999</v>
      </c>
      <c r="F242" s="326" t="n">
        <v>4321.62</v>
      </c>
      <c r="G242" s="55" t="n">
        <v>72</v>
      </c>
      <c r="H242" s="55" t="n">
        <v>5</v>
      </c>
      <c r="I242" s="55" t="n">
        <v>20</v>
      </c>
      <c r="J242" s="56" t="n">
        <v>4.4</v>
      </c>
      <c r="K242" s="56" t="inlineStr">
        <is>
          <t>https://amazon.com/dp/B08DFPK2HC</t>
        </is>
      </c>
      <c r="L242" s="70">
        <f>HYPERLINK(Table1311[[#This Row],[Column1]])</f>
        <v/>
      </c>
    </row>
    <row r="243" ht="45" customHeight="1" s="290">
      <c r="A243" s="30" t="inlineStr">
        <is>
          <t>Autel MaxiDiag MD808 PRO OBD2 Scanner, All System Diagnostic Scan Tool, Upgraded of MD806 MD802, 7 Hottest Special Service, Oil Reset, EPB, SAS, BMS, Throttle, Free Lifetime Update, Multilingual</t>
        </is>
      </c>
      <c r="B243" s="30" t="inlineStr">
        <is>
          <t>B08XN9LGJ2</t>
        </is>
      </c>
      <c r="C243" s="30" t="inlineStr">
        <is>
          <t>Handheld</t>
        </is>
      </c>
      <c r="D243" s="324" t="n">
        <v>253.4370588235294</v>
      </c>
      <c r="E243" s="324" t="n">
        <v>52216.41</v>
      </c>
      <c r="F243" s="326" t="n">
        <v>4308.43</v>
      </c>
      <c r="G243" s="55" t="n">
        <v>200</v>
      </c>
      <c r="H243" s="55" t="n">
        <v>17</v>
      </c>
      <c r="I243" s="55" t="n">
        <v>128</v>
      </c>
      <c r="J243" s="56" t="n">
        <v>4.3</v>
      </c>
      <c r="K243" s="56" t="inlineStr">
        <is>
          <t>https://amazon.com/dp/B08XN9LGJ2</t>
        </is>
      </c>
      <c r="L243" s="70">
        <f>HYPERLINK(Table1311[[#This Row],[Column1]])</f>
        <v/>
      </c>
    </row>
    <row r="244" ht="60" customHeight="1" s="290">
      <c r="A244" s="30" t="inlineStr">
        <is>
          <t>Autel MD909 PRO MaxiDiag OBD2 Scanner, 2026 MD909PRO BT Lite of MaxiCOM MK808S MX808S MK900, CAN FD, All System Diagnostic Tool, Up of MD906 PRO MD808 MD806, 11 Service, Battery Test, Free Update, FCA</t>
        </is>
      </c>
      <c r="B244" s="30" t="inlineStr">
        <is>
          <t>B0FN44Y8ZV</t>
        </is>
      </c>
      <c r="C244" s="30" t="inlineStr">
        <is>
          <t>Tablet</t>
        </is>
      </c>
      <c r="D244" s="324" t="n">
        <v>330.0123076923077</v>
      </c>
      <c r="E244" s="324" t="n">
        <v>45869.92153846154</v>
      </c>
      <c r="F244" s="326" t="n">
        <v>4290.16</v>
      </c>
      <c r="G244" s="55" t="n">
        <v>45</v>
      </c>
      <c r="H244" s="55" t="n">
        <v>13</v>
      </c>
      <c r="I244" s="55" t="n">
        <v>2</v>
      </c>
      <c r="J244" s="56" t="n">
        <v>5</v>
      </c>
      <c r="K244" s="56" t="inlineStr">
        <is>
          <t>https://amazon.com/dp/B0FN44Y8ZV</t>
        </is>
      </c>
      <c r="L244" s="70">
        <f>HYPERLINK(Table1311[[#This Row],[Column1]])</f>
        <v/>
      </c>
    </row>
    <row r="245" ht="60" customHeight="1" s="290">
      <c r="A245" s="30" t="inlineStr">
        <is>
          <t>Autel MaxiSys MaxiVCI VCI Mini OBD2 Adapter Connector, 2026 Vehicle Wireless Diagnostic Interface, Work w/Autel Scanner MaxiCOM MK808BT PRO MK808Z-BT MK808K-BT MP808BT Pro MK808S-TS MP808S-TS MK808TS</t>
        </is>
      </c>
      <c r="B245" s="30" t="inlineStr">
        <is>
          <t>B0F26J3QSC</t>
        </is>
      </c>
      <c r="C245" s="30" t="inlineStr">
        <is>
          <t>Tablet</t>
        </is>
      </c>
      <c r="D245" s="324" t="n">
        <v>118.9530555555556</v>
      </c>
      <c r="E245" s="324" t="n">
        <v>38112.27307692308</v>
      </c>
      <c r="F245" s="326" t="n">
        <v>4282.31</v>
      </c>
      <c r="G245" s="55" t="n">
        <v>256</v>
      </c>
      <c r="H245" s="55" t="n">
        <v>36</v>
      </c>
      <c r="I245" s="55" t="n">
        <v>17</v>
      </c>
      <c r="J245" s="56" t="n">
        <v>4.6</v>
      </c>
      <c r="K245" s="56" t="inlineStr">
        <is>
          <t>https://amazon.com/dp/B0F26J3QSC</t>
        </is>
      </c>
      <c r="L245" s="70">
        <f>HYPERLINK(Table1311[[#This Row],[Column1]])</f>
        <v/>
      </c>
    </row>
    <row r="246" ht="60" customHeight="1" s="290">
      <c r="A246" s="30" t="inlineStr">
        <is>
          <t>Autel Scanner MaxiIM KM100 (X), 2026 OBD2 Car Diagnostic Tool, V200 Wireless BT OBDII Scan Tool with Lifetime Free Updates, 700+ Models, 2GB &amp; 64GB Android 9.0, for Home Mechanics &amp; DIYers</t>
        </is>
      </c>
      <c r="B246" s="30" t="inlineStr">
        <is>
          <t>B0FZBK7KJD</t>
        </is>
      </c>
      <c r="C246" s="30" t="inlineStr">
        <is>
          <t>Tablet</t>
        </is>
      </c>
      <c r="D246" s="324" t="n">
        <v>474.4866666666667</v>
      </c>
      <c r="E246" s="324" t="n">
        <v>59865.36307692307</v>
      </c>
      <c r="F246" s="326" t="n">
        <v>4270.38</v>
      </c>
      <c r="G246" s="55" t="n">
        <v>47</v>
      </c>
      <c r="H246" s="55" t="n">
        <v>9</v>
      </c>
      <c r="I246" s="55" t="n">
        <v>1</v>
      </c>
      <c r="J246" s="56" t="n">
        <v>5</v>
      </c>
      <c r="K246" s="56" t="inlineStr">
        <is>
          <t>https://amazon.com/dp/B0FZBK7KJD</t>
        </is>
      </c>
      <c r="L246" s="70">
        <f>HYPERLINK(Table1311[[#This Row],[Column1]])</f>
        <v/>
      </c>
    </row>
    <row r="247" ht="30" customHeight="1" s="290">
      <c r="A247" s="30" t="inlineStr">
        <is>
          <t>2026 Autel MaxiSYS Ultra Scanner: Top Auto Tool with 40+ Service, 5-in-1 VCMI, Intelligent Scan, Topology Map, OE Programming &amp; Coding, Upgraded of MaxiCOM Ultra Lite Elite II Pro MS919 Ultra EV</t>
        </is>
      </c>
      <c r="B247" s="30" t="inlineStr">
        <is>
          <t>B08SVXHWK9</t>
        </is>
      </c>
      <c r="C247" s="30" t="inlineStr">
        <is>
          <t>Tablet</t>
        </is>
      </c>
      <c r="D247" s="324" t="n">
        <v>4258.72</v>
      </c>
      <c r="E247" s="324" t="n">
        <v>203772.1</v>
      </c>
      <c r="F247" s="326" t="n">
        <v>4258.72</v>
      </c>
      <c r="G247" s="55" t="n">
        <v>53</v>
      </c>
      <c r="H247" s="55" t="n">
        <v>1</v>
      </c>
      <c r="I247" s="55" t="n">
        <v>31</v>
      </c>
      <c r="J247" s="56" t="n">
        <v>4.3</v>
      </c>
      <c r="K247" s="56" t="inlineStr">
        <is>
          <t>https://amazon.com/dp/B08SVXHWK9</t>
        </is>
      </c>
      <c r="L247" s="70">
        <f>HYPERLINK(Table1311[[#This Row],[Column1]])</f>
        <v/>
      </c>
    </row>
    <row r="248" ht="45" customHeight="1" s="290">
      <c r="A248" s="30" t="inlineStr">
        <is>
          <t>Autel MaxiSYS MS906 PRO-TS Scanner: 2026 MS906Pro-TS Up of MP900TS MS906 PRO MP900BT MS906MAX, Full TPMS &amp; OE Coding, Bidirectional Scan Tool, 3000+ Test, 36+ Service, CAN FD&amp;DoIP, Auto Scan 2.0</t>
        </is>
      </c>
      <c r="B248" s="30" t="inlineStr">
        <is>
          <t>B01J1GWZVK</t>
        </is>
      </c>
      <c r="C248" s="30" t="inlineStr">
        <is>
          <t>Tablet</t>
        </is>
      </c>
      <c r="D248" s="324" t="n">
        <v>1388.883333333333</v>
      </c>
      <c r="E248" s="324" t="n">
        <v>45259.78</v>
      </c>
      <c r="F248" s="326" t="n">
        <v>4166.65</v>
      </c>
      <c r="G248" s="55" t="n">
        <v>28</v>
      </c>
      <c r="H248" s="55" t="n">
        <v>3</v>
      </c>
      <c r="I248" s="55" t="n">
        <v>42</v>
      </c>
      <c r="J248" s="56" t="n">
        <v>4.5</v>
      </c>
      <c r="K248" s="56" t="inlineStr">
        <is>
          <t>https://amazon.com/dp/B01J1GWZVK</t>
        </is>
      </c>
      <c r="L248" s="70">
        <f>HYPERLINK(Table1311[[#This Row],[Column1]])</f>
        <v/>
      </c>
    </row>
    <row r="249" ht="45" customHeight="1" s="290">
      <c r="A249" s="30" t="inlineStr">
        <is>
          <t>Autel MaxiCOM Ultra Lite Scanner: 2026 Intelligent Tool as MaxiSys Ultra S2, Up of MS909 MS919 Elite II Pro, 2 Years Free Update, Motor TruSpeed, Topology 2.0, 40+ Service, 3000+ Active Test, FCA SGW</t>
        </is>
      </c>
      <c r="B249" s="30" t="inlineStr">
        <is>
          <t>B0172DD22U</t>
        </is>
      </c>
      <c r="C249" s="30" t="inlineStr">
        <is>
          <t>Tablet</t>
        </is>
      </c>
      <c r="D249" s="324" t="n">
        <v>4145.81</v>
      </c>
      <c r="E249" s="324" t="n">
        <v>81436.96000000001</v>
      </c>
      <c r="F249" s="326" t="n">
        <v>4145.81</v>
      </c>
      <c r="G249" s="55" t="n">
        <v>36</v>
      </c>
      <c r="H249" s="55" t="n">
        <v>1</v>
      </c>
      <c r="I249" s="55" t="n">
        <v>7</v>
      </c>
      <c r="J249" s="56" t="n">
        <v>5</v>
      </c>
      <c r="K249" s="56" t="inlineStr">
        <is>
          <t>https://amazon.com/dp/B0172DD22U</t>
        </is>
      </c>
      <c r="L249" s="70">
        <f>HYPERLINK(Table1311[[#This Row],[Column1]])</f>
        <v/>
      </c>
    </row>
    <row r="250" ht="45" customHeight="1" s="290">
      <c r="A250" s="30" t="inlineStr">
        <is>
          <t>Autel EVDiag Box EV Diagnostics Upgrade Kit Professional Electric Vehicle Scanner for EV High-Voltage Sys &amp; Battery Pack Diagnostics Test Compatible with MaxiSys Ultra/Ultra ADAS/ MS919/ MS909</t>
        </is>
      </c>
      <c r="B250" s="30" t="inlineStr">
        <is>
          <t>B0BS8MC2V7</t>
        </is>
      </c>
      <c r="C250" s="30" t="inlineStr">
        <is>
          <t>VCI</t>
        </is>
      </c>
      <c r="D250" s="324" t="n">
        <v>820.778</v>
      </c>
      <c r="E250" s="324" t="n">
        <v>11775.47615384616</v>
      </c>
      <c r="F250" s="326" t="n">
        <v>4103.89</v>
      </c>
      <c r="G250" s="55" t="n">
        <v>9</v>
      </c>
      <c r="H250" s="55" t="n">
        <v>5</v>
      </c>
      <c r="I250" s="55" t="n"/>
      <c r="J250" s="56" t="n"/>
      <c r="K250" s="56" t="inlineStr">
        <is>
          <t>https://amazon.com/dp/B0BS8MC2V7</t>
        </is>
      </c>
      <c r="L250" s="70">
        <f>HYPERLINK(Table1311[[#This Row],[Column1]])</f>
        <v/>
      </c>
    </row>
    <row r="251" ht="45" customHeight="1" s="290">
      <c r="A251" s="30" t="inlineStr">
        <is>
          <t>Autel MaxiPRO MP808S Scanner, 2026 MP808S Scan Tool with 2-Year Update, OE ECU Function as MP900-BT MP900 MaxiSys MS906 PRO MS906MAX, 31+ Resets, 3K+ Tests, Up of MP808BT PRO MX900 MK900BT MK900</t>
        </is>
      </c>
      <c r="B251" s="30" t="inlineStr">
        <is>
          <t>B06XY1PY6D</t>
        </is>
      </c>
      <c r="C251" s="30" t="inlineStr">
        <is>
          <t>Tablet</t>
        </is>
      </c>
      <c r="D251" s="324" t="n">
        <v>678.1116666666667</v>
      </c>
      <c r="E251" s="324" t="n">
        <v>40795.9653846154</v>
      </c>
      <c r="F251" s="326" t="n">
        <v>4068.67</v>
      </c>
      <c r="G251" s="55" t="n">
        <v>56</v>
      </c>
      <c r="H251" s="55" t="n">
        <v>6</v>
      </c>
      <c r="I251" s="55" t="n">
        <v>346</v>
      </c>
      <c r="J251" s="56" t="n">
        <v>4.4</v>
      </c>
      <c r="K251" s="56" t="inlineStr">
        <is>
          <t>https://amazon.com/dp/B06XY1PY6D</t>
        </is>
      </c>
      <c r="L251" s="70">
        <f>HYPERLINK(Table1311[[#This Row],[Column1]])</f>
        <v/>
      </c>
    </row>
    <row r="252" ht="45" customHeight="1" s="290">
      <c r="A252" s="30" t="inlineStr">
        <is>
          <t>Autel Scanner MaxiDAS DS808S-BT PRO w/ 11pcs Adapters[$200], 2026 Work as MS906 Pro MP900BT MS906MAX, Bidirectional Scan Tool, All-Sys, Up DS808 DS708 MaxiPro MP808S MP808BT, 32+ Service, OS 11</t>
        </is>
      </c>
      <c r="B252" s="30" t="inlineStr">
        <is>
          <t>B0FCSB14KN</t>
        </is>
      </c>
      <c r="C252" s="30" t="inlineStr">
        <is>
          <t>Tablet</t>
        </is>
      </c>
      <c r="D252" s="324" t="n">
        <v>675.4116666666666</v>
      </c>
      <c r="E252" s="324" t="n">
        <v>40243.22461538462</v>
      </c>
      <c r="F252" s="326" t="n">
        <v>4052.47</v>
      </c>
      <c r="G252" s="55" t="n">
        <v>44</v>
      </c>
      <c r="H252" s="55" t="n">
        <v>6</v>
      </c>
      <c r="I252" s="55" t="n"/>
      <c r="J252" s="56" t="n"/>
      <c r="K252" s="56" t="inlineStr">
        <is>
          <t>https://amazon.com/dp/B0FCSB14KN</t>
        </is>
      </c>
      <c r="L252" s="70">
        <f>HYPERLINK(Table1311[[#This Row],[Column1]])</f>
        <v/>
      </c>
    </row>
    <row r="253" ht="60" customHeight="1" s="290">
      <c r="A253" s="30" t="inlineStr">
        <is>
          <t>Autel MaxiDiag MD906PRO MD906 Pro OBD2 Scanner: 2026 2.0 of MD802Pro MD806 MD808 Pro, Full Systems Diagnostics, 11 Service Oil Reset Bleeding Injector SAS etc, FCA SGW CAN FD, Free Update</t>
        </is>
      </c>
      <c r="B253" s="30" t="inlineStr">
        <is>
          <t>B0FHPX5VNF</t>
        </is>
      </c>
      <c r="C253" s="30" t="inlineStr">
        <is>
          <t>Tablet</t>
        </is>
      </c>
      <c r="D253" s="324" t="n">
        <v>268.4806666666667</v>
      </c>
      <c r="E253" s="324" t="n">
        <v>75102.98846153848</v>
      </c>
      <c r="F253" s="326" t="n">
        <v>4027.21</v>
      </c>
      <c r="G253" s="55" t="n">
        <v>214</v>
      </c>
      <c r="H253" s="55" t="n">
        <v>15</v>
      </c>
      <c r="I253" s="55" t="n">
        <v>31</v>
      </c>
      <c r="J253" s="56" t="n">
        <v>4.7</v>
      </c>
      <c r="K253" s="56" t="inlineStr">
        <is>
          <t>https://amazon.com/dp/B0FHPX5VNF</t>
        </is>
      </c>
      <c r="L253" s="70">
        <f>HYPERLINK(Table1311[[#This Row],[Column1]])</f>
        <v/>
      </c>
    </row>
    <row r="254" ht="45" customHeight="1" s="290">
      <c r="A254" s="30" t="inlineStr">
        <is>
          <t>Autel OBD 2 Extension Cable, Ultra-Long 10ft 3M, 16 Pin OBD II OBD2 Car Male to Female Extension Cord, OBD2 Diagnostic Extender Adapter, for All OBDII Vehicles</t>
        </is>
      </c>
      <c r="B254" s="30" t="inlineStr">
        <is>
          <t>B0D4QVZ7JG</t>
        </is>
      </c>
      <c r="C254" s="30" t="inlineStr">
        <is>
          <t>Cable/Adapter</t>
        </is>
      </c>
      <c r="D254" s="324" t="n">
        <v>25.9537012987013</v>
      </c>
      <c r="E254" s="324" t="n">
        <v>40381.5</v>
      </c>
      <c r="F254" s="326" t="n">
        <v>3996.87</v>
      </c>
      <c r="G254" s="55" t="n">
        <v>1557</v>
      </c>
      <c r="H254" s="55" t="n">
        <v>154</v>
      </c>
      <c r="I254" s="55" t="n">
        <v>97</v>
      </c>
      <c r="J254" s="56" t="n">
        <v>4.7</v>
      </c>
      <c r="K254" s="56" t="inlineStr">
        <is>
          <t>https://amazon.com/dp/B0D4QVZ7JG</t>
        </is>
      </c>
      <c r="L254" s="70">
        <f>HYPERLINK(Table1311[[#This Row],[Column1]])</f>
        <v/>
      </c>
    </row>
    <row r="255" ht="60" customHeight="1" s="290">
      <c r="A255" s="30" t="inlineStr">
        <is>
          <t>Autel MaxiCheck MX900 Scanner, 2026 Bidirectional Scan Tool with 3000+ Active Tests, All System Diagnosis, CAN FD/Do IP, OE No-IP Limited, Upgrade MK808S MK808BT MX808S MK808Z Same as MK900</t>
        </is>
      </c>
      <c r="B255" s="30" t="inlineStr">
        <is>
          <t>B0C1RPXXQ8</t>
        </is>
      </c>
      <c r="C255" s="30" t="inlineStr">
        <is>
          <t>Tablet</t>
        </is>
      </c>
      <c r="D255" s="324" t="n">
        <v>560.5085714285714</v>
      </c>
      <c r="E255" s="324" t="n">
        <v>73302.65769230769</v>
      </c>
      <c r="F255" s="326" t="n">
        <v>3923.56</v>
      </c>
      <c r="G255" s="55" t="n">
        <v>128</v>
      </c>
      <c r="H255" s="55" t="n">
        <v>7</v>
      </c>
      <c r="I255" s="55" t="n">
        <v>55</v>
      </c>
      <c r="J255" s="56" t="n">
        <v>4.4</v>
      </c>
      <c r="K255" s="56" t="inlineStr">
        <is>
          <t>https://amazon.com/dp/B0C1RPXXQ8</t>
        </is>
      </c>
      <c r="L255" s="70">
        <f>HYPERLINK(Table1311[[#This Row],[Column1]])</f>
        <v/>
      </c>
    </row>
    <row r="256" ht="45" customHeight="1" s="290">
      <c r="A256" s="30" t="inlineStr">
        <is>
          <t>Autel MaxiLink ML629 Automotive OBD2 Scanner, 2026 Newer Model Upgraded of AL619, ML619, Car Code Reader Check Engine ABS SRS Transmission Diagnostic Scan Tool with Auto VIN, Ready Test, DTC Lookup</t>
        </is>
      </c>
      <c r="B256" s="30" t="inlineStr">
        <is>
          <t>B07D9ZPHV4</t>
        </is>
      </c>
      <c r="C256" s="30" t="inlineStr">
        <is>
          <t>Handheld</t>
        </is>
      </c>
      <c r="D256" s="324" t="n">
        <v>113.9544117647059</v>
      </c>
      <c r="E256" s="324" t="n">
        <v>38353.43538461539</v>
      </c>
      <c r="F256" s="326" t="n">
        <v>3874.45</v>
      </c>
      <c r="G256" s="55" t="n">
        <v>307</v>
      </c>
      <c r="H256" s="55" t="n">
        <v>34</v>
      </c>
      <c r="I256" s="55" t="n">
        <v>221</v>
      </c>
      <c r="J256" s="56" t="n">
        <v>4.4</v>
      </c>
      <c r="K256" s="56" t="inlineStr">
        <is>
          <t>https://amazon.com/dp/B07D9ZPHV4</t>
        </is>
      </c>
      <c r="L256" s="70">
        <f>HYPERLINK(Table1311[[#This Row],[Column1]])</f>
        <v/>
      </c>
    </row>
    <row r="257" ht="60" customHeight="1" s="290">
      <c r="A257" s="30" t="inlineStr">
        <is>
          <t>Autel MaxiSys Ultra 1-Year Update Service, Total Care Program (TCP) Card, One Year Software Subscription &amp; Warranty</t>
        </is>
      </c>
      <c r="B257" s="30" t="inlineStr">
        <is>
          <t>B0G7FM9844</t>
        </is>
      </c>
      <c r="C257" s="30" t="inlineStr">
        <is>
          <t>Other</t>
        </is>
      </c>
      <c r="D257" s="324" t="n">
        <v>1283.4</v>
      </c>
      <c r="E257" s="324" t="n">
        <v>42761.43692307692</v>
      </c>
      <c r="F257" s="326" t="n">
        <v>3850.2</v>
      </c>
      <c r="G257" s="55" t="n">
        <v>9</v>
      </c>
      <c r="H257" s="55" t="n">
        <v>3</v>
      </c>
      <c r="I257" s="55" t="n"/>
      <c r="J257" s="56" t="n"/>
      <c r="K257" s="56" t="inlineStr">
        <is>
          <t>https://amazon.com/dp/B0G7FM9844</t>
        </is>
      </c>
      <c r="L257" s="70">
        <f>HYPERLINK(Table1311[[#This Row],[Column1]])</f>
        <v/>
      </c>
    </row>
    <row r="258" ht="45" customHeight="1" s="290">
      <c r="A258" s="30" t="inlineStr">
        <is>
          <t>Autel MaxiPRO MP808S Scanner, 2026 Bidirectional Scan Tool, 2-Year Update, Upgraded of MK808S MX900 MK900BT MP808BT PRO, Advanced ECU Coding as MP900-BT / MS906 PRO, 31+ Resets, All System Diagnostic</t>
        </is>
      </c>
      <c r="B258" s="30" t="inlineStr">
        <is>
          <t>B0BGJBJGQM</t>
        </is>
      </c>
      <c r="C258" s="30" t="inlineStr">
        <is>
          <t>Tablet</t>
        </is>
      </c>
      <c r="D258" s="324" t="n">
        <v>629.7466666666667</v>
      </c>
      <c r="E258" s="324" t="n">
        <v>48720.97000000001</v>
      </c>
      <c r="F258" s="326" t="n">
        <v>3778.48</v>
      </c>
      <c r="G258" s="55" t="n">
        <v>75</v>
      </c>
      <c r="H258" s="55" t="n">
        <v>6</v>
      </c>
      <c r="I258" s="55" t="n">
        <v>48</v>
      </c>
      <c r="J258" s="56" t="n">
        <v>4.7</v>
      </c>
      <c r="K258" s="56" t="inlineStr">
        <is>
          <t>https://amazon.com/dp/B0BGJBJGQM</t>
        </is>
      </c>
      <c r="L258" s="70">
        <f>HYPERLINK(Table1311[[#This Row],[Column1]])</f>
        <v/>
      </c>
    </row>
    <row r="259" ht="45" customHeight="1" s="290">
      <c r="A259" s="30" t="inlineStr">
        <is>
          <t>Autel MaxiVCI V200 Vehicle Communication Interface OBD2 Connector Bluetooth Adapter Work with MS906PRO MK906PRO TS ITS600 KM100 BT608 BT609 Wireless VCI200 Diagnostic DoIP CAN FD</t>
        </is>
      </c>
      <c r="B259" s="30" t="inlineStr">
        <is>
          <t>B0DDZY1L2Q</t>
        </is>
      </c>
      <c r="C259" s="30" t="inlineStr">
        <is>
          <t>VCI</t>
        </is>
      </c>
      <c r="D259" s="324" t="n">
        <v>218.5570588235294</v>
      </c>
      <c r="E259" s="324" t="n">
        <v>43002.38</v>
      </c>
      <c r="F259" s="326" t="n">
        <v>3715.47</v>
      </c>
      <c r="G259" s="55" t="n">
        <v>209</v>
      </c>
      <c r="H259" s="55" t="n">
        <v>17</v>
      </c>
      <c r="I259" s="55" t="n">
        <v>9</v>
      </c>
      <c r="J259" s="56" t="n">
        <v>5</v>
      </c>
      <c r="K259" s="56" t="inlineStr">
        <is>
          <t>https://amazon.com/dp/B0DDZY1L2Q</t>
        </is>
      </c>
      <c r="L259" s="70">
        <f>HYPERLINK(Table1311[[#This Row],[Column1]])</f>
        <v/>
      </c>
    </row>
    <row r="260" ht="45" customHeight="1" s="290">
      <c r="A260" s="30" t="inlineStr">
        <is>
          <t>Autel Scanner MaxiSYS MS909, 2026 Top Intelligent Scan Tool Same as MSUltra MS919 Ultra Lite, Motor TruSpeed, Topology 2.0, OE J2534 Functions, Up of Elite 2 Pro, 40+ Service 3000+ Tests, CAN FD DOIP</t>
        </is>
      </c>
      <c r="B260" s="30" t="inlineStr">
        <is>
          <t>B0995SJKH1</t>
        </is>
      </c>
      <c r="C260" s="30" t="inlineStr">
        <is>
          <t>Tablet</t>
        </is>
      </c>
      <c r="D260" s="324" t="n">
        <v>3618.36</v>
      </c>
      <c r="E260" s="324" t="n">
        <v>77656.7</v>
      </c>
      <c r="F260" s="326" t="n">
        <v>3618.36</v>
      </c>
      <c r="G260" s="55" t="n">
        <v>26</v>
      </c>
      <c r="H260" s="55" t="n">
        <v>1</v>
      </c>
      <c r="I260" s="55" t="n">
        <v>17</v>
      </c>
      <c r="J260" s="56" t="n">
        <v>4.7</v>
      </c>
      <c r="K260" s="56" t="inlineStr">
        <is>
          <t>https://amazon.com/dp/B0995SJKH1</t>
        </is>
      </c>
      <c r="L260" s="70">
        <f>HYPERLINK(Table1311[[#This Row],[Column1]])</f>
        <v/>
      </c>
    </row>
    <row r="261" ht="60" customHeight="1" s="290">
      <c r="A261" s="30" t="inlineStr">
        <is>
          <t>Autel MaxiDiag MD909 PRO All-Systems OBD2 Diagnostic Scanner, 11 Services, CAN FD &amp; DoIP, Upgraded from MD808PRO/MD906, FCA AutoAuth, Lifetime Free Updates, 1996+ US, Asian &amp; European Vehicles</t>
        </is>
      </c>
      <c r="B261" s="30" t="inlineStr">
        <is>
          <t>B0FFH14CPB</t>
        </is>
      </c>
      <c r="C261" s="30" t="inlineStr">
        <is>
          <t>Tablet</t>
        </is>
      </c>
      <c r="D261" s="324" t="n">
        <v>326.9545454545454</v>
      </c>
      <c r="E261" s="324" t="n">
        <v>75527.67461538462</v>
      </c>
      <c r="F261" s="326" t="n">
        <v>3596.5</v>
      </c>
      <c r="G261" s="55" t="n">
        <v>186</v>
      </c>
      <c r="H261" s="55" t="n">
        <v>11</v>
      </c>
      <c r="I261" s="55" t="n">
        <v>13</v>
      </c>
      <c r="J261" s="56" t="n">
        <v>4.3</v>
      </c>
      <c r="K261" s="56" t="inlineStr">
        <is>
          <t>https://amazon.com/dp/B0FFH14CPB</t>
        </is>
      </c>
      <c r="L261" s="70">
        <f>HYPERLINK(Table1311[[#This Row],[Column1]])</f>
        <v/>
      </c>
    </row>
    <row r="262" ht="30" customHeight="1" s="290">
      <c r="A262" s="30" t="inlineStr">
        <is>
          <t>Autel Scanner Maxicom MK900TS, 2026 MK900-TS Up of MS906-TS MX900TS MK808S-TS MK900BT MK900, Top TPMS Program/Relearn, 3000+ Active Test, 40+ Service, CAN FD &amp; DoIP, Bidirectional Scan Tool OS 11.0</t>
        </is>
      </c>
      <c r="B262" s="30" t="inlineStr">
        <is>
          <t>B06VW6HM8C</t>
        </is>
      </c>
      <c r="C262" s="30" t="inlineStr">
        <is>
          <t>Tablet</t>
        </is>
      </c>
      <c r="D262" s="324" t="n">
        <v>888.8825000000001</v>
      </c>
      <c r="E262" s="324" t="n">
        <v>48402.86</v>
      </c>
      <c r="F262" s="326" t="n">
        <v>3555.53</v>
      </c>
      <c r="G262" s="55" t="n">
        <v>55</v>
      </c>
      <c r="H262" s="55" t="n">
        <v>4</v>
      </c>
      <c r="I262" s="55" t="n">
        <v>91</v>
      </c>
      <c r="J262" s="56" t="n">
        <v>4.5</v>
      </c>
      <c r="K262" s="56" t="inlineStr">
        <is>
          <t>https://amazon.com/dp/B06VW6HM8C</t>
        </is>
      </c>
      <c r="L262" s="70">
        <f>HYPERLINK(Table1311[[#This Row],[Column1]])</f>
        <v/>
      </c>
    </row>
    <row r="263" ht="60" customHeight="1" s="290">
      <c r="A263" s="30" t="inlineStr">
        <is>
          <t>Autel Scanner MaxiPro MP900Z-BT: 2026 ECU Coding OBD2 Bidirectional Scan Tool with 40+ Services, Upgraded of MP900 MS906BT MP900BT All System OBDII Car Code Reader CAN FD, Alternative to MS906 Pro</t>
        </is>
      </c>
      <c r="B263" s="30" t="inlineStr">
        <is>
          <t>B0CCJMF7PY</t>
        </is>
      </c>
      <c r="C263" s="30" t="inlineStr">
        <is>
          <t>Tablet</t>
        </is>
      </c>
      <c r="D263" s="324" t="n">
        <v>882.3575</v>
      </c>
      <c r="E263" s="324" t="n">
        <v>29335.19</v>
      </c>
      <c r="F263" s="326" t="n">
        <v>3529.43</v>
      </c>
      <c r="G263" s="55" t="n">
        <v>31</v>
      </c>
      <c r="H263" s="55" t="n">
        <v>4</v>
      </c>
      <c r="I263" s="55" t="n">
        <v>133</v>
      </c>
      <c r="J263" s="56" t="n">
        <v>4.4</v>
      </c>
      <c r="K263" s="56" t="inlineStr">
        <is>
          <t>https://amazon.com/dp/B0CCJMF7PY</t>
        </is>
      </c>
      <c r="L263" s="70">
        <f>HYPERLINK(Table1311[[#This Row],[Column1]])</f>
        <v/>
      </c>
    </row>
    <row r="264" ht="60" customHeight="1" s="290">
      <c r="A264" s="30" t="inlineStr">
        <is>
          <t>Autel MaxiIM Blank Key, IKEYAT005BL, Programmable Universal Remote Fob Replacement, 5-Button, OE-Quality, OBD Learning for 700+ Cars, Dual-Band, 130FT Remote, Multi-Frequency, Work w/ KM100 Scan Tool</t>
        </is>
      </c>
      <c r="B264" s="30" t="inlineStr">
        <is>
          <t>B0D14TWPB6</t>
        </is>
      </c>
      <c r="C264" s="30" t="inlineStr">
        <is>
          <t>Key</t>
        </is>
      </c>
      <c r="D264" s="324" t="n">
        <v>40.06613636363637</v>
      </c>
      <c r="E264" s="324" t="n">
        <v>39408.33</v>
      </c>
      <c r="F264" s="326" t="n">
        <v>3525.82</v>
      </c>
      <c r="G264" s="55" t="n">
        <v>986</v>
      </c>
      <c r="H264" s="55" t="n">
        <v>88</v>
      </c>
      <c r="I264" s="55" t="n">
        <v>79</v>
      </c>
      <c r="J264" s="56" t="n">
        <v>4.3</v>
      </c>
      <c r="K264" s="56" t="inlineStr">
        <is>
          <t>https://amazon.com/dp/B0D14TWPB6</t>
        </is>
      </c>
      <c r="L264" s="70">
        <f>HYPERLINK(Table1311[[#This Row],[Column1]])</f>
        <v/>
      </c>
    </row>
    <row r="265" ht="30" customHeight="1" s="290">
      <c r="A265" s="30" t="inlineStr">
        <is>
          <t>2026 Autel CAN FD Adapter, Support CANFD Protocol for GM 2020+, for Ford 2021+, for FCA Cars 2020+, for Toyota 2020+, etc., Work with Autel OBD2 Scanner MK808S MX808S MaxiSys Elite MK908 MS908 MS906BT</t>
        </is>
      </c>
      <c r="B265" s="30" t="inlineStr">
        <is>
          <t>B0F26CZRFF</t>
        </is>
      </c>
      <c r="C265" s="30" t="inlineStr">
        <is>
          <t>Tablet</t>
        </is>
      </c>
      <c r="D265" s="324" t="n">
        <v>119.8744827586207</v>
      </c>
      <c r="E265" s="324" t="n">
        <v>26591.00538461538</v>
      </c>
      <c r="F265" s="326" t="n">
        <v>3476.36</v>
      </c>
      <c r="G265" s="55" t="n">
        <v>171</v>
      </c>
      <c r="H265" s="55" t="n">
        <v>29</v>
      </c>
      <c r="I265" s="55" t="n">
        <v>3</v>
      </c>
      <c r="J265" s="56" t="n">
        <v>5</v>
      </c>
      <c r="K265" s="56" t="inlineStr">
        <is>
          <t>https://amazon.com/dp/B0F26CZRFF</t>
        </is>
      </c>
      <c r="L265" s="70">
        <f>HYPERLINK(Table1311[[#This Row],[Column1]])</f>
        <v/>
      </c>
    </row>
    <row r="266" ht="60" customHeight="1" s="290">
      <c r="A266" s="30" t="inlineStr">
        <is>
          <t>2026 Autel ML629 OBD2 Scanner ABS SRS Engine Transmission Diagnoses OBD II Full Functions Upgraded Version of AL519/AL619/ ML619 for DIYers Professionals</t>
        </is>
      </c>
      <c r="B266" s="30" t="inlineStr">
        <is>
          <t>B07M66RH77</t>
        </is>
      </c>
      <c r="C266" s="30" t="inlineStr">
        <is>
          <t>Handheld</t>
        </is>
      </c>
      <c r="D266" s="324" t="n">
        <v>127.372962962963</v>
      </c>
      <c r="E266" s="324" t="n">
        <v>72095.19</v>
      </c>
      <c r="F266" s="326" t="n">
        <v>3439.07</v>
      </c>
      <c r="G266" s="55" t="n">
        <v>581</v>
      </c>
      <c r="H266" s="55" t="n">
        <v>27</v>
      </c>
      <c r="I266" s="55" t="n">
        <v>1114</v>
      </c>
      <c r="J266" s="56" t="n">
        <v>4.3</v>
      </c>
      <c r="K266" s="56" t="inlineStr">
        <is>
          <t>https://amazon.com/dp/B07M66RH77</t>
        </is>
      </c>
      <c r="L266" s="70">
        <f>HYPERLINK(Table1311[[#This Row],[Column1]])</f>
        <v/>
      </c>
    </row>
    <row r="267" ht="60" customHeight="1" s="290">
      <c r="A267" s="30" t="inlineStr">
        <is>
          <t>Autel Scanner MaxiCOM MX900, OE All-System OBD2 Scanner &amp; Bidirectional Tool, 8in Up of MK808S MK808BT MX808S MK808Z, 3000+ Active Tests, 40+ Service, CAN-FD&amp;DOIP, Smart Auto VI-N, FCA Auto Auth 11OS</t>
        </is>
      </c>
      <c r="B267" s="30" t="inlineStr">
        <is>
          <t>B0FLY2HCN7</t>
        </is>
      </c>
      <c r="C267" s="30" t="inlineStr">
        <is>
          <t>Tablet</t>
        </is>
      </c>
      <c r="D267" s="324" t="n">
        <v>570.5616666666666</v>
      </c>
      <c r="E267" s="324" t="n">
        <v>56306.50307692309</v>
      </c>
      <c r="F267" s="326" t="n">
        <v>3423.37</v>
      </c>
      <c r="G267" s="55" t="n">
        <v>69</v>
      </c>
      <c r="H267" s="55" t="n">
        <v>6</v>
      </c>
      <c r="I267" s="55" t="n">
        <v>369</v>
      </c>
      <c r="J267" s="56" t="n">
        <v>4.4</v>
      </c>
      <c r="K267" s="56" t="inlineStr">
        <is>
          <t>https://amazon.com/dp/B0FLY2HCN7</t>
        </is>
      </c>
      <c r="L267" s="70">
        <f>HYPERLINK(Table1311[[#This Row],[Column1]])</f>
        <v/>
      </c>
    </row>
    <row r="268" ht="45" customHeight="1" s="290">
      <c r="A268" s="30" t="inlineStr">
        <is>
          <t>Autel MaxiCheck MX900 Bidirectional Scanner: 2026 Up of MaxiCOM MK808S MX808S, Work as MK900-BT MK900BT OBD2 Diagnostic Tool w/ 3000+ Active Test, 40+ Service, CAN-FD&amp;DOIP, All System, FCA 11 OS</t>
        </is>
      </c>
      <c r="B268" s="30" t="inlineStr">
        <is>
          <t>B00LPIRY6E</t>
        </is>
      </c>
      <c r="C268" s="30" t="inlineStr">
        <is>
          <t>Tablet</t>
        </is>
      </c>
      <c r="D268" s="324" t="n">
        <v>568.5716666666666</v>
      </c>
      <c r="E268" s="324" t="n">
        <v>69897.99999999999</v>
      </c>
      <c r="F268" s="326" t="n">
        <v>3411.43</v>
      </c>
      <c r="G268" s="55" t="n">
        <v>115</v>
      </c>
      <c r="H268" s="55" t="n">
        <v>6</v>
      </c>
      <c r="I268" s="55" t="n">
        <v>466</v>
      </c>
      <c r="J268" s="56" t="n">
        <v>4.4</v>
      </c>
      <c r="K268" s="56" t="inlineStr">
        <is>
          <t>https://amazon.com/dp/B00LPIRY6E</t>
        </is>
      </c>
      <c r="L268" s="70">
        <f>HYPERLINK(Table1311[[#This Row],[Column1]])</f>
        <v/>
      </c>
    </row>
    <row r="269" ht="60" customHeight="1" s="290">
      <c r="A269" s="30" t="inlineStr">
        <is>
          <t>Autel MaxiDiag MD806 PRO OBD2 Scanner: Full Systems Diagnostic Scan Tool w/Live Data Oil Reset BMS SAS Throttle A/F EPB D-P.F, AutoScan, Up of MD808 MD806 MD805 MD802, Free Update, Data Print</t>
        </is>
      </c>
      <c r="B269" s="30" t="inlineStr">
        <is>
          <t>B0GFW5736P</t>
        </is>
      </c>
      <c r="C269" s="30" t="inlineStr">
        <is>
          <t>Tablet</t>
        </is>
      </c>
      <c r="D269" s="324" t="n">
        <v>200.6076470588235</v>
      </c>
      <c r="E269" s="324" t="n">
        <v>37954.66230769231</v>
      </c>
      <c r="F269" s="326" t="n">
        <v>3410.33</v>
      </c>
      <c r="G269" s="55" t="n">
        <v>49</v>
      </c>
      <c r="H269" s="55" t="n">
        <v>17</v>
      </c>
      <c r="I269" s="55" t="n">
        <v>91</v>
      </c>
      <c r="J269" s="56" t="n">
        <v>4.5</v>
      </c>
      <c r="K269" s="56" t="inlineStr">
        <is>
          <t>https://amazon.com/dp/B0GFW5736P</t>
        </is>
      </c>
      <c r="L269" s="70">
        <f>HYPERLINK(Table1311[[#This Row],[Column1]])</f>
        <v/>
      </c>
    </row>
    <row r="270" ht="45" customHeight="1" s="290">
      <c r="A270" s="30" t="inlineStr">
        <is>
          <t>Autel Scanner Diagnostic Scan Tool, 2026 OBD2 Car Scanner with 4 Useful Accessories Worth 2000Bucks, 40 Services, OE Full System, Full Bidirectional Tool, 3K+ Active Test, DOIP CANFD, OS10, 4G&amp;128G</t>
        </is>
      </c>
      <c r="B270" s="30" t="inlineStr">
        <is>
          <t>B09ZPK3PBV</t>
        </is>
      </c>
      <c r="C270" s="30" t="inlineStr">
        <is>
          <t>Tablet</t>
        </is>
      </c>
      <c r="D270" s="324" t="n">
        <v>3384.2</v>
      </c>
      <c r="E270" s="324" t="n">
        <v>66829.99692307692</v>
      </c>
      <c r="F270" s="326" t="n">
        <v>3384.2</v>
      </c>
      <c r="G270" s="55" t="n">
        <v>18</v>
      </c>
      <c r="H270" s="55" t="n">
        <v>1</v>
      </c>
      <c r="I270" s="55" t="n">
        <v>6</v>
      </c>
      <c r="J270" s="56" t="n">
        <v>5</v>
      </c>
      <c r="K270" s="56" t="inlineStr">
        <is>
          <t>https://amazon.com/dp/B09ZPK3PBV</t>
        </is>
      </c>
      <c r="L270" s="70">
        <f>HYPERLINK(Table1311[[#This Row],[Column1]])</f>
        <v/>
      </c>
    </row>
    <row r="271" ht="45" customHeight="1" s="290">
      <c r="A271" s="30" t="inlineStr">
        <is>
          <t>Autel MaxiSys Elite II Pro Scanner J2534 Reprogramming Tool 2-Years Free Update Motor TruSpeed Repair CANFD &amp;DoIP 40+ Hot Services 3K+ Active Test as Ultra MS908S PRO II Up of MS908S Pro II MK908P</t>
        </is>
      </c>
      <c r="B271" s="30" t="inlineStr">
        <is>
          <t>B0FHVC9TMC</t>
        </is>
      </c>
      <c r="C271" s="30" t="inlineStr">
        <is>
          <t>Tablet</t>
        </is>
      </c>
      <c r="D271" s="324" t="n">
        <v>3367.26</v>
      </c>
      <c r="E271" s="324" t="n">
        <v>95356.52000000002</v>
      </c>
      <c r="F271" s="326" t="n">
        <v>3367.26</v>
      </c>
      <c r="G271" s="55" t="n">
        <v>35</v>
      </c>
      <c r="H271" s="55" t="n">
        <v>1</v>
      </c>
      <c r="I271" s="55" t="n">
        <v>4</v>
      </c>
      <c r="J271" s="56" t="n">
        <v>4.7</v>
      </c>
      <c r="K271" s="56" t="inlineStr">
        <is>
          <t>https://amazon.com/dp/B0FHVC9TMC</t>
        </is>
      </c>
      <c r="L271" s="70">
        <f>HYPERLINK(Table1311[[#This Row],[Column1]])</f>
        <v/>
      </c>
    </row>
    <row r="272" ht="30" customHeight="1" s="290">
      <c r="A272" s="30" t="inlineStr">
        <is>
          <t>Autel MaxiSys MS906 Pro-TS Scanner, 2026 Same as MS906 PRO2-TS Up of MP900TS MS-906MAX MS906PRO, Top TPMS Scan Tool W/OE C0d-ing, 3000+ Active Test, 36+ Service, CAN FD&amp;DoIP Auto Scan 2.0</t>
        </is>
      </c>
      <c r="B272" s="30" t="inlineStr">
        <is>
          <t>B071RLXN2W</t>
        </is>
      </c>
      <c r="C272" s="30" t="inlineStr">
        <is>
          <t>Tablet</t>
        </is>
      </c>
      <c r="D272" s="324" t="n">
        <v>1647.8</v>
      </c>
      <c r="E272" s="324" t="n">
        <v>92200.19</v>
      </c>
      <c r="F272" s="326" t="n">
        <v>3295.6</v>
      </c>
      <c r="G272" s="55" t="n">
        <v>58</v>
      </c>
      <c r="H272" s="55" t="n">
        <v>2</v>
      </c>
      <c r="I272" s="55" t="n">
        <v>25</v>
      </c>
      <c r="J272" s="56" t="n">
        <v>4.7</v>
      </c>
      <c r="K272" s="56" t="inlineStr">
        <is>
          <t>https://amazon.com/dp/B071RLXN2W</t>
        </is>
      </c>
      <c r="L272" s="70">
        <f>HYPERLINK(Table1311[[#This Row],[Column1]])</f>
        <v/>
      </c>
    </row>
    <row r="273" ht="30" customHeight="1" s="290">
      <c r="A273" s="30" t="inlineStr">
        <is>
          <t>Autel MaxiIM IM508S Pro OBD2 Diagnostic Scanner, 2026 All System Scan Tool w/Pro Accessory up of IM508S, Professional Automotive Tablet Work as IM608 Pro II w/ 40+ Reset Services, 3000+ Active Tests</t>
        </is>
      </c>
      <c r="B273" s="30" t="inlineStr">
        <is>
          <t>B0FSZDZ264</t>
        </is>
      </c>
      <c r="C273" s="30" t="inlineStr">
        <is>
          <t>Tablet</t>
        </is>
      </c>
      <c r="D273" s="324" t="n">
        <v>1637.7</v>
      </c>
      <c r="E273" s="324" t="n">
        <v>39556.75384615385</v>
      </c>
      <c r="F273" s="326" t="n">
        <v>3275.4</v>
      </c>
      <c r="G273" s="55" t="n">
        <v>2</v>
      </c>
      <c r="H273" s="55" t="n">
        <v>2</v>
      </c>
      <c r="I273" s="55" t="n">
        <v>1</v>
      </c>
      <c r="J273" s="56" t="n">
        <v>5</v>
      </c>
      <c r="K273" s="56" t="inlineStr">
        <is>
          <t>https://amazon.com/dp/B0FSZDZ264</t>
        </is>
      </c>
      <c r="L273" s="70">
        <f>HYPERLINK(Table1311[[#This Row],[Column1]])</f>
        <v/>
      </c>
    </row>
    <row r="274" ht="60" customHeight="1" s="290">
      <c r="A274" s="30" t="inlineStr">
        <is>
          <t>Autel Original 3-in-1 OBD2 Adapter Cable,16 Pin to 6/4/3 Pin OBD Diagnostic Cable, OBD2 to OBD1 6pin 4pin 3pin Plug Adapter for Motorcycle Honda/Guzzi/Kawasaki/Suzuki, Compatible with OBDII Scanners</t>
        </is>
      </c>
      <c r="B274" s="30" t="inlineStr">
        <is>
          <t>B0DF2M277F</t>
        </is>
      </c>
      <c r="C274" s="30" t="inlineStr">
        <is>
          <t>Cable/Adapter</t>
        </is>
      </c>
      <c r="D274" s="324" t="n">
        <v>23.05607142857143</v>
      </c>
      <c r="E274" s="324" t="n">
        <v>22159.69384615384</v>
      </c>
      <c r="F274" s="326" t="n">
        <v>3227.85</v>
      </c>
      <c r="G274" s="55" t="n">
        <v>835</v>
      </c>
      <c r="H274" s="55" t="n">
        <v>140</v>
      </c>
      <c r="I274" s="55" t="n">
        <v>31</v>
      </c>
      <c r="J274" s="56" t="n">
        <v>4.3</v>
      </c>
      <c r="K274" s="56" t="inlineStr">
        <is>
          <t>https://amazon.com/dp/B0DF2M277F</t>
        </is>
      </c>
      <c r="L274" s="70">
        <f>HYPERLINK(Table1311[[#This Row],[Column1]])</f>
        <v/>
      </c>
    </row>
    <row r="275" ht="45" customHeight="1" s="290">
      <c r="A275" s="30" t="inlineStr">
        <is>
          <t>Autel Scanner MaxiCOM MK900BT, 2026 MK900-BT Bidirectional OBD2 Diagnostic Tool CAN FD DoIP, BT 2.0 Up. of MK900 MK808S MK808BT PRO MX900 MX808S, 40+ Service 3000+ Active Tests, OE Diagnostic, FCA SGW</t>
        </is>
      </c>
      <c r="B275" s="30" t="inlineStr">
        <is>
          <t>B0BSB1CZ8H</t>
        </is>
      </c>
      <c r="C275" s="30" t="inlineStr">
        <is>
          <t>Tablet</t>
        </is>
      </c>
      <c r="D275" s="324" t="n">
        <v>645.302</v>
      </c>
      <c r="E275" s="324" t="n">
        <v>49952.37</v>
      </c>
      <c r="F275" s="326" t="n">
        <v>3226.51</v>
      </c>
      <c r="G275" s="55" t="n">
        <v>80</v>
      </c>
      <c r="H275" s="55" t="n">
        <v>5</v>
      </c>
      <c r="I275" s="55" t="n">
        <v>22</v>
      </c>
      <c r="J275" s="56" t="n">
        <v>4.7</v>
      </c>
      <c r="K275" s="56" t="inlineStr">
        <is>
          <t>https://amazon.com/dp/B0BSB1CZ8H</t>
        </is>
      </c>
      <c r="L275" s="70">
        <f>HYPERLINK(Table1311[[#This Row],[Column1]])</f>
        <v/>
      </c>
    </row>
    <row r="276" ht="60" customHeight="1" s="290">
      <c r="A276" s="30" t="inlineStr">
        <is>
          <t>Autel Original BENZ-38 PIN Adapter, 38 Pin Male to 16 Pin Female OBDII Connector Compatible with Mercedes-Benz Pre-2001, Work with OBD2 Diagnostic Scan Tool OBD II Scanner</t>
        </is>
      </c>
      <c r="B276" s="30" t="inlineStr">
        <is>
          <t>B0D62Z3ZGV</t>
        </is>
      </c>
      <c r="C276" s="30" t="inlineStr">
        <is>
          <t>Cable/Adapter</t>
        </is>
      </c>
      <c r="D276" s="324" t="n">
        <v>49.6040625</v>
      </c>
      <c r="E276" s="324" t="n">
        <v>29819.69</v>
      </c>
      <c r="F276" s="326" t="n">
        <v>3174.66</v>
      </c>
      <c r="G276" s="55" t="n">
        <v>522</v>
      </c>
      <c r="H276" s="55" t="n">
        <v>64</v>
      </c>
      <c r="I276" s="55" t="n">
        <v>23</v>
      </c>
      <c r="J276" s="56" t="n">
        <v>4.5</v>
      </c>
      <c r="K276" s="56" t="inlineStr">
        <is>
          <t>https://amazon.com/dp/B0D62Z3ZGV</t>
        </is>
      </c>
      <c r="L276" s="70">
        <f>HYPERLINK(Table1311[[#This Row],[Column1]])</f>
        <v/>
      </c>
    </row>
    <row r="277" ht="30" customHeight="1" s="290">
      <c r="A277" s="30" t="inlineStr">
        <is>
          <t>Autel MaxiCheck MX900 Bidirectional Scanner, 2026 OBD2 Scan Tool Up of MaxiCOM MK808S MX808S MK808BT Pro, US Ver. of MK900BT w/ 3000+ Active Test, 40+ Service, CAN-FD&amp;DOIP, All-Sys Diagnose, FCA 11 OS</t>
        </is>
      </c>
      <c r="B277" s="30" t="inlineStr">
        <is>
          <t>B0GNTKBQD8</t>
        </is>
      </c>
      <c r="C277" s="30" t="inlineStr">
        <is>
          <t>Tablet</t>
        </is>
      </c>
      <c r="D277" s="324" t="n">
        <v>633.292</v>
      </c>
      <c r="E277" s="324" t="n">
        <v>35318.20769230769</v>
      </c>
      <c r="F277" s="326" t="n">
        <v>3166.46</v>
      </c>
      <c r="G277" s="55" t="n">
        <v>5</v>
      </c>
      <c r="H277" s="55" t="n">
        <v>5</v>
      </c>
      <c r="I277" s="55" t="n">
        <v>6</v>
      </c>
      <c r="J277" s="56" t="n">
        <v>4.7</v>
      </c>
      <c r="K277" s="56" t="inlineStr">
        <is>
          <t>https://amazon.com/dp/B0GNTKBQD8</t>
        </is>
      </c>
      <c r="L277" s="70">
        <f>HYPERLINK(Table1311[[#This Row],[Column1]])</f>
        <v/>
      </c>
    </row>
    <row r="278" ht="30" customHeight="1" s="290">
      <c r="A278" s="30" t="inlineStr">
        <is>
          <t>Autel MaxiSys MS908CV II Heavy Duty Truck Scanner, J2534 ECU Programming Tool, Upgraded from MS908CV, 64+ Services, All System Diagnostics, Class 1–9 Vehicles, Commercial &amp; Semi Truck Scan Tool</t>
        </is>
      </c>
      <c r="B278" s="30" t="inlineStr">
        <is>
          <t>B0D4Q5QPNK</t>
        </is>
      </c>
      <c r="C278" s="30" t="inlineStr">
        <is>
          <t>Tablet</t>
        </is>
      </c>
      <c r="D278" s="324" t="n">
        <v>3107.13</v>
      </c>
      <c r="E278" s="324" t="n">
        <v>3107.13</v>
      </c>
      <c r="F278" s="326" t="n">
        <v>3107.13</v>
      </c>
      <c r="G278" s="55" t="n">
        <v>1</v>
      </c>
      <c r="H278" s="55" t="n">
        <v>1</v>
      </c>
      <c r="I278" s="55" t="n">
        <v>1</v>
      </c>
      <c r="J278" s="56" t="n">
        <v>5</v>
      </c>
      <c r="K278" s="56" t="inlineStr">
        <is>
          <t>https://amazon.com/dp/B0D4Q5QPNK</t>
        </is>
      </c>
      <c r="L278" s="70">
        <f>HYPERLINK(Table1311[[#This Row],[Column1]])</f>
        <v/>
      </c>
    </row>
    <row r="279" ht="60" customHeight="1" s="290">
      <c r="A279" s="30" t="inlineStr">
        <is>
          <t>Autel Scanner MaxiCheck MX808S-TS, 2026 TPMS &amp; Bidirectional Diagnostic Scan Tool, Same as MK900TS MK808S-TS TS900 Up of MK808S MX808S, Top TPMS Programming Tool, 3000+ Test, 28+ Service, FCA, OS 11</t>
        </is>
      </c>
      <c r="B279" s="30" t="inlineStr">
        <is>
          <t>B09QX781WY</t>
        </is>
      </c>
      <c r="C279" s="30" t="inlineStr">
        <is>
          <t>Tablet</t>
        </is>
      </c>
      <c r="D279" s="324" t="n">
        <v>605.15</v>
      </c>
      <c r="E279" s="324" t="n">
        <v>76293.39999999999</v>
      </c>
      <c r="F279" s="326" t="n">
        <v>3025.75</v>
      </c>
      <c r="G279" s="55" t="n">
        <v>118</v>
      </c>
      <c r="H279" s="55" t="n">
        <v>5</v>
      </c>
      <c r="I279" s="55" t="n">
        <v>76</v>
      </c>
      <c r="J279" s="56" t="n">
        <v>4.5</v>
      </c>
      <c r="K279" s="56" t="inlineStr">
        <is>
          <t>https://amazon.com/dp/B09QX781WY</t>
        </is>
      </c>
      <c r="L279" s="70">
        <f>HYPERLINK(Table1311[[#This Row],[Column1]])</f>
        <v/>
      </c>
    </row>
    <row r="280" ht="45" customHeight="1" s="290">
      <c r="A280" s="30" t="inlineStr">
        <is>
          <t>Autel Original MaxiVCI V150 VCI150 OBD2 Bluetooth Adapter, 2026 VCI 150 Car Wireless Communication Interface, Work w/Autel Diagnostic Scanner MK900BT MP900BT MP900Z-BT MP900TS MK900TS MX900TS TS900</t>
        </is>
      </c>
      <c r="B280" s="30" t="inlineStr">
        <is>
          <t>B0FKG6TDF1</t>
        </is>
      </c>
      <c r="C280" s="30" t="inlineStr">
        <is>
          <t>Dongle</t>
        </is>
      </c>
      <c r="D280" s="324" t="n">
        <v>199.2533333333334</v>
      </c>
      <c r="E280" s="324" t="n">
        <v>35132.54153846155</v>
      </c>
      <c r="F280" s="326" t="n">
        <v>2988.8</v>
      </c>
      <c r="G280" s="55" t="n">
        <v>107</v>
      </c>
      <c r="H280" s="55" t="n">
        <v>15</v>
      </c>
      <c r="I280" s="55" t="n">
        <v>3</v>
      </c>
      <c r="J280" s="56" t="n">
        <v>5</v>
      </c>
      <c r="K280" s="56" t="inlineStr">
        <is>
          <t>https://amazon.com/dp/B0FKG6TDF1</t>
        </is>
      </c>
      <c r="L280" s="70">
        <f>HYPERLINK(Table1311[[#This Row],[Column1]])</f>
        <v/>
      </c>
    </row>
    <row r="281" ht="60" customHeight="1" s="290">
      <c r="A281" s="30" t="inlineStr">
        <is>
          <t>Autel Scanner MaxiIM KM100 (X), 2026 Car Diagnostic Scan Tool, OBD-Learn for 99% Cars, Lifetime Free Update, IM508S IM608 PRO II Lite Model, 2.0 Hardware for Home Mechanics &amp; DIYers (KM Series 100)</t>
        </is>
      </c>
      <c r="B281" s="30" t="inlineStr">
        <is>
          <t>B0FX88STZH</t>
        </is>
      </c>
      <c r="C281" s="30" t="inlineStr">
        <is>
          <t>Tablet</t>
        </is>
      </c>
      <c r="D281" s="324" t="n">
        <v>496</v>
      </c>
      <c r="E281" s="324" t="n">
        <v>37547.27846153845</v>
      </c>
      <c r="F281" s="326" t="n">
        <v>2976</v>
      </c>
      <c r="G281" s="55" t="n">
        <v>34</v>
      </c>
      <c r="H281" s="55" t="n">
        <v>6</v>
      </c>
      <c r="I281" s="55" t="n">
        <v>86</v>
      </c>
      <c r="J281" s="56" t="n">
        <v>4.6</v>
      </c>
      <c r="K281" s="56" t="inlineStr">
        <is>
          <t>https://amazon.com/dp/B0FX88STZH</t>
        </is>
      </c>
      <c r="L281" s="70">
        <f>HYPERLINK(Table1311[[#This Row],[Column1]])</f>
        <v/>
      </c>
    </row>
    <row r="282" ht="45" customHeight="1" s="290">
      <c r="A282" s="30" t="inlineStr">
        <is>
          <t>Autel MaxiSYS MS906pro TS Autel Scanner Upgrade of MS906 Pro/ MS906TS/ MK908 Top Car Scanner CAN FD/Do IP 36+ Services All System Diagnostic ECU Coding 3000+ Test FCA OS 10</t>
        </is>
      </c>
      <c r="B282" s="30" t="inlineStr">
        <is>
          <t>B0BG2M2ZFD</t>
        </is>
      </c>
      <c r="C282" s="30" t="inlineStr">
        <is>
          <t>Tablet</t>
        </is>
      </c>
      <c r="D282" s="324" t="n">
        <v>1483.285</v>
      </c>
      <c r="E282" s="324" t="n">
        <v>126004.1023076923</v>
      </c>
      <c r="F282" s="326" t="n">
        <v>2966.57</v>
      </c>
      <c r="G282" s="55" t="n">
        <v>81</v>
      </c>
      <c r="H282" s="55" t="n">
        <v>2</v>
      </c>
      <c r="I282" s="55" t="n">
        <v>20</v>
      </c>
      <c r="J282" s="56" t="n">
        <v>4.9</v>
      </c>
      <c r="K282" s="56" t="inlineStr">
        <is>
          <t>https://amazon.com/dp/B0BG2M2ZFD</t>
        </is>
      </c>
      <c r="L282" s="70">
        <f>HYPERLINK(Table1311[[#This Row],[Column1]])</f>
        <v/>
      </c>
    </row>
    <row r="283" ht="45" customHeight="1" s="290">
      <c r="A283" s="30" t="inlineStr">
        <is>
          <t>2026 Autel MaxiBAS BTMS OBD2 Car Battery Tester Memory Saver, Preserve Vehicle Data Code Electronic Preset, Maintain Data Surge Protection Attaches to 12 Volt Backup Battery, Provide Power to Vehicle</t>
        </is>
      </c>
      <c r="B283" s="30" t="inlineStr">
        <is>
          <t>B0CZDKVZSN</t>
        </is>
      </c>
      <c r="C283" s="30" t="inlineStr">
        <is>
          <t>Other</t>
        </is>
      </c>
      <c r="D283" s="324" t="n">
        <v>45.87095238095238</v>
      </c>
      <c r="E283" s="324" t="n">
        <v>34744.83692307693</v>
      </c>
      <c r="F283" s="326" t="n">
        <v>2889.87</v>
      </c>
      <c r="G283" s="55" t="n">
        <v>582</v>
      </c>
      <c r="H283" s="55" t="n">
        <v>63</v>
      </c>
      <c r="I283" s="55" t="n">
        <v>56</v>
      </c>
      <c r="J283" s="56" t="n">
        <v>5</v>
      </c>
      <c r="K283" s="56" t="inlineStr">
        <is>
          <t>https://amazon.com/dp/B0CZDKVZSN</t>
        </is>
      </c>
      <c r="L283" s="70">
        <f>HYPERLINK(Table1311[[#This Row],[Column1]])</f>
        <v/>
      </c>
    </row>
    <row r="284" ht="60" customHeight="1" s="290">
      <c r="A284" s="30" t="inlineStr">
        <is>
          <t>Autel MaxiCOM MK808S OBD2 Scanner, 2026 Bidirectional Diagnostic Tool as MaxiCheck MX900 MX808S MK900BT MK808BT Pro, 3000+ Active Tests, 28+ Service, All System, Injector Coding, FCA Autoauth OS11</t>
        </is>
      </c>
      <c r="B284" s="30" t="inlineStr">
        <is>
          <t>B07T9J34HT</t>
        </is>
      </c>
      <c r="C284" s="30" t="inlineStr">
        <is>
          <t>Tablet</t>
        </is>
      </c>
      <c r="D284" s="324" t="n">
        <v>476.935</v>
      </c>
      <c r="E284" s="324" t="n">
        <v>32256.45</v>
      </c>
      <c r="F284" s="326" t="n">
        <v>2861.61</v>
      </c>
      <c r="G284" s="55" t="n">
        <v>70</v>
      </c>
      <c r="H284" s="55" t="n">
        <v>6</v>
      </c>
      <c r="I284" s="55" t="n">
        <v>381</v>
      </c>
      <c r="J284" s="56" t="n">
        <v>4.4</v>
      </c>
      <c r="K284" s="56" t="inlineStr">
        <is>
          <t>https://amazon.com/dp/B07T9J34HT</t>
        </is>
      </c>
      <c r="L284" s="70">
        <f>HYPERLINK(Table1311[[#This Row],[Column1]])</f>
        <v/>
      </c>
    </row>
    <row r="285" ht="60" customHeight="1" s="290">
      <c r="A285" s="30" t="inlineStr">
        <is>
          <t>2026 New Autel ML629 OBD2 Scanner, ABS SRS Engine Transmission Diagnostic Scan Tool, Mechanic Full OBDII Code Reader w/DTC Lookup AutoVIN, OBD2 Live Data, Up of AL619 AL629 for Professionals DIYers</t>
        </is>
      </c>
      <c r="B285" s="30" t="inlineStr">
        <is>
          <t>B07PQL9HDR</t>
        </is>
      </c>
      <c r="C285" s="30" t="inlineStr">
        <is>
          <t>Handheld</t>
        </is>
      </c>
      <c r="D285" s="324" t="n">
        <v>113.7428</v>
      </c>
      <c r="E285" s="324" t="n">
        <v>18239.97</v>
      </c>
      <c r="F285" s="326" t="n">
        <v>2843.57</v>
      </c>
      <c r="G285" s="55" t="n">
        <v>161</v>
      </c>
      <c r="H285" s="55" t="n">
        <v>25</v>
      </c>
      <c r="I285" s="55" t="n">
        <v>679</v>
      </c>
      <c r="J285" s="56" t="n">
        <v>4.3</v>
      </c>
      <c r="K285" s="56" t="inlineStr">
        <is>
          <t>https://amazon.com/dp/B07PQL9HDR</t>
        </is>
      </c>
      <c r="L285" s="70">
        <f>HYPERLINK(Table1311[[#This Row],[Column1]])</f>
        <v/>
      </c>
    </row>
    <row r="286" ht="45" customHeight="1" s="290">
      <c r="A286" s="30" t="inlineStr">
        <is>
          <t>Autel MaxiCheck Pro OBD2 Scanner ABS Scan Tool for Auto Bleeding, SRS ABS Scanner Car Diagnostic Tool with Oil Reset Airbag SAS EPB BMS Services for Specific Vehicles Up to 2015, Lifetime Free Update</t>
        </is>
      </c>
      <c r="B286" s="30" t="inlineStr">
        <is>
          <t>B07P621KR1</t>
        </is>
      </c>
      <c r="C286" s="30" t="inlineStr">
        <is>
          <t>Handheld</t>
        </is>
      </c>
      <c r="D286" s="324" t="n">
        <v>198.2378571428571</v>
      </c>
      <c r="E286" s="324" t="n">
        <v>53266.07</v>
      </c>
      <c r="F286" s="326" t="n">
        <v>2775.33</v>
      </c>
      <c r="G286" s="55" t="n">
        <v>268</v>
      </c>
      <c r="H286" s="55" t="n">
        <v>14</v>
      </c>
      <c r="I286" s="55" t="n">
        <v>1149</v>
      </c>
      <c r="J286" s="56" t="n">
        <v>4.4</v>
      </c>
      <c r="K286" s="56" t="inlineStr">
        <is>
          <t>https://amazon.com/dp/B07P621KR1</t>
        </is>
      </c>
      <c r="L286" s="70">
        <f>HYPERLINK(Table1311[[#This Row],[Column1]])</f>
        <v/>
      </c>
    </row>
    <row r="287" ht="45" customHeight="1" s="290">
      <c r="A287" s="30" t="inlineStr">
        <is>
          <t>Autel Original TCAN003 Splitter Diagnostic Cable for Tesla Model 3, Y, S, X, 20 Pin + 12 Pin to 16 Pin OBDII Adapter OBD2 Connector Work w/Autel Scanner MaxiSys Ultra Elite II PRO MS909</t>
        </is>
      </c>
      <c r="B287" s="30" t="inlineStr">
        <is>
          <t>B0D3V9DMLP</t>
        </is>
      </c>
      <c r="C287" s="30" t="inlineStr">
        <is>
          <t>Cable/Adapter</t>
        </is>
      </c>
      <c r="D287" s="324" t="n">
        <v>26.05485436893204</v>
      </c>
      <c r="E287" s="324" t="n">
        <v>29500.61</v>
      </c>
      <c r="F287" s="326" t="n">
        <v>2683.65</v>
      </c>
      <c r="G287" s="55" t="n">
        <v>1137</v>
      </c>
      <c r="H287" s="55" t="n">
        <v>103</v>
      </c>
      <c r="I287" s="55" t="n">
        <v>36</v>
      </c>
      <c r="J287" s="56" t="n">
        <v>4.5</v>
      </c>
      <c r="K287" s="56" t="inlineStr">
        <is>
          <t>https://amazon.com/dp/B0D3V9DMLP</t>
        </is>
      </c>
      <c r="L287" s="70">
        <f>HYPERLINK(Table1311[[#This Row],[Column1]])</f>
        <v/>
      </c>
    </row>
    <row r="288" ht="60" customHeight="1" s="290">
      <c r="A288" s="30" t="inlineStr">
        <is>
          <t>Autel Original OBD1 to OBD2 GM Adapter Cable, 12 Pin Male to 16 Pin Female Extension, OBD II Connector Replacement for GM Diagnostic Tool</t>
        </is>
      </c>
      <c r="B288" s="30" t="inlineStr">
        <is>
          <t>B0FNDB1JPY</t>
        </is>
      </c>
      <c r="C288" s="30" t="inlineStr">
        <is>
          <t>OBD1</t>
        </is>
      </c>
      <c r="D288" s="324" t="n">
        <v>16.97183544303797</v>
      </c>
      <c r="E288" s="324" t="n">
        <v>34767.58538461538</v>
      </c>
      <c r="F288" s="326" t="n">
        <v>2681.55</v>
      </c>
      <c r="G288" s="55" t="n">
        <v>882</v>
      </c>
      <c r="H288" s="55" t="n">
        <v>158</v>
      </c>
      <c r="I288" s="55" t="n">
        <v>43</v>
      </c>
      <c r="J288" s="56" t="n">
        <v>3.1</v>
      </c>
      <c r="K288" s="56" t="inlineStr">
        <is>
          <t>https://amazon.com/dp/B0FNDB1JPY</t>
        </is>
      </c>
      <c r="L288" s="70">
        <f>HYPERLINK(Table1311[[#This Row],[Column1]])</f>
        <v/>
      </c>
    </row>
    <row r="289" ht="60" customHeight="1" s="290">
      <c r="A289" s="30" t="inlineStr">
        <is>
          <t>Autel MaxiLink ML519 OBD2 Scanner, New Ver. of AL519, Enhanced Mode 6 Car Code Reader, Check Engine Light Read/Erase Fault Code Car Diagnostic Tool, One-Click Smong Check, DTC Lookup, Up of AL319</t>
        </is>
      </c>
      <c r="B289" s="30" t="inlineStr">
        <is>
          <t>B07PRPQCSL</t>
        </is>
      </c>
      <c r="C289" s="30" t="inlineStr">
        <is>
          <t>Handheld</t>
        </is>
      </c>
      <c r="D289" s="324" t="n">
        <v>60.34186046511628</v>
      </c>
      <c r="E289" s="324" t="n">
        <v>22084.5</v>
      </c>
      <c r="F289" s="326" t="n">
        <v>2594.7</v>
      </c>
      <c r="G289" s="55" t="n">
        <v>368</v>
      </c>
      <c r="H289" s="55" t="n">
        <v>43</v>
      </c>
      <c r="I289" s="55" t="n">
        <v>3786</v>
      </c>
      <c r="J289" s="56" t="n">
        <v>4.6</v>
      </c>
      <c r="K289" s="56" t="inlineStr">
        <is>
          <t>https://amazon.com/dp/B07PRPQCSL</t>
        </is>
      </c>
      <c r="L289" s="70">
        <f>HYPERLINK(Table1311[[#This Row],[Column1]])</f>
        <v/>
      </c>
    </row>
    <row r="290" ht="45" customHeight="1" s="290">
      <c r="A290" s="30" t="inlineStr">
        <is>
          <t>Autel Autolink AL319 Car OBD2 Scanner Code Reader Engine Fault Code Reader Scanner CAN Diagnostic Scan Tool for All OBD II Protocol Cars Since 1996</t>
        </is>
      </c>
      <c r="B290" s="30" t="inlineStr">
        <is>
          <t>B008EPKWD8</t>
        </is>
      </c>
      <c r="C290" s="30" t="inlineStr">
        <is>
          <t>Handheld</t>
        </is>
      </c>
      <c r="D290" s="324" t="n">
        <v>36.91376811594203</v>
      </c>
      <c r="E290" s="324" t="n">
        <v>30130.26</v>
      </c>
      <c r="F290" s="326" t="n">
        <v>2547.05</v>
      </c>
      <c r="G290" s="55" t="n">
        <v>815</v>
      </c>
      <c r="H290" s="55" t="n">
        <v>69</v>
      </c>
      <c r="I290" s="55" t="n">
        <v>109</v>
      </c>
      <c r="J290" s="56" t="n">
        <v>4.7</v>
      </c>
      <c r="K290" s="56" t="inlineStr">
        <is>
          <t>https://amazon.com/dp/B008EPKWD8</t>
        </is>
      </c>
      <c r="L290" s="70">
        <f>HYPERLINK(Table1311[[#This Row],[Column1]])</f>
        <v/>
      </c>
    </row>
    <row r="291" ht="45" customHeight="1" s="290">
      <c r="A291" s="30" t="inlineStr">
        <is>
          <t>Autel MaxiPRO MP900TS Scanner Up of MS906 PRO MS906TS MP900BT MK900-TS TPMS Programming Diagnostic Tool Same as MS906 Pro TS Bi-Directional Test CAN FD&amp;DOIP 40+ Service FCA SGW</t>
        </is>
      </c>
      <c r="B291" s="30" t="inlineStr">
        <is>
          <t>B0FJ1GZ12Z</t>
        </is>
      </c>
      <c r="C291" s="30" t="inlineStr">
        <is>
          <t>Tablet</t>
        </is>
      </c>
      <c r="D291" s="324" t="n">
        <v>1187.13</v>
      </c>
      <c r="E291" s="324" t="n">
        <v>30860.36769230769</v>
      </c>
      <c r="F291" s="326" t="n">
        <v>2374.26</v>
      </c>
      <c r="G291" s="55" t="n">
        <v>17</v>
      </c>
      <c r="H291" s="55" t="n">
        <v>2</v>
      </c>
      <c r="I291" s="55" t="n">
        <v>2</v>
      </c>
      <c r="J291" s="56" t="n">
        <v>5</v>
      </c>
      <c r="K291" s="56" t="inlineStr">
        <is>
          <t>https://amazon.com/dp/B0FJ1GZ12Z</t>
        </is>
      </c>
      <c r="L291" s="70">
        <f>HYPERLINK(Table1311[[#This Row],[Column1]])</f>
        <v/>
      </c>
    </row>
    <row r="292" ht="45" customHeight="1" s="290">
      <c r="A292" s="30" t="inlineStr">
        <is>
          <t>Autel MaxiDiag MD906 PRO OBD2 Scanner, 2026 MD906PRO All Sys Diagnostic Scan Tool Same as MD909 PRO, BT Lite of MK808S, CAN FD, 11 Services, 10 OBDII Test Modes, FCA, Free Update, Up of MD808Pro MD806</t>
        </is>
      </c>
      <c r="B292" s="30" t="inlineStr">
        <is>
          <t>B07R19JCWR</t>
        </is>
      </c>
      <c r="C292" s="30" t="inlineStr">
        <is>
          <t>Tablet</t>
        </is>
      </c>
      <c r="D292" s="324" t="n">
        <v>290.69125</v>
      </c>
      <c r="E292" s="324" t="n">
        <v>19547.72</v>
      </c>
      <c r="F292" s="326" t="n">
        <v>2325.53</v>
      </c>
      <c r="G292" s="55" t="n">
        <v>56</v>
      </c>
      <c r="H292" s="55" t="n">
        <v>8</v>
      </c>
      <c r="I292" s="55" t="n">
        <v>77</v>
      </c>
      <c r="J292" s="56" t="n">
        <v>4.4</v>
      </c>
      <c r="K292" s="56" t="inlineStr">
        <is>
          <t>https://amazon.com/dp/B07R19JCWR</t>
        </is>
      </c>
      <c r="L292" s="70">
        <f>HYPERLINK(Table1311[[#This Row],[Column1]])</f>
        <v/>
      </c>
    </row>
    <row r="293" ht="60" customHeight="1" s="290">
      <c r="A293" s="30" t="inlineStr">
        <is>
          <t>Autel 6 Pin Obd2 Adapter Cable for Kawasaki Yamaha Suzuki Honda Yamaha Milan Piaggio Guzzi Motorcycle, Euro 5 6 Pin OBD1 to 16 Pin OBD2 Cable Connector, Fits CAN Bus and K-Line,Work with Code Reader</t>
        </is>
      </c>
      <c r="B293" s="30" t="inlineStr">
        <is>
          <t>B0DXBRRGVZ</t>
        </is>
      </c>
      <c r="C293" s="30" t="inlineStr">
        <is>
          <t>Cable/Adapter</t>
        </is>
      </c>
      <c r="D293" s="324" t="n">
        <v>19.89939655172414</v>
      </c>
      <c r="E293" s="324" t="n">
        <v>13247.34615384615</v>
      </c>
      <c r="F293" s="326" t="n">
        <v>2308.33</v>
      </c>
      <c r="G293" s="55" t="n">
        <v>558</v>
      </c>
      <c r="H293" s="55" t="n">
        <v>116</v>
      </c>
      <c r="I293" s="55" t="n">
        <v>35</v>
      </c>
      <c r="J293" s="56" t="n">
        <v>4.7</v>
      </c>
      <c r="K293" s="56" t="inlineStr">
        <is>
          <t>https://amazon.com/dp/B0DXBRRGVZ</t>
        </is>
      </c>
      <c r="L293" s="70">
        <f>HYPERLINK(Table1311[[#This Row],[Column1]])</f>
        <v/>
      </c>
    </row>
    <row r="294" ht="30" customHeight="1" s="290">
      <c r="A294" s="30" t="inlineStr">
        <is>
          <t>Autel MaxiSys Ultra Full System Diagnostic OBD2 Scanner Tablet Autel Ultra Have 40+ Reset Services with 5in1 MaxiFlash VCMI Can ECU Programming and ECU Coding Better MS909 MS919 MS Elite MK908 MK909</t>
        </is>
      </c>
      <c r="B294" s="30" t="inlineStr">
        <is>
          <t>B094VFFP4L</t>
        </is>
      </c>
      <c r="C294" s="30" t="inlineStr">
        <is>
          <t>Tablet</t>
        </is>
      </c>
      <c r="D294" s="324" t="n">
        <v>2257.6</v>
      </c>
      <c r="E294" s="324" t="n">
        <v>74181.26999999999</v>
      </c>
      <c r="F294" s="326" t="n">
        <v>2257.6</v>
      </c>
      <c r="G294" s="55" t="n">
        <v>20</v>
      </c>
      <c r="H294" s="55" t="n">
        <v>1</v>
      </c>
      <c r="I294" s="55" t="n">
        <v>21</v>
      </c>
      <c r="J294" s="56" t="n">
        <v>4.4</v>
      </c>
      <c r="K294" s="56" t="inlineStr">
        <is>
          <t>https://amazon.com/dp/B094VFFP4L</t>
        </is>
      </c>
      <c r="L294" s="70">
        <f>HYPERLINK(Table1311[[#This Row],[Column1]])</f>
        <v/>
      </c>
    </row>
    <row r="295" ht="45" customHeight="1" s="290">
      <c r="A295" s="30" t="inlineStr">
        <is>
          <t>Autel TPMS Programming Tool MaxiTPMS ITS600 2023 Version Read/Activate/Relearn TPMS Sensor Program MX Sensor OLS/SAS/BMS/EPB AutoVIN VINscan Free TPMS Software Update Compatible TBE200 TBE100</t>
        </is>
      </c>
      <c r="B295" s="30" t="inlineStr">
        <is>
          <t>B0BDRBDDX6</t>
        </is>
      </c>
      <c r="C295" s="30" t="inlineStr">
        <is>
          <t>Handheld</t>
        </is>
      </c>
      <c r="D295" s="324" t="n">
        <v>547.0075000000001</v>
      </c>
      <c r="E295" s="324" t="n">
        <v>9261.529999999999</v>
      </c>
      <c r="F295" s="326" t="n">
        <v>2188.03</v>
      </c>
      <c r="G295" s="55" t="n">
        <v>19</v>
      </c>
      <c r="H295" s="55" t="n">
        <v>4</v>
      </c>
      <c r="I295" s="55" t="n">
        <v>1</v>
      </c>
      <c r="J295" s="56" t="n">
        <v>5</v>
      </c>
      <c r="K295" s="56" t="inlineStr">
        <is>
          <t>https://amazon.com/dp/B0BDRBDDX6</t>
        </is>
      </c>
      <c r="L295" s="70">
        <f>HYPERLINK(Table1311[[#This Row],[Column1]])</f>
        <v/>
      </c>
    </row>
    <row r="296" ht="45" customHeight="1" s="290">
      <c r="A296" s="30" t="inlineStr">
        <is>
          <t>Autel MaxiCOM MK900TS Diagnostic Scanner - Upgraded from MS906TS/MK808S-TS/MX900, Bi-Directional Scan Tool with Full TPMS Programming, 40+ Services, CAN FD/DOIP, FCA SGW, Android 11</t>
        </is>
      </c>
      <c r="B296" s="30" t="inlineStr">
        <is>
          <t>B0FM83XBLV</t>
        </is>
      </c>
      <c r="C296" s="30" t="inlineStr">
        <is>
          <t>Tablet</t>
        </is>
      </c>
      <c r="D296" s="324" t="n">
        <v>1084.195</v>
      </c>
      <c r="E296" s="324" t="n">
        <v>18481.79538461539</v>
      </c>
      <c r="F296" s="326" t="n">
        <v>2168.39</v>
      </c>
      <c r="G296" s="55" t="n">
        <v>5</v>
      </c>
      <c r="H296" s="55" t="n">
        <v>2</v>
      </c>
      <c r="I296" s="55" t="n">
        <v>2</v>
      </c>
      <c r="J296" s="56" t="n">
        <v>5</v>
      </c>
      <c r="K296" s="56" t="inlineStr">
        <is>
          <t>https://amazon.com/dp/B0FM83XBLV</t>
        </is>
      </c>
      <c r="L296" s="70">
        <f>HYPERLINK(Table1311[[#This Row],[Column1]])</f>
        <v/>
      </c>
    </row>
    <row r="297" ht="60" customHeight="1" s="290">
      <c r="A297" s="30" t="inlineStr">
        <is>
          <t>Autel MaxiDiag MD909 PRO OBD2 Scanner, 2026 MD909PRO Car Code Reader All System Diagnostic Tool, 11 Reset Services, AutoVIN, No Subscription Fee, Lite of MaxiCOM MK808S MX808S MK808BT, CAN FD&amp; FCA SGW</t>
        </is>
      </c>
      <c r="B297" s="30" t="inlineStr">
        <is>
          <t>B0FMRPF7W1</t>
        </is>
      </c>
      <c r="C297" s="30" t="inlineStr">
        <is>
          <t>Tablet</t>
        </is>
      </c>
      <c r="D297" s="324" t="n">
        <v>351.7683333333334</v>
      </c>
      <c r="E297" s="324" t="n">
        <v>32233.5876923077</v>
      </c>
      <c r="F297" s="326" t="n">
        <v>2110.61</v>
      </c>
      <c r="G297" s="55" t="n">
        <v>55</v>
      </c>
      <c r="H297" s="55" t="n">
        <v>6</v>
      </c>
      <c r="I297" s="55" t="n">
        <v>2</v>
      </c>
      <c r="J297" s="56" t="n">
        <v>4.5</v>
      </c>
      <c r="K297" s="56" t="inlineStr">
        <is>
          <t>https://amazon.com/dp/B0FMRPF7W1</t>
        </is>
      </c>
      <c r="L297" s="70">
        <f>HYPERLINK(Table1311[[#This Row],[Column1]])</f>
        <v/>
      </c>
    </row>
    <row r="298" ht="30" customHeight="1" s="290">
      <c r="A298" s="30" t="inlineStr">
        <is>
          <t>Autel MaxiLink ML619 OBD II Scanner - Same as AL619, ABS &amp; SRS Diagnostic Tool for 1996+ Vehicles, Up of AL519 ML519, Code Reader with Live Data &amp; Troubleshooting Tips</t>
        </is>
      </c>
      <c r="B298" s="30" t="inlineStr">
        <is>
          <t>B0FL7HQTPP</t>
        </is>
      </c>
      <c r="C298" s="30" t="inlineStr">
        <is>
          <t>Handheld</t>
        </is>
      </c>
      <c r="D298" s="324" t="n">
        <v>98.99666666666666</v>
      </c>
      <c r="E298" s="324" t="n">
        <v>20918.46153846154</v>
      </c>
      <c r="F298" s="326" t="n">
        <v>2078.93</v>
      </c>
      <c r="G298" s="55" t="n">
        <v>115</v>
      </c>
      <c r="H298" s="55" t="n">
        <v>21</v>
      </c>
      <c r="I298" s="55" t="n">
        <v>5</v>
      </c>
      <c r="J298" s="56" t="n">
        <v>3.9</v>
      </c>
      <c r="K298" s="56" t="inlineStr">
        <is>
          <t>https://amazon.com/dp/B0FL7HQTPP</t>
        </is>
      </c>
      <c r="L298" s="70">
        <f>HYPERLINK(Table1311[[#This Row],[Column1]])</f>
        <v/>
      </c>
    </row>
    <row r="299" ht="45" customHeight="1" s="290">
      <c r="A299" s="30" t="inlineStr">
        <is>
          <t>Autel Scanner MaxiIM IM508S, 2026 Full Bidirectional OBD2 Diagnostic Tool, 3000+ Active Tests, 40+ Services, OE All Systems OBDII Scan for All Cars, Up of IM508 MaxiCOM MK900BT MK900 MK808S, FCA</t>
        </is>
      </c>
      <c r="B299" s="30" t="inlineStr">
        <is>
          <t>B0FR4T4L8L</t>
        </is>
      </c>
      <c r="C299" s="30" t="inlineStr">
        <is>
          <t>Tablet</t>
        </is>
      </c>
      <c r="D299" s="324" t="n">
        <v>1038.585</v>
      </c>
      <c r="E299" s="324" t="n">
        <v>40845.31615384614</v>
      </c>
      <c r="F299" s="326" t="n">
        <v>2077.17</v>
      </c>
      <c r="G299" s="55" t="n">
        <v>25</v>
      </c>
      <c r="H299" s="55" t="n">
        <v>2</v>
      </c>
      <c r="I299" s="55" t="n">
        <v>1</v>
      </c>
      <c r="J299" s="56" t="n">
        <v>5</v>
      </c>
      <c r="K299" s="56" t="inlineStr">
        <is>
          <t>https://amazon.com/dp/B0FR4T4L8L</t>
        </is>
      </c>
      <c r="L299" s="70">
        <f>HYPERLINK(Table1311[[#This Row],[Column1]])</f>
        <v/>
      </c>
    </row>
    <row r="300" ht="45" customHeight="1" s="290">
      <c r="A300" s="30" t="inlineStr">
        <is>
          <t>Autel OBD2 Memory Saver for Car Battery, 2026 MaxiBAS BTMS for All 12V Vehicles, Preserve ECU Code &amp; Electronic Presets, Maintain PCM Data, Polarity Protection, Built-in Voltage Meter, LED Lights</t>
        </is>
      </c>
      <c r="B300" s="30" t="inlineStr">
        <is>
          <t>B0DTV6LHHH</t>
        </is>
      </c>
      <c r="C300" s="30" t="inlineStr">
        <is>
          <t>Other</t>
        </is>
      </c>
      <c r="D300" s="324" t="n">
        <v>42.06042553191489</v>
      </c>
      <c r="E300" s="324" t="n">
        <v>23973.46538461538</v>
      </c>
      <c r="F300" s="326" t="n">
        <v>1976.84</v>
      </c>
      <c r="G300" s="55" t="n">
        <v>537</v>
      </c>
      <c r="H300" s="55" t="n">
        <v>47</v>
      </c>
      <c r="I300" s="55" t="n">
        <v>46</v>
      </c>
      <c r="J300" s="56" t="n">
        <v>4.9</v>
      </c>
      <c r="K300" s="56" t="inlineStr">
        <is>
          <t>https://amazon.com/dp/B0DTV6LHHH</t>
        </is>
      </c>
      <c r="L300" s="70">
        <f>HYPERLINK(Table1311[[#This Row],[Column1]])</f>
        <v/>
      </c>
    </row>
    <row r="301" ht="45" customHeight="1" s="290">
      <c r="A301" s="30" t="inlineStr">
        <is>
          <t>Autel MaxiI-M IM608 PRO 2 Scanner, 2026 Same as M608 II /IM608S PRO II /IM608S II, Advanced as Elite II Pro, 40+ Service, 3000+ Active Test, OE Full Diagnostic, CAN FD&amp; DOIP Up of IM608 PRO/IM508S</t>
        </is>
      </c>
      <c r="B301" s="30" t="inlineStr">
        <is>
          <t>B0DJ1DKRZQ</t>
        </is>
      </c>
      <c r="C301" s="30" t="inlineStr">
        <is>
          <t>Tablet</t>
        </is>
      </c>
      <c r="D301" s="324" t="n">
        <v>1964.95</v>
      </c>
      <c r="E301" s="324" t="n">
        <v>134336.66</v>
      </c>
      <c r="F301" s="326" t="n">
        <v>1964.95</v>
      </c>
      <c r="G301" s="55" t="n">
        <v>44</v>
      </c>
      <c r="H301" s="55" t="n">
        <v>1</v>
      </c>
      <c r="I301" s="55" t="n">
        <v>7</v>
      </c>
      <c r="J301" s="56" t="n">
        <v>4.1</v>
      </c>
      <c r="K301" s="56" t="inlineStr">
        <is>
          <t>https://amazon.com/dp/B0DJ1DKRZQ</t>
        </is>
      </c>
      <c r="L301" s="70">
        <f>HYPERLINK(Table1311[[#This Row],[Column1]])</f>
        <v/>
      </c>
    </row>
    <row r="302" ht="45" customHeight="1" s="290">
      <c r="A302" s="30" t="inlineStr">
        <is>
          <t>Autel OBD2 OBDII Extension Cable, 5ft 1.5M, 16 Pin OBD II Male to Female Extension Cable Extender, Car 16Pin OBD 2 Diagnostic Cord Adapter, for All OBD2 Vehicles, Work with Scam Tool and Code Reader</t>
        </is>
      </c>
      <c r="B302" s="30" t="inlineStr">
        <is>
          <t>B0D4M9BQF2</t>
        </is>
      </c>
      <c r="C302" s="30" t="inlineStr">
        <is>
          <t>Cable/Adapter</t>
        </is>
      </c>
      <c r="D302" s="324" t="n">
        <v>23.07590361445783</v>
      </c>
      <c r="E302" s="324" t="n">
        <v>17656.07</v>
      </c>
      <c r="F302" s="326" t="n">
        <v>1915.3</v>
      </c>
      <c r="G302" s="55" t="n">
        <v>768</v>
      </c>
      <c r="H302" s="55" t="n">
        <v>83</v>
      </c>
      <c r="I302" s="55" t="n">
        <v>77</v>
      </c>
      <c r="J302" s="56" t="n">
        <v>4.7</v>
      </c>
      <c r="K302" s="56" t="inlineStr">
        <is>
          <t>https://amazon.com/dp/B0D4M9BQF2</t>
        </is>
      </c>
      <c r="L302" s="70">
        <f>HYPERLINK(Table1311[[#This Row],[Column1]])</f>
        <v/>
      </c>
    </row>
    <row r="303" ht="60" customHeight="1" s="290">
      <c r="A303" s="30" t="inlineStr">
        <is>
          <t>Autel MaxiIM KM100 OBD2 Diagnostic Scan Tool, Lifetime Free Update 2026 New Autel Scanner (95% Covered), 10+ Service, 2+64G, 10X Fast Hardware, No IP Limit</t>
        </is>
      </c>
      <c r="B303" s="30" t="inlineStr">
        <is>
          <t>B0FPC6GQ8K</t>
        </is>
      </c>
      <c r="C303" s="30" t="inlineStr">
        <is>
          <t>Tablet</t>
        </is>
      </c>
      <c r="D303" s="324" t="n">
        <v>474.0425</v>
      </c>
      <c r="E303" s="324" t="n">
        <v>21684.56846153846</v>
      </c>
      <c r="F303" s="326" t="n">
        <v>1896.17</v>
      </c>
      <c r="G303" s="55" t="n">
        <v>5</v>
      </c>
      <c r="H303" s="55" t="n">
        <v>4</v>
      </c>
      <c r="I303" s="55" t="n"/>
      <c r="J303" s="56" t="n"/>
      <c r="K303" s="56" t="inlineStr">
        <is>
          <t>https://amazon.com/dp/B0FPC6GQ8K</t>
        </is>
      </c>
      <c r="L303" s="70">
        <f>HYPERLINK(Table1311[[#This Row],[Column1]])</f>
        <v/>
      </c>
    </row>
    <row r="304" ht="60" customHeight="1" s="290">
      <c r="A304" s="30" t="inlineStr">
        <is>
          <t>Autel MaxiVCI V150 Bluetooth Vehicle Communication Interface, VCI150 OBD Scanner, Comprehensive Diagnostic, Work with TS900, MP900-BT, MP900Z-BT, DS900TS, DS900BT, MP900-TS</t>
        </is>
      </c>
      <c r="B304" s="30" t="inlineStr">
        <is>
          <t>B0DJQQMHNR</t>
        </is>
      </c>
      <c r="C304" s="30" t="inlineStr">
        <is>
          <t>Dongle</t>
        </is>
      </c>
      <c r="D304" s="324" t="n">
        <v>189.215</v>
      </c>
      <c r="E304" s="324" t="n">
        <v>20109.73</v>
      </c>
      <c r="F304" s="326" t="n">
        <v>1892.15</v>
      </c>
      <c r="G304" s="55" t="n">
        <v>101</v>
      </c>
      <c r="H304" s="55" t="n">
        <v>10</v>
      </c>
      <c r="I304" s="55" t="n">
        <v>5</v>
      </c>
      <c r="J304" s="56" t="n">
        <v>5</v>
      </c>
      <c r="K304" s="56" t="inlineStr">
        <is>
          <t>https://amazon.com/dp/B0DJQQMHNR</t>
        </is>
      </c>
      <c r="L304" s="70">
        <f>HYPERLINK(Table1311[[#This Row],[Column1]])</f>
        <v/>
      </c>
    </row>
    <row r="305" ht="45" customHeight="1" s="290">
      <c r="A305" s="30" t="inlineStr">
        <is>
          <t>Autel MaxiSYS MS906 PRO-TS Scanner, Up of MS906MAX MS906Pro MP900TS MS906TS MP900BT, Full TPMS Diagnostic, Bidirectional Scan Tool, ECU Coding, 36+ Service, DOIP&amp;CAN FD, FCA, VAG</t>
        </is>
      </c>
      <c r="B305" s="30" t="inlineStr">
        <is>
          <t>B0BS6GZC5J</t>
        </is>
      </c>
      <c r="C305" s="30" t="inlineStr">
        <is>
          <t>Tablet</t>
        </is>
      </c>
      <c r="D305" s="324" t="n">
        <v>1888.22</v>
      </c>
      <c r="E305" s="324" t="n">
        <v>44856.11</v>
      </c>
      <c r="F305" s="326" t="n">
        <v>1888.22</v>
      </c>
      <c r="G305" s="55" t="n">
        <v>29</v>
      </c>
      <c r="H305" s="55" t="n">
        <v>1</v>
      </c>
      <c r="I305" s="55" t="n">
        <v>18</v>
      </c>
      <c r="J305" s="56" t="n">
        <v>4.6</v>
      </c>
      <c r="K305" s="56" t="inlineStr">
        <is>
          <t>https://amazon.com/dp/B0BS6GZC5J</t>
        </is>
      </c>
      <c r="L305" s="70">
        <f>HYPERLINK(Table1311[[#This Row],[Column1]])</f>
        <v/>
      </c>
    </row>
    <row r="306" ht="45" customHeight="1" s="290">
      <c r="A306" s="30" t="inlineStr">
        <is>
          <t>Autel MaxiSys MSOBD2KIT Non-OBDII Adapter Kit, 9PCS OBD Diagnostics Connectors w/Rugged Blow-Molded Carrying Case, Support All Autel Scanners MSUltra MS919 MS909 Elite II MS906 Pro MK808S MX900 MK900</t>
        </is>
      </c>
      <c r="B306" s="30" t="inlineStr">
        <is>
          <t>B0B14HBF2H</t>
        </is>
      </c>
      <c r="C306" s="30" t="inlineStr">
        <is>
          <t>Cable/Adapter</t>
        </is>
      </c>
      <c r="D306" s="324" t="n">
        <v>134.5685714285714</v>
      </c>
      <c r="E306" s="324" t="n">
        <v>21041.72</v>
      </c>
      <c r="F306" s="326" t="n">
        <v>1883.96</v>
      </c>
      <c r="G306" s="55" t="n">
        <v>153</v>
      </c>
      <c r="H306" s="55" t="n">
        <v>14</v>
      </c>
      <c r="I306" s="55" t="n">
        <v>24</v>
      </c>
      <c r="J306" s="56" t="n">
        <v>4.9</v>
      </c>
      <c r="K306" s="56" t="inlineStr">
        <is>
          <t>https://amazon.com/dp/B0B14HBF2H</t>
        </is>
      </c>
      <c r="L306" s="70">
        <f>HYPERLINK(Table1311[[#This Row],[Column1]])</f>
        <v/>
      </c>
    </row>
    <row r="307" ht="45" customHeight="1" s="290">
      <c r="A307" s="30" t="inlineStr">
        <is>
          <t>Autel OBDII OBD2 Code Reader Diaglink (DIY Version of MD802) All Systems/Modules Diagnostic for ABS, SRS, Engine, Transmission, EPB, Oil Reset</t>
        </is>
      </c>
      <c r="B307" s="30" t="inlineStr">
        <is>
          <t>B01N0QQZY7</t>
        </is>
      </c>
      <c r="C307" s="30" t="inlineStr">
        <is>
          <t>Handheld</t>
        </is>
      </c>
      <c r="D307" s="324" t="n">
        <v>88.42100000000001</v>
      </c>
      <c r="E307" s="324" t="n">
        <v>17816.4</v>
      </c>
      <c r="F307" s="326" t="n">
        <v>1768.42</v>
      </c>
      <c r="G307" s="55" t="n">
        <v>186</v>
      </c>
      <c r="H307" s="55" t="n">
        <v>20</v>
      </c>
      <c r="I307" s="55" t="n">
        <v>1069</v>
      </c>
      <c r="J307" s="56" t="n">
        <v>4</v>
      </c>
      <c r="K307" s="56" t="inlineStr">
        <is>
          <t>https://amazon.com/dp/B01N0QQZY7</t>
        </is>
      </c>
      <c r="L307" s="70">
        <f>HYPERLINK(Table1311[[#This Row],[Column1]])</f>
        <v/>
      </c>
    </row>
    <row r="308" ht="45" customHeight="1" s="290">
      <c r="A308" s="30" t="inlineStr">
        <is>
          <t>Autel Total Care Program 1-Year Warranty Update for MS909 — Model# MS9091YRUPDATE</t>
        </is>
      </c>
      <c r="B308" s="30" t="inlineStr">
        <is>
          <t>B09WW5CBNS</t>
        </is>
      </c>
      <c r="C308" s="30" t="inlineStr">
        <is>
          <t>Other</t>
        </is>
      </c>
      <c r="D308" s="324" t="n">
        <v>882.58</v>
      </c>
      <c r="E308" s="324" t="n">
        <v>24348.81</v>
      </c>
      <c r="F308" s="326" t="n">
        <v>1765.16</v>
      </c>
      <c r="G308" s="55" t="n">
        <v>28</v>
      </c>
      <c r="H308" s="55" t="n">
        <v>2</v>
      </c>
      <c r="I308" s="55" t="n">
        <v>2</v>
      </c>
      <c r="J308" s="56" t="n">
        <v>5</v>
      </c>
      <c r="K308" s="56" t="inlineStr">
        <is>
          <t>https://amazon.com/dp/B09WW5CBNS</t>
        </is>
      </c>
      <c r="L308" s="70">
        <f>HYPERLINK(Table1311[[#This Row],[Column1]])</f>
        <v/>
      </c>
    </row>
    <row r="309" ht="60" customHeight="1" s="290">
      <c r="A309" s="30" t="inlineStr">
        <is>
          <t>Autel MaxiCOM MK900 Bidirectional Scanner, New Autel Scanner Upgrade from MK808S MX808S MK808Z, 40+ OBD2 Service Mode, All System Scan Tool for Car, WiFi Print, DoIP CAN FD, FCA Auto Auth</t>
        </is>
      </c>
      <c r="B309" s="30" t="inlineStr">
        <is>
          <t>B0DHG4FP45</t>
        </is>
      </c>
      <c r="C309" s="30" t="inlineStr">
        <is>
          <t>Tablet</t>
        </is>
      </c>
      <c r="D309" s="324" t="n">
        <v>586.2233333333334</v>
      </c>
      <c r="E309" s="324" t="n">
        <v>85943.76999999999</v>
      </c>
      <c r="F309" s="326" t="n">
        <v>1758.67</v>
      </c>
      <c r="G309" s="55" t="n">
        <v>157</v>
      </c>
      <c r="H309" s="55" t="n">
        <v>3</v>
      </c>
      <c r="I309" s="55" t="n">
        <v>5</v>
      </c>
      <c r="J309" s="56" t="n">
        <v>4.6</v>
      </c>
      <c r="K309" s="56" t="inlineStr">
        <is>
          <t>https://amazon.com/dp/B0DHG4FP45</t>
        </is>
      </c>
      <c r="L309" s="70">
        <f>HYPERLINK(Table1311[[#This Row],[Column1]])</f>
        <v/>
      </c>
    </row>
    <row r="310" ht="45" customHeight="1" s="290">
      <c r="A310" s="30" t="inlineStr">
        <is>
          <t>MaxiCheck MX900</t>
        </is>
      </c>
      <c r="B310" s="30" t="inlineStr">
        <is>
          <t>B0F1W591BJ</t>
        </is>
      </c>
      <c r="C310" s="30" t="inlineStr">
        <is>
          <t>Tablet</t>
        </is>
      </c>
      <c r="D310" s="324" t="n">
        <v>572.77</v>
      </c>
      <c r="E310" s="324" t="n">
        <v>20751.89769230769</v>
      </c>
      <c r="F310" s="326" t="n">
        <v>1718.31</v>
      </c>
      <c r="G310" s="55" t="n">
        <v>3</v>
      </c>
      <c r="H310" s="55" t="n">
        <v>3</v>
      </c>
      <c r="I310" s="55" t="n"/>
      <c r="J310" s="56" t="n"/>
      <c r="K310" s="56" t="inlineStr">
        <is>
          <t>https://amazon.com/dp/B0F1W591BJ</t>
        </is>
      </c>
      <c r="L310" s="70">
        <f>HYPERLINK(Table1311[[#This Row],[Column1]])</f>
        <v/>
      </c>
    </row>
    <row r="311" ht="45" customHeight="1" s="290">
      <c r="A311" s="30" t="inlineStr">
        <is>
          <t>Autel MaxiSys MSOBD2KIT Non-OBDII Adapter Kit, 9PCS Connector for Diagnose OBD 1 Vehicle, OE-Compliant Connectors, Support Autel Scanner MK808S MK900 MX900 MK808BT PRO MK900BT MP900BT MS906 PRO Ultra</t>
        </is>
      </c>
      <c r="B311" s="30" t="inlineStr">
        <is>
          <t>B09MYDX4JS</t>
        </is>
      </c>
      <c r="C311" s="30" t="inlineStr">
        <is>
          <t>Cable/Adapter</t>
        </is>
      </c>
      <c r="D311" s="324" t="n">
        <v>130.7461538461538</v>
      </c>
      <c r="E311" s="324" t="n">
        <v>18814.98</v>
      </c>
      <c r="F311" s="326" t="n">
        <v>1699.7</v>
      </c>
      <c r="G311" s="55" t="n">
        <v>148</v>
      </c>
      <c r="H311" s="55" t="n">
        <v>13</v>
      </c>
      <c r="I311" s="55" t="n">
        <v>37</v>
      </c>
      <c r="J311" s="56" t="n">
        <v>4.8</v>
      </c>
      <c r="K311" s="56" t="inlineStr">
        <is>
          <t>https://amazon.com/dp/B09MYDX4JS</t>
        </is>
      </c>
      <c r="L311" s="70">
        <f>HYPERLINK(Table1311[[#This Row],[Column1]])</f>
        <v/>
      </c>
    </row>
    <row r="312" ht="45" customHeight="1" s="290">
      <c r="A312" s="30" t="inlineStr">
        <is>
          <t>Autel IM508S PRO OBD2 Diagnostic Scanner, 2026 Full Bundle as 608 pro 2, Upgrade of IM508S IM508, 40+ Service, 3000+ Active Tests, All System Diagnostic, FCA, OS 11.0</t>
        </is>
      </c>
      <c r="B312" s="30" t="inlineStr">
        <is>
          <t>B0GQ8F5F23</t>
        </is>
      </c>
      <c r="C312" s="30" t="inlineStr">
        <is>
          <t>Tablet</t>
        </is>
      </c>
      <c r="D312" s="324" t="n">
        <v>1698.98</v>
      </c>
      <c r="E312" s="324" t="n">
        <v>20518.45076923077</v>
      </c>
      <c r="F312" s="326" t="n">
        <v>1698.98</v>
      </c>
      <c r="G312" s="55" t="n">
        <v>1</v>
      </c>
      <c r="H312" s="55" t="n">
        <v>1</v>
      </c>
      <c r="I312" s="55" t="n"/>
      <c r="J312" s="56" t="n"/>
      <c r="K312" s="56" t="inlineStr">
        <is>
          <t>https://amazon.com/dp/B0GQ8F5F23</t>
        </is>
      </c>
      <c r="L312" s="70">
        <f>HYPERLINK(Table1311[[#This Row],[Column1]])</f>
        <v/>
      </c>
    </row>
    <row r="313" ht="30" customHeight="1" s="290">
      <c r="A313" s="30" t="inlineStr">
        <is>
          <t>Autel MaxiFlash VCI Kit J2534 Reprogramming Tool J2534 PassThru ECU Programming Tool Support CAN FD 4 CAN Channels DoIP D-PDU Autel Bluetooth VCI Works with PC MS909 MS909EV MS909CV</t>
        </is>
      </c>
      <c r="B313" s="30" t="inlineStr">
        <is>
          <t>B0CXP123X6</t>
        </is>
      </c>
      <c r="C313" s="30" t="inlineStr">
        <is>
          <t>VCI</t>
        </is>
      </c>
      <c r="D313" s="324" t="n">
        <v>826.35</v>
      </c>
      <c r="E313" s="324" t="n">
        <v>17154.55</v>
      </c>
      <c r="F313" s="326" t="n">
        <v>1652.7</v>
      </c>
      <c r="G313" s="55" t="n">
        <v>18</v>
      </c>
      <c r="H313" s="55" t="n">
        <v>2</v>
      </c>
      <c r="I313" s="55" t="n"/>
      <c r="J313" s="56" t="n"/>
      <c r="K313" s="56" t="inlineStr">
        <is>
          <t>https://amazon.com/dp/B0CXP123X6</t>
        </is>
      </c>
      <c r="L313" s="70">
        <f>HYPERLINK(Table1311[[#This Row],[Column1]])</f>
        <v/>
      </c>
    </row>
    <row r="314" ht="45" customHeight="1" s="290">
      <c r="A314" s="30" t="inlineStr">
        <is>
          <t>Autel AT100 Super Chip 2026, Transponder for ID11 ID12 ID13 ID46 ID47 ID48 ID49 ID4A ID4C ID5C ID4D ID64 ID8A ID8C MQB, Work with MaxiIM KM100 IM508 IM508S IM608 IM608 PRO 2 (10PCS/ Pack)</t>
        </is>
      </c>
      <c r="B314" s="30" t="inlineStr">
        <is>
          <t>B0FM49DF77</t>
        </is>
      </c>
      <c r="C314" s="30" t="inlineStr">
        <is>
          <t>Key</t>
        </is>
      </c>
      <c r="D314" s="324" t="n">
        <v>48.58176470588235</v>
      </c>
      <c r="E314" s="324" t="n">
        <v>17382.04</v>
      </c>
      <c r="F314" s="326" t="n">
        <v>1651.78</v>
      </c>
      <c r="G314" s="55" t="n">
        <v>169</v>
      </c>
      <c r="H314" s="55" t="n">
        <v>34</v>
      </c>
      <c r="I314" s="55" t="n">
        <v>21</v>
      </c>
      <c r="J314" s="56" t="n">
        <v>4.9</v>
      </c>
      <c r="K314" s="56" t="inlineStr">
        <is>
          <t>https://amazon.com/dp/B0FM49DF77</t>
        </is>
      </c>
      <c r="L314" s="70">
        <f>HYPERLINK(Table1311[[#This Row],[Column1]])</f>
        <v/>
      </c>
    </row>
    <row r="315" ht="45" customHeight="1" s="290">
      <c r="A315" s="30" t="inlineStr">
        <is>
          <t>Autel MaxiPRO MP900 Scanner, 2026 MP900 Same as MP900BT MS906 PRO MS906MAX, Up of MS906 MP808BT PRO MP808S MK900 MX900, Bidirectional Scan Tool, 3K+ Test, 40+ Resets, CAN FD &amp; DOIP, 11.0 OS</t>
        </is>
      </c>
      <c r="B315" s="30" t="inlineStr">
        <is>
          <t>B0F5H3MBQW</t>
        </is>
      </c>
      <c r="C315" s="30" t="inlineStr">
        <is>
          <t>Tablet</t>
        </is>
      </c>
      <c r="D315" s="324" t="n">
        <v>798.99</v>
      </c>
      <c r="E315" s="324" t="n">
        <v>24030.32692307693</v>
      </c>
      <c r="F315" s="326" t="n">
        <v>1597.98</v>
      </c>
      <c r="G315" s="55" t="n">
        <v>26</v>
      </c>
      <c r="H315" s="55" t="n">
        <v>2</v>
      </c>
      <c r="I315" s="55" t="n">
        <v>6</v>
      </c>
      <c r="J315" s="56" t="n">
        <v>4.4</v>
      </c>
      <c r="K315" s="56" t="inlineStr">
        <is>
          <t>https://amazon.com/dp/B0F5H3MBQW</t>
        </is>
      </c>
      <c r="L315" s="70">
        <f>HYPERLINK(Table1311[[#This Row],[Column1]])</f>
        <v/>
      </c>
    </row>
    <row r="316" ht="45" customHeight="1" s="290">
      <c r="A316" s="30" t="inlineStr">
        <is>
          <t>Autel Original CV CAT 14-Pin Adapter, CAT 14 Off Highway Connector for Caterpillar Engines, 2026 Work with Autel Scanner Heavy Duty Truck Semi Scan Tool MaxiSYS MS909CV, MS908CV II, MS908CV, MS906CV</t>
        </is>
      </c>
      <c r="B316" s="30" t="inlineStr">
        <is>
          <t>B0DBHVKGK8</t>
        </is>
      </c>
      <c r="C316" s="30" t="inlineStr">
        <is>
          <t>Cable/Adapter</t>
        </is>
      </c>
      <c r="D316" s="324" t="n">
        <v>39.6695</v>
      </c>
      <c r="E316" s="324" t="n">
        <v>14806.99</v>
      </c>
      <c r="F316" s="326" t="n">
        <v>1586.78</v>
      </c>
      <c r="G316" s="55" t="n">
        <v>376</v>
      </c>
      <c r="H316" s="55" t="n">
        <v>40</v>
      </c>
      <c r="I316" s="55" t="n">
        <v>8</v>
      </c>
      <c r="J316" s="56" t="n">
        <v>4.5</v>
      </c>
      <c r="K316" s="56" t="inlineStr">
        <is>
          <t>https://amazon.com/dp/B0DBHVKGK8</t>
        </is>
      </c>
      <c r="L316" s="70">
        <f>HYPERLINK(Table1311[[#This Row],[Column1]])</f>
        <v/>
      </c>
    </row>
    <row r="317" ht="45" customHeight="1" s="290">
      <c r="A317" s="30" t="inlineStr">
        <is>
          <t>Autel MaxiSys Elite 2 Pro Scanner, 2026 Elite II Pro with 2 Years Update, J2534 Pr0gramming as MS Ultra MS909 MS919 Up of MS908S PRO II MK908P, Motor TruSpeed, 3000+ Tests, 40+ Service, CANFD, 10.0 OS</t>
        </is>
      </c>
      <c r="B317" s="30" t="inlineStr">
        <is>
          <t>B0G6ZDHJPR</t>
        </is>
      </c>
      <c r="C317" s="30" t="inlineStr">
        <is>
          <t>Tablet</t>
        </is>
      </c>
      <c r="D317" s="324" t="n">
        <v>1579.32</v>
      </c>
      <c r="E317" s="324" t="n">
        <v>28625.81076923078</v>
      </c>
      <c r="F317" s="326" t="n">
        <v>1579.32</v>
      </c>
      <c r="G317" s="55" t="n">
        <v>8</v>
      </c>
      <c r="H317" s="55" t="n">
        <v>1</v>
      </c>
      <c r="I317" s="55" t="n">
        <v>30</v>
      </c>
      <c r="J317" s="56" t="n">
        <v>4.4</v>
      </c>
      <c r="K317" s="56" t="inlineStr">
        <is>
          <t>https://amazon.com/dp/B0G6ZDHJPR</t>
        </is>
      </c>
      <c r="L317" s="70">
        <f>HYPERLINK(Table1311[[#This Row],[Column1]])</f>
        <v/>
      </c>
    </row>
    <row r="318" ht="45" customHeight="1" s="290">
      <c r="A318" s="30" t="inlineStr">
        <is>
          <t>2026 Autel MaxiPRO MP808S KIT Scanner, 2-Year Update of MP900Z-BT MP900-BT KIT, ECU C0ding, 31+ Reset, 3000+ Test, Alternative to MaxiSYS MS906 PRO, w/ $200 11PCS OBD Cables, Up of MK808S MX900 MK900</t>
        </is>
      </c>
      <c r="B318" s="30" t="inlineStr">
        <is>
          <t>B07R2N9K31</t>
        </is>
      </c>
      <c r="C318" s="30" t="inlineStr">
        <is>
          <t>Tablet</t>
        </is>
      </c>
      <c r="D318" s="324" t="n">
        <v>771.42</v>
      </c>
      <c r="E318" s="324" t="n">
        <v>27335.97</v>
      </c>
      <c r="F318" s="326" t="n">
        <v>1542.84</v>
      </c>
      <c r="G318" s="55" t="n">
        <v>38</v>
      </c>
      <c r="H318" s="55" t="n">
        <v>2</v>
      </c>
      <c r="I318" s="55" t="n">
        <v>314</v>
      </c>
      <c r="J318" s="56" t="n">
        <v>4.5</v>
      </c>
      <c r="K318" s="56" t="inlineStr">
        <is>
          <t>https://amazon.com/dp/B07R2N9K31</t>
        </is>
      </c>
      <c r="L318" s="70">
        <f>HYPERLINK(Table1311[[#This Row],[Column1]])</f>
        <v/>
      </c>
    </row>
    <row r="319" ht="45" customHeight="1" s="290">
      <c r="A319" s="30" t="inlineStr">
        <is>
          <t>Autel OBD2 Scanner MS309 Automotive Check Engine Code Reader, Check Emission Monitor Status, CAN Diagnostic Scan Tool for All OBDII Protocol Vehicles After 1996</t>
        </is>
      </c>
      <c r="B319" s="30" t="inlineStr">
        <is>
          <t>B001LHQBMC</t>
        </is>
      </c>
      <c r="C319" s="30" t="inlineStr">
        <is>
          <t>Handheld</t>
        </is>
      </c>
      <c r="D319" s="324" t="n">
        <v>22.82925373134328</v>
      </c>
      <c r="E319" s="324" t="n">
        <v>21120.23</v>
      </c>
      <c r="F319" s="326" t="n">
        <v>1529.56</v>
      </c>
      <c r="G319" s="55" t="n">
        <v>921</v>
      </c>
      <c r="H319" s="55" t="n">
        <v>67</v>
      </c>
      <c r="I319" s="55" t="n">
        <v>3626</v>
      </c>
      <c r="J319" s="56" t="n">
        <v>4.5</v>
      </c>
      <c r="K319" s="56" t="inlineStr">
        <is>
          <t>https://amazon.com/dp/B001LHQBMC</t>
        </is>
      </c>
      <c r="L319" s="70">
        <f>HYPERLINK(Table1311[[#This Row],[Column1]])</f>
        <v/>
      </c>
    </row>
    <row r="320" ht="45" customHeight="1" s="290">
      <c r="A320" s="30" t="inlineStr">
        <is>
          <t>Autel MaxiVCI Mini Bluetooth, Vehicle Communication Wireless Interface, Diagnostic Connector Compatible for MK808BT MK808TS MX808TS MP808TS TS608</t>
        </is>
      </c>
      <c r="B320" s="30" t="inlineStr">
        <is>
          <t>B09Z24BVGP</t>
        </is>
      </c>
      <c r="C320" s="30" t="inlineStr">
        <is>
          <t>Dongle</t>
        </is>
      </c>
      <c r="D320" s="324" t="n">
        <v>122.9825</v>
      </c>
      <c r="E320" s="324" t="n">
        <v>14379.75</v>
      </c>
      <c r="F320" s="326" t="n">
        <v>1475.79</v>
      </c>
      <c r="G320" s="55" t="n">
        <v>123</v>
      </c>
      <c r="H320" s="55" t="n">
        <v>12</v>
      </c>
      <c r="I320" s="55" t="n">
        <v>17</v>
      </c>
      <c r="J320" s="56" t="n">
        <v>4.6</v>
      </c>
      <c r="K320" s="56" t="inlineStr">
        <is>
          <t>https://amazon.com/dp/B09Z24BVGP</t>
        </is>
      </c>
      <c r="L320" s="70">
        <f>HYPERLINK(Table1311[[#This Row],[Column1]])</f>
        <v/>
      </c>
    </row>
    <row r="321" ht="45" customHeight="1" s="290">
      <c r="A321" s="30" t="inlineStr">
        <is>
          <t>Autel MaxiSys Ultra 1-Year Update Service, Total Care Program (TCP) Card, One Year Software Subscription &amp; Warranty</t>
        </is>
      </c>
      <c r="B321" s="30" t="inlineStr">
        <is>
          <t>B0G64B7R8V</t>
        </is>
      </c>
      <c r="C321" s="30" t="inlineStr">
        <is>
          <t>Other</t>
        </is>
      </c>
      <c r="D321" s="324" t="n">
        <v>1465.53</v>
      </c>
      <c r="E321" s="324" t="n">
        <v>15133.39538461539</v>
      </c>
      <c r="F321" s="326" t="n">
        <v>1465.53</v>
      </c>
      <c r="G321" s="55" t="n">
        <v>3</v>
      </c>
      <c r="H321" s="55" t="n">
        <v>1</v>
      </c>
      <c r="I321" s="55" t="n"/>
      <c r="J321" s="56" t="n"/>
      <c r="K321" s="56" t="inlineStr">
        <is>
          <t>https://amazon.com/dp/B0G64B7R8V</t>
        </is>
      </c>
      <c r="L321" s="70">
        <f>HYPERLINK(Table1311[[#This Row],[Column1]])</f>
        <v/>
      </c>
    </row>
    <row r="322" ht="60" customHeight="1" s="290">
      <c r="A322" s="30" t="inlineStr">
        <is>
          <t>Autel MaxiVCI V100 Bluetooth Vehicle Communication Interface OBD Scanner Comprehensive Diagnostics Work with MS906BT, MK906BT, MS906TS, MK908, MS908, MS908S Pro, MS908 Pro, MK908P, MaxiSYS Elite</t>
        </is>
      </c>
      <c r="B322" s="30" t="inlineStr">
        <is>
          <t>B0BNM91GZH</t>
        </is>
      </c>
      <c r="C322" s="30" t="inlineStr">
        <is>
          <t>Dongle</t>
        </is>
      </c>
      <c r="D322" s="324" t="n">
        <v>204.3457142857143</v>
      </c>
      <c r="E322" s="324" t="n">
        <v>25465.96</v>
      </c>
      <c r="F322" s="326" t="n">
        <v>1430.42</v>
      </c>
      <c r="G322" s="55" t="n">
        <v>131</v>
      </c>
      <c r="H322" s="55" t="n">
        <v>7</v>
      </c>
      <c r="I322" s="55" t="n">
        <v>9</v>
      </c>
      <c r="J322" s="56" t="n">
        <v>5</v>
      </c>
      <c r="K322" s="56" t="inlineStr">
        <is>
          <t>https://amazon.com/dp/B0BNM91GZH</t>
        </is>
      </c>
      <c r="L322" s="70">
        <f>HYPERLINK(Table1311[[#This Row],[Column1]])</f>
        <v/>
      </c>
    </row>
    <row r="323" ht="45" customHeight="1" s="290">
      <c r="A323" s="30" t="inlineStr">
        <is>
          <t>Autel MaxiCOM MK808Z-TS Scanner, TPMS Programming Tool with All System Diagnostic Scan, Same as MX808S-TS MK808S-TS, MX-Sensor Programmer, 28+ Services, 3000+ Active Tests, Android 11, FCA AutoAuth</t>
        </is>
      </c>
      <c r="B323" s="30" t="inlineStr">
        <is>
          <t>B0FKGN6W6S</t>
        </is>
      </c>
      <c r="C323" s="30" t="inlineStr">
        <is>
          <t>Tablet</t>
        </is>
      </c>
      <c r="D323" s="324" t="n">
        <v>705.775</v>
      </c>
      <c r="E323" s="324" t="n">
        <v>15451.04538461539</v>
      </c>
      <c r="F323" s="326" t="n">
        <v>1411.55</v>
      </c>
      <c r="G323" s="55" t="n">
        <v>11</v>
      </c>
      <c r="H323" s="55" t="n">
        <v>2</v>
      </c>
      <c r="I323" s="55" t="n">
        <v>2</v>
      </c>
      <c r="J323" s="56" t="n">
        <v>5</v>
      </c>
      <c r="K323" s="56" t="inlineStr">
        <is>
          <t>https://amazon.com/dp/B0FKGN6W6S</t>
        </is>
      </c>
      <c r="L323" s="70">
        <f>HYPERLINK(Table1311[[#This Row],[Column1]])</f>
        <v/>
      </c>
    </row>
    <row r="324" ht="60" customHeight="1" s="290">
      <c r="A324" s="30" t="inlineStr">
        <is>
          <t>Autel Scanner KM100E OBD2 Tool: 2026 Lite Version of IM508 Pro, IM608 Pro 2 IM608S II, V200 Wireless BT Connect, Auto Scan 2.0, Android 9.0, 10X Faster Hardware, Full Functions, Support 150-200 Brands</t>
        </is>
      </c>
      <c r="B324" s="30" t="inlineStr">
        <is>
          <t>B07Q2LMS7J</t>
        </is>
      </c>
      <c r="C324" s="30" t="inlineStr">
        <is>
          <t>Tablet</t>
        </is>
      </c>
      <c r="D324" s="324" t="n">
        <v>461.8699999999999</v>
      </c>
      <c r="E324" s="324" t="n">
        <v>21754.89</v>
      </c>
      <c r="F324" s="326" t="n">
        <v>1385.61</v>
      </c>
      <c r="G324" s="55" t="n">
        <v>40</v>
      </c>
      <c r="H324" s="55" t="n">
        <v>3</v>
      </c>
      <c r="I324" s="55" t="n">
        <v>180</v>
      </c>
      <c r="J324" s="56" t="n">
        <v>4.5</v>
      </c>
      <c r="K324" s="56" t="inlineStr">
        <is>
          <t>https://amazon.com/dp/B07Q2LMS7J</t>
        </is>
      </c>
      <c r="L324" s="70">
        <f>HYPERLINK(Table1311[[#This Row],[Column1]])</f>
        <v/>
      </c>
    </row>
    <row r="325" ht="45" customHeight="1" s="290">
      <c r="A325" s="30" t="inlineStr">
        <is>
          <t>Autel AutoLink AL619 OBD2 Scanner, ABS SRS Airbag Warning Light Scan Tool, Turn Off Check Engine Light Car Diagnostic Tool, 10 OBDII Test Modes, Live Data, Freeze Frame, 2026 Up of ML619 AL519 ML519</t>
        </is>
      </c>
      <c r="B325" s="30" t="inlineStr">
        <is>
          <t>B07CMX3L2V</t>
        </is>
      </c>
      <c r="C325" s="30" t="inlineStr">
        <is>
          <t>Handheld</t>
        </is>
      </c>
      <c r="D325" s="324" t="n">
        <v>98.44428571428573</v>
      </c>
      <c r="E325" s="324" t="n">
        <v>22401.56</v>
      </c>
      <c r="F325" s="326" t="n">
        <v>1378.22</v>
      </c>
      <c r="G325" s="55" t="n">
        <v>226</v>
      </c>
      <c r="H325" s="55" t="n">
        <v>14</v>
      </c>
      <c r="I325" s="55" t="n">
        <v>237</v>
      </c>
      <c r="J325" s="56" t="n">
        <v>4.4</v>
      </c>
      <c r="K325" s="56" t="inlineStr">
        <is>
          <t>https://amazon.com/dp/B07CMX3L2V</t>
        </is>
      </c>
      <c r="L325" s="70">
        <f>HYPERLINK(Table1311[[#This Row],[Column1]])</f>
        <v/>
      </c>
    </row>
    <row r="326" ht="45" customHeight="1" s="290">
      <c r="A326" s="30" t="inlineStr">
        <is>
          <t>Autel - Total Care Program for Msultra (ULTRA1YRUPD)</t>
        </is>
      </c>
      <c r="B326" s="30" t="inlineStr">
        <is>
          <t>B09WW424ZL</t>
        </is>
      </c>
      <c r="C326" s="30" t="inlineStr">
        <is>
          <t>Other</t>
        </is>
      </c>
      <c r="D326" s="324" t="n">
        <v>1350.15</v>
      </c>
      <c r="E326" s="324" t="n">
        <v>71078.14999999999</v>
      </c>
      <c r="F326" s="326" t="n">
        <v>1350.15</v>
      </c>
      <c r="G326" s="55" t="n">
        <v>75</v>
      </c>
      <c r="H326" s="55" t="n">
        <v>1</v>
      </c>
      <c r="I326" s="55" t="n">
        <v>5</v>
      </c>
      <c r="J326" s="56" t="n">
        <v>5</v>
      </c>
      <c r="K326" s="56" t="inlineStr">
        <is>
          <t>https://amazon.com/dp/B09WW424ZL</t>
        </is>
      </c>
      <c r="L326" s="70">
        <f>HYPERLINK(Table1311[[#This Row],[Column1]])</f>
        <v/>
      </c>
    </row>
    <row r="327" ht="45" customHeight="1" s="290">
      <c r="A327" s="30" t="inlineStr">
        <is>
          <t>Autel Scanner MaxiCheck MX900, 2026 Bidirectional OBD2 Diagnostic Scan Tool with CAN FD DOIP, 8In US Ver. of MaxiCOM MK900 MK900BT V2.0 of MK808S MK808 MK808BT MX808S, 3000+ Active Test, 40+ Service</t>
        </is>
      </c>
      <c r="B327" s="30" t="inlineStr">
        <is>
          <t>B07PYSM27R</t>
        </is>
      </c>
      <c r="C327" s="30" t="inlineStr">
        <is>
          <t>Tablet</t>
        </is>
      </c>
      <c r="D327" s="324" t="n">
        <v>660.995</v>
      </c>
      <c r="E327" s="324" t="n">
        <v>40868.67999999999</v>
      </c>
      <c r="F327" s="326" t="n">
        <v>1321.99</v>
      </c>
      <c r="G327" s="55" t="n">
        <v>77</v>
      </c>
      <c r="H327" s="55" t="n">
        <v>2</v>
      </c>
      <c r="I327" s="55" t="n">
        <v>172</v>
      </c>
      <c r="J327" s="56" t="n">
        <v>4.4</v>
      </c>
      <c r="K327" s="56" t="inlineStr">
        <is>
          <t>https://amazon.com/dp/B07PYSM27R</t>
        </is>
      </c>
      <c r="L327" s="70">
        <f>HYPERLINK(Table1311[[#This Row],[Column1]])</f>
        <v/>
      </c>
    </row>
    <row r="328" ht="45" customHeight="1" s="290">
      <c r="A328" s="30" t="inlineStr">
        <is>
          <t>Autel MaxiVCI V200 VCI200 OBD2 Adapter Connector, 2026 VCI 200 Car Wireless Communication Interface, Work w/Autel Scanner MaxiSys MS906PRO MS906 PRO-TS KM100 BT608 BT609 ITS600 MK906 PRO MK906 PRO TS</t>
        </is>
      </c>
      <c r="B328" s="30" t="inlineStr">
        <is>
          <t>B0GWPXFNL8</t>
        </is>
      </c>
      <c r="C328" s="30" t="inlineStr">
        <is>
          <t>Dongle</t>
        </is>
      </c>
      <c r="D328" s="324" t="n">
        <v>219</v>
      </c>
      <c r="E328" s="324" t="n">
        <v>15869.07692307692</v>
      </c>
      <c r="F328" s="326" t="n">
        <v>1314</v>
      </c>
      <c r="G328" s="55" t="n">
        <v>6</v>
      </c>
      <c r="H328" s="55" t="n">
        <v>6</v>
      </c>
      <c r="I328" s="55" t="n"/>
      <c r="J328" s="56" t="n"/>
      <c r="K328" s="56" t="inlineStr">
        <is>
          <t>https://amazon.com/dp/B0GWPXFNL8</t>
        </is>
      </c>
      <c r="L328" s="70">
        <f>HYPERLINK(Table1311[[#This Row],[Column1]])</f>
        <v/>
      </c>
    </row>
    <row r="329" ht="60" customHeight="1" s="290">
      <c r="A329" s="30" t="inlineStr">
        <is>
          <t>Autel AutoLink AL529HD with Screen Wiper OBD2 Scanner Heavy Duty Truck Code Reader AutoVIN Read/Erase DTCs O2 Monitor Test Check Live Data Advanced AL519/AL529 Compatible SAE-J1939/J1708</t>
        </is>
      </c>
      <c r="B329" s="30" t="inlineStr">
        <is>
          <t>B094VX7S63</t>
        </is>
      </c>
      <c r="C329" s="30" t="inlineStr">
        <is>
          <t>Handheld</t>
        </is>
      </c>
      <c r="D329" s="324" t="n">
        <v>115.0827272727273</v>
      </c>
      <c r="E329" s="324" t="n">
        <v>40664.52461538462</v>
      </c>
      <c r="F329" s="326" t="n">
        <v>1265.91</v>
      </c>
      <c r="G329" s="55" t="n">
        <v>319</v>
      </c>
      <c r="H329" s="55" t="n">
        <v>11</v>
      </c>
      <c r="I329" s="55" t="n">
        <v>31</v>
      </c>
      <c r="J329" s="56" t="n">
        <v>4.2</v>
      </c>
      <c r="K329" s="56" t="inlineStr">
        <is>
          <t>https://amazon.com/dp/B094VX7S63</t>
        </is>
      </c>
      <c r="L329" s="70">
        <f>HYPERLINK(Table1311[[#This Row],[Column1]])</f>
        <v/>
      </c>
    </row>
    <row r="330" ht="60" customHeight="1" s="290">
      <c r="A330" s="30" t="inlineStr">
        <is>
          <t>Autel CAN FD Adapter for GM MY2020 Vehicles Accessories, Mini VCI J2534, Adaptador CAN FD, Compatible with Autel MaxiSys IM608, IM508, MX808, MS906, MS908, Ultra Series</t>
        </is>
      </c>
      <c r="B330" s="30" t="inlineStr">
        <is>
          <t>B0D5XYZTHW</t>
        </is>
      </c>
      <c r="C330" s="30" t="inlineStr">
        <is>
          <t>Cable/Adapter</t>
        </is>
      </c>
      <c r="D330" s="324" t="n">
        <v>115.05</v>
      </c>
      <c r="E330" s="324" t="n">
        <v>18093.99</v>
      </c>
      <c r="F330" s="326" t="n">
        <v>1265.55</v>
      </c>
      <c r="G330" s="55" t="n">
        <v>160</v>
      </c>
      <c r="H330" s="55" t="n">
        <v>11</v>
      </c>
      <c r="I330" s="55" t="n">
        <v>8</v>
      </c>
      <c r="J330" s="56" t="n">
        <v>4.8</v>
      </c>
      <c r="K330" s="56" t="inlineStr">
        <is>
          <t>https://amazon.com/dp/B0D5XYZTHW</t>
        </is>
      </c>
      <c r="L330" s="70">
        <f>HYPERLINK(Table1311[[#This Row],[Column1]])</f>
        <v/>
      </c>
    </row>
    <row r="331" ht="45" customHeight="1" s="290">
      <c r="A331" s="30" t="inlineStr">
        <is>
          <t>Autel Original OBD2 Cable for Harley Davidson, 4pin+6pin 2 in 1 Motorcycle OBD Scanner Adapter, 16Pin to 4Pin and 6Pin OBDII Connector Work with Harleydavidson Diagnostic Tool</t>
        </is>
      </c>
      <c r="B331" s="30" t="inlineStr">
        <is>
          <t>B0G13GBCB7</t>
        </is>
      </c>
      <c r="C331" s="30" t="inlineStr">
        <is>
          <t>Cable/Adapter</t>
        </is>
      </c>
      <c r="D331" s="324" t="n">
        <v>19.75390625</v>
      </c>
      <c r="E331" s="324" t="n">
        <v>13032.7</v>
      </c>
      <c r="F331" s="326" t="n">
        <v>1264.25</v>
      </c>
      <c r="G331" s="55" t="n">
        <v>123</v>
      </c>
      <c r="H331" s="55" t="n">
        <v>64</v>
      </c>
      <c r="I331" s="55" t="n">
        <v>24</v>
      </c>
      <c r="J331" s="56" t="n">
        <v>4.1</v>
      </c>
      <c r="K331" s="56" t="inlineStr">
        <is>
          <t>https://amazon.com/dp/B0G13GBCB7</t>
        </is>
      </c>
      <c r="L331" s="70">
        <f>HYPERLINK(Table1311[[#This Row],[Column1]])</f>
        <v/>
      </c>
    </row>
    <row r="332" ht="45" customHeight="1" s="290">
      <c r="A332" s="30" t="inlineStr">
        <is>
          <t>Autel IM508S Scanner Programmer Tool Full OBDII Diagnostics Code Readers Diagnostics Scan Tool Programming 3000+ Bidirectional Tests 40+ Resets Android 11 FCA AutoAuth 4/64G</t>
        </is>
      </c>
      <c r="B332" s="30" t="inlineStr">
        <is>
          <t>B0G5Y5Q7M3</t>
        </is>
      </c>
      <c r="C332" s="30" t="inlineStr">
        <is>
          <t>Tablet</t>
        </is>
      </c>
      <c r="D332" s="324" t="n">
        <v>1263.4</v>
      </c>
      <c r="E332" s="324" t="n">
        <v>14211.88384615385</v>
      </c>
      <c r="F332" s="326" t="n">
        <v>1263.4</v>
      </c>
      <c r="G332" s="55" t="n">
        <v>2</v>
      </c>
      <c r="H332" s="55" t="n">
        <v>1</v>
      </c>
      <c r="I332" s="55" t="n"/>
      <c r="J332" s="56" t="n"/>
      <c r="K332" s="56" t="inlineStr">
        <is>
          <t>https://amazon.com/dp/B0G5Y5Q7M3</t>
        </is>
      </c>
      <c r="L332" s="70">
        <f>HYPERLINK(Table1311[[#This Row],[Column1]])</f>
        <v/>
      </c>
    </row>
    <row r="333" ht="60" customHeight="1" s="290">
      <c r="A333" s="30" t="inlineStr">
        <is>
          <t>Autel Scanner, escáner para carros en español, Autel MX900 with MV108, OBD2 Scanner, 40+ Resets, Support CAN FD/Do IP, All System, Android 11, FCA Auto auth, 3000+ Active Test, Upgrade MX808 MK808S</t>
        </is>
      </c>
      <c r="B333" s="30" t="inlineStr">
        <is>
          <t>B0CRRDVYKD</t>
        </is>
      </c>
      <c r="C333" s="30" t="inlineStr">
        <is>
          <t>Tablet</t>
        </is>
      </c>
      <c r="D333" s="324" t="n">
        <v>623.645</v>
      </c>
      <c r="E333" s="324" t="n">
        <v>13242.39</v>
      </c>
      <c r="F333" s="326" t="n">
        <v>1247.29</v>
      </c>
      <c r="G333" s="55" t="n">
        <v>25</v>
      </c>
      <c r="H333" s="55" t="n">
        <v>2</v>
      </c>
      <c r="I333" s="55" t="n">
        <v>15</v>
      </c>
      <c r="J333" s="56" t="n">
        <v>5</v>
      </c>
      <c r="K333" s="56" t="inlineStr">
        <is>
          <t>https://amazon.com/dp/B0CRRDVYKD</t>
        </is>
      </c>
      <c r="L333" s="70">
        <f>HYPERLINK(Table1311[[#This Row],[Column1]])</f>
        <v/>
      </c>
    </row>
    <row r="334" ht="45" customHeight="1" s="290">
      <c r="A334" s="30" t="inlineStr">
        <is>
          <t>Autel Original OBD to Type 2 Green 9pin J1939 Male and 6pin J1708 Split Y Cable, 2-in-1 OBD2 Adapter for Commercial Vehicles Diesel Truck Heavy Duty Diagnostic, Work with Both Tpye2 and Type1</t>
        </is>
      </c>
      <c r="B334" s="30" t="inlineStr">
        <is>
          <t>B0G4LYW24Q</t>
        </is>
      </c>
      <c r="C334" s="30" t="inlineStr">
        <is>
          <t>Cable/Adapter</t>
        </is>
      </c>
      <c r="D334" s="324" t="n">
        <v>22.11482142857143</v>
      </c>
      <c r="E334" s="324" t="n">
        <v>13707.10153846154</v>
      </c>
      <c r="F334" s="326" t="n">
        <v>1238.43</v>
      </c>
      <c r="G334" s="55" t="n">
        <v>102</v>
      </c>
      <c r="H334" s="55" t="n">
        <v>56</v>
      </c>
      <c r="I334" s="55" t="n">
        <v>15</v>
      </c>
      <c r="J334" s="56" t="n">
        <v>4.9</v>
      </c>
      <c r="K334" s="56" t="inlineStr">
        <is>
          <t>https://amazon.com/dp/B0G4LYW24Q</t>
        </is>
      </c>
      <c r="L334" s="70">
        <f>HYPERLINK(Table1311[[#This Row],[Column1]])</f>
        <v/>
      </c>
    </row>
    <row r="335" ht="45" customHeight="1" s="290">
      <c r="A335" s="30" t="inlineStr">
        <is>
          <t>Autel J2534 Pass-Thru Programmer, 2026 MaxiFlash VCI OEM Programming &amp; Diagnostic Tool 2.0V of MaxiFlash Elite, SAE J-2534 CAN FD DoIP D-PDU RP1210, Work with OE Tools &amp; MaxiSYS Elite II PRO MS909</t>
        </is>
      </c>
      <c r="B335" s="30" t="inlineStr">
        <is>
          <t>B09J4Y9JRP</t>
        </is>
      </c>
      <c r="C335" s="30" t="inlineStr">
        <is>
          <t>VCI</t>
        </is>
      </c>
      <c r="D335" s="324" t="n">
        <v>1238.23</v>
      </c>
      <c r="E335" s="324" t="n">
        <v>47267.03153846154</v>
      </c>
      <c r="F335" s="326" t="n">
        <v>1238.23</v>
      </c>
      <c r="G335" s="55" t="n">
        <v>46</v>
      </c>
      <c r="H335" s="55" t="n">
        <v>1</v>
      </c>
      <c r="I335" s="55" t="n">
        <v>1</v>
      </c>
      <c r="J335" s="56" t="n">
        <v>5</v>
      </c>
      <c r="K335" s="56" t="inlineStr">
        <is>
          <t>https://amazon.com/dp/B09J4Y9JRP</t>
        </is>
      </c>
      <c r="L335" s="70">
        <f>HYPERLINK(Table1311[[#This Row],[Column1]])</f>
        <v/>
      </c>
    </row>
    <row r="336" ht="45" customHeight="1" s="290">
      <c r="A336" s="30" t="inlineStr">
        <is>
          <t>Autel MaxiIM IMKPA KIT - 12Pcs Expanded Fo-b Programming Chips w/Case, Work with XP400 PRO + Autel IM608 PRO II IM608S II IM608 PRO IM608 II IM508S IM508, Advanced for Benz/BWM/VW/Audi</t>
        </is>
      </c>
      <c r="B336" s="30" t="inlineStr">
        <is>
          <t>B08PPFNLSR</t>
        </is>
      </c>
      <c r="C336" s="30" t="inlineStr">
        <is>
          <t>Key</t>
        </is>
      </c>
      <c r="D336" s="324" t="n">
        <v>244.77</v>
      </c>
      <c r="E336" s="324" t="n">
        <v>10799</v>
      </c>
      <c r="F336" s="326" t="n">
        <v>1223.85</v>
      </c>
      <c r="G336" s="55" t="n">
        <v>45</v>
      </c>
      <c r="H336" s="55" t="n">
        <v>5</v>
      </c>
      <c r="I336" s="55" t="n">
        <v>15</v>
      </c>
      <c r="J336" s="56" t="n">
        <v>4.8</v>
      </c>
      <c r="K336" s="56" t="inlineStr">
        <is>
          <t>https://amazon.com/dp/B08PPFNLSR</t>
        </is>
      </c>
      <c r="L336" s="70">
        <f>HYPERLINK(Table1311[[#This Row],[Column1]])</f>
        <v/>
      </c>
    </row>
    <row r="337" ht="45" customHeight="1" s="290">
      <c r="A337" s="30" t="inlineStr">
        <is>
          <t>Autel OBD2 16Pin J1962 Female to OBDII Open Pigtail Cable, Pigtail Fixed Wire Harness with Underdash Mount Bracket, OE-Quality, 1FT/ 30CM</t>
        </is>
      </c>
      <c r="B337" s="30" t="inlineStr">
        <is>
          <t>B0F3XHP8FF</t>
        </is>
      </c>
      <c r="C337" s="30" t="inlineStr">
        <is>
          <t>Cable/Adapter</t>
        </is>
      </c>
      <c r="D337" s="324" t="n">
        <v>20.01967213114754</v>
      </c>
      <c r="E337" s="324" t="n">
        <v>11806.84</v>
      </c>
      <c r="F337" s="326" t="n">
        <v>1221.2</v>
      </c>
      <c r="G337" s="55" t="n">
        <v>670</v>
      </c>
      <c r="H337" s="55" t="n">
        <v>61</v>
      </c>
      <c r="I337" s="55" t="n">
        <v>25</v>
      </c>
      <c r="J337" s="56" t="n">
        <v>4.7</v>
      </c>
      <c r="K337" s="56" t="inlineStr">
        <is>
          <t>https://amazon.com/dp/B0F3XHP8FF</t>
        </is>
      </c>
      <c r="L337" s="70">
        <f>HYPERLINK(Table1311[[#This Row],[Column1]])</f>
        <v/>
      </c>
    </row>
    <row r="338" ht="45" customHeight="1" s="290">
      <c r="A338" s="30" t="inlineStr">
        <is>
          <t>Autel Original OBD to Green Type2 9 Pin J1939 and 6 Pin J1708 Split Y Cable for Diesel Truck Diagnostics, 9Pin and 6Pin Male to 16Pin OBDII Female Splitter Adapter, OBD to OBD2 16 Pin Diagnostic Tool</t>
        </is>
      </c>
      <c r="B338" s="30" t="inlineStr">
        <is>
          <t>B0DBZTZLJ1</t>
        </is>
      </c>
      <c r="C338" s="30" t="inlineStr">
        <is>
          <t>Cable/Adapter</t>
        </is>
      </c>
      <c r="D338" s="324" t="n">
        <v>25.77872340425532</v>
      </c>
      <c r="E338" s="324" t="n">
        <v>17054.48</v>
      </c>
      <c r="F338" s="326" t="n">
        <v>1211.6</v>
      </c>
      <c r="G338" s="55" t="n">
        <v>656</v>
      </c>
      <c r="H338" s="55" t="n">
        <v>47</v>
      </c>
      <c r="I338" s="55" t="n">
        <v>27</v>
      </c>
      <c r="J338" s="56" t="n">
        <v>4.3</v>
      </c>
      <c r="K338" s="56" t="inlineStr">
        <is>
          <t>https://amazon.com/dp/B0DBZTZLJ1</t>
        </is>
      </c>
      <c r="L338" s="70">
        <f>HYPERLINK(Table1311[[#This Row],[Column1]])</f>
        <v/>
      </c>
    </row>
    <row r="339" ht="45" customHeight="1" s="290">
      <c r="A339" s="30" t="inlineStr">
        <is>
          <t>XP400PRO</t>
        </is>
      </c>
      <c r="B339" s="30" t="inlineStr">
        <is>
          <t>B09PVQZPK5</t>
        </is>
      </c>
      <c r="C339" s="30" t="inlineStr">
        <is>
          <t>Tablet</t>
        </is>
      </c>
      <c r="D339" s="324" t="n">
        <v>401.6333333333334</v>
      </c>
      <c r="E339" s="324" t="n">
        <v>16294.20846153847</v>
      </c>
      <c r="F339" s="326" t="n">
        <v>1204.9</v>
      </c>
      <c r="G339" s="55" t="n">
        <v>16</v>
      </c>
      <c r="H339" s="55" t="n">
        <v>3</v>
      </c>
      <c r="I339" s="55" t="n">
        <v>2</v>
      </c>
      <c r="J339" s="56" t="n">
        <v>5</v>
      </c>
      <c r="K339" s="56" t="inlineStr">
        <is>
          <t>https://amazon.com/dp/B09PVQZPK5</t>
        </is>
      </c>
      <c r="L339" s="70">
        <f>HYPERLINK(Table1311[[#This Row],[Column1]])</f>
        <v/>
      </c>
    </row>
    <row r="340" ht="45" customHeight="1" s="290">
      <c r="A340" s="30" t="inlineStr">
        <is>
          <t>Autel Scanner MaxiCheck MX900: 2026 Bidirectional Scan Tool Upgrade of MX808S MK808S MK808BT-Pro, US Ver. of Autel MK900BT MK900, CANFD &amp;DOIP, 40+Services, 3000+ Active Test, All-System Diagnose</t>
        </is>
      </c>
      <c r="B340" s="30" t="inlineStr">
        <is>
          <t>B0F5W6CZJ9</t>
        </is>
      </c>
      <c r="C340" s="30" t="inlineStr">
        <is>
          <t>Tablet</t>
        </is>
      </c>
      <c r="D340" s="324" t="n">
        <v>595.98</v>
      </c>
      <c r="E340" s="324" t="n">
        <v>23240.14230769231</v>
      </c>
      <c r="F340" s="326" t="n">
        <v>1191.96</v>
      </c>
      <c r="G340" s="55" t="n">
        <v>35</v>
      </c>
      <c r="H340" s="55" t="n">
        <v>2</v>
      </c>
      <c r="I340" s="55" t="n">
        <v>6</v>
      </c>
      <c r="J340" s="56" t="n">
        <v>3.8</v>
      </c>
      <c r="K340" s="56" t="inlineStr">
        <is>
          <t>https://amazon.com/dp/B0F5W6CZJ9</t>
        </is>
      </c>
      <c r="L340" s="70">
        <f>HYPERLINK(Table1311[[#This Row],[Column1]])</f>
        <v/>
      </c>
    </row>
    <row r="341" ht="45" customHeight="1" s="290">
      <c r="A341" s="30" t="inlineStr">
        <is>
          <t>Autel AutoLink AL529HD Heavy Duty OBD2 Scanner, Code Reader, Retrieve Code VIN, OBDII Monitor Test, Review Read Erase Data View Live Data Freeze Frame Data Lite of MS909 MS919 MS Ultra</t>
        </is>
      </c>
      <c r="B341" s="30" t="inlineStr">
        <is>
          <t>B0BHNW31B6</t>
        </is>
      </c>
      <c r="C341" s="30" t="inlineStr">
        <is>
          <t>Handheld</t>
        </is>
      </c>
      <c r="D341" s="324" t="n">
        <v>116.448</v>
      </c>
      <c r="E341" s="324" t="n">
        <v>16069.13</v>
      </c>
      <c r="F341" s="326" t="n">
        <v>1164.48</v>
      </c>
      <c r="G341" s="55" t="n">
        <v>133</v>
      </c>
      <c r="H341" s="55" t="n">
        <v>10</v>
      </c>
      <c r="I341" s="55" t="n">
        <v>8</v>
      </c>
      <c r="J341" s="56" t="n">
        <v>4.4</v>
      </c>
      <c r="K341" s="56" t="inlineStr">
        <is>
          <t>https://amazon.com/dp/B0BHNW31B6</t>
        </is>
      </c>
      <c r="L341" s="70">
        <f>HYPERLINK(Table1311[[#This Row],[Column1]])</f>
        <v/>
      </c>
    </row>
    <row r="342" ht="30" customHeight="1" s="290">
      <c r="A342" s="30" t="inlineStr">
        <is>
          <t>Autel MaxiCheck MX900 Scanner: 2026 Bidirectional Scan Tool Same as MaxiCom MK900BT MK900, CANFD&amp; DoIP, 3K+ Active Tests 40+ Services Up of MX808S MK808S MK808BT, 8in All-System Diagnose, FCA 11OS</t>
        </is>
      </c>
      <c r="B342" s="30" t="inlineStr">
        <is>
          <t>B073QHVGX7</t>
        </is>
      </c>
      <c r="C342" s="30" t="inlineStr">
        <is>
          <t>Tablet</t>
        </is>
      </c>
      <c r="D342" s="324" t="n">
        <v>576.885</v>
      </c>
      <c r="E342" s="324" t="n">
        <v>78855.45</v>
      </c>
      <c r="F342" s="326" t="n">
        <v>1153.77</v>
      </c>
      <c r="G342" s="55" t="n">
        <v>141</v>
      </c>
      <c r="H342" s="55" t="n">
        <v>2</v>
      </c>
      <c r="I342" s="55" t="n">
        <v>125</v>
      </c>
      <c r="J342" s="56" t="n">
        <v>4.4</v>
      </c>
      <c r="K342" s="56" t="inlineStr">
        <is>
          <t>https://amazon.com/dp/B073QHVGX7</t>
        </is>
      </c>
      <c r="L342" s="70">
        <f>HYPERLINK(Table1311[[#This Row],[Column1]])</f>
        <v/>
      </c>
    </row>
    <row r="343" ht="45" customHeight="1" s="290">
      <c r="A343" s="30" t="inlineStr">
        <is>
          <t>Autel Original Daewoo &amp; GM OBD2 to OBD1 Adapter, 2026 OBDI 12 Pin Male Socket to 16 Pin Female OBDII Connector for General Motors Scan Tool</t>
        </is>
      </c>
      <c r="B343" s="30" t="inlineStr">
        <is>
          <t>B0FQBTV6S5</t>
        </is>
      </c>
      <c r="C343" s="30" t="inlineStr">
        <is>
          <t>OBD1</t>
        </is>
      </c>
      <c r="D343" s="324" t="n">
        <v>18.92116666666667</v>
      </c>
      <c r="E343" s="324" t="n">
        <v>14325.88923076923</v>
      </c>
      <c r="F343" s="326" t="n">
        <v>1135.27</v>
      </c>
      <c r="G343" s="55" t="n">
        <v>412</v>
      </c>
      <c r="H343" s="55" t="n">
        <v>60</v>
      </c>
      <c r="I343" s="55" t="n">
        <v>16</v>
      </c>
      <c r="J343" s="56" t="n">
        <v>3.7</v>
      </c>
      <c r="K343" s="56" t="inlineStr">
        <is>
          <t>https://amazon.com/dp/B0FQBTV6S5</t>
        </is>
      </c>
      <c r="L343" s="70">
        <f>HYPERLINK(Table1311[[#This Row],[Column1]])</f>
        <v/>
      </c>
    </row>
    <row r="344" ht="60" customHeight="1" s="290">
      <c r="A344" s="30" t="inlineStr">
        <is>
          <t>Autel OBD2 Extension Cable, Full 16Pin Male to Female OBDII Extension Cable Diagnostic Extender, 16Pin OBD II Cord Adapter, for All OBD2 OBD II Vehicles (1m/3.3ft)</t>
        </is>
      </c>
      <c r="B344" s="30" t="inlineStr">
        <is>
          <t>B0DHH3KJPN</t>
        </is>
      </c>
      <c r="C344" s="30" t="inlineStr">
        <is>
          <t>Cable/Adapter</t>
        </is>
      </c>
      <c r="D344" s="324" t="n">
        <v>20.13607142857143</v>
      </c>
      <c r="E344" s="324" t="n">
        <v>13597.495294</v>
      </c>
      <c r="F344" s="326" t="n">
        <v>1127.62</v>
      </c>
      <c r="G344" s="55" t="n">
        <v>692</v>
      </c>
      <c r="H344" s="55" t="n">
        <v>56</v>
      </c>
      <c r="I344" s="55" t="n">
        <v>56</v>
      </c>
      <c r="J344" s="56" t="n">
        <v>4.7</v>
      </c>
      <c r="K344" s="56" t="inlineStr">
        <is>
          <t>https://amazon.com/dp/B0DHH3KJPN</t>
        </is>
      </c>
      <c r="L344" s="70">
        <f>HYPERLINK(Table1311[[#This Row],[Column1]])</f>
        <v/>
      </c>
    </row>
    <row r="345" ht="60" customHeight="1" s="290">
      <c r="A345" s="30" t="inlineStr">
        <is>
          <t>Autel Original TESKIT3Y Teala Diagnostic Cable Adapter for Tesla Model 3 &amp; Y, 26Pin OBD1 to 16 Pin OBD2 Extension Harness Connector Work w/Autel Scanner MaxiSys Ultra/Elite II PRO/ MS908S PRO/ MS909</t>
        </is>
      </c>
      <c r="B345" s="30" t="inlineStr">
        <is>
          <t>B0D3V6QNH8</t>
        </is>
      </c>
      <c r="C345" s="30" t="inlineStr">
        <is>
          <t>Cable/Adapter</t>
        </is>
      </c>
      <c r="D345" s="324" t="n">
        <v>46.52916666666667</v>
      </c>
      <c r="E345" s="324" t="n">
        <v>14586.89</v>
      </c>
      <c r="F345" s="326" t="n">
        <v>1116.7</v>
      </c>
      <c r="G345" s="55" t="n">
        <v>316</v>
      </c>
      <c r="H345" s="55" t="n">
        <v>24</v>
      </c>
      <c r="I345" s="55" t="n">
        <v>14</v>
      </c>
      <c r="J345" s="56" t="n">
        <v>4.1</v>
      </c>
      <c r="K345" s="56" t="inlineStr">
        <is>
          <t>https://amazon.com/dp/B0D3V6QNH8</t>
        </is>
      </c>
      <c r="L345" s="70">
        <f>HYPERLINK(Table1311[[#This Row],[Column1]])</f>
        <v/>
      </c>
    </row>
    <row r="346" ht="45" customHeight="1" s="290">
      <c r="A346" s="30" t="inlineStr">
        <is>
          <t>Autel PowerScan PS100 Power Circuit Probe Scan Tool Automotive Circuit Tester, Read AC DC Resistance 12-24V Electrical Short/Open Circuit Finder, Relay Tester with 20ft Extension Cable</t>
        </is>
      </c>
      <c r="B346" s="30" t="inlineStr">
        <is>
          <t>B0FF95D2MY</t>
        </is>
      </c>
      <c r="C346" s="30" t="inlineStr">
        <is>
          <t>Probe</t>
        </is>
      </c>
      <c r="D346" s="324" t="n">
        <v>91.61166666666666</v>
      </c>
      <c r="E346" s="324" t="n">
        <v>15280.78153846154</v>
      </c>
      <c r="F346" s="326" t="n">
        <v>1099.34</v>
      </c>
      <c r="G346" s="55" t="n">
        <v>125</v>
      </c>
      <c r="H346" s="55" t="n">
        <v>12</v>
      </c>
      <c r="I346" s="55" t="n">
        <v>6</v>
      </c>
      <c r="J346" s="56" t="n">
        <v>5</v>
      </c>
      <c r="K346" s="56" t="inlineStr">
        <is>
          <t>https://amazon.com/dp/B0FF95D2MY</t>
        </is>
      </c>
      <c r="L346" s="70">
        <f>HYPERLINK(Table1311[[#This Row],[Column1]])</f>
        <v/>
      </c>
    </row>
    <row r="347" ht="30" customHeight="1" s="290">
      <c r="A347" s="30" t="inlineStr">
        <is>
          <t>Autel AutoLink AL519 Car OBD2 Scanner, Classic Enhanced Mode 6 Engine Fault Code Reader OBDII CAN Diagnostic Scan Tool, One-Click Smog Check, DTC Lookup, Upgraded of AL319, Lifetime Free Update</t>
        </is>
      </c>
      <c r="B347" s="30" t="inlineStr">
        <is>
          <t>B007XE5LTG</t>
        </is>
      </c>
      <c r="C347" s="30" t="inlineStr">
        <is>
          <t>Handheld</t>
        </is>
      </c>
      <c r="D347" s="324" t="n">
        <v>59.84777777777778</v>
      </c>
      <c r="E347" s="324" t="n">
        <v>8966.769999999999</v>
      </c>
      <c r="F347" s="326" t="n">
        <v>1077.26</v>
      </c>
      <c r="G347" s="55" t="n">
        <v>148</v>
      </c>
      <c r="H347" s="55" t="n">
        <v>18</v>
      </c>
      <c r="I347" s="55" t="n">
        <v>3785</v>
      </c>
      <c r="J347" s="56" t="n">
        <v>4.6</v>
      </c>
      <c r="K347" s="56" t="inlineStr">
        <is>
          <t>https://amazon.com/dp/B007XE5LTG</t>
        </is>
      </c>
      <c r="L347" s="70">
        <f>HYPERLINK(Table1311[[#This Row],[Column1]])</f>
        <v/>
      </c>
    </row>
    <row r="348" ht="45" customHeight="1" s="290">
      <c r="A348" s="30" t="inlineStr">
        <is>
          <t>Autel Original OBD2 Adapter Ram Security Gateway SGB Bypass Cable, OBDII Cable Connector for 2018-2020 Dodge Cummins RAM 1500 2500, 16 Pin 2Pin OBDII Diagnostic Tool Adapter</t>
        </is>
      </c>
      <c r="B348" s="30" t="inlineStr">
        <is>
          <t>B0G141QT15</t>
        </is>
      </c>
      <c r="C348" s="30" t="inlineStr">
        <is>
          <t>Cable/Adapter</t>
        </is>
      </c>
      <c r="D348" s="324" t="n">
        <v>19.93370370370371</v>
      </c>
      <c r="E348" s="324" t="n">
        <v>13952.46461538461</v>
      </c>
      <c r="F348" s="326" t="n">
        <v>1076.42</v>
      </c>
      <c r="G348" s="55" t="n">
        <v>187</v>
      </c>
      <c r="H348" s="55" t="n">
        <v>54</v>
      </c>
      <c r="I348" s="55" t="n">
        <v>27</v>
      </c>
      <c r="J348" s="56" t="n">
        <v>3.9</v>
      </c>
      <c r="K348" s="56" t="inlineStr">
        <is>
          <t>https://amazon.com/dp/B0G141QT15</t>
        </is>
      </c>
      <c r="L348" s="70">
        <f>HYPERLINK(Table1311[[#This Row],[Column1]])</f>
        <v/>
      </c>
    </row>
    <row r="349" ht="45" customHeight="1" s="290">
      <c r="A349" s="30" t="inlineStr">
        <is>
          <t>Autel MaxiVCI VCI200 OBDII Connector, Bluetooth Vehicle Communication Interface Comprehensive Diagnosis DoIP CAN FD Work with BT508 BT608 BT609 ITS600 KM100 MS906Pro MS906Pro-TS MK906SPRO MK906 Pro-TS</t>
        </is>
      </c>
      <c r="B349" s="30" t="inlineStr">
        <is>
          <t>B0BNHS5XKV</t>
        </is>
      </c>
      <c r="C349" s="30" t="inlineStr">
        <is>
          <t>Dongle</t>
        </is>
      </c>
      <c r="D349" s="324" t="n">
        <v>208.966</v>
      </c>
      <c r="E349" s="324" t="n">
        <v>15170.76</v>
      </c>
      <c r="F349" s="326" t="n">
        <v>1044.83</v>
      </c>
      <c r="G349" s="55" t="n">
        <v>73</v>
      </c>
      <c r="H349" s="55" t="n">
        <v>5</v>
      </c>
      <c r="I349" s="55" t="n">
        <v>7</v>
      </c>
      <c r="J349" s="56" t="n">
        <v>5</v>
      </c>
      <c r="K349" s="56" t="inlineStr">
        <is>
          <t>https://amazon.com/dp/B0BNHS5XKV</t>
        </is>
      </c>
      <c r="L349" s="70">
        <f>HYPERLINK(Table1311[[#This Row],[Column1]])</f>
        <v/>
      </c>
    </row>
    <row r="350" ht="45" customHeight="1" s="290">
      <c r="A350" s="30" t="inlineStr">
        <is>
          <t>Autel Scanner MP900-BT KIT, Bidirectional Scan Tool with ECU Coding(Full OBD Kit), Same Function as MS906MAX MS906 PRO, Upgrade of MK808S MS906S MP900, 3000+ Active Tests, 40+ Services, CAN FD &amp; DoIP</t>
        </is>
      </c>
      <c r="B350" s="30" t="inlineStr">
        <is>
          <t>B07ZD8T8K9</t>
        </is>
      </c>
      <c r="C350" s="30" t="inlineStr">
        <is>
          <t>Tablet</t>
        </is>
      </c>
      <c r="D350" s="324" t="n">
        <v>1036.22</v>
      </c>
      <c r="E350" s="324" t="n">
        <v>23174.88076923077</v>
      </c>
      <c r="F350" s="326" t="n">
        <v>1036.22</v>
      </c>
      <c r="G350" s="55" t="n">
        <v>23</v>
      </c>
      <c r="H350" s="55" t="n">
        <v>1</v>
      </c>
      <c r="I350" s="55" t="n">
        <v>175</v>
      </c>
      <c r="J350" s="56" t="n">
        <v>4.4</v>
      </c>
      <c r="K350" s="56" t="inlineStr">
        <is>
          <t>https://amazon.com/dp/B07ZD8T8K9</t>
        </is>
      </c>
      <c r="L350" s="70">
        <f>HYPERLINK(Table1311[[#This Row],[Column1]])</f>
        <v/>
      </c>
    </row>
    <row r="351" ht="45" customHeight="1" s="290">
      <c r="A351" s="30" t="inlineStr">
        <is>
          <t>Autel AutoLink AL529HD, Vehicle Code Reader, Advanced AL529 OBD2 Code Scanner, AutoVIN Read Enhanced Codes for Ford/GM/Chrysler, Freeze Frame Data, Code Reader for Cars and Trucks</t>
        </is>
      </c>
      <c r="B351" s="30" t="inlineStr">
        <is>
          <t>B0BBM99RRF</t>
        </is>
      </c>
      <c r="C351" s="30" t="inlineStr">
        <is>
          <t>Handheld</t>
        </is>
      </c>
      <c r="D351" s="324" t="n">
        <v>115.0177777777778</v>
      </c>
      <c r="E351" s="324" t="n">
        <v>19337.49</v>
      </c>
      <c r="F351" s="326" t="n">
        <v>1035.16</v>
      </c>
      <c r="G351" s="55" t="n">
        <v>162</v>
      </c>
      <c r="H351" s="55" t="n">
        <v>9</v>
      </c>
      <c r="I351" s="55" t="n">
        <v>23</v>
      </c>
      <c r="J351" s="56" t="n">
        <v>4.2</v>
      </c>
      <c r="K351" s="56" t="inlineStr">
        <is>
          <t>https://amazon.com/dp/B0BBM99RRF</t>
        </is>
      </c>
      <c r="L351" s="70">
        <f>HYPERLINK(Table1311[[#This Row],[Column1]])</f>
        <v/>
      </c>
    </row>
    <row r="352" ht="60" customHeight="1" s="290">
      <c r="A352" s="30" t="inlineStr">
        <is>
          <t>Autel MaxiTPMS TS508WF TPMS Programming Tool, w/$120 4PCS Autel TPMS Sensors, 2026 WiFi Ver. of TS408S TS501 TS508 TS601, Relearn/Activate/Diagnosis All Sensor, Read/Clear DTCs, Lifetime Update</t>
        </is>
      </c>
      <c r="B352" s="30" t="inlineStr">
        <is>
          <t>B0CRTXTR9D</t>
        </is>
      </c>
      <c r="C352" s="30" t="inlineStr">
        <is>
          <t>Handheld</t>
        </is>
      </c>
      <c r="D352" s="324" t="n">
        <v>341.4933333333333</v>
      </c>
      <c r="E352" s="324" t="n">
        <v>11120.65384615385</v>
      </c>
      <c r="F352" s="326" t="n">
        <v>1024.48</v>
      </c>
      <c r="G352" s="55" t="n">
        <v>33</v>
      </c>
      <c r="H352" s="55" t="n">
        <v>3</v>
      </c>
      <c r="I352" s="55" t="n">
        <v>6</v>
      </c>
      <c r="J352" s="56" t="n">
        <v>5</v>
      </c>
      <c r="K352" s="56" t="inlineStr">
        <is>
          <t>https://amazon.com/dp/B0CRTXTR9D</t>
        </is>
      </c>
      <c r="L352" s="70">
        <f>HYPERLINK(Table1311[[#This Row],[Column1]])</f>
        <v/>
      </c>
    </row>
    <row r="353" ht="45" customHeight="1" s="290">
      <c r="A353" s="30" t="inlineStr">
        <is>
          <t>Autel MS906BT1YRUPDATE 1Year Subscription, Total Care Program (TCP) Card, One Year Software Subscription &amp; Warranty</t>
        </is>
      </c>
      <c r="B353" s="30" t="inlineStr">
        <is>
          <t>B0G62Z5F3H</t>
        </is>
      </c>
      <c r="C353" s="30" t="inlineStr">
        <is>
          <t>Other</t>
        </is>
      </c>
      <c r="D353" s="324" t="n">
        <v>511.865</v>
      </c>
      <c r="E353" s="324" t="n">
        <v>11418.52692307692</v>
      </c>
      <c r="F353" s="326" t="n">
        <v>1023.73</v>
      </c>
      <c r="G353" s="55" t="n">
        <v>2</v>
      </c>
      <c r="H353" s="55" t="n">
        <v>2</v>
      </c>
      <c r="I353" s="55" t="n"/>
      <c r="J353" s="56" t="n"/>
      <c r="K353" s="56" t="inlineStr">
        <is>
          <t>https://amazon.com/dp/B0G62Z5F3H</t>
        </is>
      </c>
      <c r="L353" s="70">
        <f>HYPERLINK(Table1311[[#This Row],[Column1]])</f>
        <v/>
      </c>
    </row>
    <row r="354" ht="45" customHeight="1" s="290">
      <c r="A354" s="30" t="inlineStr">
        <is>
          <t>Autel 1-Sensor - Bulk of (20), TPMS Sensor 2in 1 MX-Sensor 315Mhz/433Mhz, Tire Sensors Rubber Stem 100% Cloneable Press-in, OE-Level Universal Programmable by Autel TPMS Tool TS508 TS508WF MS906PRO-TS</t>
        </is>
      </c>
      <c r="B354" s="30" t="inlineStr">
        <is>
          <t>B0FNMSV56P</t>
        </is>
      </c>
      <c r="C354" s="30" t="inlineStr">
        <is>
          <t>Other</t>
        </is>
      </c>
      <c r="D354" s="324" t="n">
        <v>505.975</v>
      </c>
      <c r="E354" s="324" t="n">
        <v>10921.36384615385</v>
      </c>
      <c r="F354" s="326" t="n">
        <v>1011.95</v>
      </c>
      <c r="G354" s="55" t="n">
        <v>9</v>
      </c>
      <c r="H354" s="55" t="n">
        <v>2</v>
      </c>
      <c r="I354" s="55" t="n">
        <v>34</v>
      </c>
      <c r="J354" s="56" t="n">
        <v>5</v>
      </c>
      <c r="K354" s="56" t="inlineStr">
        <is>
          <t>https://amazon.com/dp/B0FNMSV56P</t>
        </is>
      </c>
      <c r="L354" s="70">
        <f>HYPERLINK(Table1311[[#This Row],[Column1]])</f>
        <v/>
      </c>
    </row>
    <row r="355" ht="45" customHeight="1" s="290">
      <c r="A355" s="30" t="inlineStr">
        <is>
          <t>Autel AT100 Super Chip, 2026 New Transponder Chip for ID11 ID12 ID13 ID46 ID47 ID48 ID49 ID4A ID4C ID5C ID4D ID64 ID8A ID8C MQB, Work with MaxiIM KM100 IM508 IM608 IM508S PRO IM608 Pro 2 (Pack of 10)</t>
        </is>
      </c>
      <c r="B355" s="30" t="inlineStr">
        <is>
          <t>B0FM49VV56</t>
        </is>
      </c>
      <c r="C355" s="30" t="inlineStr">
        <is>
          <t>Key</t>
        </is>
      </c>
      <c r="D355" s="324" t="n">
        <v>48.13476190476191</v>
      </c>
      <c r="E355" s="324" t="n">
        <v>17417.13307692307</v>
      </c>
      <c r="F355" s="326" t="n">
        <v>1010.83</v>
      </c>
      <c r="G355" s="55" t="n">
        <v>241</v>
      </c>
      <c r="H355" s="55" t="n">
        <v>21</v>
      </c>
      <c r="I355" s="55" t="n">
        <v>32</v>
      </c>
      <c r="J355" s="56" t="n">
        <v>4.8</v>
      </c>
      <c r="K355" s="56" t="inlineStr">
        <is>
          <t>https://amazon.com/dp/B0FM49VV56</t>
        </is>
      </c>
      <c r="L355" s="70">
        <f>HYPERLINK(Table1311[[#This Row],[Column1]])</f>
        <v/>
      </c>
    </row>
    <row r="356" ht="60" customHeight="1" s="290">
      <c r="A356" s="30" t="inlineStr">
        <is>
          <t>Autel MaxiIM KM100 (X) OBD2 Scanner, 2026 Car Diagnostic Tool Lifetime Free Updates, Lite Ver. of IM508S PRO IM508, Wireless BT OBDII Scan Tool, 2GB &amp; 64GB Android 9.0</t>
        </is>
      </c>
      <c r="B356" s="30" t="inlineStr">
        <is>
          <t>B0FZB92WZL</t>
        </is>
      </c>
      <c r="C356" s="30" t="inlineStr">
        <is>
          <t>Handheld</t>
        </is>
      </c>
      <c r="D356" s="324" t="n">
        <v>491.265</v>
      </c>
      <c r="E356" s="324" t="n">
        <v>11865.93923076923</v>
      </c>
      <c r="F356" s="326" t="n">
        <v>982.53</v>
      </c>
      <c r="G356" s="55" t="n">
        <v>2</v>
      </c>
      <c r="H356" s="55" t="n">
        <v>2</v>
      </c>
      <c r="I356" s="55" t="n"/>
      <c r="J356" s="56" t="n"/>
      <c r="K356" s="56" t="inlineStr">
        <is>
          <t>https://amazon.com/dp/B0FZB92WZL</t>
        </is>
      </c>
      <c r="L356" s="70">
        <f>HYPERLINK(Table1311[[#This Row],[Column1]])</f>
        <v/>
      </c>
    </row>
    <row r="357" ht="45" customHeight="1" s="290">
      <c r="A357" s="30" t="inlineStr">
        <is>
          <t>Autel Original 8A AKL Cable for Toyota Non-Smart K-y Adapter Work with APB112 and G-Box3 G BOX3 G-Box2 G BOX2</t>
        </is>
      </c>
      <c r="B357" s="30" t="inlineStr">
        <is>
          <t>B0BPX9VWQK</t>
        </is>
      </c>
      <c r="C357" s="30" t="inlineStr">
        <is>
          <t>Cable/Adapter</t>
        </is>
      </c>
      <c r="D357" s="324" t="n">
        <v>69.95071428571428</v>
      </c>
      <c r="E357" s="324" t="n">
        <v>14439.35</v>
      </c>
      <c r="F357" s="326" t="n">
        <v>979.3099999999999</v>
      </c>
      <c r="G357" s="55" t="n">
        <v>211</v>
      </c>
      <c r="H357" s="55" t="n">
        <v>14</v>
      </c>
      <c r="I357" s="55" t="n">
        <v>19</v>
      </c>
      <c r="J357" s="56" t="n">
        <v>4.6</v>
      </c>
      <c r="K357" s="56" t="inlineStr">
        <is>
          <t>https://amazon.com/dp/B0BPX9VWQK</t>
        </is>
      </c>
      <c r="L357" s="70">
        <f>HYPERLINK(Table1311[[#This Row],[Column1]])</f>
        <v/>
      </c>
    </row>
    <row r="358" ht="60" customHeight="1" s="290">
      <c r="A358" s="30" t="inlineStr">
        <is>
          <t>Autel MaxiSys MSOAK Oscilloscope Accessory Kit, Compatible with Autel Scanner Ultra S2/ Ultra/ MS919/ MP408, Includes 65/650A Current Clamps, Coil On Plug Probe, HT Extension Lead and Battery Clip</t>
        </is>
      </c>
      <c r="B358" s="30" t="inlineStr">
        <is>
          <t>B094VS5R58</t>
        </is>
      </c>
      <c r="C358" s="30" t="inlineStr">
        <is>
          <t>Other</t>
        </is>
      </c>
      <c r="D358" s="324" t="n">
        <v>480.635</v>
      </c>
      <c r="E358" s="324" t="n">
        <v>27075.2</v>
      </c>
      <c r="F358" s="326" t="n">
        <v>961.27</v>
      </c>
      <c r="G358" s="55" t="n">
        <v>68</v>
      </c>
      <c r="H358" s="55" t="n">
        <v>2</v>
      </c>
      <c r="I358" s="55" t="n">
        <v>11</v>
      </c>
      <c r="J358" s="56" t="n">
        <v>4.8</v>
      </c>
      <c r="K358" s="56" t="inlineStr">
        <is>
          <t>https://amazon.com/dp/B094VS5R58</t>
        </is>
      </c>
      <c r="L358" s="70">
        <f>HYPERLINK(Table1311[[#This Row],[Column1]])</f>
        <v/>
      </c>
    </row>
    <row r="359" ht="60" customHeight="1" s="290">
      <c r="A359" s="30" t="inlineStr">
        <is>
          <t>Autel MaxiVCI VCI Mini OBD2 Scanner Bluetooth Universal Communication Interface Equipment OEM Diagnostic Functions Work with Autel Scanner MK808BT MK808TS MX808TX MP808TS MS906S TS608</t>
        </is>
      </c>
      <c r="B359" s="30" t="inlineStr">
        <is>
          <t>B0BNPKJH7P</t>
        </is>
      </c>
      <c r="C359" s="30" t="inlineStr">
        <is>
          <t>Dongle</t>
        </is>
      </c>
      <c r="D359" s="324" t="n">
        <v>119.99375</v>
      </c>
      <c r="E359" s="324" t="n">
        <v>15516.72</v>
      </c>
      <c r="F359" s="326" t="n">
        <v>959.95</v>
      </c>
      <c r="G359" s="55" t="n">
        <v>138</v>
      </c>
      <c r="H359" s="55" t="n">
        <v>8</v>
      </c>
      <c r="I359" s="55" t="n">
        <v>16</v>
      </c>
      <c r="J359" s="56" t="n">
        <v>4.1</v>
      </c>
      <c r="K359" s="56" t="inlineStr">
        <is>
          <t>https://amazon.com/dp/B0BNPKJH7P</t>
        </is>
      </c>
      <c r="L359" s="70">
        <f>HYPERLINK(Table1311[[#This Row],[Column1]])</f>
        <v/>
      </c>
    </row>
    <row r="360" ht="45" customHeight="1" s="290">
      <c r="A360" s="30" t="inlineStr">
        <is>
          <t>Autel AutoLink AL529HD Read/Erase Heavy Duty Engine DTCs Deutsch 9-Pin &amp; 6-Pin Adapters One-Touch I/M Readiness/LED Indicator Support All 10 OBDII Test Modes Enhanced Mode 6 Diagnostics</t>
        </is>
      </c>
      <c r="B360" s="30" t="inlineStr">
        <is>
          <t>B0D982BSTZ</t>
        </is>
      </c>
      <c r="C360" s="30" t="inlineStr">
        <is>
          <t>Handheld</t>
        </is>
      </c>
      <c r="D360" s="324" t="n">
        <v>118.64</v>
      </c>
      <c r="E360" s="324" t="n">
        <v>9123.17076923077</v>
      </c>
      <c r="F360" s="326" t="n">
        <v>949.12</v>
      </c>
      <c r="G360" s="55" t="n">
        <v>68</v>
      </c>
      <c r="H360" s="55" t="n">
        <v>8</v>
      </c>
      <c r="I360" s="55" t="n">
        <v>8</v>
      </c>
      <c r="J360" s="56" t="n">
        <v>5</v>
      </c>
      <c r="K360" s="56" t="inlineStr">
        <is>
          <t>https://amazon.com/dp/B0D982BSTZ</t>
        </is>
      </c>
      <c r="L360" s="70">
        <f>HYPERLINK(Table1311[[#This Row],[Column1]])</f>
        <v/>
      </c>
    </row>
    <row r="361" ht="60" customHeight="1" s="290">
      <c r="A361" s="30" t="inlineStr">
        <is>
          <t>Autel MaxiCOM MK808Z-BT Same As MK808BT Pro Upgraded of MK808BT MK808 MK808S MX808, Bi-Directional Control Scan Tool Bluetooth OBD2 Scanner Support BT506/MV108S &amp; FCA AutoAuth</t>
        </is>
      </c>
      <c r="B361" s="30" t="inlineStr">
        <is>
          <t>B0FHWG3PGS</t>
        </is>
      </c>
      <c r="C361" s="30" t="inlineStr">
        <is>
          <t>Tablet</t>
        </is>
      </c>
      <c r="D361" s="324" t="n">
        <v>446.835</v>
      </c>
      <c r="E361" s="324" t="n">
        <v>32882.11461538461</v>
      </c>
      <c r="F361" s="326" t="n">
        <v>893.67</v>
      </c>
      <c r="G361" s="55" t="n">
        <v>59</v>
      </c>
      <c r="H361" s="55" t="n">
        <v>2</v>
      </c>
      <c r="I361" s="55" t="n">
        <v>7</v>
      </c>
      <c r="J361" s="56" t="n">
        <v>4.8</v>
      </c>
      <c r="K361" s="56" t="inlineStr">
        <is>
          <t>https://amazon.com/dp/B0FHWG3PGS</t>
        </is>
      </c>
      <c r="L361" s="70">
        <f>HYPERLINK(Table1311[[#This Row],[Column1]])</f>
        <v/>
      </c>
    </row>
    <row r="362" ht="30" customHeight="1" s="290">
      <c r="A362" s="30" t="inlineStr">
        <is>
          <t>Autel Original MaxiSYS CV CAT 9-PIN Adapter, 9-Pin Off-Highway Vehicle Adapter for Caterpillar Engines, Compatible with Autel Scanner MaxiSYS CV MS908CV, MS908CV II, MS909CV, MS906CV and VCI</t>
        </is>
      </c>
      <c r="B362" s="30" t="inlineStr">
        <is>
          <t>B0G8J8HN8R</t>
        </is>
      </c>
      <c r="C362" s="30" t="inlineStr">
        <is>
          <t>Cable/Adapter</t>
        </is>
      </c>
      <c r="D362" s="324" t="n">
        <v>29.64533333333333</v>
      </c>
      <c r="E362" s="324" t="n">
        <v>10644.62692307692</v>
      </c>
      <c r="F362" s="326" t="n">
        <v>889.36</v>
      </c>
      <c r="G362" s="55" t="n">
        <v>82</v>
      </c>
      <c r="H362" s="55" t="n">
        <v>30</v>
      </c>
      <c r="I362" s="55" t="n">
        <v>1</v>
      </c>
      <c r="J362" s="56" t="n">
        <v>5</v>
      </c>
      <c r="K362" s="56" t="inlineStr">
        <is>
          <t>https://amazon.com/dp/B0G8J8HN8R</t>
        </is>
      </c>
      <c r="L362" s="70">
        <f>HYPERLINK(Table1311[[#This Row],[Column1]])</f>
        <v/>
      </c>
    </row>
    <row r="363" ht="45" customHeight="1" s="290">
      <c r="A363" s="30" t="inlineStr">
        <is>
          <t>Autel MaxiAP AP2500 OBD2 Scanner Bluetooth Code Reader, Upgrade of AP200/AP200C/AP200H/AP200M, Better AP2500E, Auto Scanner Car Scan Tool, 5 DIY Servies, 45+ Car Brands, Compatible Android/iOS Phones</t>
        </is>
      </c>
      <c r="B363" s="30" t="inlineStr">
        <is>
          <t>B0CWNQLNY4</t>
        </is>
      </c>
      <c r="C363" s="30" t="inlineStr">
        <is>
          <t>Dongle</t>
        </is>
      </c>
      <c r="D363" s="324" t="n">
        <v>58.442</v>
      </c>
      <c r="E363" s="324" t="n">
        <v>3747.75</v>
      </c>
      <c r="F363" s="326" t="n">
        <v>876.63</v>
      </c>
      <c r="G363" s="55" t="n">
        <v>61</v>
      </c>
      <c r="H363" s="55" t="n">
        <v>15</v>
      </c>
      <c r="I363" s="55" t="n">
        <v>5</v>
      </c>
      <c r="J363" s="56" t="n">
        <v>4.5</v>
      </c>
      <c r="K363" s="56" t="inlineStr">
        <is>
          <t>https://amazon.com/dp/B0CWNQLNY4</t>
        </is>
      </c>
      <c r="L363" s="70">
        <f>HYPERLINK(Table1311[[#This Row],[Column1]])</f>
        <v/>
      </c>
    </row>
    <row r="364" ht="45" customHeight="1" s="290">
      <c r="A364" s="30" t="inlineStr">
        <is>
          <t>MaxiTPMS TBE200</t>
        </is>
      </c>
      <c r="B364" s="30" t="inlineStr">
        <is>
          <t>B09WW44MH9</t>
        </is>
      </c>
      <c r="C364" s="30" t="inlineStr">
        <is>
          <t>Other</t>
        </is>
      </c>
      <c r="D364" s="324" t="n">
        <v>437.97</v>
      </c>
      <c r="E364" s="324" t="n">
        <v>4545.6</v>
      </c>
      <c r="F364" s="326" t="n">
        <v>875.9400000000001</v>
      </c>
      <c r="G364" s="55" t="n">
        <v>9</v>
      </c>
      <c r="H364" s="55" t="n">
        <v>2</v>
      </c>
      <c r="I364" s="55" t="n"/>
      <c r="J364" s="56" t="n"/>
      <c r="K364" s="56" t="inlineStr">
        <is>
          <t>https://amazon.com/dp/B09WW44MH9</t>
        </is>
      </c>
      <c r="L364" s="70">
        <f>HYPERLINK(Table1311[[#This Row],[Column1]])</f>
        <v/>
      </c>
    </row>
    <row r="365" ht="45" customHeight="1" s="290">
      <c r="A365" s="30" t="inlineStr">
        <is>
          <t>Autel RFID Blocking Cards 2 Pack Ev Charger</t>
        </is>
      </c>
      <c r="B365" s="30" t="inlineStr">
        <is>
          <t>B0B82B7JQL</t>
        </is>
      </c>
      <c r="C365" s="30" t="inlineStr">
        <is>
          <t>Other</t>
        </is>
      </c>
      <c r="D365" s="324" t="n">
        <v>37.63869565217392</v>
      </c>
      <c r="E365" s="324" t="n">
        <v>15691.58</v>
      </c>
      <c r="F365" s="326" t="n">
        <v>865.6900000000001</v>
      </c>
      <c r="G365" s="55" t="n">
        <v>425</v>
      </c>
      <c r="H365" s="55" t="n">
        <v>23</v>
      </c>
      <c r="I365" s="55" t="n">
        <v>53</v>
      </c>
      <c r="J365" s="56" t="n">
        <v>4.2</v>
      </c>
      <c r="K365" s="56" t="inlineStr">
        <is>
          <t>https://amazon.com/dp/B0B82B7JQL</t>
        </is>
      </c>
      <c r="L365" s="70">
        <f>HYPERLINK(Table1311[[#This Row],[Column1]])</f>
        <v/>
      </c>
    </row>
    <row r="366" ht="60" customHeight="1" s="290">
      <c r="A366" s="30" t="inlineStr">
        <is>
          <t>Autel MaxiVideo MV108S Borescope Inspection Camera, 2026 Endoscope with 8.5mm Waterproof Image Head, Work w/All Autel Scanners MK808 MX808 MX900 MK900</t>
        </is>
      </c>
      <c r="B366" s="30" t="inlineStr">
        <is>
          <t>B0B31W8YVZ</t>
        </is>
      </c>
      <c r="C366" s="30" t="inlineStr">
        <is>
          <t>Other</t>
        </is>
      </c>
      <c r="D366" s="324" t="n">
        <v>47.67055555555556</v>
      </c>
      <c r="E366" s="324" t="n">
        <v>11256.24</v>
      </c>
      <c r="F366" s="326" t="n">
        <v>858.0700000000001</v>
      </c>
      <c r="G366" s="55" t="n">
        <v>231</v>
      </c>
      <c r="H366" s="55" t="n">
        <v>18</v>
      </c>
      <c r="I366" s="55" t="n">
        <v>69</v>
      </c>
      <c r="J366" s="56" t="n">
        <v>4.5</v>
      </c>
      <c r="K366" s="56" t="inlineStr">
        <is>
          <t>https://amazon.com/dp/B0B31W8YVZ</t>
        </is>
      </c>
      <c r="L366" s="70">
        <f>HYPERLINK(Table1311[[#This Row],[Column1]])</f>
        <v/>
      </c>
    </row>
    <row r="367" ht="45" customHeight="1" s="290">
      <c r="A367" s="30" t="inlineStr">
        <is>
          <t>Autel Original OBD Diagnostic Adapter, 9Pin J1939 Male to 16Pin OBD2 OBDII Female Connector, Work for Heavy Duty Trucks and Commercial Vehicles, Compatible with OBD2 Automotive Diagnostic Scanners</t>
        </is>
      </c>
      <c r="B367" s="30" t="inlineStr">
        <is>
          <t>B0DF31J5ZN</t>
        </is>
      </c>
      <c r="C367" s="30" t="inlineStr">
        <is>
          <t>Cable/Adapter</t>
        </is>
      </c>
      <c r="D367" s="324" t="n">
        <v>20.03714285714286</v>
      </c>
      <c r="E367" s="324" t="n">
        <v>14207.13</v>
      </c>
      <c r="F367" s="326" t="n">
        <v>841.5599999999999</v>
      </c>
      <c r="G367" s="55" t="n">
        <v>711</v>
      </c>
      <c r="H367" s="55" t="n">
        <v>42</v>
      </c>
      <c r="I367" s="55" t="n">
        <v>19</v>
      </c>
      <c r="J367" s="56" t="n">
        <v>4.5</v>
      </c>
      <c r="K367" s="56" t="inlineStr">
        <is>
          <t>https://amazon.com/dp/B0DF31J5ZN</t>
        </is>
      </c>
      <c r="L367" s="70">
        <f>HYPERLINK(Table1311[[#This Row],[Column1]])</f>
        <v/>
      </c>
    </row>
    <row r="368" ht="45" customHeight="1" s="290">
      <c r="A368" s="30" t="inlineStr">
        <is>
          <t>Autel AL549 OBD2 Scanner Code Reader with ABS Diagnostic &amp; Battery Test, Enhanced Check and Reset Engine Fault Code, Live Data, Freeze Frame, CAN Car Diagnostic Scan Tool for All OBDII Car After 1996</t>
        </is>
      </c>
      <c r="B368" s="30" t="inlineStr">
        <is>
          <t>B0D93GFSK1</t>
        </is>
      </c>
      <c r="C368" s="30" t="inlineStr">
        <is>
          <t>Handheld</t>
        </is>
      </c>
      <c r="D368" s="324" t="n">
        <v>69.765</v>
      </c>
      <c r="E368" s="324" t="n">
        <v>20059.80153846154</v>
      </c>
      <c r="F368" s="326" t="n">
        <v>837.1799999999999</v>
      </c>
      <c r="G368" s="55" t="n">
        <v>281</v>
      </c>
      <c r="H368" s="55" t="n">
        <v>12</v>
      </c>
      <c r="I368" s="55" t="n">
        <v>26</v>
      </c>
      <c r="J368" s="56" t="n">
        <v>4.6</v>
      </c>
      <c r="K368" s="56" t="inlineStr">
        <is>
          <t>https://amazon.com/dp/B0D93GFSK1</t>
        </is>
      </c>
      <c r="L368" s="70">
        <f>HYPERLINK(Table1311[[#This Row],[Column1]])</f>
        <v/>
      </c>
    </row>
    <row r="369" ht="60" customHeight="1" s="290">
      <c r="A369" s="30" t="inlineStr">
        <is>
          <t>Autel Scanner MaxiCOM MK906 Pro: New Upgrade Version of MS906BT / MP900-BT, ECU Coding Same As MK908P, Bi-Directional Control, 40+ Services, Guided Functions, FCA AutoAuth</t>
        </is>
      </c>
      <c r="B369" s="30" t="inlineStr">
        <is>
          <t>B09M45G1VH</t>
        </is>
      </c>
      <c r="C369" s="30" t="inlineStr">
        <is>
          <t>Tablet</t>
        </is>
      </c>
      <c r="D369" s="324" t="n">
        <v>836.29</v>
      </c>
      <c r="E369" s="324" t="n">
        <v>14589.37</v>
      </c>
      <c r="F369" s="326" t="n">
        <v>836.29</v>
      </c>
      <c r="G369" s="55" t="n">
        <v>12</v>
      </c>
      <c r="H369" s="55" t="n">
        <v>1</v>
      </c>
      <c r="I369" s="55" t="n">
        <v>2</v>
      </c>
      <c r="J369" s="56" t="n">
        <v>5</v>
      </c>
      <c r="K369" s="56" t="inlineStr">
        <is>
          <t>https://amazon.com/dp/B09M45G1VH</t>
        </is>
      </c>
      <c r="L369" s="70">
        <f>HYPERLINK(Table1311[[#This Row],[Column1]])</f>
        <v/>
      </c>
    </row>
    <row r="370" ht="45" customHeight="1" s="290">
      <c r="A370" s="30" t="inlineStr">
        <is>
          <t>Autel Original OBD2 Splitter 16 Pin OBD II Splitter Extension, 1X Male to 2X Female Extension Cable Adapter, OBDII Extension Cord (1FT/ 30CM)</t>
        </is>
      </c>
      <c r="B370" s="30" t="inlineStr">
        <is>
          <t>B0DGCLVXTF</t>
        </is>
      </c>
      <c r="C370" s="30" t="inlineStr">
        <is>
          <t>Cable/Adapter</t>
        </is>
      </c>
      <c r="D370" s="324" t="n">
        <v>19.79690476190476</v>
      </c>
      <c r="E370" s="324" t="n">
        <v>12457.51076923077</v>
      </c>
      <c r="F370" s="326" t="n">
        <v>831.47</v>
      </c>
      <c r="G370" s="55" t="n">
        <v>586</v>
      </c>
      <c r="H370" s="55" t="n">
        <v>42</v>
      </c>
      <c r="I370" s="55" t="n">
        <v>54</v>
      </c>
      <c r="J370" s="56" t="n">
        <v>4.2</v>
      </c>
      <c r="K370" s="56" t="inlineStr">
        <is>
          <t>https://amazon.com/dp/B0DGCLVXTF</t>
        </is>
      </c>
      <c r="L370" s="70">
        <f>HYPERLINK(Table1311[[#This Row],[Column1]])</f>
        <v/>
      </c>
    </row>
    <row r="371" ht="60" customHeight="1" s="290">
      <c r="A371" s="30" t="inlineStr">
        <is>
          <t>Autel Original Tesla Diagnostic Cable Set, 3PCS Test Cord for Tesla-S &amp; X, OBD2 Diagnostic Test Cable Adapter for MaxiSys MaxiSYS 909/919/908SPro/Elite/Elite II/Ultra (3PCS)</t>
        </is>
      </c>
      <c r="B371" s="30" t="inlineStr">
        <is>
          <t>B0DD7R4TKN</t>
        </is>
      </c>
      <c r="C371" s="30" t="inlineStr">
        <is>
          <t>Cable/Adapter</t>
        </is>
      </c>
      <c r="D371" s="324" t="n">
        <v>59.24428571428571</v>
      </c>
      <c r="E371" s="324" t="n">
        <v>8466.17</v>
      </c>
      <c r="F371" s="326" t="n">
        <v>829.42</v>
      </c>
      <c r="G371" s="55" t="n">
        <v>142</v>
      </c>
      <c r="H371" s="55" t="n">
        <v>14</v>
      </c>
      <c r="I371" s="55" t="n">
        <v>10</v>
      </c>
      <c r="J371" s="56" t="n">
        <v>5</v>
      </c>
      <c r="K371" s="56" t="inlineStr">
        <is>
          <t>https://amazon.com/dp/B0DD7R4TKN</t>
        </is>
      </c>
      <c r="L371" s="70">
        <f>HYPERLINK(Table1311[[#This Row],[Column1]])</f>
        <v/>
      </c>
    </row>
    <row r="372" ht="45" customHeight="1" s="290">
      <c r="A372" s="30" t="inlineStr">
        <is>
          <t>Autel Scanner MaxiSys MS906 Pro, Upgrade Version of MS906BT / MaxiPRO MP900BT, ECU Coding Same As MK908P, Bi-Directional Control, Scan Tool with 40+ Services, Guided Functions, FCA AutoAuth</t>
        </is>
      </c>
      <c r="B372" s="30" t="inlineStr">
        <is>
          <t>B09YHM6M18</t>
        </is>
      </c>
      <c r="C372" s="30" t="inlineStr">
        <is>
          <t>Tablet</t>
        </is>
      </c>
      <c r="D372" s="324" t="n">
        <v>817.35</v>
      </c>
      <c r="E372" s="324" t="n">
        <v>37761.57</v>
      </c>
      <c r="F372" s="326" t="n">
        <v>817.35</v>
      </c>
      <c r="G372" s="55" t="n">
        <v>27</v>
      </c>
      <c r="H372" s="55" t="n">
        <v>1</v>
      </c>
      <c r="I372" s="55" t="n">
        <v>5</v>
      </c>
      <c r="J372" s="56" t="n">
        <v>3.9</v>
      </c>
      <c r="K372" s="56" t="inlineStr">
        <is>
          <t>https://amazon.com/dp/B09YHM6M18</t>
        </is>
      </c>
      <c r="L372" s="70">
        <f>HYPERLINK(Table1311[[#This Row],[Column1]])</f>
        <v/>
      </c>
    </row>
    <row r="373" ht="45" customHeight="1" s="290">
      <c r="A373" s="30" t="inlineStr">
        <is>
          <t>Autel MaxiAP AP2500 Code Reader, Bluetooth OBD2 Scanner, All System Diagnostic, Oil Reset, TPMS, EV Battery, BMS Reset, Upgraded AP200, OBDII 10 Tests, 45+ Car Brands, EV Battery, for Android/iOS</t>
        </is>
      </c>
      <c r="B373" s="30" t="inlineStr">
        <is>
          <t>B0DGKCMXL6</t>
        </is>
      </c>
      <c r="C373" s="30" t="inlineStr">
        <is>
          <t>Dongle</t>
        </is>
      </c>
      <c r="D373" s="324" t="n">
        <v>57.27428571428572</v>
      </c>
      <c r="E373" s="324" t="n">
        <v>5882.19</v>
      </c>
      <c r="F373" s="326" t="n">
        <v>801.84</v>
      </c>
      <c r="G373" s="55" t="n">
        <v>75</v>
      </c>
      <c r="H373" s="55" t="n">
        <v>14</v>
      </c>
      <c r="I373" s="55" t="n">
        <v>5</v>
      </c>
      <c r="J373" s="56" t="n">
        <v>2.9</v>
      </c>
      <c r="K373" s="56" t="inlineStr">
        <is>
          <t>https://amazon.com/dp/B0DGKCMXL6</t>
        </is>
      </c>
      <c r="L373" s="70">
        <f>HYPERLINK(Table1311[[#This Row],[Column1]])</f>
        <v/>
      </c>
    </row>
    <row r="374" ht="60" customHeight="1" s="290">
      <c r="A374" s="30" t="inlineStr">
        <is>
          <t>Autel OBD2 Scanner ML529 Code Reader, OBD2 Code Scanner with Lifetime Software Update, AutoVIN for Quick DTC, Turning Off Vehicle Engine/Emission Light, Code Reader for One-Click Smog Check</t>
        </is>
      </c>
      <c r="B374" s="30" t="inlineStr">
        <is>
          <t>B0891452NW</t>
        </is>
      </c>
      <c r="C374" s="30" t="inlineStr">
        <is>
          <t>Handheld</t>
        </is>
      </c>
      <c r="D374" s="324" t="n">
        <v>46.65705882352941</v>
      </c>
      <c r="E374" s="324" t="n">
        <v>16271.6376923077</v>
      </c>
      <c r="F374" s="326" t="n">
        <v>793.17</v>
      </c>
      <c r="G374" s="55" t="n">
        <v>256</v>
      </c>
      <c r="H374" s="55" t="n">
        <v>17</v>
      </c>
      <c r="I374" s="55" t="n">
        <v>284</v>
      </c>
      <c r="J374" s="56" t="n">
        <v>4.5</v>
      </c>
      <c r="K374" s="56" t="inlineStr">
        <is>
          <t>https://amazon.com/dp/B0891452NW</t>
        </is>
      </c>
      <c r="L374" s="70">
        <f>HYPERLINK(Table1311[[#This Row],[Column1]])</f>
        <v/>
      </c>
    </row>
    <row r="375" ht="45" customHeight="1" s="290">
      <c r="A375" s="30" t="inlineStr">
        <is>
          <t>Autel Scanner MaxiCOM MK900 - New Ver.Work as MK900BT/ MX900, 40+ Service, OS 11, 3000+ Active Tests, DoIP CAN FD,All System Diagnose, FCA Autoauth&amp;SGW, Ver. of MK808BT PRO, MK808S, MX808S OBDII Tool</t>
        </is>
      </c>
      <c r="B375" s="30" t="inlineStr">
        <is>
          <t>B0D3HRRNRT</t>
        </is>
      </c>
      <c r="C375" s="30" t="inlineStr">
        <is>
          <t>Tablet</t>
        </is>
      </c>
      <c r="D375" s="324" t="n">
        <v>768.3200000000001</v>
      </c>
      <c r="E375" s="324" t="n">
        <v>14864.18</v>
      </c>
      <c r="F375" s="326" t="n">
        <v>768.3200000000001</v>
      </c>
      <c r="G375" s="55" t="n">
        <v>26</v>
      </c>
      <c r="H375" s="55" t="n">
        <v>1</v>
      </c>
      <c r="I375" s="55" t="n">
        <v>5</v>
      </c>
      <c r="J375" s="56" t="n">
        <v>3.4</v>
      </c>
      <c r="K375" s="56" t="inlineStr">
        <is>
          <t>https://amazon.com/dp/B0D3HRRNRT</t>
        </is>
      </c>
      <c r="L375" s="70">
        <f>HYPERLINK(Table1311[[#This Row],[Column1]])</f>
        <v/>
      </c>
    </row>
    <row r="376" ht="45" customHeight="1" s="290">
      <c r="A376" s="30" t="inlineStr">
        <is>
          <t>Autel Original OBD2 Male to 9pin J1939 Female Adapter Cable OBDII to Green J1939, Type 2 Connector for Heavy Duty Trucks and Commercial Vehicles Like Volvo, Plug Work with Truck ELD GPS Trackers</t>
        </is>
      </c>
      <c r="B376" s="30" t="inlineStr">
        <is>
          <t>B0FMDXHXHM</t>
        </is>
      </c>
      <c r="C376" s="30" t="inlineStr">
        <is>
          <t>Cable/Adapter</t>
        </is>
      </c>
      <c r="D376" s="324" t="n">
        <v>18.96675</v>
      </c>
      <c r="E376" s="324" t="n">
        <v>8517.256153846156</v>
      </c>
      <c r="F376" s="326" t="n">
        <v>758.67</v>
      </c>
      <c r="G376" s="55" t="n">
        <v>148</v>
      </c>
      <c r="H376" s="55" t="n">
        <v>40</v>
      </c>
      <c r="I376" s="55" t="n">
        <v>12</v>
      </c>
      <c r="J376" s="56" t="n">
        <v>4.9</v>
      </c>
      <c r="K376" s="56" t="inlineStr">
        <is>
          <t>https://amazon.com/dp/B0FMDXHXHM</t>
        </is>
      </c>
      <c r="L376" s="70">
        <f>HYPERLINK(Table1311[[#This Row],[Column1]])</f>
        <v/>
      </c>
    </row>
    <row r="377" ht="30" customHeight="1" s="290">
      <c r="A377" s="30" t="inlineStr">
        <is>
          <t>Autel Diaglink OBDII Code Reader Full Systems Diagnostic Scanner DIY Version of MD802 for Engine/Transmission/ABS/SRS/EPB/Oil Reset Service</t>
        </is>
      </c>
      <c r="B377" s="30" t="inlineStr">
        <is>
          <t>B07QS9VH8V</t>
        </is>
      </c>
      <c r="C377" s="30" t="inlineStr">
        <is>
          <t>Handheld</t>
        </is>
      </c>
      <c r="D377" s="324" t="n">
        <v>94.16125</v>
      </c>
      <c r="E377" s="324" t="n">
        <v>4787.13</v>
      </c>
      <c r="F377" s="326" t="n">
        <v>753.29</v>
      </c>
      <c r="G377" s="55" t="n">
        <v>51</v>
      </c>
      <c r="H377" s="55" t="n">
        <v>8</v>
      </c>
      <c r="I377" s="55" t="n">
        <v>132</v>
      </c>
      <c r="J377" s="56" t="n">
        <v>3.6</v>
      </c>
      <c r="K377" s="56" t="inlineStr">
        <is>
          <t>https://amazon.com/dp/B07QS9VH8V</t>
        </is>
      </c>
      <c r="L377" s="70">
        <f>HYPERLINK(Table1311[[#This Row],[Column1]])</f>
        <v/>
      </c>
    </row>
    <row r="378" ht="45" customHeight="1" s="290">
      <c r="A378" s="30" t="inlineStr">
        <is>
          <t>Autel Automotive OBD Scan Tool, Lifetime Updates, Auto Scan, VCI V200, 2GB &amp; 64GB, Android 9.0</t>
        </is>
      </c>
      <c r="B378" s="30" t="inlineStr">
        <is>
          <t>B0B3MQRPPZ</t>
        </is>
      </c>
      <c r="C378" s="30" t="inlineStr">
        <is>
          <t>Key</t>
        </is>
      </c>
      <c r="D378" s="324" t="n">
        <v>749.72</v>
      </c>
      <c r="E378" s="324" t="n">
        <v>16315.99384615385</v>
      </c>
      <c r="F378" s="326" t="n">
        <v>749.72</v>
      </c>
      <c r="G378" s="55" t="n">
        <v>20</v>
      </c>
      <c r="H378" s="55" t="n">
        <v>1</v>
      </c>
      <c r="I378" s="55" t="n">
        <v>232</v>
      </c>
      <c r="J378" s="56" t="n">
        <v>4.3</v>
      </c>
      <c r="K378" s="56" t="inlineStr">
        <is>
          <t>https://amazon.com/dp/B0B3MQRPPZ</t>
        </is>
      </c>
      <c r="L378" s="70">
        <f>HYPERLINK(Table1311[[#This Row],[Column1]])</f>
        <v/>
      </c>
    </row>
    <row r="379" ht="45" customHeight="1" s="290">
      <c r="A379" s="30" t="inlineStr">
        <is>
          <t>Autel MaxiSys MS906 PRO 1-Year Update Service, Total Care Program (TCP) Card, One Year Software Subscription &amp; Warranty</t>
        </is>
      </c>
      <c r="B379" s="30" t="inlineStr">
        <is>
          <t>B0FR954ZD5</t>
        </is>
      </c>
      <c r="C379" s="30" t="inlineStr">
        <is>
          <t>Other</t>
        </is>
      </c>
      <c r="D379" s="324" t="n">
        <v>367.26</v>
      </c>
      <c r="E379" s="324" t="n">
        <v>6016.87923076923</v>
      </c>
      <c r="F379" s="326" t="n">
        <v>734.52</v>
      </c>
      <c r="G379" s="55" t="n">
        <v>3</v>
      </c>
      <c r="H379" s="55" t="n">
        <v>2</v>
      </c>
      <c r="I379" s="55" t="n"/>
      <c r="J379" s="56" t="n"/>
      <c r="K379" s="56" t="inlineStr">
        <is>
          <t>https://amazon.com/dp/B0FR954ZD5</t>
        </is>
      </c>
      <c r="L379" s="70">
        <f>HYPERLINK(Table1311[[#This Row],[Column1]])</f>
        <v/>
      </c>
    </row>
    <row r="380" ht="45" customHeight="1" s="290">
      <c r="A380" s="30" t="inlineStr">
        <is>
          <t>Autel OBD2 Scanner AutoLink AL549 Code Reader with AutoVin Diagnostic Tool Color-Coded Fault and IM Readiness Universal Car Battery Test Enhanced PCM and ABS Coverage Upgrade Ver. of Autel AL519</t>
        </is>
      </c>
      <c r="B380" s="30" t="inlineStr">
        <is>
          <t>B0D93BTQMG</t>
        </is>
      </c>
      <c r="C380" s="30" t="inlineStr">
        <is>
          <t>Handheld</t>
        </is>
      </c>
      <c r="D380" s="324" t="n">
        <v>71.675</v>
      </c>
      <c r="E380" s="324" t="n">
        <v>7990.19</v>
      </c>
      <c r="F380" s="326" t="n">
        <v>716.75</v>
      </c>
      <c r="G380" s="55" t="n">
        <v>117</v>
      </c>
      <c r="H380" s="55" t="n">
        <v>10</v>
      </c>
      <c r="I380" s="55" t="n">
        <v>12</v>
      </c>
      <c r="J380" s="56" t="n">
        <v>4.8</v>
      </c>
      <c r="K380" s="56" t="inlineStr">
        <is>
          <t>https://amazon.com/dp/B0D93BTQMG</t>
        </is>
      </c>
      <c r="L380" s="70">
        <f>HYPERLINK(Table1311[[#This Row],[Column1]])</f>
        <v/>
      </c>
    </row>
    <row r="381" ht="45" customHeight="1" s="290">
      <c r="A381" s="30" t="inlineStr">
        <is>
          <t>Autel Original Tesla Diagnostic Service Cable for Tesla Model X &amp; Model S, Activate Factory Mode, System Diagnostic, Work Scanner MaxiSys Ultra, Elite II PRO, MS909, MS908S PRO II, MK908 PRO II</t>
        </is>
      </c>
      <c r="B381" s="30" t="inlineStr">
        <is>
          <t>B0D3VCD5F8</t>
        </is>
      </c>
      <c r="C381" s="30" t="inlineStr">
        <is>
          <t>Cable/Adapter</t>
        </is>
      </c>
      <c r="D381" s="324" t="n">
        <v>17.00309523809524</v>
      </c>
      <c r="E381" s="324" t="n">
        <v>4247.51</v>
      </c>
      <c r="F381" s="326" t="n">
        <v>714.13</v>
      </c>
      <c r="G381" s="55" t="n">
        <v>238</v>
      </c>
      <c r="H381" s="55" t="n">
        <v>42</v>
      </c>
      <c r="I381" s="55" t="n">
        <v>12</v>
      </c>
      <c r="J381" s="56" t="n">
        <v>4.6</v>
      </c>
      <c r="K381" s="56" t="inlineStr">
        <is>
          <t>https://amazon.com/dp/B0D3VCD5F8</t>
        </is>
      </c>
      <c r="L381" s="70">
        <f>HYPERLINK(Table1311[[#This Row],[Column1]])</f>
        <v/>
      </c>
    </row>
    <row r="382" ht="30" customHeight="1" s="290">
      <c r="A382" s="30" t="inlineStr">
        <is>
          <t>Autel MaxiDiag Advanced MD808 (MD808 Pro) All System OBDII Scanner (Combination of MaxiCheck Pro and MD802) for Oil and Battery Reset Registration, Parking Brake Pad Relearn,SAS,SRS,ABS,EPB,DPF,BMS</t>
        </is>
      </c>
      <c r="B382" s="30" t="inlineStr">
        <is>
          <t>B0714GBRZK</t>
        </is>
      </c>
      <c r="C382" s="30" t="inlineStr">
        <is>
          <t>Handheld</t>
        </is>
      </c>
      <c r="D382" s="324" t="n">
        <v>234.9933333333333</v>
      </c>
      <c r="E382" s="324" t="n">
        <v>8231.661538461538</v>
      </c>
      <c r="F382" s="326" t="n">
        <v>704.98</v>
      </c>
      <c r="G382" s="55" t="n">
        <v>26</v>
      </c>
      <c r="H382" s="55" t="n">
        <v>3</v>
      </c>
      <c r="I382" s="55" t="n">
        <v>190</v>
      </c>
      <c r="J382" s="56" t="n">
        <v>4.2</v>
      </c>
      <c r="K382" s="56" t="inlineStr">
        <is>
          <t>https://amazon.com/dp/B0714GBRZK</t>
        </is>
      </c>
      <c r="L382" s="70">
        <f>HYPERLINK(Table1311[[#This Row],[Column1]])</f>
        <v/>
      </c>
    </row>
    <row r="383" ht="45" customHeight="1" s="290">
      <c r="A383" s="30" t="inlineStr">
        <is>
          <t>Autel Original OBD2 Splitter 16 Pin OBD II Splitter Extension, 1X Male to 2X Female Extension Cable Adapter, OBDII Extension Cord (2FT/ 60CM)</t>
        </is>
      </c>
      <c r="B383" s="30" t="inlineStr">
        <is>
          <t>B0D4MBB7C9</t>
        </is>
      </c>
      <c r="C383" s="30" t="inlineStr">
        <is>
          <t>Cable/Adapter</t>
        </is>
      </c>
      <c r="D383" s="324" t="n">
        <v>23.28413793103448</v>
      </c>
      <c r="E383" s="324" t="n">
        <v>6111.84</v>
      </c>
      <c r="F383" s="326" t="n">
        <v>675.24</v>
      </c>
      <c r="G383" s="55" t="n">
        <v>264</v>
      </c>
      <c r="H383" s="55" t="n">
        <v>29</v>
      </c>
      <c r="I383" s="55" t="n">
        <v>31</v>
      </c>
      <c r="J383" s="56" t="n">
        <v>4.6</v>
      </c>
      <c r="K383" s="56" t="inlineStr">
        <is>
          <t>https://amazon.com/dp/B0D4MBB7C9</t>
        </is>
      </c>
      <c r="L383" s="70">
        <f>HYPERLINK(Table1311[[#This Row],[Column1]])</f>
        <v/>
      </c>
    </row>
    <row r="384" ht="45" customHeight="1" s="290">
      <c r="A384" s="30" t="inlineStr">
        <is>
          <t>Autel Original OBD2 Main Test Cable for 808 Series Scanners, 5.6FT/ 1.7M 16 Pin DB15 OBDII Diagnostic Adapter, fit MK808 MK808S MK808Z MX808 MX808S DS708 DS808 MS906 MS908 MP808 MP808S IM508S IM508</t>
        </is>
      </c>
      <c r="B384" s="30" t="inlineStr">
        <is>
          <t>B0DH2788FM</t>
        </is>
      </c>
      <c r="C384" s="30" t="inlineStr">
        <is>
          <t>Cable/Adapter</t>
        </is>
      </c>
      <c r="D384" s="324" t="n">
        <v>22.69655172413793</v>
      </c>
      <c r="E384" s="324" t="n">
        <v>14641.56923076923</v>
      </c>
      <c r="F384" s="326" t="n">
        <v>658.2</v>
      </c>
      <c r="G384" s="55" t="n">
        <v>612</v>
      </c>
      <c r="H384" s="55" t="n">
        <v>29</v>
      </c>
      <c r="I384" s="55" t="n">
        <v>31</v>
      </c>
      <c r="J384" s="56" t="n">
        <v>4.3</v>
      </c>
      <c r="K384" s="56" t="inlineStr">
        <is>
          <t>https://amazon.com/dp/B0DH2788FM</t>
        </is>
      </c>
      <c r="L384" s="70">
        <f>HYPERLINK(Table1311[[#This Row],[Column1]])</f>
        <v/>
      </c>
    </row>
    <row r="385" ht="45" customHeight="1" s="290">
      <c r="A385" s="30" t="inlineStr">
        <is>
          <t>Autel MaxiDiag MD909 Pro OBD2 Scanner, 2026 BT Wireless All System Diagnostic Tool, MD909Pro Up of MD808Pro MD906Pro MD806 MD802, 11 Service Oil Reset ABS D-P-F etc, CAN FD, FCA SGW, Free Update</t>
        </is>
      </c>
      <c r="B385" s="30" t="inlineStr">
        <is>
          <t>B0FCRTGWCK</t>
        </is>
      </c>
      <c r="C385" s="30" t="inlineStr">
        <is>
          <t>Tablet</t>
        </is>
      </c>
      <c r="D385" s="324" t="n">
        <v>328.99</v>
      </c>
      <c r="E385" s="324" t="n">
        <v>11226.96461538462</v>
      </c>
      <c r="F385" s="326" t="n">
        <v>657.98</v>
      </c>
      <c r="G385" s="55" t="n">
        <v>26</v>
      </c>
      <c r="H385" s="55" t="n">
        <v>2</v>
      </c>
      <c r="I385" s="55" t="n">
        <v>4</v>
      </c>
      <c r="J385" s="56" t="n">
        <v>4.3</v>
      </c>
      <c r="K385" s="56" t="inlineStr">
        <is>
          <t>https://amazon.com/dp/B0FCRTGWCK</t>
        </is>
      </c>
      <c r="L385" s="70">
        <f>HYPERLINK(Table1311[[#This Row],[Column1]])</f>
        <v/>
      </c>
    </row>
    <row r="386" ht="60" customHeight="1" s="290">
      <c r="A386" s="30" t="inlineStr">
        <is>
          <t>Autel MS908P-1YRUPDATE Scan Tool</t>
        </is>
      </c>
      <c r="B386" s="30" t="inlineStr">
        <is>
          <t>B00UF1K23Y</t>
        </is>
      </c>
      <c r="C386" s="30" t="inlineStr">
        <is>
          <t>Other</t>
        </is>
      </c>
      <c r="D386" s="324" t="n">
        <v>655.36</v>
      </c>
      <c r="E386" s="324" t="n">
        <v>15678.69</v>
      </c>
      <c r="F386" s="326" t="n">
        <v>655.36</v>
      </c>
      <c r="G386" s="55" t="n">
        <v>21</v>
      </c>
      <c r="H386" s="55" t="n">
        <v>1</v>
      </c>
      <c r="I386" s="55" t="n">
        <v>24</v>
      </c>
      <c r="J386" s="56" t="n">
        <v>4.7</v>
      </c>
      <c r="K386" s="56" t="inlineStr">
        <is>
          <t>https://amazon.com/dp/B00UF1K23Y</t>
        </is>
      </c>
      <c r="L386" s="70">
        <f>HYPERLINK(Table1311[[#This Row],[Column1]])</f>
        <v/>
      </c>
    </row>
    <row r="387" ht="45" customHeight="1" s="290">
      <c r="A387" s="30" t="inlineStr">
        <is>
          <t>Autel OBD2 Scanner Autel MaxiAP AP2500 Bluetooth Code Reader Oil Reset TPMS BMS Reset All-System Code Read/Clear 45+ Car Brands Work with Android/iOS Upgrade AL329 AP200 AP200H</t>
        </is>
      </c>
      <c r="B387" s="30" t="inlineStr">
        <is>
          <t>B0CWV32ZX4</t>
        </is>
      </c>
      <c r="C387" s="30" t="inlineStr">
        <is>
          <t>Dongle</t>
        </is>
      </c>
      <c r="D387" s="324" t="n">
        <v>58.02272727272727</v>
      </c>
      <c r="E387" s="324" t="n">
        <v>2315.61</v>
      </c>
      <c r="F387" s="326" t="n">
        <v>638.25</v>
      </c>
      <c r="G387" s="55" t="n">
        <v>39</v>
      </c>
      <c r="H387" s="55" t="n">
        <v>11</v>
      </c>
      <c r="I387" s="55" t="n">
        <v>10</v>
      </c>
      <c r="J387" s="56" t="n">
        <v>3.6</v>
      </c>
      <c r="K387" s="56" t="inlineStr">
        <is>
          <t>https://amazon.com/dp/B0CWV32ZX4</t>
        </is>
      </c>
      <c r="L387" s="70">
        <f>HYPERLINK(Table1311[[#This Row],[Column1]])</f>
        <v/>
      </c>
    </row>
    <row r="388" ht="45" customHeight="1" s="290">
      <c r="A388" s="30" t="inlineStr">
        <is>
          <t>Autel Maxilink ML619 OBD2 Scanner, New Autel Scanner Upgraded Version of AL519/AL619, Code Reader with ABS SRS Diagnoses for Warning Light Turn Off (Including MIL), Graphs Data, 10 OBD2 Test Modes</t>
        </is>
      </c>
      <c r="B388" s="30" t="inlineStr">
        <is>
          <t>B07HCF5S3M</t>
        </is>
      </c>
      <c r="C388" s="30" t="inlineStr">
        <is>
          <t>Handheld</t>
        </is>
      </c>
      <c r="D388" s="324" t="n">
        <v>105.955</v>
      </c>
      <c r="E388" s="324" t="n">
        <v>17930.66</v>
      </c>
      <c r="F388" s="326" t="n">
        <v>635.73</v>
      </c>
      <c r="G388" s="55" t="n">
        <v>183</v>
      </c>
      <c r="H388" s="55" t="n">
        <v>6</v>
      </c>
      <c r="I388" s="55" t="n">
        <v>13</v>
      </c>
      <c r="J388" s="56" t="n">
        <v>4.2</v>
      </c>
      <c r="K388" s="56" t="inlineStr">
        <is>
          <t>https://amazon.com/dp/B07HCF5S3M</t>
        </is>
      </c>
      <c r="L388" s="70">
        <f>HYPERLINK(Table1311[[#This Row],[Column1]])</f>
        <v/>
      </c>
    </row>
    <row r="389" ht="45" customHeight="1" s="290">
      <c r="A389" s="30" t="inlineStr">
        <is>
          <t>Autel MaxiTPMS TS601 OBDII Car TPMS Reset Programming Diagnostic Scanner Tool, MOST POWERFUL TPMS DIAGNOSTIC &amp; SERVICE DIY TOOL, Wireless diagnosing TPMS Tool</t>
        </is>
      </c>
      <c r="B389" s="30" t="inlineStr">
        <is>
          <t>B0CFL5W685</t>
        </is>
      </c>
      <c r="C389" s="30" t="inlineStr">
        <is>
          <t>Handheld</t>
        </is>
      </c>
      <c r="D389" s="324" t="n">
        <v>317.44</v>
      </c>
      <c r="E389" s="324" t="n">
        <v>7340.92</v>
      </c>
      <c r="F389" s="326" t="n">
        <v>634.88</v>
      </c>
      <c r="G389" s="55" t="n">
        <v>21</v>
      </c>
      <c r="H389" s="55" t="n">
        <v>2</v>
      </c>
      <c r="I389" s="55" t="n"/>
      <c r="J389" s="56" t="n"/>
      <c r="K389" s="56" t="inlineStr">
        <is>
          <t>https://amazon.com/dp/B0CFL5W685</t>
        </is>
      </c>
      <c r="L389" s="70">
        <f>HYPERLINK(Table1311[[#This Row],[Column1]])</f>
        <v/>
      </c>
    </row>
    <row r="390" ht="30" customHeight="1" s="290">
      <c r="A390" s="30" t="inlineStr">
        <is>
          <t>Autel Original Universal Key Fob Replacement, Programmable Blank Key IKEYAT003BL, 3-Button Keyless Entry for 700+ Vehicles, OBD Learning, Dual-Band, 130FT Remote, OE-Quality, Work with KM100 Scan Tool</t>
        </is>
      </c>
      <c r="B390" s="30" t="inlineStr">
        <is>
          <t>B0DCS3Z3VF</t>
        </is>
      </c>
      <c r="C390" s="30" t="inlineStr">
        <is>
          <t>Key</t>
        </is>
      </c>
      <c r="D390" s="324" t="n">
        <v>39.399375</v>
      </c>
      <c r="E390" s="324" t="n">
        <v>7096.599999999999</v>
      </c>
      <c r="F390" s="326" t="n">
        <v>630.39</v>
      </c>
      <c r="G390" s="55" t="n">
        <v>179</v>
      </c>
      <c r="H390" s="55" t="n">
        <v>16</v>
      </c>
      <c r="I390" s="55" t="n">
        <v>17</v>
      </c>
      <c r="J390" s="56" t="n">
        <v>4.9</v>
      </c>
      <c r="K390" s="56" t="inlineStr">
        <is>
          <t>https://amazon.com/dp/B0DCS3Z3VF</t>
        </is>
      </c>
      <c r="L390" s="70">
        <f>HYPERLINK(Table1311[[#This Row],[Column1]])</f>
        <v/>
      </c>
    </row>
    <row r="391" ht="45" customHeight="1" s="290">
      <c r="A391" s="30" t="inlineStr">
        <is>
          <t>Autel MaxiDiag MD808 Pro OBD2 Scanner, All System Diagnostic Scan Tool, Upgraded of MaxiCheck Pro/MD808/MD806 Pro/MD802, 7 Reset Service Oil/D-F/EPB/SAS/BMS/Throttle, Auto Scan, Lifetime Free Update</t>
        </is>
      </c>
      <c r="B391" s="30" t="inlineStr">
        <is>
          <t>B0D5QZG2NK</t>
        </is>
      </c>
      <c r="C391" s="30" t="inlineStr">
        <is>
          <t>Handheld</t>
        </is>
      </c>
      <c r="D391" s="324" t="n">
        <v>306.77</v>
      </c>
      <c r="E391" s="324" t="n">
        <v>13008.33461538462</v>
      </c>
      <c r="F391" s="326" t="n">
        <v>613.54</v>
      </c>
      <c r="G391" s="55" t="n">
        <v>47</v>
      </c>
      <c r="H391" s="55" t="n">
        <v>2</v>
      </c>
      <c r="I391" s="55" t="n">
        <v>8</v>
      </c>
      <c r="J391" s="56" t="n">
        <v>4.2</v>
      </c>
      <c r="K391" s="56" t="inlineStr">
        <is>
          <t>https://amazon.com/dp/B0D5QZG2NK</t>
        </is>
      </c>
      <c r="L391" s="70">
        <f>HYPERLINK(Table1311[[#This Row],[Column1]])</f>
        <v/>
      </c>
    </row>
    <row r="392" ht="45" customHeight="1" s="290">
      <c r="A392" s="30" t="inlineStr">
        <is>
          <t>Autel Original J1939 Splitter 9pin Type 2 Male to Female and 16pin OBD2 Y Cable, Green Connector Work with Truck Diagnostic Scanner, Converter for Heavy Duty Commercial Truck Fleet ELD GPS Tracker</t>
        </is>
      </c>
      <c r="B392" s="30" t="inlineStr">
        <is>
          <t>B0G4LNY2GD</t>
        </is>
      </c>
      <c r="C392" s="30" t="inlineStr">
        <is>
          <t>Cable/Adapter</t>
        </is>
      </c>
      <c r="D392" s="324" t="n">
        <v>19.71933333333333</v>
      </c>
      <c r="E392" s="324" t="n">
        <v>7278.618461538461</v>
      </c>
      <c r="F392" s="326" t="n">
        <v>591.58</v>
      </c>
      <c r="G392" s="55" t="n">
        <v>86</v>
      </c>
      <c r="H392" s="55" t="n">
        <v>30</v>
      </c>
      <c r="I392" s="55" t="n">
        <v>3</v>
      </c>
      <c r="J392" s="56" t="n">
        <v>5</v>
      </c>
      <c r="K392" s="56" t="inlineStr">
        <is>
          <t>https://amazon.com/dp/B0G4LNY2GD</t>
        </is>
      </c>
      <c r="L392" s="70">
        <f>HYPERLINK(Table1311[[#This Row],[Column1]])</f>
        <v/>
      </c>
    </row>
    <row r="393" ht="45" customHeight="1" s="290">
      <c r="A393" s="30" t="inlineStr">
        <is>
          <t>AutoLINK AL629</t>
        </is>
      </c>
      <c r="B393" s="30" t="inlineStr">
        <is>
          <t>B073RDY1PX</t>
        </is>
      </c>
      <c r="C393" s="30" t="inlineStr">
        <is>
          <t>Handheld</t>
        </is>
      </c>
      <c r="D393" s="324" t="n">
        <v>140.8975</v>
      </c>
      <c r="E393" s="324" t="n">
        <v>11934.3</v>
      </c>
      <c r="F393" s="326" t="n">
        <v>563.59</v>
      </c>
      <c r="G393" s="55" t="n">
        <v>83</v>
      </c>
      <c r="H393" s="55" t="n">
        <v>4</v>
      </c>
      <c r="I393" s="55" t="n">
        <v>139</v>
      </c>
      <c r="J393" s="56" t="n">
        <v>4.2</v>
      </c>
      <c r="K393" s="56" t="inlineStr">
        <is>
          <t>https://amazon.com/dp/B073RDY1PX</t>
        </is>
      </c>
      <c r="L393" s="70">
        <f>HYPERLINK(Table1311[[#This Row],[Column1]])</f>
        <v/>
      </c>
    </row>
    <row r="394" ht="60" customHeight="1" s="290">
      <c r="A394" s="30" t="inlineStr">
        <is>
          <t>Autel MaxiFlash VCI Kit, Bluetooth Vehicle Communication Interface, ECU Programming, SAE J2534 D-PDU RP1210 CAN FD 4 CAN Channels ISO22900, Work with MaxiSYS MS909 MS909EV MS909CV MaxiCOM Ultra Lite</t>
        </is>
      </c>
      <c r="B394" s="30" t="inlineStr">
        <is>
          <t>B0BXP45P23</t>
        </is>
      </c>
      <c r="C394" s="30" t="inlineStr">
        <is>
          <t>VCI</t>
        </is>
      </c>
      <c r="D394" s="324" t="n">
        <v>540.79</v>
      </c>
      <c r="E394" s="324" t="n">
        <v>42050.28</v>
      </c>
      <c r="F394" s="326" t="n">
        <v>540.79</v>
      </c>
      <c r="G394" s="55" t="n">
        <v>42</v>
      </c>
      <c r="H394" s="55" t="n">
        <v>1</v>
      </c>
      <c r="I394" s="55" t="n">
        <v>4</v>
      </c>
      <c r="J394" s="56" t="n">
        <v>5</v>
      </c>
      <c r="K394" s="56" t="inlineStr">
        <is>
          <t>https://amazon.com/dp/B0BXP45P23</t>
        </is>
      </c>
      <c r="L394" s="70">
        <f>HYPERLINK(Table1311[[#This Row],[Column1]])</f>
        <v/>
      </c>
    </row>
    <row r="395" ht="30" customHeight="1" s="290">
      <c r="A395" s="30" t="inlineStr">
        <is>
          <t>Autel MaxiIM Ikey, IKEYBW004AL, Programmable Smart Universal Key Replacement, 4pcs, OE-Quality Key Fob for BMW, IMMO Learning, Dual-Band, Work with KM100 XP400PRO XP200 for IM508S IM608 PRO</t>
        </is>
      </c>
      <c r="B395" s="30" t="inlineStr">
        <is>
          <t>B0BQ6GLDDX</t>
        </is>
      </c>
      <c r="C395" s="30" t="inlineStr">
        <is>
          <t>Key</t>
        </is>
      </c>
      <c r="D395" s="324" t="n">
        <v>129.49</v>
      </c>
      <c r="E395" s="324" t="n">
        <v>7367.35</v>
      </c>
      <c r="F395" s="326" t="n">
        <v>517.96</v>
      </c>
      <c r="G395" s="55" t="n">
        <v>49</v>
      </c>
      <c r="H395" s="55" t="n">
        <v>4</v>
      </c>
      <c r="I395" s="55" t="n">
        <v>12</v>
      </c>
      <c r="J395" s="56" t="n">
        <v>5</v>
      </c>
      <c r="K395" s="56" t="inlineStr">
        <is>
          <t>https://amazon.com/dp/B0BQ6GLDDX</t>
        </is>
      </c>
      <c r="L395" s="70">
        <f>HYPERLINK(Table1311[[#This Row],[Column1]])</f>
        <v/>
      </c>
    </row>
    <row r="396" ht="45" customHeight="1" s="290">
      <c r="A396" s="30" t="inlineStr">
        <is>
          <t>Autel Original OBD2 Main Test Cable, Only for MaxiCOM MK900, MaxiCheck MX900, MaxiPRO MP900, MaxiDAS DS900, 16 Pin OBDII OBD 2 Diagnostic Test Cable (5.6ft 1.7M)</t>
        </is>
      </c>
      <c r="B396" s="30" t="inlineStr">
        <is>
          <t>B0F6LLRYVS</t>
        </is>
      </c>
      <c r="C396" s="30" t="inlineStr">
        <is>
          <t>Cable/Adapter</t>
        </is>
      </c>
      <c r="D396" s="324" t="n">
        <v>25.8035</v>
      </c>
      <c r="E396" s="324" t="n">
        <v>5887.762307692307</v>
      </c>
      <c r="F396" s="326" t="n">
        <v>516.0700000000001</v>
      </c>
      <c r="G396" s="55" t="n">
        <v>208</v>
      </c>
      <c r="H396" s="55" t="n">
        <v>20</v>
      </c>
      <c r="I396" s="55" t="n">
        <v>12</v>
      </c>
      <c r="J396" s="56" t="n">
        <v>5</v>
      </c>
      <c r="K396" s="56" t="inlineStr">
        <is>
          <t>https://amazon.com/dp/B0F6LLRYVS</t>
        </is>
      </c>
      <c r="L396" s="70">
        <f>HYPERLINK(Table1311[[#This Row],[Column1]])</f>
        <v/>
      </c>
    </row>
    <row r="397" ht="30" customHeight="1" s="290">
      <c r="A397" s="30" t="inlineStr">
        <is>
          <t>OBD2 12+8 Adapter for Chrysler 2018+, FCA SGW Bypass Cable, OBDII 12 8 Connector for Jeep Dodge Ram Fiat, Security Gateway Access for All Scanners</t>
        </is>
      </c>
      <c r="B397" s="30" t="inlineStr">
        <is>
          <t>B0GDXNL7CD</t>
        </is>
      </c>
      <c r="C397" s="30" t="inlineStr">
        <is>
          <t>Cable/Adapter</t>
        </is>
      </c>
      <c r="D397" s="324" t="n">
        <v>26.62105263157895</v>
      </c>
      <c r="E397" s="324" t="n">
        <v>5957.895384615385</v>
      </c>
      <c r="F397" s="326" t="n">
        <v>505.8</v>
      </c>
      <c r="G397" s="55" t="n">
        <v>31</v>
      </c>
      <c r="H397" s="55" t="n">
        <v>19</v>
      </c>
      <c r="I397" s="55" t="n">
        <v>2</v>
      </c>
      <c r="J397" s="56" t="n">
        <v>3.5</v>
      </c>
      <c r="K397" s="56" t="inlineStr">
        <is>
          <t>https://amazon.com/dp/B0GDXNL7CD</t>
        </is>
      </c>
      <c r="L397" s="70">
        <f>HYPERLINK(Table1311[[#This Row],[Column1]])</f>
        <v/>
      </c>
    </row>
    <row r="398" ht="45" customHeight="1" s="290">
      <c r="A398" s="30" t="inlineStr">
        <is>
          <t>Autel Original MaxiSYS CV Komatsu 12-PIN Adapter, 12 Pins to OBD2 16 Pins Off-Highway Diagnostic Tool Cable Connector, Work with Truck Scanner Autel CV MS908CV, MS908CV II, MS909CV, MS906CV, and VCI</t>
        </is>
      </c>
      <c r="B398" s="30" t="inlineStr">
        <is>
          <t>B0DBHVW99Z</t>
        </is>
      </c>
      <c r="C398" s="30" t="inlineStr">
        <is>
          <t>Cable/Adapter</t>
        </is>
      </c>
      <c r="D398" s="324" t="n">
        <v>25.89368421052632</v>
      </c>
      <c r="E398" s="324" t="n">
        <v>4971.620000000001</v>
      </c>
      <c r="F398" s="326" t="n">
        <v>491.98</v>
      </c>
      <c r="G398" s="55" t="n">
        <v>196</v>
      </c>
      <c r="H398" s="55" t="n">
        <v>19</v>
      </c>
      <c r="I398" s="55" t="n">
        <v>7</v>
      </c>
      <c r="J398" s="56" t="n">
        <v>5</v>
      </c>
      <c r="K398" s="56" t="inlineStr">
        <is>
          <t>https://amazon.com/dp/B0DBHVW99Z</t>
        </is>
      </c>
      <c r="L398" s="70">
        <f>HYPERLINK(Table1311[[#This Row],[Column1]])</f>
        <v/>
      </c>
    </row>
    <row r="399" ht="30" customHeight="1" s="290">
      <c r="A399" s="30" t="inlineStr">
        <is>
          <t>Autel OBD2 Scanner MaxiCOM MK808Z Automotive Diagnostic Tool - Same as MK808S MX808S, Android 11, Bi-Directional Tests as MK900 MX900, 28 Services, Injector Coding, All-System Scan, FCA AutoAuth</t>
        </is>
      </c>
      <c r="B399" s="30" t="inlineStr">
        <is>
          <t>B0FHW3FT8L</t>
        </is>
      </c>
      <c r="C399" s="30" t="inlineStr">
        <is>
          <t>Tablet</t>
        </is>
      </c>
      <c r="D399" s="324" t="n">
        <v>487.92</v>
      </c>
      <c r="E399" s="324" t="n">
        <v>8780.060769230771</v>
      </c>
      <c r="F399" s="326" t="n">
        <v>487.92</v>
      </c>
      <c r="G399" s="55" t="n">
        <v>15</v>
      </c>
      <c r="H399" s="55" t="n">
        <v>1</v>
      </c>
      <c r="I399" s="55" t="n">
        <v>1</v>
      </c>
      <c r="J399" s="56" t="n">
        <v>5</v>
      </c>
      <c r="K399" s="56" t="inlineStr">
        <is>
          <t>https://amazon.com/dp/B0FHW3FT8L</t>
        </is>
      </c>
      <c r="L399" s="70">
        <f>HYPERLINK(Table1311[[#This Row],[Column1]])</f>
        <v/>
      </c>
    </row>
    <row r="400" ht="45" customHeight="1" s="290">
      <c r="A400" s="30" t="inlineStr">
        <is>
          <t>Autel Original MaxiSYS CV Cummins 8Pin Adapter, 8-Pin Off-Highway Vehicle Cable Connector for Cummins Engines, Work with Heavy Duty Truck Scanner Semi Truck Tool MS909CV, MS908CV II, MS908CV, MS906CV</t>
        </is>
      </c>
      <c r="B400" s="30" t="inlineStr">
        <is>
          <t>B0DBHW85FN</t>
        </is>
      </c>
      <c r="C400" s="30" t="inlineStr">
        <is>
          <t>Cable/Adapter</t>
        </is>
      </c>
      <c r="D400" s="324" t="n">
        <v>29.881875</v>
      </c>
      <c r="E400" s="324" t="n">
        <v>4427.042307692307</v>
      </c>
      <c r="F400" s="326" t="n">
        <v>478.11</v>
      </c>
      <c r="G400" s="55" t="n">
        <v>119</v>
      </c>
      <c r="H400" s="55" t="n">
        <v>16</v>
      </c>
      <c r="I400" s="55" t="n">
        <v>2</v>
      </c>
      <c r="J400" s="56" t="n">
        <v>5</v>
      </c>
      <c r="K400" s="56" t="inlineStr">
        <is>
          <t>https://amazon.com/dp/B0DBHW85FN</t>
        </is>
      </c>
      <c r="L400" s="70">
        <f>HYPERLINK(Table1311[[#This Row],[Column1]])</f>
        <v/>
      </c>
    </row>
    <row r="401" ht="45" customHeight="1" s="290">
      <c r="A401" s="30" t="inlineStr">
        <is>
          <t>Autel MaxiDiag MD808 PRO OBD2 Scanner, Upgraded of MD806/MD805/MD802 Full System Diagnostic Scan Tool, 7 Services Read/Clear Codes DTC Lookup Oil Reset Battery Reset, Free Lifetime Update</t>
        </is>
      </c>
      <c r="B401" s="30" t="inlineStr">
        <is>
          <t>B0GCDS5CKB</t>
        </is>
      </c>
      <c r="C401" s="30" t="inlineStr">
        <is>
          <t>Handheld</t>
        </is>
      </c>
      <c r="D401" s="324" t="n">
        <v>224.44</v>
      </c>
      <c r="E401" s="324" t="n">
        <v>5006.738461538463</v>
      </c>
      <c r="F401" s="326" t="n">
        <v>448.88</v>
      </c>
      <c r="G401" s="55" t="n">
        <v>2</v>
      </c>
      <c r="H401" s="55" t="n">
        <v>2</v>
      </c>
      <c r="I401" s="55" t="n"/>
      <c r="J401" s="56" t="n"/>
      <c r="K401" s="56" t="inlineStr">
        <is>
          <t>https://amazon.com/dp/B0GCDS5CKB</t>
        </is>
      </c>
      <c r="L401" s="70">
        <f>HYPERLINK(Table1311[[#This Row],[Column1]])</f>
        <v/>
      </c>
    </row>
    <row r="402" ht="60" customHeight="1" s="290">
      <c r="A402" s="30" t="inlineStr">
        <is>
          <t>Autel 1-Year Update Service for IM608/ IM608 PRO, Total Care Program (TCP) Card, One Year Software Subscription &amp; Warranty</t>
        </is>
      </c>
      <c r="B402" s="30" t="inlineStr">
        <is>
          <t>B0GR45V5JZ</t>
        </is>
      </c>
      <c r="C402" s="30" t="inlineStr">
        <is>
          <t>Tablet</t>
        </is>
      </c>
      <c r="D402" s="324" t="n">
        <v>447.48</v>
      </c>
      <c r="E402" s="324" t="n">
        <v>8941.573076923076</v>
      </c>
      <c r="F402" s="326" t="n">
        <v>447.48</v>
      </c>
      <c r="G402" s="55" t="n">
        <v>5</v>
      </c>
      <c r="H402" s="55" t="n">
        <v>1</v>
      </c>
      <c r="I402" s="55" t="n"/>
      <c r="J402" s="56" t="n"/>
      <c r="K402" s="56" t="inlineStr">
        <is>
          <t>https://amazon.com/dp/B0GR45V5JZ</t>
        </is>
      </c>
      <c r="L402" s="70">
        <f>HYPERLINK(Table1311[[#This Row],[Column1]])</f>
        <v/>
      </c>
    </row>
    <row r="403" ht="45" customHeight="1" s="290">
      <c r="A403" s="30" t="inlineStr">
        <is>
          <t>Autel AT100 Multi-Application Transponder Super Chip Used with XP200, XP400, XP400PRO for Vehicles for ID11/12/13/46/47/48/49/4A/4C/5C/4D/64/8A/8C (Pack of 10)</t>
        </is>
      </c>
      <c r="B403" s="30" t="inlineStr">
        <is>
          <t>B0FD36H36L</t>
        </is>
      </c>
      <c r="C403" s="30" t="inlineStr">
        <is>
          <t>Key</t>
        </is>
      </c>
      <c r="D403" s="324" t="n">
        <v>44.462</v>
      </c>
      <c r="E403" s="324" t="n">
        <v>4835.962307692308</v>
      </c>
      <c r="F403" s="326" t="n">
        <v>444.62</v>
      </c>
      <c r="G403" s="55" t="n">
        <v>57</v>
      </c>
      <c r="H403" s="55" t="n">
        <v>10</v>
      </c>
      <c r="I403" s="55" t="n">
        <v>3</v>
      </c>
      <c r="J403" s="56" t="n">
        <v>5</v>
      </c>
      <c r="K403" s="56" t="inlineStr">
        <is>
          <t>https://amazon.com/dp/B0FD36H36L</t>
        </is>
      </c>
      <c r="L403" s="70">
        <f>HYPERLINK(Table1311[[#This Row],[Column1]])</f>
        <v/>
      </c>
    </row>
    <row r="404" ht="45" customHeight="1" s="290">
      <c r="A404" s="30" t="inlineStr">
        <is>
          <t>Autel MaxiAP AP2500 Upgraded AP200/AP200C/AP200H/AP200M Bluetooth OBD2 Code Reader Auto Scanner Car Scan Tool 5+ Service Functions 45+ Car Brands Free APP for Android/iOS Advanced AP2500E</t>
        </is>
      </c>
      <c r="B404" s="30" t="inlineStr">
        <is>
          <t>B0CWNKXDDS</t>
        </is>
      </c>
      <c r="C404" s="30" t="inlineStr">
        <is>
          <t>Dongle</t>
        </is>
      </c>
      <c r="D404" s="324" t="n">
        <v>69.84333333333333</v>
      </c>
      <c r="E404" s="324" t="n">
        <v>7648.724615384615</v>
      </c>
      <c r="F404" s="326" t="n">
        <v>419.06</v>
      </c>
      <c r="G404" s="55" t="n">
        <v>107</v>
      </c>
      <c r="H404" s="55" t="n">
        <v>6</v>
      </c>
      <c r="I404" s="55" t="n">
        <v>28</v>
      </c>
      <c r="J404" s="56" t="n">
        <v>3.2</v>
      </c>
      <c r="K404" s="56" t="inlineStr">
        <is>
          <t>https://amazon.com/dp/B0CWNKXDDS</t>
        </is>
      </c>
      <c r="L404" s="70">
        <f>HYPERLINK(Table1311[[#This Row],[Column1]])</f>
        <v/>
      </c>
    </row>
    <row r="405" ht="30" customHeight="1" s="290">
      <c r="A405" s="30" t="inlineStr">
        <is>
          <t>Autel AutoLInk AL329, I/M Readiness Key, OBD2 Code Reader, Retrieves VIN CALID and CVN, Freeze Frame Data, Turns Off MIL</t>
        </is>
      </c>
      <c r="B405" s="30" t="inlineStr">
        <is>
          <t>B07TB5BT5G</t>
        </is>
      </c>
      <c r="C405" s="30" t="inlineStr">
        <is>
          <t>Handheld</t>
        </is>
      </c>
      <c r="D405" s="324" t="n">
        <v>34.74</v>
      </c>
      <c r="E405" s="324" t="n">
        <v>5381.28</v>
      </c>
      <c r="F405" s="326" t="n">
        <v>416.88</v>
      </c>
      <c r="G405" s="55" t="n">
        <v>149</v>
      </c>
      <c r="H405" s="55" t="n">
        <v>12</v>
      </c>
      <c r="I405" s="55" t="n">
        <v>81</v>
      </c>
      <c r="J405" s="56" t="n">
        <v>4.5</v>
      </c>
      <c r="K405" s="56" t="inlineStr">
        <is>
          <t>https://amazon.com/dp/B07TB5BT5G</t>
        </is>
      </c>
      <c r="L405" s="70">
        <f>HYPERLINK(Table1311[[#This Row],[Column1]])</f>
        <v/>
      </c>
    </row>
    <row r="406" ht="45" customHeight="1" s="290">
      <c r="A406" s="30" t="inlineStr">
        <is>
          <t>Autel MaxiSys MSOBD2KIT Non-OBDII Adapter Kit 11 Adapters for Vehicles Without OBD2 Port Within Blow-Molded Carrying Case OBD2 Connectors Support MS Ultra MS919 MS909 MX808 TS608</t>
        </is>
      </c>
      <c r="B406" s="30" t="inlineStr">
        <is>
          <t>B093X3S6QY</t>
        </is>
      </c>
      <c r="C406" s="30" t="inlineStr">
        <is>
          <t>Cable/Adapter</t>
        </is>
      </c>
      <c r="D406" s="324" t="n">
        <v>137.1266666666667</v>
      </c>
      <c r="E406" s="324" t="n">
        <v>9492.735384615384</v>
      </c>
      <c r="F406" s="326" t="n">
        <v>411.38</v>
      </c>
      <c r="G406" s="55" t="n">
        <v>71</v>
      </c>
      <c r="H406" s="55" t="n">
        <v>3</v>
      </c>
      <c r="I406" s="55" t="n">
        <v>11</v>
      </c>
      <c r="J406" s="56" t="n">
        <v>4.8</v>
      </c>
      <c r="K406" s="56" t="inlineStr">
        <is>
          <t>https://amazon.com/dp/B093X3S6QY</t>
        </is>
      </c>
      <c r="L406" s="70">
        <f>HYPERLINK(Table1311[[#This Row],[Column1]])</f>
        <v/>
      </c>
    </row>
    <row r="407" ht="45" customHeight="1" s="290">
      <c r="A407" s="30" t="inlineStr">
        <is>
          <t>Autel Original OBD2 Female to 14pin Convert Adapter, OBD1 to OBD II Connector for Nissan, Work with Autel Scanner MK808S, MX808S, MK808BT PRO, MK900BT, MK900, MP900BT, Elite II PRO, MSUltra, Ultra S2</t>
        </is>
      </c>
      <c r="B407" s="30" t="inlineStr">
        <is>
          <t>B0D62XG45N</t>
        </is>
      </c>
      <c r="C407" s="30" t="inlineStr">
        <is>
          <t>Cable/Adapter</t>
        </is>
      </c>
      <c r="D407" s="324" t="n">
        <v>19.865</v>
      </c>
      <c r="E407" s="324" t="n">
        <v>4310.83</v>
      </c>
      <c r="F407" s="326" t="n">
        <v>397.3</v>
      </c>
      <c r="G407" s="55" t="n">
        <v>217</v>
      </c>
      <c r="H407" s="55" t="n">
        <v>20</v>
      </c>
      <c r="I407" s="55" t="n">
        <v>13</v>
      </c>
      <c r="J407" s="56" t="n">
        <v>4.7</v>
      </c>
      <c r="K407" s="56" t="inlineStr">
        <is>
          <t>https://amazon.com/dp/B0D62XG45N</t>
        </is>
      </c>
      <c r="L407" s="70">
        <f>HYPERLINK(Table1311[[#This Row],[Column1]])</f>
        <v/>
      </c>
    </row>
    <row r="408" ht="45" customHeight="1" s="290">
      <c r="A408" s="30" t="inlineStr">
        <is>
          <t>Autel MaxiTPMS TS508WF TPMS Service Tool — Wi-Fi Updates, Quick and Advance Modes, OBDII Cable, Model# 700010</t>
        </is>
      </c>
      <c r="B408" s="30" t="inlineStr">
        <is>
          <t>B07RHVSJNN</t>
        </is>
      </c>
      <c r="C408" s="30" t="inlineStr">
        <is>
          <t>Handheld</t>
        </is>
      </c>
      <c r="D408" s="324" t="n">
        <v>183.555</v>
      </c>
      <c r="E408" s="324" t="n">
        <v>1747.36</v>
      </c>
      <c r="F408" s="326" t="n">
        <v>367.11</v>
      </c>
      <c r="G408" s="55" t="n">
        <v>7</v>
      </c>
      <c r="H408" s="55" t="n">
        <v>2</v>
      </c>
      <c r="I408" s="55" t="n">
        <v>2</v>
      </c>
      <c r="J408" s="56" t="n">
        <v>3.6</v>
      </c>
      <c r="K408" s="56" t="inlineStr">
        <is>
          <t>https://amazon.com/dp/B07RHVSJNN</t>
        </is>
      </c>
      <c r="L408" s="70">
        <f>HYPERLINK(Table1311[[#This Row],[Column1]])</f>
        <v/>
      </c>
    </row>
    <row r="409" ht="45" customHeight="1" s="290">
      <c r="A409" s="30" t="inlineStr">
        <is>
          <t>Autel Original Type 2 Green 9pin J1939 to 16pin OBD2 Female Adapter, Male to J1962 OBDII Connector, Work for Heavy Duty Trucks, Used for ELD Device &amp; GPS Tracker &amp; Truck Scanner</t>
        </is>
      </c>
      <c r="B409" s="30" t="inlineStr">
        <is>
          <t>B0GSVC6PWZ</t>
        </is>
      </c>
      <c r="C409" s="30" t="inlineStr">
        <is>
          <t>Cable/Adapter</t>
        </is>
      </c>
      <c r="D409" s="324" t="n">
        <v>18.82052631578947</v>
      </c>
      <c r="E409" s="324" t="n">
        <v>4318.586923076923</v>
      </c>
      <c r="F409" s="326" t="n">
        <v>357.59</v>
      </c>
      <c r="G409" s="55" t="n">
        <v>19</v>
      </c>
      <c r="H409" s="55" t="n">
        <v>19</v>
      </c>
      <c r="I409" s="55" t="n"/>
      <c r="J409" s="56" t="n"/>
      <c r="K409" s="56" t="inlineStr">
        <is>
          <t>https://amazon.com/dp/B0GSVC6PWZ</t>
        </is>
      </c>
      <c r="L409" s="70">
        <f>HYPERLINK(Table1311[[#This Row],[Column1]])</f>
        <v/>
      </c>
    </row>
    <row r="410" ht="45" customHeight="1" s="290">
      <c r="A410" s="30" t="inlineStr">
        <is>
          <t>Autel AutoLink AL439 OBD2 Scanner, 2024 OBD2/EOBD Code Reader &amp; Electrical Testing Diagnostic Scan Tool, I/M Readiness, Reads &amp; Clears Codes, Live Data, Work on 1996 &amp; Newer for DIYers Professionals</t>
        </is>
      </c>
      <c r="B410" s="30" t="inlineStr">
        <is>
          <t>B0D2CY68J1</t>
        </is>
      </c>
      <c r="C410" s="30" t="inlineStr">
        <is>
          <t>Handheld</t>
        </is>
      </c>
      <c r="D410" s="324" t="n">
        <v>70.97799999999999</v>
      </c>
      <c r="E410" s="324" t="n">
        <v>663.34</v>
      </c>
      <c r="F410" s="326" t="n">
        <v>354.89</v>
      </c>
      <c r="G410" s="55" t="n">
        <v>9</v>
      </c>
      <c r="H410" s="55" t="n">
        <v>5</v>
      </c>
      <c r="I410" s="55" t="n">
        <v>5</v>
      </c>
      <c r="J410" s="56" t="n">
        <v>5</v>
      </c>
      <c r="K410" s="56" t="inlineStr">
        <is>
          <t>https://amazon.com/dp/B0D2CY68J1</t>
        </is>
      </c>
      <c r="L410" s="70">
        <f>HYPERLINK(Table1311[[#This Row],[Column1]])</f>
        <v/>
      </c>
    </row>
    <row r="411" ht="45" customHeight="1" s="290">
      <c r="A411" s="30" t="inlineStr">
        <is>
          <t>Autel MaxiLink ML629 OBD2 Scanner Upgraded Version of AL519 AL619 ML619 Full OBDII Code Reader ABS SRS Engine Transmission Diagnostics Tool with DTC Lookup Auto VIN</t>
        </is>
      </c>
      <c r="B411" s="30" t="inlineStr">
        <is>
          <t>B0FJ1PL3NR</t>
        </is>
      </c>
      <c r="C411" s="30" t="inlineStr">
        <is>
          <t>Handheld</t>
        </is>
      </c>
      <c r="D411" s="324" t="n">
        <v>110.7566666666667</v>
      </c>
      <c r="E411" s="324" t="n">
        <v>5146.903076923077</v>
      </c>
      <c r="F411" s="326" t="n">
        <v>332.27</v>
      </c>
      <c r="G411" s="55" t="n">
        <v>35</v>
      </c>
      <c r="H411" s="55" t="n">
        <v>3</v>
      </c>
      <c r="I411" s="55" t="n">
        <v>4</v>
      </c>
      <c r="J411" s="56" t="n">
        <v>4.1</v>
      </c>
      <c r="K411" s="56" t="inlineStr">
        <is>
          <t>https://amazon.com/dp/B0FJ1PL3NR</t>
        </is>
      </c>
      <c r="L411" s="70">
        <f>HYPERLINK(Table1311[[#This Row],[Column1]])</f>
        <v/>
      </c>
    </row>
    <row r="412" ht="45" customHeight="1" s="290">
      <c r="A412" s="30" t="inlineStr">
        <is>
          <t>Autel MaxiDiag MD906 PRO Scanner, 2026 MD906PRO All System Diagnostic Scan Tool as MD909 PRO, 33ft BT Lite of MK808S MX808S, V2.0 CAN FD, 11 Reset Functions, Up of MD808 Pro MD806, FCA, Free Updates</t>
        </is>
      </c>
      <c r="B412" s="30" t="inlineStr">
        <is>
          <t>B0FSSKB4S8</t>
        </is>
      </c>
      <c r="C412" s="30" t="inlineStr">
        <is>
          <t>Tablet</t>
        </is>
      </c>
      <c r="D412" s="324" t="n">
        <v>328.22</v>
      </c>
      <c r="E412" s="324" t="n">
        <v>12679.19615384615</v>
      </c>
      <c r="F412" s="326" t="n">
        <v>328.22</v>
      </c>
      <c r="G412" s="55" t="n">
        <v>37</v>
      </c>
      <c r="H412" s="55" t="n">
        <v>1</v>
      </c>
      <c r="I412" s="55" t="n">
        <v>10</v>
      </c>
      <c r="J412" s="56" t="n">
        <v>4.6</v>
      </c>
      <c r="K412" s="56" t="inlineStr">
        <is>
          <t>https://amazon.com/dp/B0FSSKB4S8</t>
        </is>
      </c>
      <c r="L412" s="70">
        <f>HYPERLINK(Table1311[[#This Row],[Column1]])</f>
        <v/>
      </c>
    </row>
    <row r="413" ht="45" customHeight="1" s="290">
      <c r="A413" s="30" t="inlineStr">
        <is>
          <t>Autel MaxiSys MS906 1-Year Update Service, Total Care Program (TCP) Card, One Year Software Subscription &amp; Warranty for Diagnostic Scanner</t>
        </is>
      </c>
      <c r="B413" s="30" t="inlineStr">
        <is>
          <t>B0FF9XRP4Z</t>
        </is>
      </c>
      <c r="C413" s="30" t="inlineStr">
        <is>
          <t>Tablet</t>
        </is>
      </c>
      <c r="D413" s="324" t="n">
        <v>314.19</v>
      </c>
      <c r="E413" s="324" t="n">
        <v>3795.226923076923</v>
      </c>
      <c r="F413" s="326" t="n">
        <v>314.19</v>
      </c>
      <c r="G413" s="55" t="n">
        <v>2</v>
      </c>
      <c r="H413" s="55" t="n">
        <v>1</v>
      </c>
      <c r="I413" s="55" t="n"/>
      <c r="J413" s="56" t="n"/>
      <c r="K413" s="56" t="inlineStr">
        <is>
          <t>https://amazon.com/dp/B0FF9XRP4Z</t>
        </is>
      </c>
      <c r="L413" s="70">
        <f>HYPERLINK(Table1311[[#This Row],[Column1]])</f>
        <v/>
      </c>
    </row>
    <row r="414" ht="60" customHeight="1" s="290">
      <c r="A414" s="30" t="inlineStr">
        <is>
          <t>Autel AutoLink AL529HD OBD2 Scanner with Screen Wiper 2025 Heavy Duty Code Reader Retrieve Code VIN O2 Sensor Test OBDII Monitor Test Review Read Erase Data View Live Data Freeze Frame Data</t>
        </is>
      </c>
      <c r="B414" s="30" t="inlineStr">
        <is>
          <t>B0BJTKLQWH</t>
        </is>
      </c>
      <c r="C414" s="30" t="inlineStr">
        <is>
          <t>Handheld</t>
        </is>
      </c>
      <c r="D414" s="324" t="n">
        <v>104.16</v>
      </c>
      <c r="E414" s="324" t="n">
        <v>16290.97</v>
      </c>
      <c r="F414" s="326" t="n">
        <v>312.48</v>
      </c>
      <c r="G414" s="55" t="n">
        <v>138</v>
      </c>
      <c r="H414" s="55" t="n">
        <v>3</v>
      </c>
      <c r="I414" s="55" t="n">
        <v>24</v>
      </c>
      <c r="J414" s="56" t="n">
        <v>4.3</v>
      </c>
      <c r="K414" s="56" t="inlineStr">
        <is>
          <t>https://amazon.com/dp/B0BJTKLQWH</t>
        </is>
      </c>
      <c r="L414" s="70">
        <f>HYPERLINK(Table1311[[#This Row],[Column1]])</f>
        <v/>
      </c>
    </row>
    <row r="415" ht="45" customHeight="1" s="290">
      <c r="A415" s="30" t="inlineStr">
        <is>
          <t>Autel Automotive Power Circuit Test Tool (Red)</t>
        </is>
      </c>
      <c r="B415" s="30" t="inlineStr">
        <is>
          <t>B0714PHHJ9</t>
        </is>
      </c>
      <c r="C415" s="30" t="inlineStr">
        <is>
          <t>Probe</t>
        </is>
      </c>
      <c r="D415" s="324" t="n">
        <v>103.4133333333333</v>
      </c>
      <c r="E415" s="324" t="n">
        <v>2852.932307692307</v>
      </c>
      <c r="F415" s="326" t="n">
        <v>310.24</v>
      </c>
      <c r="G415" s="55" t="n">
        <v>11</v>
      </c>
      <c r="H415" s="55" t="n">
        <v>3</v>
      </c>
      <c r="I415" s="55" t="n">
        <v>814</v>
      </c>
      <c r="J415" s="56" t="n">
        <v>4.7</v>
      </c>
      <c r="K415" s="56" t="inlineStr">
        <is>
          <t>https://amazon.com/dp/B0714PHHJ9</t>
        </is>
      </c>
      <c r="L415" s="70">
        <f>HYPERLINK(Table1311[[#This Row],[Column1]])</f>
        <v/>
      </c>
    </row>
    <row r="416" ht="30" customHeight="1" s="290">
      <c r="A416" s="30" t="inlineStr">
        <is>
          <t>Autel OBD2 Memory Saver for Car Battery, MaxiBAS BTMS Car Memory Saver, Preserve ECU Code &amp; Electronic Presets During Battery Replacement</t>
        </is>
      </c>
      <c r="B416" s="30" t="inlineStr">
        <is>
          <t>B0CQM1RR61</t>
        </is>
      </c>
      <c r="C416" s="30" t="inlineStr">
        <is>
          <t>Other</t>
        </is>
      </c>
      <c r="D416" s="324" t="n">
        <v>44.29714285714285</v>
      </c>
      <c r="E416" s="324" t="n">
        <v>13592.23</v>
      </c>
      <c r="F416" s="326" t="n">
        <v>310.08</v>
      </c>
      <c r="G416" s="55" t="n">
        <v>306</v>
      </c>
      <c r="H416" s="55" t="n">
        <v>7</v>
      </c>
      <c r="I416" s="55" t="n">
        <v>25</v>
      </c>
      <c r="J416" s="56" t="n">
        <v>4.4</v>
      </c>
      <c r="K416" s="56" t="inlineStr">
        <is>
          <t>https://amazon.com/dp/B0CQM1RR61</t>
        </is>
      </c>
      <c r="L416" s="70">
        <f>HYPERLINK(Table1311[[#This Row],[Column1]])</f>
        <v/>
      </c>
    </row>
    <row r="417" ht="45" customHeight="1" s="290">
      <c r="A417" s="30" t="inlineStr">
        <is>
          <t>Autel Scanner MaxiCOM MK808S: 2026 Upgraded of MK808/MX808, Bi-Directional Control Scan Tool, 28+ Services, All System Diagnostics, FCA Auto Auth, Auto VIN, with MV105S/MV108S</t>
        </is>
      </c>
      <c r="B417" s="30" t="inlineStr">
        <is>
          <t>B094QTNWYQ</t>
        </is>
      </c>
      <c r="C417" s="30" t="inlineStr">
        <is>
          <t>Tablet</t>
        </is>
      </c>
      <c r="D417" s="324" t="n">
        <v>305.42</v>
      </c>
      <c r="E417" s="324" t="n">
        <v>7487.870000000001</v>
      </c>
      <c r="F417" s="326" t="n">
        <v>305.42</v>
      </c>
      <c r="G417" s="55" t="n">
        <v>17</v>
      </c>
      <c r="H417" s="55" t="n">
        <v>1</v>
      </c>
      <c r="I417" s="55" t="n">
        <v>56</v>
      </c>
      <c r="J417" s="56" t="n">
        <v>4.2</v>
      </c>
      <c r="K417" s="56" t="inlineStr">
        <is>
          <t>https://amazon.com/dp/B094QTNWYQ</t>
        </is>
      </c>
      <c r="L417" s="70">
        <f>HYPERLINK(Table1311[[#This Row],[Column1]])</f>
        <v/>
      </c>
    </row>
    <row r="418" ht="45" customHeight="1" s="290">
      <c r="A418" s="30" t="inlineStr">
        <is>
          <t>Autel OBD Adapter Kit with Blow-Molded Carrying Case, 11 Pcs OBD Connectors Compatible with All Autel Scanner Tablet Device</t>
        </is>
      </c>
      <c r="B418" s="30" t="inlineStr">
        <is>
          <t>B0BNL33MX2</t>
        </is>
      </c>
      <c r="C418" s="30" t="inlineStr">
        <is>
          <t>Cable/Adapter</t>
        </is>
      </c>
      <c r="D418" s="324" t="n">
        <v>147.755</v>
      </c>
      <c r="E418" s="324" t="n">
        <v>5598.818461538461</v>
      </c>
      <c r="F418" s="326" t="n">
        <v>295.51</v>
      </c>
      <c r="G418" s="55" t="n">
        <v>41</v>
      </c>
      <c r="H418" s="55" t="n">
        <v>2</v>
      </c>
      <c r="I418" s="55" t="n">
        <v>4</v>
      </c>
      <c r="J418" s="56" t="n">
        <v>4.5</v>
      </c>
      <c r="K418" s="56" t="inlineStr">
        <is>
          <t>https://amazon.com/dp/B0BNL33MX2</t>
        </is>
      </c>
      <c r="L418" s="70">
        <f>HYPERLINK(Table1311[[#This Row],[Column1]])</f>
        <v/>
      </c>
    </row>
    <row r="419" ht="45" customHeight="1" s="290">
      <c r="A419" s="30" t="inlineStr">
        <is>
          <t>Autel CAN FD Protocol Adapter, Compatible with Autel Scanner MX808 MK808 DS808 MP808 MS906 MK906 MS908 MK908 Maxisys Elite IM508 IM608 Ultra VCI100 VCI Mini, for GM Chevrolet Buick Vehicles</t>
        </is>
      </c>
      <c r="B419" s="30" t="inlineStr">
        <is>
          <t>B0BYRV181C</t>
        </is>
      </c>
      <c r="C419" s="30" t="inlineStr">
        <is>
          <t>Cable/Adapter</t>
        </is>
      </c>
      <c r="D419" s="324" t="n">
        <v>146.655</v>
      </c>
      <c r="E419" s="324" t="n">
        <v>5419.76</v>
      </c>
      <c r="F419" s="326" t="n">
        <v>293.31</v>
      </c>
      <c r="G419" s="55" t="n">
        <v>47</v>
      </c>
      <c r="H419" s="55" t="n">
        <v>2</v>
      </c>
      <c r="I419" s="55" t="n">
        <v>6</v>
      </c>
      <c r="J419" s="56" t="n">
        <v>3.8</v>
      </c>
      <c r="K419" s="56" t="inlineStr">
        <is>
          <t>https://amazon.com/dp/B0BYRV181C</t>
        </is>
      </c>
      <c r="L419" s="70">
        <f>HYPERLINK(Table1311[[#This Row],[Column1]])</f>
        <v/>
      </c>
    </row>
    <row r="420" ht="30" customHeight="1" s="290">
      <c r="A420" s="30" t="inlineStr">
        <is>
          <t>Autel OBD2 Scanner MaxiDiag MD906 PRO MD906PRO, All Systems Car Scanner Diagnostic Tool, Same as MD909 PRO BT Lite of MaxiCOM MK808S MX808S, 11+Resets, CAN FD, Up of MD808 PRO MD806, Free Update, FCA</t>
        </is>
      </c>
      <c r="B420" s="30" t="inlineStr">
        <is>
          <t>B0090B7M2O</t>
        </is>
      </c>
      <c r="C420" s="30" t="inlineStr">
        <is>
          <t>Handheld</t>
        </is>
      </c>
      <c r="D420" s="324" t="n">
        <v>288.27</v>
      </c>
      <c r="E420" s="324" t="n">
        <v>13520.78153846154</v>
      </c>
      <c r="F420" s="326" t="n">
        <v>288.27</v>
      </c>
      <c r="G420" s="55" t="n">
        <v>43</v>
      </c>
      <c r="H420" s="55" t="n">
        <v>1</v>
      </c>
      <c r="I420" s="55" t="n">
        <v>665</v>
      </c>
      <c r="J420" s="56" t="n">
        <v>4.3</v>
      </c>
      <c r="K420" s="56" t="inlineStr">
        <is>
          <t>https://amazon.com/dp/B0090B7M2O</t>
        </is>
      </c>
      <c r="L420" s="70">
        <f>HYPERLINK(Table1311[[#This Row],[Column1]])</f>
        <v/>
      </c>
    </row>
    <row r="421" ht="60" customHeight="1" s="290">
      <c r="A421" s="30" t="inlineStr">
        <is>
          <t>Autel AP2500E Bluetooth Code Reader OBD2 Scanner, Oil Reset, TPMS, EV Battery, BMS Reset, All-System Code Read/Clear, OBD2 10 Tests, Check Engine Light, 45+ Car Brands, for Android/iOS</t>
        </is>
      </c>
      <c r="B421" s="30" t="inlineStr">
        <is>
          <t>B0CPDTN8SB</t>
        </is>
      </c>
      <c r="C421" s="30" t="inlineStr">
        <is>
          <t>Dongle</t>
        </is>
      </c>
      <c r="D421" s="324" t="n">
        <v>57.252</v>
      </c>
      <c r="E421" s="324" t="n">
        <v>18053.16</v>
      </c>
      <c r="F421" s="326" t="n">
        <v>286.26</v>
      </c>
      <c r="G421" s="55" t="n">
        <v>309</v>
      </c>
      <c r="H421" s="55" t="n">
        <v>5</v>
      </c>
      <c r="I421" s="55" t="n">
        <v>150</v>
      </c>
      <c r="J421" s="56" t="n">
        <v>3.6</v>
      </c>
      <c r="K421" s="56" t="inlineStr">
        <is>
          <t>https://amazon.com/dp/B0CPDTN8SB</t>
        </is>
      </c>
      <c r="L421" s="70">
        <f>HYPERLINK(Table1311[[#This Row],[Column1]])</f>
        <v/>
      </c>
    </row>
    <row r="422" ht="45" customHeight="1" s="290">
      <c r="A422" s="30" t="inlineStr">
        <is>
          <t>Autel Original 3 Pin Male to 16 Pin Female OBDII Adapter for Honda Vehicles, OBD1 to OBD2 Connector OE-Compliant Convertor Work with OBD II Scanners OBD2 Diagnostic Scan Tool</t>
        </is>
      </c>
      <c r="B422" s="30" t="inlineStr">
        <is>
          <t>B0D632P2NR</t>
        </is>
      </c>
      <c r="C422" s="30" t="inlineStr">
        <is>
          <t>Cable/Adapter</t>
        </is>
      </c>
      <c r="D422" s="324" t="n">
        <v>20.66615384615385</v>
      </c>
      <c r="E422" s="324" t="n">
        <v>2575.973846153846</v>
      </c>
      <c r="F422" s="326" t="n">
        <v>268.66</v>
      </c>
      <c r="G422" s="55" t="n">
        <v>116</v>
      </c>
      <c r="H422" s="55" t="n">
        <v>13</v>
      </c>
      <c r="I422" s="55" t="n">
        <v>15</v>
      </c>
      <c r="J422" s="56" t="n">
        <v>4.6</v>
      </c>
      <c r="K422" s="56" t="inlineStr">
        <is>
          <t>https://amazon.com/dp/B0D632P2NR</t>
        </is>
      </c>
      <c r="L422" s="70">
        <f>HYPERLINK(Table1311[[#This Row],[Column1]])</f>
        <v/>
      </c>
    </row>
    <row r="423" ht="45" customHeight="1" s="290">
      <c r="A423" s="30" t="inlineStr">
        <is>
          <t>Autel J1939 Splitter 9 Pin to OBD 2 Male Adapter Cable, Work with Truck Diagnostic Scanner, Type 2 J-1939 Diagnostic Connector, OBD to 9 Pin J1939 Y Cable, for Heavy Duty Commercial Truck ELD GPS</t>
        </is>
      </c>
      <c r="B423" s="30" t="inlineStr">
        <is>
          <t>B0DCFGPT28</t>
        </is>
      </c>
      <c r="C423" s="30" t="inlineStr">
        <is>
          <t>Cable/Adapter</t>
        </is>
      </c>
      <c r="D423" s="324" t="n">
        <v>20.55923076923077</v>
      </c>
      <c r="E423" s="324" t="n">
        <v>3963.620769230769</v>
      </c>
      <c r="F423" s="326" t="n">
        <v>267.27</v>
      </c>
      <c r="G423" s="55" t="n">
        <v>185</v>
      </c>
      <c r="H423" s="55" t="n">
        <v>13</v>
      </c>
      <c r="I423" s="55" t="n">
        <v>54</v>
      </c>
      <c r="J423" s="56" t="n">
        <v>4.5</v>
      </c>
      <c r="K423" s="56" t="inlineStr">
        <is>
          <t>https://amazon.com/dp/B0DCFGPT28</t>
        </is>
      </c>
      <c r="L423" s="70">
        <f>HYPERLINK(Table1311[[#This Row],[Column1]])</f>
        <v/>
      </c>
    </row>
    <row r="424" ht="45" customHeight="1" s="290">
      <c r="A424" s="30" t="inlineStr">
        <is>
          <t>Autel Original Diagnostic Cable TCAN003 for Tesla Model 3, Y, S, X, Upgraded 20 Pin+12 Pin to 16 Pin OBDII Adapter, OBD2 Connector, Work with Scanner Ultra, MS919, MS909, Elite, MS908S PRO, MK908 PRO</t>
        </is>
      </c>
      <c r="B424" s="30" t="inlineStr">
        <is>
          <t>B0D9BCSL2W</t>
        </is>
      </c>
      <c r="C424" s="30" t="inlineStr">
        <is>
          <t>Cable/Adapter</t>
        </is>
      </c>
      <c r="D424" s="324" t="n">
        <v>25.459</v>
      </c>
      <c r="E424" s="324" t="n">
        <v>1571.51</v>
      </c>
      <c r="F424" s="326" t="n">
        <v>254.59</v>
      </c>
      <c r="G424" s="55" t="n">
        <v>63</v>
      </c>
      <c r="H424" s="55" t="n">
        <v>10</v>
      </c>
      <c r="I424" s="55" t="n">
        <v>8</v>
      </c>
      <c r="J424" s="56" t="n">
        <v>5</v>
      </c>
      <c r="K424" s="56" t="inlineStr">
        <is>
          <t>https://amazon.com/dp/B0D9BCSL2W</t>
        </is>
      </c>
      <c r="L424" s="70">
        <f>HYPERLINK(Table1311[[#This Row],[Column1]])</f>
        <v/>
      </c>
    </row>
    <row r="425" ht="45" customHeight="1" s="290">
      <c r="A425" s="30" t="inlineStr">
        <is>
          <t>Autel MaxiAP AP2500 Obd2 Scanner Bluetooth 5 Service Functions Auto OBDII Diagnostic Scan Tool iOS &amp; Android Full Systems Code Reader Same Functions as AP2500E, Advanced AL329, 45+ Car Brands</t>
        </is>
      </c>
      <c r="B425" s="30" t="inlineStr">
        <is>
          <t>B094XRDH7S</t>
        </is>
      </c>
      <c r="C425" s="30" t="inlineStr">
        <is>
          <t>Dongle</t>
        </is>
      </c>
      <c r="D425" s="324" t="n">
        <v>62.33</v>
      </c>
      <c r="E425" s="324" t="n">
        <v>2788.78</v>
      </c>
      <c r="F425" s="326" t="n">
        <v>249.32</v>
      </c>
      <c r="G425" s="55" t="n">
        <v>48</v>
      </c>
      <c r="H425" s="55" t="n">
        <v>4</v>
      </c>
      <c r="I425" s="55" t="n">
        <v>65</v>
      </c>
      <c r="J425" s="56" t="n">
        <v>3.7</v>
      </c>
      <c r="K425" s="56" t="inlineStr">
        <is>
          <t>https://amazon.com/dp/B094XRDH7S</t>
        </is>
      </c>
      <c r="L425" s="70">
        <f>HYPERLINK(Table1311[[#This Row],[Column1]])</f>
        <v/>
      </c>
    </row>
    <row r="426" ht="30" customHeight="1" s="290">
      <c r="A426" s="30" t="inlineStr">
        <is>
          <t>Autel OBD2 Scanner Diagnostic Code Reader ML629 - ABS/SRS/Engine/Transmission MaxiLink 629 Car Diagnostic Tool DTC Lookup AutoVIN, ABS Code Reader for Vehicle Engine/Transmission/AirBag/Brake System</t>
        </is>
      </c>
      <c r="B426" s="30" t="inlineStr">
        <is>
          <t>B07KYNMZQ7</t>
        </is>
      </c>
      <c r="C426" s="30" t="inlineStr">
        <is>
          <t>Handheld</t>
        </is>
      </c>
      <c r="D426" s="324" t="n">
        <v>123.945</v>
      </c>
      <c r="E426" s="324" t="n">
        <v>6737.829999999998</v>
      </c>
      <c r="F426" s="326" t="n">
        <v>247.89</v>
      </c>
      <c r="G426" s="55" t="n">
        <v>59</v>
      </c>
      <c r="H426" s="55" t="n">
        <v>2</v>
      </c>
      <c r="I426" s="55" t="n">
        <v>88</v>
      </c>
      <c r="J426" s="56" t="n">
        <v>4.1</v>
      </c>
      <c r="K426" s="56" t="inlineStr">
        <is>
          <t>https://amazon.com/dp/B07KYNMZQ7</t>
        </is>
      </c>
      <c r="L426" s="70">
        <f>HYPERLINK(Table1311[[#This Row],[Column1]])</f>
        <v/>
      </c>
    </row>
    <row r="427" ht="45" customHeight="1" s="290">
      <c r="A427" s="30" t="inlineStr">
        <is>
          <t>Autel OBD2 Scanner AutoLink AL549: 2025 Check Engine Code Reader ABS Diagnostic Tool, Universal Car Battery &amp; Alternator Test, Upgrade Ver. of Autel AL519 MaxiLink ML519 OBDII CAN Diagnostic Scan Tool</t>
        </is>
      </c>
      <c r="B427" s="30" t="inlineStr">
        <is>
          <t>B0CP3YLDLH</t>
        </is>
      </c>
      <c r="C427" s="30" t="inlineStr">
        <is>
          <t>Handheld</t>
        </is>
      </c>
      <c r="D427" s="324" t="n">
        <v>60.8975</v>
      </c>
      <c r="E427" s="324" t="n">
        <v>49515.7</v>
      </c>
      <c r="F427" s="326" t="n">
        <v>243.59</v>
      </c>
      <c r="G427" s="55" t="n">
        <v>650</v>
      </c>
      <c r="H427" s="55" t="n">
        <v>4</v>
      </c>
      <c r="I427" s="55" t="n">
        <v>322</v>
      </c>
      <c r="J427" s="56" t="n">
        <v>4.5</v>
      </c>
      <c r="K427" s="56" t="inlineStr">
        <is>
          <t>https://amazon.com/dp/B0CP3YLDLH</t>
        </is>
      </c>
      <c r="L427" s="70">
        <f>HYPERLINK(Table1311[[#This Row],[Column1]])</f>
        <v/>
      </c>
    </row>
    <row r="428" ht="30" customHeight="1" s="290">
      <c r="A428" s="30" t="inlineStr">
        <is>
          <t>Autel Original Mazda 17 Pin Adapter, 17 Pin Male OBD1 to 16 Pin Female OBD2 Connector for Mazda Without OBDII Port, OE-Compliant Connector</t>
        </is>
      </c>
      <c r="B428" s="30" t="inlineStr">
        <is>
          <t>B0D637SWNT</t>
        </is>
      </c>
      <c r="C428" s="30" t="inlineStr">
        <is>
          <t>Cable/Adapter</t>
        </is>
      </c>
      <c r="D428" s="324" t="n">
        <v>18.72615384615385</v>
      </c>
      <c r="E428" s="324" t="n">
        <v>2287.44</v>
      </c>
      <c r="F428" s="326" t="n">
        <v>243.44</v>
      </c>
      <c r="G428" s="55" t="n">
        <v>114</v>
      </c>
      <c r="H428" s="55" t="n">
        <v>13</v>
      </c>
      <c r="I428" s="55" t="n">
        <v>13</v>
      </c>
      <c r="J428" s="56" t="n">
        <v>4.7</v>
      </c>
      <c r="K428" s="56" t="inlineStr">
        <is>
          <t>https://amazon.com/dp/B0D637SWNT</t>
        </is>
      </c>
      <c r="L428" s="70">
        <f>HYPERLINK(Table1311[[#This Row],[Column1]])</f>
        <v/>
      </c>
    </row>
    <row r="429" ht="30" customHeight="1" s="290">
      <c r="A429" s="30" t="inlineStr">
        <is>
          <t>Autel AutoLINK AL529HD Heavy Duty, Red</t>
        </is>
      </c>
      <c r="B429" s="30" t="inlineStr">
        <is>
          <t>B073RFLQ85</t>
        </is>
      </c>
      <c r="C429" s="30" t="inlineStr">
        <is>
          <t>Handheld</t>
        </is>
      </c>
      <c r="D429" s="324" t="n">
        <v>119.365</v>
      </c>
      <c r="E429" s="324" t="n">
        <v>4832.57</v>
      </c>
      <c r="F429" s="326" t="n">
        <v>238.73</v>
      </c>
      <c r="G429" s="55" t="n">
        <v>45</v>
      </c>
      <c r="H429" s="55" t="n">
        <v>2</v>
      </c>
      <c r="I429" s="55" t="n">
        <v>51</v>
      </c>
      <c r="J429" s="56" t="n">
        <v>4.1</v>
      </c>
      <c r="K429" s="56" t="inlineStr">
        <is>
          <t>https://amazon.com/dp/B073RFLQ85</t>
        </is>
      </c>
      <c r="L429" s="70">
        <f>HYPERLINK(Table1311[[#This Row],[Column1]])</f>
        <v/>
      </c>
    </row>
    <row r="430" ht="30" customHeight="1" s="290">
      <c r="A430" s="30" t="inlineStr">
        <is>
          <t>Autel AL539 AutoLink OBD ll Professional Electrical Test Tool</t>
        </is>
      </c>
      <c r="B430" s="30" t="inlineStr">
        <is>
          <t>B0091DJWKG</t>
        </is>
      </c>
      <c r="C430" s="30" t="inlineStr">
        <is>
          <t>Handheld</t>
        </is>
      </c>
      <c r="D430" s="324" t="n">
        <v>74.11333333333333</v>
      </c>
      <c r="E430" s="324" t="n">
        <v>5348.94</v>
      </c>
      <c r="F430" s="326" t="n">
        <v>222.34</v>
      </c>
      <c r="G430" s="55" t="n">
        <v>82</v>
      </c>
      <c r="H430" s="55" t="n">
        <v>3</v>
      </c>
      <c r="I430" s="55" t="n">
        <v>191</v>
      </c>
      <c r="J430" s="56" t="n">
        <v>4.5</v>
      </c>
      <c r="K430" s="56" t="inlineStr">
        <is>
          <t>https://amazon.com/dp/B0091DJWKG</t>
        </is>
      </c>
      <c r="L430" s="70">
        <f>HYPERLINK(Table1311[[#This Row],[Column1]])</f>
        <v/>
      </c>
    </row>
    <row r="431" ht="45" customHeight="1" s="290">
      <c r="A431" s="30" t="inlineStr">
        <is>
          <t>Autel MXSENSORMVK Metal Valve</t>
        </is>
      </c>
      <c r="B431" s="30" t="inlineStr">
        <is>
          <t>B0792M4BHG</t>
        </is>
      </c>
      <c r="C431" s="30" t="inlineStr">
        <is>
          <t>Other</t>
        </is>
      </c>
      <c r="D431" s="324" t="n">
        <v>12.05666666666667</v>
      </c>
      <c r="E431" s="324" t="n">
        <v>5062.69</v>
      </c>
      <c r="F431" s="326" t="n">
        <v>217.02</v>
      </c>
      <c r="G431" s="55" t="n">
        <v>439</v>
      </c>
      <c r="H431" s="55" t="n">
        <v>18</v>
      </c>
      <c r="I431" s="55" t="n">
        <v>79</v>
      </c>
      <c r="J431" s="56" t="n">
        <v>4.4</v>
      </c>
      <c r="K431" s="56" t="inlineStr">
        <is>
          <t>https://amazon.com/dp/B0792M4BHG</t>
        </is>
      </c>
      <c r="L431" s="70">
        <f>HYPERLINK(Table1311[[#This Row],[Column1]])</f>
        <v/>
      </c>
    </row>
    <row r="432" ht="45" customHeight="1" s="290">
      <c r="A432" s="30" t="inlineStr">
        <is>
          <t>AUTEL Original OBD2 16Pin Male Connector to Open Plug Wire, OBDII Diagnostic Extension Cable, Universal Pigtail for OBD Scanner Cord Port Replacement, USB Adapter with 16 Color for DIY, 1M, 3.3FT</t>
        </is>
      </c>
      <c r="B432" s="30" t="inlineStr">
        <is>
          <t>B0G12WSSQ6</t>
        </is>
      </c>
      <c r="C432" s="30" t="inlineStr">
        <is>
          <t>Cable/Adapter</t>
        </is>
      </c>
      <c r="D432" s="324" t="n">
        <v>17.15916666666667</v>
      </c>
      <c r="E432" s="324" t="n">
        <v>2459.187692307692</v>
      </c>
      <c r="F432" s="326" t="n">
        <v>205.91</v>
      </c>
      <c r="G432" s="55" t="n">
        <v>32</v>
      </c>
      <c r="H432" s="55" t="n">
        <v>12</v>
      </c>
      <c r="I432" s="55" t="n">
        <v>22</v>
      </c>
      <c r="J432" s="56" t="n">
        <v>4.7</v>
      </c>
      <c r="K432" s="56" t="inlineStr">
        <is>
          <t>https://amazon.com/dp/B0G12WSSQ6</t>
        </is>
      </c>
      <c r="L432" s="70">
        <f>HYPERLINK(Table1311[[#This Row],[Column1]])</f>
        <v/>
      </c>
    </row>
    <row r="433" ht="60" customHeight="1" s="290">
      <c r="A433" s="30" t="inlineStr">
        <is>
          <t>Autel TESKIT3Y Compatible Diagnostic Cable Adapter for Tesla Model 3 and Model Y, Read and Erase Codes, View Live Data, Work with Ultra/ MS919/ MS909/ Elite II PRO/UltraEV etc</t>
        </is>
      </c>
      <c r="B433" s="30" t="inlineStr">
        <is>
          <t>B0CJNKHKBB</t>
        </is>
      </c>
      <c r="C433" s="30" t="inlineStr">
        <is>
          <t>Cable/Adapter</t>
        </is>
      </c>
      <c r="D433" s="324" t="n">
        <v>48.775</v>
      </c>
      <c r="E433" s="324" t="n">
        <v>5740.429999999999</v>
      </c>
      <c r="F433" s="326" t="n">
        <v>195.1</v>
      </c>
      <c r="G433" s="55" t="n">
        <v>115</v>
      </c>
      <c r="H433" s="55" t="n">
        <v>4</v>
      </c>
      <c r="I433" s="55" t="n">
        <v>7</v>
      </c>
      <c r="J433" s="56" t="n">
        <v>4.1</v>
      </c>
      <c r="K433" s="56" t="inlineStr">
        <is>
          <t>https://amazon.com/dp/B0CJNKHKBB</t>
        </is>
      </c>
      <c r="L433" s="70">
        <f>HYPERLINK(Table1311[[#This Row],[Column1]])</f>
        <v/>
      </c>
    </row>
    <row r="434" ht="45" customHeight="1" s="290">
      <c r="A434" s="30" t="inlineStr">
        <is>
          <t>Autel CAN FD Adapter Support CAN FD Protocol for GM 2020+ for Ford for Chevrolet for Lincoln Compatible MaxiFlash Elite J2534-VCI VCI100 VCI Mini Maxisys Elite 908 Series 906 Series</t>
        </is>
      </c>
      <c r="B434" s="30" t="inlineStr">
        <is>
          <t>B0BX9J2KZJ</t>
        </is>
      </c>
      <c r="C434" s="30" t="inlineStr">
        <is>
          <t>Cable/Adapter</t>
        </is>
      </c>
      <c r="D434" s="324" t="n">
        <v>90.56999999999999</v>
      </c>
      <c r="E434" s="324" t="n">
        <v>5818.01</v>
      </c>
      <c r="F434" s="326" t="n">
        <v>181.14</v>
      </c>
      <c r="G434" s="55" t="n">
        <v>50</v>
      </c>
      <c r="H434" s="55" t="n">
        <v>2</v>
      </c>
      <c r="I434" s="55" t="n">
        <v>7</v>
      </c>
      <c r="J434" s="56" t="n">
        <v>4.5</v>
      </c>
      <c r="K434" s="56" t="inlineStr">
        <is>
          <t>https://amazon.com/dp/B0BX9J2KZJ</t>
        </is>
      </c>
      <c r="L434" s="70">
        <f>HYPERLINK(Table1311[[#This Row],[Column1]])</f>
        <v/>
      </c>
    </row>
    <row r="435" ht="45" customHeight="1" s="290">
      <c r="A435" s="30" t="inlineStr">
        <is>
          <t>Autel Original OBD2 Male to Green J1939 Type 2 Female Adapter, 16pin OBDII to 9pin for Truck Freightliner Code Reader, ELD Tracker, Diagnostic Scanner Device, Plug and Play with High Speed</t>
        </is>
      </c>
      <c r="B435" s="30" t="inlineStr">
        <is>
          <t>B0G41Y52RT</t>
        </is>
      </c>
      <c r="C435" s="30" t="inlineStr">
        <is>
          <t>Cable/Adapter</t>
        </is>
      </c>
      <c r="D435" s="324" t="n">
        <v>15.76727272727273</v>
      </c>
      <c r="E435" s="324" t="n">
        <v>1989.594615384616</v>
      </c>
      <c r="F435" s="326" t="n">
        <v>173.44</v>
      </c>
      <c r="G435" s="55" t="n">
        <v>22</v>
      </c>
      <c r="H435" s="55" t="n">
        <v>11</v>
      </c>
      <c r="I435" s="55" t="n">
        <v>2</v>
      </c>
      <c r="J435" s="56" t="n">
        <v>5</v>
      </c>
      <c r="K435" s="56" t="inlineStr">
        <is>
          <t>https://amazon.com/dp/B0G41Y52RT</t>
        </is>
      </c>
      <c r="L435" s="70">
        <f>HYPERLINK(Table1311[[#This Row],[Column1]])</f>
        <v/>
      </c>
    </row>
    <row r="436" ht="45" customHeight="1" s="290">
      <c r="A436" s="30" t="inlineStr">
        <is>
          <t>Autel Original Green Type 2 J1939 Male to 16pin Female OBD2 Adapter Cable, for Heavy Duty Trucks Scanner and Commercial Vehicles with 9pin Diagnostic Connector</t>
        </is>
      </c>
      <c r="B436" s="30" t="inlineStr">
        <is>
          <t>B0G4CZDCPY</t>
        </is>
      </c>
      <c r="C436" s="30" t="inlineStr">
        <is>
          <t>Cable/Adapter</t>
        </is>
      </c>
      <c r="D436" s="324" t="n">
        <v>16.704</v>
      </c>
      <c r="E436" s="324" t="n">
        <v>2142.557692307693</v>
      </c>
      <c r="F436" s="326" t="n">
        <v>167.04</v>
      </c>
      <c r="G436" s="55" t="n">
        <v>33</v>
      </c>
      <c r="H436" s="55" t="n">
        <v>10</v>
      </c>
      <c r="I436" s="55" t="n">
        <v>2</v>
      </c>
      <c r="J436" s="56" t="n">
        <v>5</v>
      </c>
      <c r="K436" s="56" t="inlineStr">
        <is>
          <t>https://amazon.com/dp/B0G4CZDCPY</t>
        </is>
      </c>
      <c r="L436" s="70">
        <f>HYPERLINK(Table1311[[#This Row],[Column1]])</f>
        <v/>
      </c>
    </row>
    <row r="437" ht="45" customHeight="1" s="290">
      <c r="A437" s="30" t="inlineStr">
        <is>
          <t>2026 Autel Original Green Type 2 J1939 Male to 16Pin Female OBD2 Adapter, 16Pin to 9Pin J1939 OBD Port, 30CM Extension Cable</t>
        </is>
      </c>
      <c r="B437" s="30" t="inlineStr">
        <is>
          <t>B0F6752Z4V</t>
        </is>
      </c>
      <c r="C437" s="30" t="inlineStr">
        <is>
          <t>Cable/Adapter</t>
        </is>
      </c>
      <c r="D437" s="324" t="n">
        <v>12.01545454545454</v>
      </c>
      <c r="E437" s="324" t="n">
        <v>1615.566153846154</v>
      </c>
      <c r="F437" s="326" t="n">
        <v>132.17</v>
      </c>
      <c r="G437" s="55" t="n">
        <v>94</v>
      </c>
      <c r="H437" s="55" t="n">
        <v>11</v>
      </c>
      <c r="I437" s="55" t="n">
        <v>10</v>
      </c>
      <c r="J437" s="56" t="n">
        <v>4.5</v>
      </c>
      <c r="K437" s="56" t="inlineStr">
        <is>
          <t>https://amazon.com/dp/B0F6752Z4V</t>
        </is>
      </c>
      <c r="L437" s="70">
        <f>HYPERLINK(Table1311[[#This Row],[Column1]])</f>
        <v/>
      </c>
    </row>
    <row r="438" ht="45" customHeight="1" s="290">
      <c r="A438" s="30" t="inlineStr">
        <is>
          <t>Autel MaxiSys MaxiVCI VCI Mini Bluetooth Diagnostic Interface Work with All Systems Automotive OBD2 Scanner MS906S TS608 MP808TS MK808BT MK808TS MK900TS Oil Reset/EPB/BMS/SAS/TPMS and Immobilizer</t>
        </is>
      </c>
      <c r="B438" s="30" t="inlineStr">
        <is>
          <t>B0B35X15LH</t>
        </is>
      </c>
      <c r="C438" s="30" t="inlineStr">
        <is>
          <t>Dongle</t>
        </is>
      </c>
      <c r="D438" s="324" t="n">
        <v>127.09</v>
      </c>
      <c r="E438" s="324" t="n">
        <v>25026.78</v>
      </c>
      <c r="F438" s="326" t="n">
        <v>127.09</v>
      </c>
      <c r="G438" s="55" t="n">
        <v>230</v>
      </c>
      <c r="H438" s="55" t="n">
        <v>1</v>
      </c>
      <c r="I438" s="55" t="n">
        <v>29</v>
      </c>
      <c r="J438" s="56" t="n">
        <v>4.6</v>
      </c>
      <c r="K438" s="56" t="inlineStr">
        <is>
          <t>https://amazon.com/dp/B0B35X15LH</t>
        </is>
      </c>
      <c r="L438" s="70">
        <f>HYPERLINK(Table1311[[#This Row],[Column1]])</f>
        <v/>
      </c>
    </row>
    <row r="439" ht="45" customHeight="1" s="290">
      <c r="A439" s="30" t="inlineStr">
        <is>
          <t>Autel Original Tesla Diagnostic Cables Set for Tesla S/Y/3/X, Compatible with MaxiSYS MS909/919/908SPro/Elite/Elite II/Ultra Tablets</t>
        </is>
      </c>
      <c r="B439" s="30" t="inlineStr">
        <is>
          <t>B0D93DF9MY</t>
        </is>
      </c>
      <c r="C439" s="30" t="inlineStr">
        <is>
          <t>Cable/Adapter</t>
        </is>
      </c>
      <c r="D439" s="324" t="n">
        <v>28.3725</v>
      </c>
      <c r="E439" s="324" t="n">
        <v>753.67</v>
      </c>
      <c r="F439" s="326" t="n">
        <v>113.49</v>
      </c>
      <c r="G439" s="55" t="n">
        <v>25</v>
      </c>
      <c r="H439" s="55" t="n">
        <v>4</v>
      </c>
      <c r="I439" s="55" t="n">
        <v>4</v>
      </c>
      <c r="J439" s="56" t="n">
        <v>5</v>
      </c>
      <c r="K439" s="56" t="inlineStr">
        <is>
          <t>https://amazon.com/dp/B0D93DF9MY</t>
        </is>
      </c>
      <c r="L439" s="70">
        <f>HYPERLINK(Table1311[[#This Row],[Column1]])</f>
        <v/>
      </c>
    </row>
    <row r="440" ht="45" customHeight="1" s="290">
      <c r="A440" s="30" t="inlineStr">
        <is>
          <t>Autel OBD2 Scanner AutoLink AL329 Vehicle OBD2 Diagnostic Tool Car Code Reader with I/M Readiness Key Read/Erase Codes Turns Off MIL Plug and Play Retrieves VIN/CALID/CVN Free Lifetime Update</t>
        </is>
      </c>
      <c r="B440" s="30" t="inlineStr">
        <is>
          <t>B0B915579T</t>
        </is>
      </c>
      <c r="C440" s="30" t="inlineStr">
        <is>
          <t>Handheld</t>
        </is>
      </c>
      <c r="D440" s="324" t="n">
        <v>44.915</v>
      </c>
      <c r="E440" s="324" t="n">
        <v>6408.39</v>
      </c>
      <c r="F440" s="326" t="n">
        <v>89.83</v>
      </c>
      <c r="G440" s="55" t="n">
        <v>183</v>
      </c>
      <c r="H440" s="55" t="n">
        <v>2</v>
      </c>
      <c r="I440" s="55" t="n">
        <v>15</v>
      </c>
      <c r="J440" s="56" t="n">
        <v>4.6</v>
      </c>
      <c r="K440" s="56" t="inlineStr">
        <is>
          <t>https://amazon.com/dp/B0B915579T</t>
        </is>
      </c>
      <c r="L440" s="70">
        <f>HYPERLINK(Table1311[[#This Row],[Column1]])</f>
        <v/>
      </c>
    </row>
    <row r="441" ht="45" customHeight="1" s="290">
      <c r="A441" s="30" t="inlineStr">
        <is>
          <t>Autel OBD2 Main Test Cable MaxiSys MS908/Mini MS905/DS808/MK808/MP808/MP808K</t>
        </is>
      </c>
      <c r="B441" s="30" t="inlineStr">
        <is>
          <t>B08MZZZJBM</t>
        </is>
      </c>
      <c r="C441" s="30" t="inlineStr">
        <is>
          <t>Cable/Adapter</t>
        </is>
      </c>
      <c r="D441" s="324" t="n">
        <v>21.18</v>
      </c>
      <c r="E441" s="324" t="n">
        <v>12709.84</v>
      </c>
      <c r="F441" s="326" t="n">
        <v>84.72</v>
      </c>
      <c r="G441" s="55" t="n">
        <v>772</v>
      </c>
      <c r="H441" s="55" t="n">
        <v>4</v>
      </c>
      <c r="I441" s="55" t="n">
        <v>237</v>
      </c>
      <c r="J441" s="56" t="n">
        <v>4.7</v>
      </c>
      <c r="K441" s="56" t="inlineStr">
        <is>
          <t>https://amazon.com/dp/B08MZZZJBM</t>
        </is>
      </c>
      <c r="L441" s="70">
        <f>HYPERLINK(Table1311[[#This Row],[Column1]])</f>
        <v/>
      </c>
    </row>
    <row r="442" ht="45" customHeight="1" s="290">
      <c r="A442" s="30" t="inlineStr">
        <is>
          <t>Autel Maxilink ML619 OBD2 Scanner, 2026 ABS SRS Diagnostic Scan Tool,Up of ML519 AL519 AL619,Code Reader Turn Off Check Engine Light Car Diagnostic Tool with 10 OBD2 Test Modes,DTCs Lookup,Graphs Data</t>
        </is>
      </c>
      <c r="B442" s="30" t="inlineStr">
        <is>
          <t>B0FJRNN7BM</t>
        </is>
      </c>
      <c r="C442" s="30" t="inlineStr">
        <is>
          <t>Handheld</t>
        </is>
      </c>
      <c r="D442" s="324" t="n">
        <v>69.95</v>
      </c>
      <c r="E442" s="324" t="n">
        <v>2348.316153846153</v>
      </c>
      <c r="F442" s="326" t="n">
        <v>69.95</v>
      </c>
      <c r="G442" s="55" t="n">
        <v>19</v>
      </c>
      <c r="H442" s="55" t="n">
        <v>1</v>
      </c>
      <c r="I442" s="55" t="n">
        <v>4</v>
      </c>
      <c r="J442" s="56" t="n">
        <v>4.4</v>
      </c>
      <c r="K442" s="56" t="inlineStr">
        <is>
          <t>https://amazon.com/dp/B0FJRNN7BM</t>
        </is>
      </c>
      <c r="L442" s="70">
        <f>HYPERLINK(Table1311[[#This Row],[Column1]])</f>
        <v/>
      </c>
    </row>
    <row r="443" ht="45" customHeight="1" s="290">
      <c r="A443" s="30" t="inlineStr">
        <is>
          <t>Autel Original MaxiSYS 8-Pin CV Adapter for Volvo, 8 Pins to OBD2 16 Pins for Volvo Off-Highway Cable Connector, Work w/Autel Heavy Duty Truck Scanner MS908CV MS908CV II MS909CV MS906CV MaxiFlash VCI</t>
        </is>
      </c>
      <c r="B443" s="30" t="inlineStr">
        <is>
          <t>B0FF55JXG1</t>
        </is>
      </c>
      <c r="C443" s="30" t="inlineStr">
        <is>
          <t>Cable/Adapter</t>
        </is>
      </c>
      <c r="D443" s="324" t="n">
        <v>23.29333333333333</v>
      </c>
      <c r="E443" s="324" t="n">
        <v>1053.663076923077</v>
      </c>
      <c r="F443" s="326" t="n">
        <v>69.88</v>
      </c>
      <c r="G443" s="55" t="n">
        <v>28</v>
      </c>
      <c r="H443" s="55" t="n">
        <v>3</v>
      </c>
      <c r="I443" s="55" t="n">
        <v>2</v>
      </c>
      <c r="J443" s="56" t="n">
        <v>5</v>
      </c>
      <c r="K443" s="56" t="inlineStr">
        <is>
          <t>https://amazon.com/dp/B0FF55JXG1</t>
        </is>
      </c>
      <c r="L443" s="70">
        <f>HYPERLINK(Table1311[[#This Row],[Column1]])</f>
        <v/>
      </c>
    </row>
    <row r="444" ht="45" customHeight="1" s="290">
      <c r="A444" s="30" t="inlineStr">
        <is>
          <t>Autel Main OBCII Replacement Cable, Model# AUTELMAIN-Cable</t>
        </is>
      </c>
      <c r="B444" s="30" t="inlineStr">
        <is>
          <t>B07V8L4NXR</t>
        </is>
      </c>
      <c r="C444" s="30" t="inlineStr">
        <is>
          <t>Cable/Adapter</t>
        </is>
      </c>
      <c r="D444" s="324" t="n">
        <v>31.99</v>
      </c>
      <c r="E444" s="324" t="n">
        <v>654.5646153846153</v>
      </c>
      <c r="F444" s="326" t="n">
        <v>63.98</v>
      </c>
      <c r="G444" s="55" t="n">
        <v>2</v>
      </c>
      <c r="H444" s="55" t="n">
        <v>2</v>
      </c>
      <c r="I444" s="55" t="n"/>
      <c r="J444" s="56" t="n"/>
      <c r="K444" s="56" t="inlineStr">
        <is>
          <t>https://amazon.com/dp/B07V8L4NXR</t>
        </is>
      </c>
      <c r="L444" s="70">
        <f>HYPERLINK(Table1311[[#This Row],[Column1]])</f>
        <v/>
      </c>
    </row>
    <row r="445" ht="45" customHeight="1" s="290">
      <c r="A445" s="30" t="inlineStr">
        <is>
          <t>Autel Original MaxiSYS 14-PIN CV Adapter for Volvo, Volvo14 Off-Road Construction Cable Connector, Work w/Truck Scanner Diagnostic Scan Tool MS908CV, MS908CV II, MS909CV, MS906CV, and MaxiFlash VCI</t>
        </is>
      </c>
      <c r="B445" s="30" t="inlineStr">
        <is>
          <t>B0FF4SD9ZL</t>
        </is>
      </c>
      <c r="C445" s="30" t="inlineStr">
        <is>
          <t>Cable/Adapter</t>
        </is>
      </c>
      <c r="D445" s="324" t="n">
        <v>18.88</v>
      </c>
      <c r="E445" s="324" t="n">
        <v>1063.452307692308</v>
      </c>
      <c r="F445" s="326" t="n">
        <v>56.64</v>
      </c>
      <c r="G445" s="55" t="n">
        <v>31</v>
      </c>
      <c r="H445" s="55" t="n">
        <v>3</v>
      </c>
      <c r="I445" s="55" t="n">
        <v>6</v>
      </c>
      <c r="J445" s="56" t="n">
        <v>4.7</v>
      </c>
      <c r="K445" s="56" t="inlineStr">
        <is>
          <t>https://amazon.com/dp/B0FF4SD9ZL</t>
        </is>
      </c>
      <c r="L445" s="70">
        <f>HYPERLINK(Table1311[[#This Row],[Column1]])</f>
        <v/>
      </c>
    </row>
    <row r="446" ht="30" customHeight="1" s="290">
      <c r="A446" s="30" t="inlineStr">
        <is>
          <t>Autel Ikey Programmable Smart Key for Chrysler- Dodge-Style Key Creation 5 Buttons IKEYCR5TPR Ultra-Long Range OE-Quality for 700+ Vehicle Key Replacement Programmed with Autel KM100 IM508 IM608</t>
        </is>
      </c>
      <c r="B446" s="30" t="inlineStr">
        <is>
          <t>B0BRZB14WW</t>
        </is>
      </c>
      <c r="C446" s="30" t="inlineStr">
        <is>
          <t>Key</t>
        </is>
      </c>
      <c r="D446" s="324" t="n">
        <v>49.03</v>
      </c>
      <c r="E446" s="324" t="n">
        <v>867.2900000000001</v>
      </c>
      <c r="F446" s="326" t="n">
        <v>49.03</v>
      </c>
      <c r="G446" s="55" t="n">
        <v>23</v>
      </c>
      <c r="H446" s="55" t="n">
        <v>1</v>
      </c>
      <c r="I446" s="55" t="n">
        <v>2</v>
      </c>
      <c r="J446" s="56" t="n">
        <v>5</v>
      </c>
      <c r="K446" s="56" t="inlineStr">
        <is>
          <t>https://amazon.com/dp/B0BRZB14WW</t>
        </is>
      </c>
      <c r="L446" s="70">
        <f>HYPERLINK(Table1311[[#This Row],[Column1]])</f>
        <v/>
      </c>
    </row>
    <row r="447" ht="45" customHeight="1" s="290">
      <c r="A447" s="30" t="inlineStr">
        <is>
          <t>Autel MaxiBAS BTMS OBDII Memory Saver, Battery Tester, Polarity-Protected, Attaches to 12 Volt Backup Battery, Provides Power to Vehicle's Computer, Maintains Data</t>
        </is>
      </c>
      <c r="B447" s="30" t="inlineStr">
        <is>
          <t>B0CCJBCJTS</t>
        </is>
      </c>
      <c r="C447" s="30" t="inlineStr">
        <is>
          <t>Other</t>
        </is>
      </c>
      <c r="D447" s="324" t="n">
        <v>45.96</v>
      </c>
      <c r="E447" s="324" t="n">
        <v>475.3099999999999</v>
      </c>
      <c r="F447" s="326" t="n">
        <v>45.96</v>
      </c>
      <c r="G447" s="55" t="n">
        <v>9</v>
      </c>
      <c r="H447" s="55" t="n">
        <v>1</v>
      </c>
      <c r="I447" s="55" t="n">
        <v>3</v>
      </c>
      <c r="J447" s="56" t="n">
        <v>5</v>
      </c>
      <c r="K447" s="56" t="inlineStr">
        <is>
          <t>https://amazon.com/dp/B0CCJBCJTS</t>
        </is>
      </c>
      <c r="L447" s="70">
        <f>HYPERLINK(Table1311[[#This Row],[Column1]])</f>
        <v/>
      </c>
    </row>
    <row r="448" ht="30" customHeight="1" s="290">
      <c r="A448" s="30" t="inlineStr">
        <is>
          <t>Autel DIY OBDII Replacement Cable — Compatible with AutoLINK Tools, Model# DIY-Cable</t>
        </is>
      </c>
      <c r="B448" s="30" t="inlineStr">
        <is>
          <t>B00FQ11LSI</t>
        </is>
      </c>
      <c r="C448" s="30" t="inlineStr">
        <is>
          <t>Cable/Adapter</t>
        </is>
      </c>
      <c r="D448" s="324" t="n">
        <v>45.3</v>
      </c>
      <c r="E448" s="324" t="n">
        <v>212.9807692307692</v>
      </c>
      <c r="F448" s="326" t="n">
        <v>45.3</v>
      </c>
      <c r="G448" s="55" t="n">
        <v>3</v>
      </c>
      <c r="H448" s="55" t="n">
        <v>1</v>
      </c>
      <c r="I448" s="55" t="n"/>
      <c r="J448" s="56" t="n"/>
      <c r="K448" s="56" t="inlineStr">
        <is>
          <t>https://amazon.com/dp/B00FQ11LSI</t>
        </is>
      </c>
      <c r="L448" s="70">
        <f>HYPERLINK(Table1311[[#This Row],[Column1]])</f>
        <v/>
      </c>
    </row>
    <row r="449" ht="45" customHeight="1" s="290">
      <c r="A449" s="30" t="inlineStr">
        <is>
          <t>Autel IKEY Razor Programmable Smart Key 2024 Key Fob for BMW Key Creation 4 Buttons Ultra-Long Range OE Quality 700+ Vehicles Car Key Replacement Programmed with Autel KM100 IM508 IM608</t>
        </is>
      </c>
      <c r="B449" s="30" t="inlineStr">
        <is>
          <t>B0B7SKNPGK</t>
        </is>
      </c>
      <c r="C449" s="30" t="inlineStr">
        <is>
          <t>Key</t>
        </is>
      </c>
      <c r="D449" s="324" t="n">
        <v>44.93</v>
      </c>
      <c r="E449" s="324" t="n">
        <v>686.3200000000001</v>
      </c>
      <c r="F449" s="326" t="n">
        <v>44.93</v>
      </c>
      <c r="G449" s="55" t="n">
        <v>18</v>
      </c>
      <c r="H449" s="55" t="n">
        <v>1</v>
      </c>
      <c r="I449" s="55" t="n">
        <v>7</v>
      </c>
      <c r="J449" s="56" t="n">
        <v>3.8</v>
      </c>
      <c r="K449" s="56" t="inlineStr">
        <is>
          <t>https://amazon.com/dp/B0B7SKNPGK</t>
        </is>
      </c>
      <c r="L449" s="70">
        <f>HYPERLINK(Table1311[[#This Row],[Column1]])</f>
        <v/>
      </c>
    </row>
    <row r="450" ht="45" customHeight="1" s="290">
      <c r="A450" s="30" t="inlineStr">
        <is>
          <t>Autel Original CV Haldex 4-Pin Adapter, 4pin Commercial Vehicle Connector for Haldex Trailer Braking Systems, Compatible w/Autel Heavy Duty Truck Scanner MaxiSYS MS909CV, MS908CV II, MS908CV, MS906CV</t>
        </is>
      </c>
      <c r="B450" s="30" t="inlineStr">
        <is>
          <t>B0FF4XKXDT</t>
        </is>
      </c>
      <c r="C450" s="30" t="inlineStr">
        <is>
          <t>Cable/Adapter</t>
        </is>
      </c>
      <c r="D450" s="324" t="n">
        <v>20.85</v>
      </c>
      <c r="E450" s="324" t="n">
        <v>399.8092307692308</v>
      </c>
      <c r="F450" s="326" t="n">
        <v>20.85</v>
      </c>
      <c r="G450" s="55" t="n">
        <v>11</v>
      </c>
      <c r="H450" s="55" t="n">
        <v>1</v>
      </c>
      <c r="I450" s="55" t="n">
        <v>3</v>
      </c>
      <c r="J450" s="56" t="n">
        <v>4.7</v>
      </c>
      <c r="K450" s="56" t="inlineStr">
        <is>
          <t>https://amazon.com/dp/B0FF4XKXDT</t>
        </is>
      </c>
      <c r="L450" s="70">
        <f>HYPERLINK(Table1311[[#This Row],[Column1]])</f>
        <v/>
      </c>
    </row>
    <row r="451" ht="30" customHeight="1" s="290">
      <c r="A451" s="30" t="inlineStr">
        <is>
          <t>Autel MaxiSYS MS909EV: 205 Same as MS908S PRO II OBD2 Car Diagnostic Scanner, 38+ Service, Active Test, All System Diagnose, Read abd Clear DTCS, FCA Autoauth OS 11</t>
        </is>
      </c>
      <c r="B451" s="30" t="inlineStr">
        <is>
          <t>B099JZ9LPL</t>
        </is>
      </c>
      <c r="C451" s="30" t="inlineStr">
        <is>
          <t>Tablet</t>
        </is>
      </c>
      <c r="D451" s="324" t="n">
        <v>3799</v>
      </c>
      <c r="E451" s="324" t="n">
        <v>0</v>
      </c>
      <c r="F451" s="326" t="n">
        <v>0</v>
      </c>
      <c r="G451" s="55" t="n">
        <v>0</v>
      </c>
      <c r="H451" s="55" t="n">
        <v>0</v>
      </c>
      <c r="I451" s="55" t="n">
        <v>2</v>
      </c>
      <c r="J451" s="56" t="n">
        <v>5</v>
      </c>
      <c r="K451" s="56" t="inlineStr">
        <is>
          <t>https://amazon.com/dp/B099JZ9LPL</t>
        </is>
      </c>
      <c r="L451" s="70">
        <f>HYPERLINK(Table1311[[#This Row],[Column1]])</f>
        <v/>
      </c>
    </row>
    <row r="452" ht="45" customHeight="1" s="290">
      <c r="A452" s="30" t="inlineStr">
        <is>
          <t>Autel AI Scanner MaxiSYS Ultra S2 2026, Top1 Intelligent Scan Tool 13.7" Up of MSUltra Ultra EV, 6in1 VCMI2, 3.0 Topology, Multi-Point DVI, PID Diagnosis, 48+ Reset, Motor Truspeed, EV Test, 3K+ Tests</t>
        </is>
      </c>
      <c r="B452" s="30" t="inlineStr">
        <is>
          <t>B0FNCR4PLQ</t>
        </is>
      </c>
      <c r="C452" s="30" t="inlineStr">
        <is>
          <t>Tablet</t>
        </is>
      </c>
      <c r="D452" s="324" t="n">
        <v>6249.1</v>
      </c>
      <c r="E452" s="324" t="n">
        <v>56681.3</v>
      </c>
      <c r="F452" s="326" t="n">
        <v>0</v>
      </c>
      <c r="G452" s="55" t="n">
        <v>10</v>
      </c>
      <c r="H452" s="55" t="n">
        <v>0</v>
      </c>
      <c r="I452" s="55" t="n">
        <v>5</v>
      </c>
      <c r="J452" s="56" t="n">
        <v>5</v>
      </c>
      <c r="K452" s="56" t="inlineStr">
        <is>
          <t>https://amazon.com/dp/B0FNCR4PLQ</t>
        </is>
      </c>
      <c r="L452" s="70">
        <f>HYPERLINK(Table1311[[#This Row],[Column1]])</f>
        <v/>
      </c>
    </row>
    <row r="453" ht="60" customHeight="1" s="290">
      <c r="A453" s="30" t="inlineStr">
        <is>
          <t>Autel ITS600Pro TPMS Tablet — 5.5in. Touchscreen, All Systems Diagnostics, Bluetooth, Model# 700150</t>
        </is>
      </c>
      <c r="B453" s="30" t="inlineStr">
        <is>
          <t>B0B1JK6JGN</t>
        </is>
      </c>
      <c r="C453" s="30" t="inlineStr">
        <is>
          <t>Handheld</t>
        </is>
      </c>
      <c r="D453" s="324" t="n">
        <v>521.38</v>
      </c>
      <c r="E453" s="324" t="n">
        <v>704.67</v>
      </c>
      <c r="F453" s="326" t="n">
        <v>0</v>
      </c>
      <c r="G453" s="55" t="n">
        <v>1</v>
      </c>
      <c r="H453" s="55" t="n">
        <v>0</v>
      </c>
      <c r="I453" s="55" t="n"/>
      <c r="J453" s="56" t="n"/>
      <c r="K453" s="56" t="inlineStr">
        <is>
          <t>https://amazon.com/dp/B0B1JK6JGN</t>
        </is>
      </c>
      <c r="L453" s="70">
        <f>HYPERLINK(Table1311[[#This Row],[Column1]])</f>
        <v/>
      </c>
    </row>
    <row r="454" ht="45" customHeight="1" s="290">
      <c r="A454" s="30" t="inlineStr">
        <is>
          <t>Autel TS408 Maxitpms Handheld Tpms Scan And Diagnostic Tool</t>
        </is>
      </c>
      <c r="B454" s="30" t="inlineStr">
        <is>
          <t>B073T6FRTY</t>
        </is>
      </c>
      <c r="C454" s="30" t="inlineStr">
        <is>
          <t>Handheld</t>
        </is>
      </c>
      <c r="D454" s="324" t="n">
        <v>155.03</v>
      </c>
      <c r="E454" s="324" t="n">
        <v>0</v>
      </c>
      <c r="F454" s="326" t="n">
        <v>0</v>
      </c>
      <c r="G454" s="55" t="n">
        <v>0</v>
      </c>
      <c r="H454" s="55" t="n">
        <v>0</v>
      </c>
      <c r="I454" s="55" t="n">
        <v>2</v>
      </c>
      <c r="J454" s="56" t="n">
        <v>5</v>
      </c>
      <c r="K454" s="56" t="inlineStr">
        <is>
          <t>https://amazon.com/dp/B073T6FRTY</t>
        </is>
      </c>
      <c r="L454" s="70">
        <f>HYPERLINK(Table1311[[#This Row],[Column1]])</f>
        <v/>
      </c>
    </row>
    <row r="455" ht="45" customHeight="1" s="290">
      <c r="A455" s="30" t="inlineStr">
        <is>
          <t>Autel Scanner MaxiPro MP900Z-BT with 40+ Services, 2024 Upgraded of MP808S/MS906BT, ECU Coding Scanner, Bi-Directional Scan Tool Support CAN FD/DoIP, Full System OBD2 Scanner OE-Level System Coverage</t>
        </is>
      </c>
      <c r="B455" s="30" t="inlineStr">
        <is>
          <t>B0D7Q65NSM</t>
        </is>
      </c>
      <c r="C455" s="30" t="inlineStr">
        <is>
          <t>Tablet</t>
        </is>
      </c>
      <c r="D455" s="324" t="n">
        <v>959</v>
      </c>
      <c r="E455" s="324" t="n">
        <v>0</v>
      </c>
      <c r="F455" s="326" t="n">
        <v>0</v>
      </c>
      <c r="G455" s="55" t="n">
        <v>0</v>
      </c>
      <c r="H455" s="55" t="n">
        <v>0</v>
      </c>
      <c r="I455" s="55" t="n">
        <v>1</v>
      </c>
      <c r="J455" s="56" t="n">
        <v>1</v>
      </c>
      <c r="K455" s="56" t="inlineStr">
        <is>
          <t>https://amazon.com/dp/B0D7Q65NSM</t>
        </is>
      </c>
      <c r="L455" s="70">
        <f>HYPERLINK(Table1311[[#This Row],[Column1]])</f>
        <v/>
      </c>
    </row>
    <row r="456" ht="45" customHeight="1" s="290">
      <c r="A456" s="30" t="inlineStr">
        <is>
          <t>Autel MaxiSys Ultra EV OBD2 Scanner, 2026 Top EV Lntelligent Diagnostic Scan Tool, Upgrade of Autel Ultra / MS919 / MS909, with EVDiag Kit, High-Voltage System &amp; Battery Pack Analysis, ECU Programming</t>
        </is>
      </c>
      <c r="B456" s="30" t="inlineStr">
        <is>
          <t>B0BMFFT2D1</t>
        </is>
      </c>
      <c r="C456" s="30" t="inlineStr">
        <is>
          <t>Tablet</t>
        </is>
      </c>
      <c r="D456" s="324" t="n">
        <v>4995</v>
      </c>
      <c r="E456" s="324" t="n">
        <v>10919.31</v>
      </c>
      <c r="F456" s="326" t="n">
        <v>0</v>
      </c>
      <c r="G456" s="55" t="n">
        <v>2</v>
      </c>
      <c r="H456" s="55" t="n">
        <v>0</v>
      </c>
      <c r="I456" s="55" t="n">
        <v>8</v>
      </c>
      <c r="J456" s="56" t="n">
        <v>4.4</v>
      </c>
      <c r="K456" s="56" t="inlineStr">
        <is>
          <t>https://amazon.com/dp/B0BMFFT2D1</t>
        </is>
      </c>
      <c r="L456" s="70">
        <f>HYPERLINK(Table1311[[#This Row],[Column1]])</f>
        <v/>
      </c>
    </row>
    <row r="457" ht="60" customHeight="1" s="290">
      <c r="A457" s="30" t="inlineStr">
        <is>
          <t>Autel MaxiTPMS TS508K-1</t>
        </is>
      </c>
      <c r="B457" s="30" t="inlineStr">
        <is>
          <t>B07ST2ZX5C</t>
        </is>
      </c>
      <c r="C457" s="30" t="inlineStr">
        <is>
          <t>Handheld</t>
        </is>
      </c>
      <c r="D457" s="324" t="n">
        <v>360</v>
      </c>
      <c r="E457" s="324" t="n">
        <v>1845.99</v>
      </c>
      <c r="F457" s="326" t="n">
        <v>0</v>
      </c>
      <c r="G457" s="55" t="n">
        <v>5</v>
      </c>
      <c r="H457" s="55" t="n">
        <v>0</v>
      </c>
      <c r="I457" s="55" t="n">
        <v>4</v>
      </c>
      <c r="J457" s="56" t="n">
        <v>4.5</v>
      </c>
      <c r="K457" s="56" t="inlineStr">
        <is>
          <t>https://amazon.com/dp/B07ST2ZX5C</t>
        </is>
      </c>
      <c r="L457" s="70">
        <f>HYPERLINK(Table1311[[#This Row],[Column1]])</f>
        <v/>
      </c>
    </row>
    <row r="458" ht="45" customHeight="1" s="290">
      <c r="A458" s="30" t="inlineStr">
        <is>
          <t>Autel - Black Metal Press-in Valve for 1-Sensor (CV-001)</t>
        </is>
      </c>
      <c r="B458" s="30" t="inlineStr">
        <is>
          <t>B07TV81B8C</t>
        </is>
      </c>
      <c r="C458" s="30" t="inlineStr">
        <is>
          <t>Other</t>
        </is>
      </c>
      <c r="D458" s="324" t="n">
        <v>8.91</v>
      </c>
      <c r="E458" s="324" t="n">
        <v>8.67</v>
      </c>
      <c r="F458" s="326" t="n">
        <v>0</v>
      </c>
      <c r="G458" s="55" t="n">
        <v>1</v>
      </c>
      <c r="H458" s="55" t="n">
        <v>0</v>
      </c>
      <c r="I458" s="55" t="n"/>
      <c r="J458" s="56" t="n"/>
      <c r="K458" s="56" t="inlineStr">
        <is>
          <t>https://amazon.com/dp/B07TV81B8C</t>
        </is>
      </c>
      <c r="L458" s="70">
        <f>HYPERLINK(Table1311[[#This Row],[Column1]])</f>
        <v/>
      </c>
    </row>
    <row r="459" ht="45" customHeight="1" s="290">
      <c r="A459" s="30" t="inlineStr">
        <is>
          <t>Autel AL529 AutoLink (Upgraded AL519) OBD II Scan Tool EOBD CAN Code Reader</t>
        </is>
      </c>
      <c r="B459" s="30" t="inlineStr">
        <is>
          <t>B073RF37K9</t>
        </is>
      </c>
      <c r="C459" s="30" t="inlineStr">
        <is>
          <t>Handheld</t>
        </is>
      </c>
      <c r="D459" s="324" t="n">
        <v>219.78</v>
      </c>
      <c r="E459" s="324" t="n">
        <v>216.31</v>
      </c>
      <c r="F459" s="326" t="n">
        <v>0</v>
      </c>
      <c r="G459" s="55" t="n">
        <v>2</v>
      </c>
      <c r="H459" s="55" t="n">
        <v>0</v>
      </c>
      <c r="I459" s="55" t="n">
        <v>14</v>
      </c>
      <c r="J459" s="56" t="n">
        <v>4.5</v>
      </c>
      <c r="K459" s="56" t="inlineStr">
        <is>
          <t>https://amazon.com/dp/B073RF37K9</t>
        </is>
      </c>
      <c r="L459" s="70">
        <f>HYPERLINK(Table1311[[#This Row],[Column1]])</f>
        <v/>
      </c>
    </row>
    <row r="460" ht="45" customHeight="1" s="290">
      <c r="A460" s="30" t="inlineStr">
        <is>
          <t>Autel MaxiPRO MP900-TS Scanner: 2026 TPMS Diagnostic Tool MP900TS Upgraded of MK808S-TS/MK900-TS, Android 10.0, 40+ Services, Advanced ECU Function as MS906PRO-TS, CANFD &amp; DOIP, Active Test GE</t>
        </is>
      </c>
      <c r="B460" s="30" t="inlineStr">
        <is>
          <t>B08PD7WNNF</t>
        </is>
      </c>
      <c r="C460" s="30" t="inlineStr">
        <is>
          <t>Tablet</t>
        </is>
      </c>
      <c r="D460" s="324" t="n">
        <v>1099</v>
      </c>
      <c r="E460" s="324" t="n">
        <v>2927.52</v>
      </c>
      <c r="F460" s="326" t="n">
        <v>0</v>
      </c>
      <c r="G460" s="55" t="n">
        <v>3</v>
      </c>
      <c r="H460" s="55" t="n">
        <v>0</v>
      </c>
      <c r="I460" s="55" t="n">
        <v>33</v>
      </c>
      <c r="J460" s="56" t="n">
        <v>4.4</v>
      </c>
      <c r="K460" s="56" t="inlineStr">
        <is>
          <t>https://amazon.com/dp/B08PD7WNNF</t>
        </is>
      </c>
      <c r="L460" s="70">
        <f>HYPERLINK(Table1311[[#This Row],[Column1]])</f>
        <v/>
      </c>
    </row>
    <row r="461" ht="30" customHeight="1" s="290">
      <c r="A461" s="30" t="inlineStr">
        <is>
          <t>Autel MaxiSys MS909 Scanner, Motor TruSpeed Same as MS919 Ultra Diagnostic Tool, Up of MS908S PRO II, ECU Coding &amp; Programming, 40+ Services, Topology 2.0, 3K+ Active Tests, FCA AutoAuth</t>
        </is>
      </c>
      <c r="B461" s="30" t="inlineStr">
        <is>
          <t>B0DGPV3KJM</t>
        </is>
      </c>
      <c r="C461" s="30" t="inlineStr">
        <is>
          <t>Tablet</t>
        </is>
      </c>
      <c r="D461" s="324" t="n">
        <v>2999</v>
      </c>
      <c r="E461" s="324" t="n">
        <v>15724.57</v>
      </c>
      <c r="F461" s="326" t="n">
        <v>0</v>
      </c>
      <c r="G461" s="55" t="n">
        <v>5</v>
      </c>
      <c r="H461" s="55" t="n">
        <v>0</v>
      </c>
      <c r="I461" s="55" t="n">
        <v>2</v>
      </c>
      <c r="J461" s="56" t="n">
        <v>5</v>
      </c>
      <c r="K461" s="56" t="inlineStr">
        <is>
          <t>https://amazon.com/dp/B0DGPV3KJM</t>
        </is>
      </c>
      <c r="L461" s="70">
        <f>HYPERLINK(Table1311[[#This Row],[Column1]])</f>
        <v/>
      </c>
    </row>
    <row r="462" ht="60" customHeight="1" s="290">
      <c r="A462" s="30" t="inlineStr">
        <is>
          <t>Autel MaxiSys Ultra S2 AI Scanner, 2026 Top Ultra S2 Intelligent Scan Tool Up of Ultra MS909 MS919, 6-in-1 VCMI2, Topology 3.0, Motor Truspeed, Multi-Point DVI, EV Tests, 48+ Resets, ECU Programming</t>
        </is>
      </c>
      <c r="B462" s="30" t="inlineStr">
        <is>
          <t>B0FG6T4B83</t>
        </is>
      </c>
      <c r="C462" s="30" t="inlineStr">
        <is>
          <t>Tablet</t>
        </is>
      </c>
      <c r="D462" s="324" t="n">
        <v>5681</v>
      </c>
      <c r="E462" s="324" t="n">
        <v>18834.09</v>
      </c>
      <c r="F462" s="326" t="n">
        <v>0</v>
      </c>
      <c r="G462" s="55" t="n">
        <v>3</v>
      </c>
      <c r="H462" s="55" t="n">
        <v>0</v>
      </c>
      <c r="I462" s="55" t="n">
        <v>1</v>
      </c>
      <c r="J462" s="56" t="n">
        <v>5</v>
      </c>
      <c r="K462" s="56" t="inlineStr">
        <is>
          <t>https://amazon.com/dp/B0FG6T4B83</t>
        </is>
      </c>
      <c r="L462" s="70">
        <f>HYPERLINK(Table1311[[#This Row],[Column1]])</f>
        <v/>
      </c>
    </row>
    <row r="463" ht="30" customHeight="1" s="290">
      <c r="A463" s="30" t="inlineStr">
        <is>
          <t>Autel MaxiSys MS919 Scanner, Same as MS Ultra and Up of MS909/ Ultra Lite/Elite 2, Motor TruSpeed, Color Topology 2.0, ECU Programming Coding, 40+Reset, 3000+ Active Test, [$2000] 5in1 VCMI</t>
        </is>
      </c>
      <c r="B463" s="30" t="inlineStr">
        <is>
          <t>B0F942MRQ5</t>
        </is>
      </c>
      <c r="C463" s="30" t="inlineStr">
        <is>
          <t>Tablet</t>
        </is>
      </c>
      <c r="D463" s="324" t="n">
        <v>3799</v>
      </c>
      <c r="E463" s="324" t="n">
        <v>26890.6</v>
      </c>
      <c r="F463" s="326" t="n">
        <v>0</v>
      </c>
      <c r="G463" s="55" t="n">
        <v>7</v>
      </c>
      <c r="H463" s="55" t="n">
        <v>0</v>
      </c>
      <c r="I463" s="55" t="n"/>
      <c r="J463" s="56" t="n"/>
      <c r="K463" s="56" t="inlineStr">
        <is>
          <t>https://amazon.com/dp/B0F942MRQ5</t>
        </is>
      </c>
      <c r="L463" s="70">
        <f>HYPERLINK(Table1311[[#This Row],[Column1]])</f>
        <v/>
      </c>
    </row>
    <row r="464" ht="45" customHeight="1" s="290">
      <c r="A464" s="30" t="inlineStr">
        <is>
          <t>Autel MaxiSys MS909CV Truck Scanner: 2026 Up of MS908CV II Cars Diagnostic Tool, Motor TruSpeed, Topology 2.0, J2534 Pass-Through, 64+ Reset 3K+ Active Test</t>
        </is>
      </c>
      <c r="B464" s="30" t="inlineStr">
        <is>
          <t>B0F5VV46Y4</t>
        </is>
      </c>
      <c r="C464" s="30" t="inlineStr">
        <is>
          <t>Tablet</t>
        </is>
      </c>
      <c r="D464" s="324" t="n">
        <v>4495</v>
      </c>
      <c r="E464" s="324" t="n">
        <v>15926.1</v>
      </c>
      <c r="F464" s="326" t="n">
        <v>0</v>
      </c>
      <c r="G464" s="55" t="n">
        <v>3</v>
      </c>
      <c r="H464" s="55" t="n">
        <v>0</v>
      </c>
      <c r="I464" s="55" t="n"/>
      <c r="J464" s="56" t="n"/>
      <c r="K464" s="56" t="inlineStr">
        <is>
          <t>https://amazon.com/dp/B0F5VV46Y4</t>
        </is>
      </c>
      <c r="L464" s="70">
        <f>HYPERLINK(Table1311[[#This Row],[Column1]])</f>
        <v/>
      </c>
    </row>
    <row r="465" ht="60" customHeight="1" s="290">
      <c r="A465" s="30" t="inlineStr">
        <is>
          <t>Autel MaxiSYS MS906 PRO Scanner, Auto Scan 2.0 Same as MS906MAX, Up of MS906BT MS906BT MS908, MS906PRO Diagnostic Tool for car, 36+ Service, DoIP CAN FD, VAG Guided, FCA SGW, 4G/128G</t>
        </is>
      </c>
      <c r="B465" s="30" t="inlineStr">
        <is>
          <t>B09ZPXKDMM</t>
        </is>
      </c>
      <c r="C465" s="30" t="inlineStr">
        <is>
          <t>Tablet</t>
        </is>
      </c>
      <c r="D465" s="324" t="n">
        <v>1369</v>
      </c>
      <c r="E465" s="324" t="n">
        <v>2392.07</v>
      </c>
      <c r="F465" s="326" t="n">
        <v>0</v>
      </c>
      <c r="G465" s="55" t="n">
        <v>2</v>
      </c>
      <c r="H465" s="55" t="n">
        <v>0</v>
      </c>
      <c r="I465" s="55" t="n">
        <v>7</v>
      </c>
      <c r="J465" s="56" t="n">
        <v>4</v>
      </c>
      <c r="K465" s="56" t="inlineStr">
        <is>
          <t>https://amazon.com/dp/B09ZPXKDMM</t>
        </is>
      </c>
      <c r="L465" s="70">
        <f>HYPERLINK(Table1311[[#This Row],[Column1]])</f>
        <v/>
      </c>
    </row>
    <row r="466" ht="30" customHeight="1" s="290">
      <c r="A466" s="30" t="inlineStr">
        <is>
          <t>Autel MaxiSYS EV Box Upgrade Kit, 2026 Fit Ultra S2 MS919S2 UltraADAS MSUltra MS919 MS909, Same EV Adapters in UltraEV, Full Electric Vehicle Diagnostics, High-Voltage System &amp; Battery Pack Analysis</t>
        </is>
      </c>
      <c r="B466" s="30" t="inlineStr">
        <is>
          <t>B0FG7JR9DW</t>
        </is>
      </c>
      <c r="C466" s="30" t="inlineStr">
        <is>
          <t>Tablet</t>
        </is>
      </c>
      <c r="D466" s="324" t="n">
        <v>899</v>
      </c>
      <c r="E466" s="324" t="n">
        <v>4399.5</v>
      </c>
      <c r="F466" s="326" t="n">
        <v>0</v>
      </c>
      <c r="G466" s="55" t="n">
        <v>5</v>
      </c>
      <c r="H466" s="55" t="n">
        <v>0</v>
      </c>
      <c r="I466" s="55" t="n"/>
      <c r="J466" s="56" t="n"/>
      <c r="K466" s="56" t="inlineStr">
        <is>
          <t>https://amazon.com/dp/B0FG7JR9DW</t>
        </is>
      </c>
      <c r="L466" s="70">
        <f>HYPERLINK(Table1311[[#This Row],[Column1]])</f>
        <v/>
      </c>
    </row>
    <row r="467" ht="60" customHeight="1" s="290">
      <c r="A467" s="30" t="inlineStr">
        <is>
          <t>Autel MaxiSys Ultra Autel Scanner: 2026 Top Intelligent Diagnostic Tool with 5-in-1 VCMI, Motor TruSpeed, J2534 ECU Programming, 40+ Services, Topology Map 2.0, Up of MS908S Pro Elite/MS909/MS919</t>
        </is>
      </c>
      <c r="B467" s="30" t="inlineStr">
        <is>
          <t>B09PNBLDM9</t>
        </is>
      </c>
      <c r="C467" s="30" t="inlineStr">
        <is>
          <t>Tablet</t>
        </is>
      </c>
      <c r="D467" s="324" t="n">
        <v>3999</v>
      </c>
      <c r="E467" s="324" t="n">
        <v>43043.67</v>
      </c>
      <c r="F467" s="326" t="n">
        <v>0</v>
      </c>
      <c r="G467" s="55" t="n">
        <v>10</v>
      </c>
      <c r="H467" s="55" t="n">
        <v>0</v>
      </c>
      <c r="I467" s="55" t="n">
        <v>2</v>
      </c>
      <c r="J467" s="56" t="n">
        <v>5</v>
      </c>
      <c r="K467" s="56" t="inlineStr">
        <is>
          <t>https://amazon.com/dp/B09PNBLDM9</t>
        </is>
      </c>
      <c r="L467" s="70">
        <f>HYPERLINK(Table1311[[#This Row],[Column1]])</f>
        <v/>
      </c>
    </row>
    <row r="468" ht="30" customHeight="1" s="290">
      <c r="A468" s="30" t="inlineStr">
        <is>
          <t>Autel AL439 OBDII and Electrical Test Tool</t>
        </is>
      </c>
      <c r="B468" s="30" t="inlineStr">
        <is>
          <t>B0091DJVK2</t>
        </is>
      </c>
      <c r="C468" s="30" t="inlineStr">
        <is>
          <t>Handheld</t>
        </is>
      </c>
      <c r="D468" s="324" t="n">
        <v>71.04000000000001</v>
      </c>
      <c r="E468" s="324" t="n">
        <v>262.91</v>
      </c>
      <c r="F468" s="326" t="n">
        <v>0</v>
      </c>
      <c r="G468" s="55" t="n">
        <v>4</v>
      </c>
      <c r="H468" s="55" t="n">
        <v>0</v>
      </c>
      <c r="I468" s="55" t="n">
        <v>30</v>
      </c>
      <c r="J468" s="56" t="n">
        <v>4.3</v>
      </c>
      <c r="K468" s="56" t="inlineStr">
        <is>
          <t>https://amazon.com/dp/B0091DJVK2</t>
        </is>
      </c>
      <c r="L468" s="70">
        <f>HYPERLINK(Table1311[[#This Row],[Column1]])</f>
        <v/>
      </c>
    </row>
    <row r="469" ht="45" customHeight="1" s="290">
      <c r="A469" s="30" t="inlineStr">
        <is>
          <t>Autel MaxiVCI Mini Bluetooth, Vehicle Communication Wireless Interface, Diagnostic Connector Compatible for MK808BT MK808TS MX808TS MP808TS TS608</t>
        </is>
      </c>
      <c r="B469" s="30" t="inlineStr">
        <is>
          <t>B0GCZ5939M</t>
        </is>
      </c>
      <c r="C469" s="30" t="inlineStr">
        <is>
          <t>Dongle</t>
        </is>
      </c>
      <c r="D469" s="324" t="n">
        <v>119</v>
      </c>
      <c r="E469" s="324" t="n">
        <v>291.22</v>
      </c>
      <c r="F469" s="326" t="n">
        <v>0</v>
      </c>
      <c r="G469" s="55" t="n">
        <v>2</v>
      </c>
      <c r="H469" s="55" t="n">
        <v>0</v>
      </c>
      <c r="I469" s="55" t="n"/>
      <c r="J469" s="56" t="n"/>
      <c r="K469" s="56" t="inlineStr">
        <is>
          <t>https://amazon.com/dp/B0GCZ5939M</t>
        </is>
      </c>
      <c r="L469" s="70">
        <f>HYPERLINK(Table1311[[#This Row],[Column1]])</f>
        <v/>
      </c>
    </row>
    <row r="470" ht="45" customHeight="1" s="290">
      <c r="A470" s="30" t="inlineStr">
        <is>
          <t>Autel MaxiSys Elite II PRO w/MV108S Scanner, 2-Year Update ($2590) Elite 2 Pro, Same as Ultra MS909 MS919 Up of MS908S PRO II MK908P, Motor TruSpeed, J2534 ECU Programming &amp; Coding, CAN FD DoIP</t>
        </is>
      </c>
      <c r="B470" s="30" t="inlineStr">
        <is>
          <t>B0F1T9D5B3</t>
        </is>
      </c>
      <c r="C470" s="30" t="inlineStr">
        <is>
          <t>Tablet</t>
        </is>
      </c>
      <c r="D470" s="324" t="n">
        <v>2399</v>
      </c>
      <c r="E470" s="324" t="n">
        <v>5014</v>
      </c>
      <c r="F470" s="326" t="n">
        <v>0</v>
      </c>
      <c r="G470" s="55" t="n">
        <v>2</v>
      </c>
      <c r="H470" s="55" t="n">
        <v>0</v>
      </c>
      <c r="I470" s="55" t="n">
        <v>1</v>
      </c>
      <c r="J470" s="56" t="n">
        <v>5</v>
      </c>
      <c r="K470" s="56" t="inlineStr">
        <is>
          <t>https://amazon.com/dp/B0F1T9D5B3</t>
        </is>
      </c>
      <c r="L470" s="70">
        <f>HYPERLINK(Table1311[[#This Row],[Column1]])</f>
        <v/>
      </c>
    </row>
    <row r="471" ht="45" customHeight="1" s="290">
      <c r="A471" s="30" t="inlineStr">
        <is>
          <t>Autel MaxiSys MS908CV II 2026: Upgrade of MS908CV Heavy Duty Truck Diagnostic Scanner, Diesel Scan Tool w/ J2534 Pass-Through, 3000+ Test, 64+ Service Same as MS909CV, Auto Scan 2.0 10 OS</t>
        </is>
      </c>
      <c r="B471" s="30" t="inlineStr">
        <is>
          <t>B071Y2XY4W</t>
        </is>
      </c>
      <c r="C471" s="30" t="inlineStr">
        <is>
          <t>Tablet</t>
        </is>
      </c>
      <c r="D471" s="324" t="n">
        <v>2899</v>
      </c>
      <c r="E471" s="324" t="n">
        <v>33895.18</v>
      </c>
      <c r="F471" s="326" t="n">
        <v>0</v>
      </c>
      <c r="G471" s="55" t="n">
        <v>11</v>
      </c>
      <c r="H471" s="55" t="n">
        <v>0</v>
      </c>
      <c r="I471" s="55" t="n">
        <v>6</v>
      </c>
      <c r="J471" s="56" t="n">
        <v>5</v>
      </c>
      <c r="K471" s="56" t="inlineStr">
        <is>
          <t>https://amazon.com/dp/B071Y2XY4W</t>
        </is>
      </c>
      <c r="L471" s="70">
        <f>HYPERLINK(Table1311[[#This Row],[Column1]])</f>
        <v/>
      </c>
    </row>
    <row r="472" ht="30" customHeight="1" s="290">
      <c r="A472" s="30" t="inlineStr">
        <is>
          <t>Autel MaxiCOM MK808Z-TS Upgrade of MK808S MK808Z US Ver. of MaxiCOM MK808S-TS MX808S-TS TPMS Programming Tool 28+ Service 3000+ Test Bidirectional Tool All System Diagnoses FCA SGW</t>
        </is>
      </c>
      <c r="B472" s="30" t="inlineStr">
        <is>
          <t>B0FKGSRQL9</t>
        </is>
      </c>
      <c r="C472" s="30" t="inlineStr">
        <is>
          <t>Tablet</t>
        </is>
      </c>
      <c r="D472" s="324" t="n">
        <v>649</v>
      </c>
      <c r="E472" s="324" t="n">
        <v>386.45</v>
      </c>
      <c r="F472" s="326" t="n">
        <v>0</v>
      </c>
      <c r="G472" s="55" t="n">
        <v>1</v>
      </c>
      <c r="H472" s="55" t="n">
        <v>0</v>
      </c>
      <c r="I472" s="55" t="n"/>
      <c r="J472" s="56" t="n"/>
      <c r="K472" s="56" t="inlineStr">
        <is>
          <t>https://amazon.com/dp/B0FKGSRQL9</t>
        </is>
      </c>
      <c r="L472" s="70">
        <f>HYPERLINK(Table1311[[#This Row],[Column1]])</f>
        <v/>
      </c>
    </row>
    <row r="473" ht="30" customHeight="1" s="290">
      <c r="A473" s="30" t="inlineStr">
        <is>
          <t>Autel CAN FD Adapter — Enables Diagnostics of Vehicles, Compatible with Multiple Models, Model# CANFD-Adapt</t>
        </is>
      </c>
      <c r="B473" s="30" t="inlineStr">
        <is>
          <t>B09WW3SS61</t>
        </is>
      </c>
      <c r="C473" s="30" t="inlineStr">
        <is>
          <t>Cable/Adapter</t>
        </is>
      </c>
      <c r="D473" s="324" t="n">
        <v>99.98999999999999</v>
      </c>
      <c r="E473" s="324" t="n">
        <v>353.33</v>
      </c>
      <c r="F473" s="326" t="n">
        <v>0</v>
      </c>
      <c r="G473" s="55" t="n">
        <v>4</v>
      </c>
      <c r="H473" s="55" t="n">
        <v>0</v>
      </c>
      <c r="I473" s="55" t="n"/>
      <c r="J473" s="56" t="n"/>
      <c r="K473" s="56" t="inlineStr">
        <is>
          <t>https://amazon.com/dp/B09WW3SS61</t>
        </is>
      </c>
      <c r="L473" s="70">
        <f>HYPERLINK(Table1311[[#This Row],[Column1]])</f>
        <v/>
      </c>
    </row>
    <row r="474" ht="45" customHeight="1" s="290">
      <c r="A474" s="30" t="inlineStr">
        <is>
          <t>Autel MaxiDiag MD600CV Handy Truck Diagnostics Tool, Handheld Wireless Android Touchscreen Tablet for Truck, Light Medium, Heavy Duty Truck Vehicle, 30+ Service</t>
        </is>
      </c>
      <c r="B474" s="30" t="inlineStr">
        <is>
          <t>B0D97HH541</t>
        </is>
      </c>
      <c r="C474" s="30" t="inlineStr">
        <is>
          <t>Handheld</t>
        </is>
      </c>
      <c r="D474" s="324" t="n">
        <v>979</v>
      </c>
      <c r="E474" s="324" t="n">
        <v>4455.29</v>
      </c>
      <c r="F474" s="326" t="n">
        <v>0</v>
      </c>
      <c r="G474" s="55" t="n">
        <v>4</v>
      </c>
      <c r="H474" s="55" t="n">
        <v>0</v>
      </c>
      <c r="I474" s="55" t="n">
        <v>3</v>
      </c>
      <c r="J474" s="56" t="n">
        <v>5</v>
      </c>
      <c r="K474" s="56" t="inlineStr">
        <is>
          <t>https://amazon.com/dp/B0D97HH541</t>
        </is>
      </c>
      <c r="L474" s="70">
        <f>HYPERLINK(Table1311[[#This Row],[Column1]])</f>
        <v/>
      </c>
    </row>
    <row r="475" ht="45" customHeight="1" s="290">
      <c r="A475" s="30" t="inlineStr">
        <is>
          <t>Autel MX900 Scanner, 2025 Bidirectional Scan Tool with 3000+ Active Test, Up of MK808BT MK808S MX808S, All System Diagnose, DoIP&amp;CAN FD, 40+ Service, Same as MK900 MK900BT</t>
        </is>
      </c>
      <c r="B475" s="30" t="inlineStr">
        <is>
          <t>B07FKZJ86W</t>
        </is>
      </c>
      <c r="C475" s="30" t="inlineStr">
        <is>
          <t>Tablet</t>
        </is>
      </c>
      <c r="D475" s="324" t="n">
        <v>819</v>
      </c>
      <c r="E475" s="324" t="n">
        <v>2117.9</v>
      </c>
      <c r="F475" s="326" t="n">
        <v>0</v>
      </c>
      <c r="G475" s="55" t="n">
        <v>5</v>
      </c>
      <c r="H475" s="55" t="n">
        <v>0</v>
      </c>
      <c r="I475" s="55" t="n">
        <v>141</v>
      </c>
      <c r="J475" s="56" t="n">
        <v>4.4</v>
      </c>
      <c r="K475" s="56" t="inlineStr">
        <is>
          <t>https://amazon.com/dp/B07FKZJ86W</t>
        </is>
      </c>
      <c r="L475" s="70">
        <f>HYPERLINK(Table1311[[#This Row],[Column1]])</f>
        <v/>
      </c>
    </row>
    <row r="476" ht="45" customHeight="1" s="290">
      <c r="A476" s="30" t="inlineStr">
        <is>
          <t>2026 Autel AI Scanner MaxiSYS MS909 S2, Same as Ultra S2, Intelligent Scan Tool Up of Ultra MS919 MS909, 3.0 Topology, VCI2 J2534, PID Analyze Multi-Point DVI, 48+ Reset, Motor, 3K+ Bidirectional Test</t>
        </is>
      </c>
      <c r="B476" s="30" t="inlineStr">
        <is>
          <t>B0FXMQ6V92</t>
        </is>
      </c>
      <c r="C476" s="30" t="inlineStr">
        <is>
          <t>Tablet</t>
        </is>
      </c>
      <c r="D476" s="324" t="n">
        <v>3599</v>
      </c>
      <c r="E476" s="324" t="n">
        <v>12826.68</v>
      </c>
      <c r="F476" s="326" t="n">
        <v>0</v>
      </c>
      <c r="G476" s="55" t="n">
        <v>3</v>
      </c>
      <c r="H476" s="55" t="n">
        <v>0</v>
      </c>
      <c r="I476" s="55" t="n">
        <v>1</v>
      </c>
      <c r="J476" s="56" t="n">
        <v>5</v>
      </c>
      <c r="K476" s="56" t="inlineStr">
        <is>
          <t>https://amazon.com/dp/B0FXMQ6V92</t>
        </is>
      </c>
      <c r="L476" s="70">
        <f>HYPERLINK(Table1311[[#This Row],[Column1]])</f>
        <v/>
      </c>
    </row>
    <row r="477" ht="60" customHeight="1" s="290">
      <c r="A477" s="30" t="inlineStr">
        <is>
          <t>Autel MaxiSYS MS906 Pro V2.0 2026 Professional Automotive Scanner, Same as MS906 MAX, Up of MS906BT MS908 MK908, Bidirectional 3K+ Tests,36+ Reset,CAN FD DoIP,Full System OBD2 Scan for 15000+ Vehicles</t>
        </is>
      </c>
      <c r="B477" s="30" t="inlineStr">
        <is>
          <t>B0DCFZF95X</t>
        </is>
      </c>
      <c r="C477" s="30" t="inlineStr">
        <is>
          <t>Tablet</t>
        </is>
      </c>
      <c r="D477" s="324" t="n">
        <v>1369</v>
      </c>
      <c r="E477" s="324" t="n">
        <v>0</v>
      </c>
      <c r="F477" s="326" t="n">
        <v>0</v>
      </c>
      <c r="G477" s="55" t="n">
        <v>0</v>
      </c>
      <c r="H477" s="55" t="n">
        <v>0</v>
      </c>
      <c r="I477" s="55" t="n">
        <v>4</v>
      </c>
      <c r="J477" s="56" t="n">
        <v>5</v>
      </c>
      <c r="K477" s="56" t="inlineStr">
        <is>
          <t>https://amazon.com/dp/B0DCFZF95X</t>
        </is>
      </c>
      <c r="L477" s="70">
        <f>HYPERLINK(Table1311[[#This Row],[Column1]])</f>
        <v/>
      </c>
    </row>
    <row r="478" ht="30" customHeight="1" s="290">
      <c r="A478" s="30" t="inlineStr">
        <is>
          <t>Autel MaxiSys MS908CV II Heavy Duty Truck Bidirectional Scanner, 39+ CV Services, All System,Guided Function,Level-up Ver. of MS906 CV,Same as MS909CV</t>
        </is>
      </c>
      <c r="B478" s="30" t="inlineStr">
        <is>
          <t>B0F6LG1GPF</t>
        </is>
      </c>
      <c r="C478" s="30" t="inlineStr">
        <is>
          <t>Tablet</t>
        </is>
      </c>
      <c r="D478" s="324" t="n">
        <v>2899</v>
      </c>
      <c r="E478" s="324" t="n">
        <v>36018.23</v>
      </c>
      <c r="F478" s="326" t="n">
        <v>0</v>
      </c>
      <c r="G478" s="55" t="n">
        <v>13</v>
      </c>
      <c r="H478" s="55" t="n">
        <v>0</v>
      </c>
      <c r="I478" s="55" t="n">
        <v>1</v>
      </c>
      <c r="J478" s="56" t="n">
        <v>5</v>
      </c>
      <c r="K478" s="56" t="inlineStr">
        <is>
          <t>https://amazon.com/dp/B0F6LG1GPF</t>
        </is>
      </c>
      <c r="L478" s="70">
        <f>HYPERLINK(Table1311[[#This Row],[Column1]])</f>
        <v/>
      </c>
    </row>
    <row r="479" ht="45" customHeight="1" s="290">
      <c r="A479" s="30" t="inlineStr">
        <is>
          <t>Autel MaxiSys Ultra EV OBD2 Scanner, Diagnostic Scan Tool, High Voltage Battery Pack Analysis, Motor TruSpeed Repair, Better Ultra MS919 MS909, w/EVDiag Box, ECU Programming, 5-in-1 VCMI, 40+ Reset</t>
        </is>
      </c>
      <c r="B479" s="30" t="inlineStr">
        <is>
          <t>B0BLSLC8SR</t>
        </is>
      </c>
      <c r="C479" s="30" t="inlineStr">
        <is>
          <t>Tablet</t>
        </is>
      </c>
      <c r="D479" s="324" t="n">
        <v>4995</v>
      </c>
      <c r="E479" s="324" t="n">
        <v>56145.25</v>
      </c>
      <c r="F479" s="326" t="n">
        <v>0</v>
      </c>
      <c r="G479" s="55" t="n">
        <v>11</v>
      </c>
      <c r="H479" s="55" t="n">
        <v>0</v>
      </c>
      <c r="I479" s="55" t="n">
        <v>7</v>
      </c>
      <c r="J479" s="56" t="n">
        <v>5</v>
      </c>
      <c r="K479" s="56" t="inlineStr">
        <is>
          <t>https://amazon.com/dp/B0BLSLC8SR</t>
        </is>
      </c>
      <c r="L479" s="70">
        <f>HYPERLINK(Table1311[[#This Row],[Column1]])</f>
        <v/>
      </c>
    </row>
    <row r="480" ht="45" customHeight="1" s="290">
      <c r="A480" s="30" t="inlineStr">
        <is>
          <t>Autel MaxiSYS MS906 PRO Scanner, 2026 MS906PRO Same as MS906 MAX, Top Scan Tool 2.0 Up of MP900BT MS906BT MK908 MS908S, ECU Coding, Bidirectional 3000+ Active Test, 40+ Reset, All System, CAN FD DoIP</t>
        </is>
      </c>
      <c r="B480" s="30" t="inlineStr">
        <is>
          <t>B0F6CJSGMY</t>
        </is>
      </c>
      <c r="C480" s="30" t="inlineStr">
        <is>
          <t>Tablet</t>
        </is>
      </c>
      <c r="D480" s="324" t="n">
        <v>1369</v>
      </c>
      <c r="E480" s="324" t="n">
        <v>2854.91</v>
      </c>
      <c r="F480" s="326" t="n">
        <v>0</v>
      </c>
      <c r="G480" s="55" t="n">
        <v>2</v>
      </c>
      <c r="H480" s="55" t="n">
        <v>0</v>
      </c>
      <c r="I480" s="55" t="n">
        <v>4</v>
      </c>
      <c r="J480" s="56" t="n">
        <v>5</v>
      </c>
      <c r="K480" s="56" t="inlineStr">
        <is>
          <t>https://amazon.com/dp/B0F6CJSGMY</t>
        </is>
      </c>
      <c r="L480" s="70">
        <f>HYPERLINK(Table1311[[#This Row],[Column1]])</f>
        <v/>
      </c>
    </row>
    <row r="481" ht="45" customHeight="1" s="290">
      <c r="A481" s="30" t="inlineStr">
        <is>
          <t>Autel OBD2 Scanner MaxiDiag MD909 PRO, 2026 MD909PRO Full Systems Diagnostic Scan Tool, 2.0 of MD906Pro MD808 Pro MD806, BT Lite of MK808S MX808S MX900 MK900, CAN FD, 11 Service, FCA, SFD, Free Update</t>
        </is>
      </c>
      <c r="B481" s="30" t="inlineStr">
        <is>
          <t>B0FMRZ89PL</t>
        </is>
      </c>
      <c r="C481" s="30" t="inlineStr">
        <is>
          <t>Tablet</t>
        </is>
      </c>
      <c r="D481" s="324" t="n">
        <v>325.7222222222222</v>
      </c>
      <c r="E481" s="324" t="n">
        <v>9714.030000000001</v>
      </c>
      <c r="F481" s="326" t="n">
        <v>0</v>
      </c>
      <c r="G481" s="55" t="n">
        <v>29</v>
      </c>
      <c r="H481" s="55" t="n">
        <v>0</v>
      </c>
      <c r="I481" s="55" t="n">
        <v>1</v>
      </c>
      <c r="J481" s="56" t="n">
        <v>5</v>
      </c>
      <c r="K481" s="56" t="inlineStr">
        <is>
          <t>https://amazon.com/dp/B0FMRZ89PL</t>
        </is>
      </c>
      <c r="L481" s="70">
        <f>HYPERLINK(Table1311[[#This Row],[Column1]])</f>
        <v/>
      </c>
    </row>
    <row r="482" ht="45" customHeight="1" s="290">
      <c r="A482" s="30" t="inlineStr">
        <is>
          <t>Autel MaxiPRO MP808Z-TS Diagnostic Scan Tool for Full TPMS Diagnostics, 2024 Upgraded Version of MP808TS, Bi-Directional Control OBD2 Scanner for All System Diagnose, 30+ Maintenance Functions</t>
        </is>
      </c>
      <c r="B482" s="30" t="inlineStr">
        <is>
          <t>B0CZ9K86W2</t>
        </is>
      </c>
      <c r="C482" s="30" t="inlineStr">
        <is>
          <t>Tablet</t>
        </is>
      </c>
      <c r="D482" s="324" t="n">
        <v>899</v>
      </c>
      <c r="E482" s="324" t="n">
        <v>472.72</v>
      </c>
      <c r="F482" s="326" t="n">
        <v>0</v>
      </c>
      <c r="G482" s="55" t="n">
        <v>1</v>
      </c>
      <c r="H482" s="55" t="n">
        <v>0</v>
      </c>
      <c r="I482" s="55" t="n"/>
      <c r="J482" s="56" t="n"/>
      <c r="K482" s="56" t="inlineStr">
        <is>
          <t>https://amazon.com/dp/B0CZ9K86W2</t>
        </is>
      </c>
      <c r="L482" s="70">
        <f>HYPERLINK(Table1311[[#This Row],[Column1]])</f>
        <v/>
      </c>
    </row>
    <row r="483" ht="45" customHeight="1" s="290">
      <c r="A483" s="30" t="inlineStr">
        <is>
          <t>Autel MaxiVCI V200 VCI200 OBD2 Adapter Connector, 2026 VCI 200 Car Wireless Communication Interface, Work w/Autel Scanner MaxiSys MS906PRO MS906 PRO-TS KM100 BT608 BT609 ITS600 MK906 PRO MK906 PRO TS</t>
        </is>
      </c>
      <c r="B483" s="30" t="inlineStr">
        <is>
          <t>B0F26G74N2</t>
        </is>
      </c>
      <c r="C483" s="30" t="inlineStr">
        <is>
          <t>Dongle</t>
        </is>
      </c>
      <c r="D483" s="324" t="n">
        <v>223.7890909090909</v>
      </c>
      <c r="E483" s="324" t="n">
        <v>48058.18000000001</v>
      </c>
      <c r="F483" s="326" t="n">
        <v>0</v>
      </c>
      <c r="G483" s="55" t="n">
        <v>228</v>
      </c>
      <c r="H483" s="55" t="n">
        <v>0</v>
      </c>
      <c r="I483" s="55" t="n">
        <v>5</v>
      </c>
      <c r="J483" s="56" t="n">
        <v>4.7</v>
      </c>
      <c r="K483" s="56" t="inlineStr">
        <is>
          <t>https://amazon.com/dp/B0F26G74N2</t>
        </is>
      </c>
      <c r="L483" s="70">
        <f>HYPERLINK(Table1311[[#This Row],[Column1]])</f>
        <v/>
      </c>
    </row>
    <row r="484" ht="45" customHeight="1" s="290">
      <c r="A484" s="30" t="inlineStr">
        <is>
          <t>Autel MaxiSys Elite Battery, Replacement Battery for Autel MaxiSys Elite Scanner</t>
        </is>
      </c>
      <c r="B484" s="30" t="inlineStr">
        <is>
          <t>B09D86Z1SM</t>
        </is>
      </c>
      <c r="C484" s="30" t="inlineStr">
        <is>
          <t>Other</t>
        </is>
      </c>
      <c r="D484" s="324" t="n">
        <v>141.0978571428571</v>
      </c>
      <c r="E484" s="324" t="n">
        <v>64054.78999999999</v>
      </c>
      <c r="F484" s="326" t="n">
        <v>0</v>
      </c>
      <c r="G484" s="55" t="n">
        <v>461</v>
      </c>
      <c r="H484" s="55" t="n">
        <v>0</v>
      </c>
      <c r="I484" s="55" t="n">
        <v>78</v>
      </c>
      <c r="J484" s="56" t="n">
        <v>4.6</v>
      </c>
      <c r="K484" s="56" t="inlineStr">
        <is>
          <t>https://amazon.com/dp/B09D86Z1SM</t>
        </is>
      </c>
      <c r="L484" s="70">
        <f>HYPERLINK(Table1311[[#This Row],[Column1]])</f>
        <v/>
      </c>
    </row>
    <row r="485" ht="45" customHeight="1" s="290">
      <c r="A485" s="30" t="inlineStr">
        <is>
          <t>Autel Original OBD1 to OBD2 Adapter Cable for VW and Audi, OBDI 2+2 Pin Male to OBDII 16 Pin Female Extension Cable, 2x2 Pin to 16Pin OBD II Connector</t>
        </is>
      </c>
      <c r="B485" s="30" t="inlineStr">
        <is>
          <t>B0F4CKKVXF</t>
        </is>
      </c>
      <c r="C485" s="30" t="inlineStr">
        <is>
          <t>Cable/Adapter</t>
        </is>
      </c>
      <c r="D485" s="324" t="n">
        <v>16.594</v>
      </c>
      <c r="E485" s="324" t="n">
        <v>1076.06</v>
      </c>
      <c r="F485" s="326" t="n">
        <v>0</v>
      </c>
      <c r="G485" s="55" t="n">
        <v>55</v>
      </c>
      <c r="H485" s="55" t="n">
        <v>0</v>
      </c>
      <c r="I485" s="55" t="n">
        <v>8</v>
      </c>
      <c r="J485" s="56" t="n">
        <v>3.6</v>
      </c>
      <c r="K485" s="56" t="inlineStr">
        <is>
          <t>https://amazon.com/dp/B0F4CKKVXF</t>
        </is>
      </c>
      <c r="L485" s="70">
        <f>HYPERLINK(Table1311[[#This Row],[Column1]])</f>
        <v/>
      </c>
    </row>
    <row r="486" ht="60" customHeight="1" s="290">
      <c r="A486" s="30" t="inlineStr">
        <is>
          <t>Autel Original OBD2 12+8 Adapter for Chrysler, OBD II Bypass Cable Gateway Protocol, Security Bypass 12 8 Connector Universal for FCA SGW Car, Fit for All Scanner MK808S MX808S MX900 MS906 Pro MS908S</t>
        </is>
      </c>
      <c r="B486" s="30" t="inlineStr">
        <is>
          <t>B0FR9FXLRR</t>
        </is>
      </c>
      <c r="C486" s="30" t="inlineStr">
        <is>
          <t>Cable/Adapter</t>
        </is>
      </c>
      <c r="D486" s="324" t="n">
        <v>25.48666666666666</v>
      </c>
      <c r="E486" s="324" t="n">
        <v>756.6899999999999</v>
      </c>
      <c r="F486" s="326" t="n">
        <v>0</v>
      </c>
      <c r="G486" s="55" t="n">
        <v>29</v>
      </c>
      <c r="H486" s="55" t="n">
        <v>0</v>
      </c>
      <c r="I486" s="55" t="n">
        <v>10</v>
      </c>
      <c r="J486" s="56" t="n">
        <v>4.2</v>
      </c>
      <c r="K486" s="56" t="inlineStr">
        <is>
          <t>https://amazon.com/dp/B0FR9FXLRR</t>
        </is>
      </c>
      <c r="L486" s="70">
        <f>HYPERLINK(Table1311[[#This Row],[Column1]])</f>
        <v/>
      </c>
    </row>
    <row r="487" ht="60" customHeight="1" s="290">
      <c r="A487" s="30" t="inlineStr">
        <is>
          <t>Autel MaxiIM KM100(E) Diagnostic Tool, 2026 Car OBD2 Scanner Lifetime Fre.e Updates, 2GB &amp; 64GB Android 9.0, for Home Mechanics &amp; DIYers</t>
        </is>
      </c>
      <c r="B487" s="30" t="inlineStr">
        <is>
          <t>B09JW8T7WJ</t>
        </is>
      </c>
      <c r="C487" s="30" t="inlineStr">
        <is>
          <t>Key</t>
        </is>
      </c>
      <c r="D487" s="324" t="n">
        <v>535</v>
      </c>
      <c r="E487" s="324" t="n">
        <v>0</v>
      </c>
      <c r="F487" s="326" t="n">
        <v>0</v>
      </c>
      <c r="G487" s="55" t="n">
        <v>0</v>
      </c>
      <c r="H487" s="55" t="n">
        <v>0</v>
      </c>
      <c r="I487" s="55" t="n">
        <v>15</v>
      </c>
      <c r="J487" s="56" t="n">
        <v>5</v>
      </c>
      <c r="K487" s="56" t="inlineStr">
        <is>
          <t>https://amazon.com/dp/B09JW8T7WJ</t>
        </is>
      </c>
      <c r="L487" s="70">
        <f>HYPERLINK(Table1311[[#This Row],[Column1]])</f>
        <v/>
      </c>
    </row>
    <row r="488" ht="30" customHeight="1" s="290">
      <c r="A488" s="30" t="inlineStr">
        <is>
          <t>Autel MaxiSYS MS909CV Top Intelligent Diesel Truck CV Scanner, 2026 Up of MS908CV II Heavy Duty Diagnostic with OE-Level J2534 Functions, Motor TruSpeed, Topology 2.0, 64+ Service, 3000+ Active Tests</t>
        </is>
      </c>
      <c r="B488" s="30" t="inlineStr">
        <is>
          <t>B0FWRNZBMX</t>
        </is>
      </c>
      <c r="C488" s="30" t="inlineStr">
        <is>
          <t>Tablet</t>
        </is>
      </c>
      <c r="D488" s="324" t="n">
        <v>5151.28</v>
      </c>
      <c r="E488" s="324" t="n">
        <v>15453.84</v>
      </c>
      <c r="F488" s="326" t="n">
        <v>0</v>
      </c>
      <c r="G488" s="55" t="n">
        <v>3</v>
      </c>
      <c r="H488" s="55" t="n">
        <v>0</v>
      </c>
      <c r="I488" s="55" t="n">
        <v>5</v>
      </c>
      <c r="J488" s="56" t="n">
        <v>5</v>
      </c>
      <c r="K488" s="56" t="inlineStr">
        <is>
          <t>https://amazon.com/dp/B0FWRNZBMX</t>
        </is>
      </c>
      <c r="L488" s="70">
        <f>HYPERLINK(Table1311[[#This Row],[Column1]])</f>
        <v/>
      </c>
    </row>
    <row r="489" ht="45" customHeight="1" s="290">
      <c r="A489" s="30" t="inlineStr">
        <is>
          <t>Autel MaxiPRO MP808S KIT Scanner - 2026 2-Year Update($490) Ver. of MaxiPRO MP900-BT MP900 KIT, PR0 ECU C0ciing, 3K+ Active Tests as MS906 PRO, 31+ Resets, Up of MP808BT PRO MK808S MK900 MX900</t>
        </is>
      </c>
      <c r="B489" s="30" t="inlineStr">
        <is>
          <t>B07VJKM2HV</t>
        </is>
      </c>
      <c r="C489" s="30" t="inlineStr">
        <is>
          <t>Tablet</t>
        </is>
      </c>
      <c r="D489" s="324" t="n">
        <v>888.98</v>
      </c>
      <c r="E489" s="324" t="n">
        <v>17153.18</v>
      </c>
      <c r="F489" s="326" t="n">
        <v>0</v>
      </c>
      <c r="G489" s="55" t="n">
        <v>23</v>
      </c>
      <c r="H489" s="55" t="n">
        <v>0</v>
      </c>
      <c r="I489" s="55" t="n">
        <v>272</v>
      </c>
      <c r="J489" s="56" t="n">
        <v>4.5</v>
      </c>
      <c r="K489" s="56" t="inlineStr">
        <is>
          <t>https://amazon.com/dp/B07VJKM2HV</t>
        </is>
      </c>
      <c r="L489" s="70">
        <f>HYPERLINK(Table1311[[#This Row],[Column1]])</f>
        <v/>
      </c>
    </row>
    <row r="490" ht="30" customHeight="1" s="290">
      <c r="A490" s="30" t="inlineStr">
        <is>
          <t>Autel MaxiDiag MD906PRO OBD2 Scanner, 2025 MD906 PRO All Sys Diagnostic Tool Same as MD909 PRO, 11 Services, CAN FD, BT Lite of MX808S, 10 OBDII Test Modes, FCA, Free Update, Up of MD808Pro MD806</t>
        </is>
      </c>
      <c r="B490" s="30" t="inlineStr">
        <is>
          <t>B072XH9GLW</t>
        </is>
      </c>
      <c r="C490" s="30" t="inlineStr">
        <is>
          <t>Handheld</t>
        </is>
      </c>
      <c r="D490" s="324" t="n">
        <v>299</v>
      </c>
      <c r="E490" s="324" t="n">
        <v>2688.34</v>
      </c>
      <c r="F490" s="326" t="n">
        <v>0</v>
      </c>
      <c r="G490" s="55" t="n">
        <v>22</v>
      </c>
      <c r="H490" s="55" t="n">
        <v>0</v>
      </c>
      <c r="I490" s="55" t="n">
        <v>925</v>
      </c>
      <c r="J490" s="56" t="n">
        <v>4.3</v>
      </c>
      <c r="K490" s="56" t="inlineStr">
        <is>
          <t>https://amazon.com/dp/B072XH9GLW</t>
        </is>
      </c>
      <c r="L490" s="70">
        <f>HYPERLINK(Table1311[[#This Row],[Column1]])</f>
        <v/>
      </c>
    </row>
    <row r="491" ht="45" customHeight="1" s="290">
      <c r="A491" s="30" t="inlineStr">
        <is>
          <t>Autel Scanner MaxiCOM MK900: 2026 MK900 Same as MK900BT MX900, 8" Bidirectional Diagnostic Tool Up of MK808S MK808BT PRO MX808S MK808Z, 40+ Reset, 3K+ Active Tests, CAN-FD&amp;DOIP, All Sys, FCA 11 OS</t>
        </is>
      </c>
      <c r="B491" s="30" t="inlineStr">
        <is>
          <t>B0F5MK8RS4</t>
        </is>
      </c>
      <c r="C491" s="30" t="inlineStr">
        <is>
          <t>Tablet</t>
        </is>
      </c>
      <c r="D491" s="324" t="n">
        <v>559</v>
      </c>
      <c r="E491" s="324" t="n">
        <v>27729.72</v>
      </c>
      <c r="F491" s="326" t="n">
        <v>0</v>
      </c>
      <c r="G491" s="55" t="n">
        <v>47</v>
      </c>
      <c r="H491" s="55" t="n">
        <v>0</v>
      </c>
      <c r="I491" s="55" t="n">
        <v>16</v>
      </c>
      <c r="J491" s="56" t="n">
        <v>4.4</v>
      </c>
      <c r="K491" s="56" t="inlineStr">
        <is>
          <t>https://amazon.com/dp/B0F5MK8RS4</t>
        </is>
      </c>
      <c r="L491" s="70">
        <f>HYPERLINK(Table1311[[#This Row],[Column1]])</f>
        <v/>
      </c>
    </row>
    <row r="492" ht="30" customHeight="1" s="290">
      <c r="A492" s="30" t="inlineStr">
        <is>
          <t>Autel MaxiPRO MP808Z-TS Scanner (2-Year Free Updates) - New ECU Coding Scan Tool with TPMS Relearn Rest Programming, Upgraded of MP808BT PRO /MP808BT, Active Test, 36+Service, Full System Diagnose</t>
        </is>
      </c>
      <c r="B492" s="30" t="inlineStr">
        <is>
          <t>B0C1S6P4RN</t>
        </is>
      </c>
      <c r="C492" s="30" t="inlineStr">
        <is>
          <t>Tablet</t>
        </is>
      </c>
      <c r="D492" s="324" t="n">
        <v>964.84</v>
      </c>
      <c r="E492" s="324" t="n">
        <v>4429.12</v>
      </c>
      <c r="F492" s="326" t="n">
        <v>0</v>
      </c>
      <c r="G492" s="55" t="n">
        <v>5</v>
      </c>
      <c r="H492" s="55" t="n">
        <v>0</v>
      </c>
      <c r="I492" s="55" t="n">
        <v>4</v>
      </c>
      <c r="J492" s="56" t="n">
        <v>4.6</v>
      </c>
      <c r="K492" s="56" t="inlineStr">
        <is>
          <t>https://amazon.com/dp/B0C1S6P4RN</t>
        </is>
      </c>
      <c r="L492" s="70">
        <f>HYPERLINK(Table1311[[#This Row],[Column1]])</f>
        <v/>
      </c>
    </row>
    <row r="493" ht="45" customHeight="1" s="290">
      <c r="A493" s="30" t="inlineStr">
        <is>
          <t>Autel MaxiSys Ultra Full System Intelligent Diagnostic Scan Tool, 2026 Upgraded of EliteII/MS909/MS919, Top Auto Diagnostic Tool with 5-in-1 VCMI[$2000], ECU Programming &amp; Coding, AutoAuth for FCA SGW</t>
        </is>
      </c>
      <c r="B493" s="30" t="inlineStr">
        <is>
          <t>B0BNBBRZFY</t>
        </is>
      </c>
      <c r="C493" s="30" t="inlineStr">
        <is>
          <t>Tablet</t>
        </is>
      </c>
      <c r="D493" s="324" t="n">
        <v>4356.41</v>
      </c>
      <c r="E493" s="324" t="n">
        <v>92568.48</v>
      </c>
      <c r="F493" s="326" t="n">
        <v>0</v>
      </c>
      <c r="G493" s="55" t="n">
        <v>31</v>
      </c>
      <c r="H493" s="55" t="n">
        <v>0</v>
      </c>
      <c r="I493" s="55" t="n">
        <v>2</v>
      </c>
      <c r="J493" s="56" t="n">
        <v>5</v>
      </c>
      <c r="K493" s="56" t="inlineStr">
        <is>
          <t>https://amazon.com/dp/B0BNBBRZFY</t>
        </is>
      </c>
      <c r="L493" s="70">
        <f>HYPERLINK(Table1311[[#This Row],[Column1]])</f>
        <v/>
      </c>
    </row>
    <row r="494" ht="30" customHeight="1" s="290">
      <c r="A494" s="30" t="inlineStr">
        <is>
          <t>Autel Scanner MaxiPRO MP900TS: 2024 8IN MP900-TS Up of MaxiSys MS906TS/ MP808S-TS/ MX900TS/ MP900BT w/ 40+ Reset, Pro ECU Coding, Full TPMS as MS906 PRO-TS, 3000+ Bidirectional, DoIP CAN-FD, FCA SGW</t>
        </is>
      </c>
      <c r="B494" s="30" t="inlineStr">
        <is>
          <t>B08LV75DXV</t>
        </is>
      </c>
      <c r="C494" s="30" t="inlineStr">
        <is>
          <t>Tablet</t>
        </is>
      </c>
      <c r="D494" s="324" t="n">
        <v>1379</v>
      </c>
      <c r="E494" s="324" t="n">
        <v>8235.5</v>
      </c>
      <c r="F494" s="326" t="n">
        <v>0</v>
      </c>
      <c r="G494" s="55" t="n">
        <v>7</v>
      </c>
      <c r="H494" s="55" t="n">
        <v>0</v>
      </c>
      <c r="I494" s="55" t="n">
        <v>61</v>
      </c>
      <c r="J494" s="56" t="n">
        <v>4.1</v>
      </c>
      <c r="K494" s="56" t="inlineStr">
        <is>
          <t>https://amazon.com/dp/B08LV75DXV</t>
        </is>
      </c>
      <c r="L494" s="70">
        <f>HYPERLINK(Table1311[[#This Row],[Column1]])</f>
        <v/>
      </c>
    </row>
    <row r="495" ht="30" customHeight="1" s="290">
      <c r="A495" s="30" t="inlineStr">
        <is>
          <t>Autel CAN FD Adapter for MY2020 GM Models, Compatible with Autel VCI Supported Autel Vehicle Communication Interface (VCI) to Communicate with Applicable Vehicles</t>
        </is>
      </c>
      <c r="B495" s="30" t="inlineStr">
        <is>
          <t>B0D2NC4J51</t>
        </is>
      </c>
      <c r="C495" s="30" t="inlineStr">
        <is>
          <t>Cable/Adapter</t>
        </is>
      </c>
      <c r="D495" s="324" t="n">
        <v>128.4</v>
      </c>
      <c r="E495" s="324" t="n">
        <v>1372.84</v>
      </c>
      <c r="F495" s="326" t="n">
        <v>0</v>
      </c>
      <c r="G495" s="55" t="n">
        <v>11</v>
      </c>
      <c r="H495" s="55" t="n">
        <v>0</v>
      </c>
      <c r="I495" s="55" t="n"/>
      <c r="J495" s="56" t="n"/>
      <c r="K495" s="56" t="inlineStr">
        <is>
          <t>https://amazon.com/dp/B0D2NC4J51</t>
        </is>
      </c>
      <c r="L495" s="70">
        <f>HYPERLINK(Table1311[[#This Row],[Column1]])</f>
        <v/>
      </c>
    </row>
    <row r="496" ht="60" customHeight="1" s="290">
      <c r="A496" s="30" t="inlineStr">
        <is>
          <t>Autel Scanner MaxiCOM MK808Z-BT (Same As MK808BT Pro) with 60$ MV108: New Upgraded of MK808BT/MK808S, Android 11 Based Bi-Directional Control Scan Tool, 28+ Services, All System Diagnostics(Original)</t>
        </is>
      </c>
      <c r="B496" s="30" t="inlineStr">
        <is>
          <t>B0BVYPY1MN</t>
        </is>
      </c>
      <c r="C496" s="30" t="inlineStr">
        <is>
          <t>Tablet</t>
        </is>
      </c>
      <c r="D496" s="324" t="n">
        <v>521.55</v>
      </c>
      <c r="E496" s="324" t="n">
        <v>1391.58</v>
      </c>
      <c r="F496" s="326" t="n">
        <v>0</v>
      </c>
      <c r="G496" s="55" t="n">
        <v>3</v>
      </c>
      <c r="H496" s="55" t="n">
        <v>0</v>
      </c>
      <c r="I496" s="55" t="n">
        <v>9</v>
      </c>
      <c r="J496" s="56" t="n">
        <v>5</v>
      </c>
      <c r="K496" s="56" t="inlineStr">
        <is>
          <t>https://amazon.com/dp/B0BVYPY1MN</t>
        </is>
      </c>
      <c r="L496" s="70">
        <f>HYPERLINK(Table1311[[#This Row],[Column1]])</f>
        <v/>
      </c>
    </row>
    <row r="497" ht="45" customHeight="1" s="290">
      <c r="A497" s="30" t="inlineStr">
        <is>
          <t>Autel S2</t>
        </is>
      </c>
      <c r="B497" s="30" t="inlineStr">
        <is>
          <t>B09JJZS2LQ</t>
        </is>
      </c>
      <c r="C497" s="30" t="inlineStr">
        <is>
          <t>Tablet</t>
        </is>
      </c>
      <c r="D497" s="324" t="n">
        <v>4495</v>
      </c>
      <c r="E497" s="324" t="n">
        <v>7238.77</v>
      </c>
      <c r="F497" s="326" t="n">
        <v>0</v>
      </c>
      <c r="G497" s="55" t="n">
        <v>2</v>
      </c>
      <c r="H497" s="55" t="n">
        <v>0</v>
      </c>
      <c r="I497" s="55" t="n">
        <v>8</v>
      </c>
      <c r="J497" s="56" t="n">
        <v>3.9</v>
      </c>
      <c r="K497" s="56" t="inlineStr">
        <is>
          <t>https://amazon.com/dp/B09JJZS2LQ</t>
        </is>
      </c>
      <c r="L497" s="70">
        <f>HYPERLINK(Table1311[[#This Row],[Column1]])</f>
        <v/>
      </c>
    </row>
    <row r="498" ht="45" customHeight="1" s="290">
      <c r="A498" s="30" t="inlineStr">
        <is>
          <t>Autel Diagnostic DIY Tools, Autel AutoLink AL329, OBD II/EOBD Handheld Code Reader W/Patented One-Click I/M Readiness Key</t>
        </is>
      </c>
      <c r="B498" s="30" t="inlineStr">
        <is>
          <t>B0CFRL8275</t>
        </is>
      </c>
      <c r="C498" s="30" t="inlineStr">
        <is>
          <t>Handheld</t>
        </is>
      </c>
      <c r="D498" s="324" t="n">
        <v>52.54</v>
      </c>
      <c r="E498" s="324" t="n">
        <v>0</v>
      </c>
      <c r="F498" s="326" t="n">
        <v>0</v>
      </c>
      <c r="G498" s="55" t="n">
        <v>0</v>
      </c>
      <c r="H498" s="55" t="n">
        <v>0</v>
      </c>
      <c r="I498" s="55" t="n">
        <v>3</v>
      </c>
      <c r="J498" s="56" t="n">
        <v>5</v>
      </c>
      <c r="K498" s="56" t="inlineStr">
        <is>
          <t>https://amazon.com/dp/B0CFRL8275</t>
        </is>
      </c>
      <c r="L498" s="70">
        <f>HYPERLINK(Table1311[[#This Row],[Column1]])</f>
        <v/>
      </c>
    </row>
    <row r="499" ht="45" customHeight="1" s="290">
      <c r="A499" s="30" t="inlineStr">
        <is>
          <t>Autel Scanner MaxiCOM MK808S-TS, TPMS Programming/Relearn Tool, 2023 New Ver. of MK808S / TS608, OBD2 Diagnostic Scan Tool with Complete TPMS Service, Bi-Directional Control, 28+ Service, FCA SGW</t>
        </is>
      </c>
      <c r="B499" s="30" t="inlineStr">
        <is>
          <t>B094VP8FLB</t>
        </is>
      </c>
      <c r="C499" s="30" t="inlineStr">
        <is>
          <t>Tablet</t>
        </is>
      </c>
      <c r="D499" s="324" t="n">
        <v>649</v>
      </c>
      <c r="E499" s="324" t="n">
        <v>2213.6</v>
      </c>
      <c r="F499" s="326" t="n">
        <v>0</v>
      </c>
      <c r="G499" s="55" t="n">
        <v>3</v>
      </c>
      <c r="H499" s="55" t="n">
        <v>0</v>
      </c>
      <c r="I499" s="55" t="n">
        <v>23</v>
      </c>
      <c r="J499" s="56" t="n">
        <v>4.4</v>
      </c>
      <c r="K499" s="56" t="inlineStr">
        <is>
          <t>https://amazon.com/dp/B094VP8FLB</t>
        </is>
      </c>
      <c r="L499" s="70">
        <f>HYPERLINK(Table1311[[#This Row],[Column1]])</f>
        <v/>
      </c>
    </row>
    <row r="500" ht="45" customHeight="1" s="290">
      <c r="A500" s="30" t="inlineStr">
        <is>
          <t>Autel MaxiTPMS TS900 + MV108(Worth $49) TPMS Programming Tool 2025 TPMS &amp; Bidirectional Diagnostic Scan Tool, Up of MS906TS MK808S-TS MK900BT MK900TS MX900TS MS906TS MK808S-TS Top TPMS Program/Relearn</t>
        </is>
      </c>
      <c r="B500" s="30" t="inlineStr">
        <is>
          <t>B0992NN7TK</t>
        </is>
      </c>
      <c r="C500" s="30" t="inlineStr">
        <is>
          <t>Tablet</t>
        </is>
      </c>
      <c r="D500" s="324" t="n">
        <v>879</v>
      </c>
      <c r="E500" s="324" t="n">
        <v>1779.53</v>
      </c>
      <c r="F500" s="326" t="n">
        <v>0</v>
      </c>
      <c r="G500" s="55" t="n">
        <v>2</v>
      </c>
      <c r="H500" s="55" t="n">
        <v>0</v>
      </c>
      <c r="I500" s="55" t="n">
        <v>25</v>
      </c>
      <c r="J500" s="56" t="n">
        <v>4.5</v>
      </c>
      <c r="K500" s="56" t="inlineStr">
        <is>
          <t>https://amazon.com/dp/B0992NN7TK</t>
        </is>
      </c>
      <c r="L500" s="70">
        <f>HYPERLINK(Table1311[[#This Row],[Column1]])</f>
        <v/>
      </c>
    </row>
    <row r="501" ht="60" customHeight="1" s="290">
      <c r="A501" s="30" t="inlineStr">
        <is>
          <t>Autel MaxiSys Ultra EV: 2026 UltraEV Intelligent Scanner Level up of MS909EV, Upgrade of MS Ultra/MS919/Elite II with EVDiag Kit, High-Voltage System &amp; Battery Analysis, MaxiFlash VCMI, Topology 2.0</t>
        </is>
      </c>
      <c r="B501" s="30" t="inlineStr">
        <is>
          <t>B0BR5K27H4</t>
        </is>
      </c>
      <c r="C501" s="30" t="inlineStr">
        <is>
          <t>Tablet</t>
        </is>
      </c>
      <c r="D501" s="324" t="n">
        <v>4995</v>
      </c>
      <c r="E501" s="324" t="n">
        <v>0</v>
      </c>
      <c r="F501" s="326" t="n">
        <v>0</v>
      </c>
      <c r="G501" s="55" t="n">
        <v>0</v>
      </c>
      <c r="H501" s="55" t="n">
        <v>0</v>
      </c>
      <c r="I501" s="55" t="n">
        <v>1</v>
      </c>
      <c r="J501" s="56" t="n">
        <v>5</v>
      </c>
      <c r="K501" s="56" t="inlineStr">
        <is>
          <t>https://amazon.com/dp/B0BR5K27H4</t>
        </is>
      </c>
      <c r="L501" s="70">
        <f>HYPERLINK(Table1311[[#This Row],[Column1]])</f>
        <v/>
      </c>
    </row>
    <row r="502" ht="30" customHeight="1" s="290">
      <c r="A502" s="30" t="inlineStr">
        <is>
          <t>Autel MaxiSys MS919 Scanner: 2025 MS919 Same as Ultra Up of MS909 Ultra Lite Elite II Pro, 5 in 1 VCMI, Motor Speed, Topology Map 2.0, J2534, All System Diagnosis, Active Test, 40 Service</t>
        </is>
      </c>
      <c r="B502" s="30" t="inlineStr">
        <is>
          <t>B071R1TND2</t>
        </is>
      </c>
      <c r="C502" s="30" t="inlineStr">
        <is>
          <t>Tablet</t>
        </is>
      </c>
      <c r="D502" s="324" t="n">
        <v>3799</v>
      </c>
      <c r="E502" s="324" t="n">
        <v>6382.28</v>
      </c>
      <c r="F502" s="326" t="n">
        <v>0</v>
      </c>
      <c r="G502" s="55" t="n">
        <v>2</v>
      </c>
      <c r="H502" s="55" t="n">
        <v>0</v>
      </c>
      <c r="I502" s="55" t="n">
        <v>3</v>
      </c>
      <c r="J502" s="56" t="n">
        <v>5</v>
      </c>
      <c r="K502" s="56" t="inlineStr">
        <is>
          <t>https://amazon.com/dp/B071R1TND2</t>
        </is>
      </c>
      <c r="L502" s="70">
        <f>HYPERLINK(Table1311[[#This Row],[Column1]])</f>
        <v/>
      </c>
    </row>
    <row r="503" ht="60" customHeight="1" s="290">
      <c r="A503" s="30" t="inlineStr">
        <is>
          <t>Autel Original BMW-20 Pin Diagnostic Adapter, 20 Pin OBD1 Male to 16 Pin OBD2 Female Connector for BMW 20 Pin, Work with OBD II Scanners OBD2 Diagnostic Tool</t>
        </is>
      </c>
      <c r="B503" s="30" t="inlineStr">
        <is>
          <t>B0D632NLSM</t>
        </is>
      </c>
      <c r="C503" s="30" t="inlineStr">
        <is>
          <t>Cable/Adapter</t>
        </is>
      </c>
      <c r="D503" s="324" t="n">
        <v>19.61133333333333</v>
      </c>
      <c r="E503" s="324" t="n">
        <v>5728.03</v>
      </c>
      <c r="F503" s="326" t="n">
        <v>0</v>
      </c>
      <c r="G503" s="55" t="n">
        <v>286</v>
      </c>
      <c r="H503" s="55" t="n">
        <v>0</v>
      </c>
      <c r="I503" s="55" t="n">
        <v>21</v>
      </c>
      <c r="J503" s="56" t="n">
        <v>4.9</v>
      </c>
      <c r="K503" s="56" t="inlineStr">
        <is>
          <t>https://amazon.com/dp/B0D632NLSM</t>
        </is>
      </c>
      <c r="L503" s="70">
        <f>HYPERLINK(Table1311[[#This Row],[Column1]])</f>
        <v/>
      </c>
    </row>
    <row r="504" ht="60" customHeight="1" s="290">
      <c r="A504" s="30" t="inlineStr">
        <is>
          <t>Autel Scanner MaxiiM KM100E OBD2 Diagnostic Tool, 2026 KM100 OBDII Scan Tool with Lifetime Fre.e Update, OBD-Learn on 95% Car for Home Mechanics &amp; DIY Vehicle Service, Lite Ver.of IM508S IM608 PRO II</t>
        </is>
      </c>
      <c r="B504" s="30" t="inlineStr">
        <is>
          <t>B09DGPBJNT</t>
        </is>
      </c>
      <c r="C504" s="30" t="inlineStr">
        <is>
          <t>Tablet</t>
        </is>
      </c>
      <c r="D504" s="324" t="n">
        <v>524.0421052631579</v>
      </c>
      <c r="E504" s="324" t="n">
        <v>15025.07</v>
      </c>
      <c r="F504" s="326" t="n">
        <v>0</v>
      </c>
      <c r="G504" s="55" t="n">
        <v>29</v>
      </c>
      <c r="H504" s="55" t="n">
        <v>0</v>
      </c>
      <c r="I504" s="55" t="n">
        <v>30</v>
      </c>
      <c r="J504" s="56" t="n">
        <v>4.4</v>
      </c>
      <c r="K504" s="56" t="inlineStr">
        <is>
          <t>https://amazon.com/dp/B09DGPBJNT</t>
        </is>
      </c>
      <c r="L504" s="70">
        <f>HYPERLINK(Table1311[[#This Row],[Column1]])</f>
        <v/>
      </c>
    </row>
    <row r="505" ht="45" customHeight="1" s="290">
      <c r="A505" s="30" t="inlineStr">
        <is>
          <t>Autel - Maxisys Ultra Diagnostic Tablet with Advanced Vcmi (MSULTRA)</t>
        </is>
      </c>
      <c r="B505" s="30" t="inlineStr">
        <is>
          <t>B09WW69LMX</t>
        </is>
      </c>
      <c r="C505" s="30" t="inlineStr">
        <is>
          <t>Tablet</t>
        </is>
      </c>
      <c r="D505" s="324" t="n">
        <v>5125</v>
      </c>
      <c r="E505" s="324" t="n">
        <v>65780.75</v>
      </c>
      <c r="F505" s="326" t="n">
        <v>0</v>
      </c>
      <c r="G505" s="55" t="n">
        <v>16</v>
      </c>
      <c r="H505" s="55" t="n">
        <v>0</v>
      </c>
      <c r="I505" s="55" t="n"/>
      <c r="J505" s="56" t="n"/>
      <c r="K505" s="56" t="inlineStr">
        <is>
          <t>https://amazon.com/dp/B09WW69LMX</t>
        </is>
      </c>
      <c r="L505" s="70">
        <f>HYPERLINK(Table1311[[#This Row],[Column1]])</f>
        <v/>
      </c>
    </row>
    <row r="506" ht="60" customHeight="1" s="290">
      <c r="A506" s="30" t="inlineStr">
        <is>
          <t>2026 Autel Scanner MaxiIM KM100(X), Lifetime Fre.e Update, OBD-Learn for 95% Car, Wireless OBD2 Diagnostic Scan Tool, Lite of IM508S IM608 PRO 2, 2GB &amp; 64GB Android 9.0, for Home Mechanics &amp; DIYers</t>
        </is>
      </c>
      <c r="B506" s="30" t="inlineStr">
        <is>
          <t>B01N59FST0</t>
        </is>
      </c>
      <c r="C506" s="30" t="inlineStr">
        <is>
          <t>Tablet</t>
        </is>
      </c>
      <c r="D506" s="324" t="n">
        <v>534.2557692307693</v>
      </c>
      <c r="E506" s="324" t="n">
        <v>34559.61</v>
      </c>
      <c r="F506" s="326" t="n">
        <v>0</v>
      </c>
      <c r="G506" s="55" t="n">
        <v>65</v>
      </c>
      <c r="H506" s="55" t="n">
        <v>0</v>
      </c>
      <c r="I506" s="55" t="n">
        <v>83</v>
      </c>
      <c r="J506" s="56" t="n">
        <v>4.6</v>
      </c>
      <c r="K506" s="56" t="inlineStr">
        <is>
          <t>https://amazon.com/dp/B01N59FST0</t>
        </is>
      </c>
      <c r="L506" s="70">
        <f>HYPERLINK(Table1311[[#This Row],[Column1]])</f>
        <v/>
      </c>
    </row>
    <row r="507" ht="45" customHeight="1" s="290">
      <c r="A507" s="30" t="inlineStr">
        <is>
          <t>Autel TS6081YRUPDATE MaxiSYS TS608 1 Year Total Care Program Card</t>
        </is>
      </c>
      <c r="B507" s="30" t="inlineStr">
        <is>
          <t>B07JKD7S96</t>
        </is>
      </c>
      <c r="C507" s="30" t="inlineStr">
        <is>
          <t>Other</t>
        </is>
      </c>
      <c r="D507" s="324" t="n">
        <v>255</v>
      </c>
      <c r="E507" s="324" t="n">
        <v>0</v>
      </c>
      <c r="F507" s="326" t="n">
        <v>0</v>
      </c>
      <c r="G507" s="55" t="n">
        <v>0</v>
      </c>
      <c r="H507" s="55" t="n">
        <v>0</v>
      </c>
      <c r="I507" s="55" t="n"/>
      <c r="J507" s="56" t="n"/>
      <c r="K507" s="56" t="inlineStr">
        <is>
          <t>https://amazon.com/dp/B07JKD7S96</t>
        </is>
      </c>
      <c r="L507" s="70">
        <f>HYPERLINK(Table1311[[#This Row],[Column1]])</f>
        <v/>
      </c>
    </row>
    <row r="508" ht="45" customHeight="1" s="290">
      <c r="A508" s="30" t="inlineStr">
        <is>
          <t>MaxiIM IM608PROIIKPA Key Programming Tablet Bundle</t>
        </is>
      </c>
      <c r="B508" s="30" t="inlineStr">
        <is>
          <t>B0C6CSB7SJ</t>
        </is>
      </c>
      <c r="C508" s="30" t="inlineStr">
        <is>
          <t>Key</t>
        </is>
      </c>
      <c r="D508" s="324" t="n">
        <v>4184.64</v>
      </c>
      <c r="E508" s="324" t="n">
        <v>0</v>
      </c>
      <c r="F508" s="326" t="n">
        <v>0</v>
      </c>
      <c r="G508" s="55" t="n">
        <v>0</v>
      </c>
      <c r="H508" s="55" t="n">
        <v>0</v>
      </c>
      <c r="I508" s="55" t="n"/>
      <c r="J508" s="56" t="n"/>
      <c r="K508" s="56" t="inlineStr">
        <is>
          <t>https://amazon.com/dp/B0C6CSB7SJ</t>
        </is>
      </c>
      <c r="L508" s="70">
        <f>HYPERLINK(Table1311[[#This Row],[Column1]])</f>
        <v/>
      </c>
    </row>
    <row r="509" ht="45" customHeight="1" s="290">
      <c r="A509" s="30" t="inlineStr">
        <is>
          <t>Autel AL609P Pro Service Tool, 1 Pack</t>
        </is>
      </c>
      <c r="B509" s="30" t="inlineStr">
        <is>
          <t>B075LFYTYQ</t>
        </is>
      </c>
      <c r="C509" s="30" t="inlineStr">
        <is>
          <t>Handheld</t>
        </is>
      </c>
      <c r="D509" s="324" t="n">
        <v>129.94</v>
      </c>
      <c r="E509" s="324" t="n">
        <v>163.11</v>
      </c>
      <c r="F509" s="326" t="n">
        <v>0</v>
      </c>
      <c r="G509" s="55" t="n">
        <v>1</v>
      </c>
      <c r="H509" s="55" t="n">
        <v>0</v>
      </c>
      <c r="I509" s="55" t="n">
        <v>8</v>
      </c>
      <c r="J509" s="56" t="n">
        <v>3.2</v>
      </c>
      <c r="K509" s="56" t="inlineStr">
        <is>
          <t>https://amazon.com/dp/B075LFYTYQ</t>
        </is>
      </c>
      <c r="L509" s="70">
        <f>HYPERLINK(Table1311[[#This Row],[Column1]])</f>
        <v/>
      </c>
    </row>
    <row r="510" ht="30" customHeight="1" s="290">
      <c r="A510" s="30" t="inlineStr">
        <is>
          <t>Autel MaxiTPMS TS900 Kit(4PCS MX Sensors Valued $120) TPMS Programming Tool Scanner All System Diagnosis Full TPMS 40+Services CAN FD/DoIP Compatible 315/433/434MHz Autel Sensors</t>
        </is>
      </c>
      <c r="B510" s="30" t="inlineStr">
        <is>
          <t>B0CP25139M</t>
        </is>
      </c>
      <c r="C510" s="30" t="inlineStr">
        <is>
          <t>Tablet</t>
        </is>
      </c>
      <c r="D510" s="324" t="n">
        <v>920</v>
      </c>
      <c r="E510" s="324" t="n">
        <v>0</v>
      </c>
      <c r="F510" s="326" t="n">
        <v>0</v>
      </c>
      <c r="G510" s="55" t="n">
        <v>0</v>
      </c>
      <c r="H510" s="55" t="n">
        <v>0</v>
      </c>
      <c r="I510" s="55" t="n">
        <v>3</v>
      </c>
      <c r="J510" s="56" t="n">
        <v>5</v>
      </c>
      <c r="K510" s="56" t="inlineStr">
        <is>
          <t>https://amazon.com/dp/B0CP25139M</t>
        </is>
      </c>
      <c r="L510" s="70">
        <f>HYPERLINK(Table1311[[#This Row],[Column1]])</f>
        <v/>
      </c>
    </row>
    <row r="511" ht="45" customHeight="1" s="290">
      <c r="A511" s="30" t="inlineStr">
        <is>
          <t>Autel MaxiIM KM100E Programmer Diagnostic Programming Tool Free Lifetime Update Lite of IM508S IM608 PRO II Built in APB112 OBD Learning On 95% Car Auto VIN &amp; Scan VIN/License WiFi Connection</t>
        </is>
      </c>
      <c r="B511" s="30" t="inlineStr">
        <is>
          <t>B0F74NKX46</t>
        </is>
      </c>
      <c r="C511" s="30" t="inlineStr">
        <is>
          <t>Tablet</t>
        </is>
      </c>
      <c r="D511" s="324" t="n">
        <v>533.511797752809</v>
      </c>
      <c r="E511" s="324" t="n">
        <v>93598.24000000001</v>
      </c>
      <c r="F511" s="326" t="n">
        <v>0</v>
      </c>
      <c r="G511" s="55" t="n">
        <v>174</v>
      </c>
      <c r="H511" s="55" t="n">
        <v>0</v>
      </c>
      <c r="I511" s="55" t="n">
        <v>9</v>
      </c>
      <c r="J511" s="56" t="n">
        <v>4.7</v>
      </c>
      <c r="K511" s="56" t="inlineStr">
        <is>
          <t>https://amazon.com/dp/B0F74NKX46</t>
        </is>
      </c>
      <c r="L511" s="70">
        <f>HYPERLINK(Table1311[[#This Row],[Column1]])</f>
        <v/>
      </c>
    </row>
    <row r="512" ht="45" customHeight="1" s="290">
      <c r="A512" s="30" t="inlineStr">
        <is>
          <t>Autel 20 Pin to 16 Pin OBD2 Cable for BMW, OBD1 to OBD2 Diagnostic Adapter Extension Convert Connector, OE-Quality, Work w/OBDII Scanners</t>
        </is>
      </c>
      <c r="B512" s="30" t="inlineStr">
        <is>
          <t>B0DBZLD6SZ</t>
        </is>
      </c>
      <c r="C512" s="30" t="inlineStr">
        <is>
          <t>Cable/Adapter</t>
        </is>
      </c>
      <c r="D512" s="324" t="n">
        <v>20.07581395348837</v>
      </c>
      <c r="E512" s="324" t="n">
        <v>16781.03</v>
      </c>
      <c r="F512" s="326" t="n">
        <v>0</v>
      </c>
      <c r="G512" s="55" t="n">
        <v>840</v>
      </c>
      <c r="H512" s="55" t="n">
        <v>0</v>
      </c>
      <c r="I512" s="55" t="n">
        <v>31</v>
      </c>
      <c r="J512" s="56" t="n">
        <v>4.4</v>
      </c>
      <c r="K512" s="56" t="inlineStr">
        <is>
          <t>https://amazon.com/dp/B0DBZLD6SZ</t>
        </is>
      </c>
      <c r="L512" s="70">
        <f>HYPERLINK(Table1311[[#This Row],[Column1]])</f>
        <v/>
      </c>
    </row>
    <row r="513" ht="45" customHeight="1" s="290">
      <c r="A513" s="30" t="inlineStr">
        <is>
          <t>Autel MaxiSYS VCI100 Compact Bluetooth, Maxivci V100 Wireless Diagnostic Interface, Vehicle Communication Interface, OBD2 Connector Adapter Dongle, Compatible for MS906BT MK906BT</t>
        </is>
      </c>
      <c r="B513" s="30" t="inlineStr">
        <is>
          <t>B09D3SHFKS</t>
        </is>
      </c>
      <c r="C513" s="30" t="inlineStr">
        <is>
          <t>Dongle</t>
        </is>
      </c>
      <c r="D513" s="324" t="n">
        <v>202.8508695652174</v>
      </c>
      <c r="E513" s="324" t="n">
        <v>53741.56</v>
      </c>
      <c r="F513" s="326" t="n">
        <v>0</v>
      </c>
      <c r="G513" s="55" t="n">
        <v>275</v>
      </c>
      <c r="H513" s="55" t="n">
        <v>0</v>
      </c>
      <c r="I513" s="55" t="n">
        <v>55</v>
      </c>
      <c r="J513" s="56" t="n">
        <v>4.6</v>
      </c>
      <c r="K513" s="56" t="inlineStr">
        <is>
          <t>https://amazon.com/dp/B09D3SHFKS</t>
        </is>
      </c>
      <c r="L513" s="70">
        <f>HYPERLINK(Table1311[[#This Row],[Column1]])</f>
        <v/>
      </c>
    </row>
    <row r="514" ht="60" customHeight="1" s="290">
      <c r="A514" s="30" t="inlineStr">
        <is>
          <t>Autel Maxi-IM KM100(E) Diagnostic Scan Tool, 2026 OBDII Scanner for 90% Vehicles, Lifetime Fre.e Update, 10X Faster Hardware Android 9.0 for Home Mechanics &amp; DIYers</t>
        </is>
      </c>
      <c r="B514" s="30" t="inlineStr">
        <is>
          <t>B0F7M7XGJF</t>
        </is>
      </c>
      <c r="C514" s="30" t="inlineStr">
        <is>
          <t>Handheld</t>
        </is>
      </c>
      <c r="D514" s="324" t="n">
        <v>511.8345454545455</v>
      </c>
      <c r="E514" s="324" t="n">
        <v>54773.57</v>
      </c>
      <c r="F514" s="326" t="n">
        <v>0</v>
      </c>
      <c r="G514" s="55" t="n">
        <v>104</v>
      </c>
      <c r="H514" s="55" t="n">
        <v>0</v>
      </c>
      <c r="I514" s="55" t="n">
        <v>12</v>
      </c>
      <c r="J514" s="56" t="n">
        <v>4.4</v>
      </c>
      <c r="K514" s="56" t="inlineStr">
        <is>
          <t>https://amazon.com/dp/B0F7M7XGJF</t>
        </is>
      </c>
      <c r="L514" s="70">
        <f>HYPERLINK(Table1311[[#This Row],[Column1]])</f>
        <v/>
      </c>
    </row>
    <row r="515" ht="60" customHeight="1" s="290">
      <c r="A515" s="30" t="inlineStr">
        <is>
          <t>Autel OBD2 Scanner MaxiScan MS309 Car Check Engine Code Reader, Check Emission Monitor Status, Newer CAN Diagnostic Scan Tool for All OBD II Protocol Vehicles After 1996</t>
        </is>
      </c>
      <c r="B515" s="30" t="inlineStr">
        <is>
          <t>B07VDKGK4T</t>
        </is>
      </c>
      <c r="C515" s="30" t="inlineStr">
        <is>
          <t>Handheld</t>
        </is>
      </c>
      <c r="D515" s="324" t="n">
        <v>23.0515</v>
      </c>
      <c r="E515" s="324" t="n">
        <v>6464.540000000001</v>
      </c>
      <c r="F515" s="326" t="n">
        <v>0</v>
      </c>
      <c r="G515" s="55" t="n">
        <v>283</v>
      </c>
      <c r="H515" s="55" t="n">
        <v>0</v>
      </c>
      <c r="I515" s="55" t="n">
        <v>713</v>
      </c>
      <c r="J515" s="56" t="n">
        <v>4.6</v>
      </c>
      <c r="K515" s="56" t="inlineStr">
        <is>
          <t>https://amazon.com/dp/B07VDKGK4T</t>
        </is>
      </c>
      <c r="L515" s="70">
        <f>HYPERLINK(Table1311[[#This Row],[Column1]])</f>
        <v/>
      </c>
    </row>
    <row r="516" ht="30" customHeight="1" s="290">
      <c r="A516" s="30" t="inlineStr">
        <is>
          <t>Autel MaxiScan MS300 Car OBD2 Scanner Code Reader Engine Fault Code Reader Scanner CAN Diagnostic Scan Tool for All OBD II Protocol Cars Since 1996, Red</t>
        </is>
      </c>
      <c r="B516" s="30" t="inlineStr">
        <is>
          <t>B01LTI9EZ8</t>
        </is>
      </c>
      <c r="C516" s="30" t="inlineStr">
        <is>
          <t>Handheld</t>
        </is>
      </c>
      <c r="D516" s="324" t="n">
        <v>20.42333333333333</v>
      </c>
      <c r="E516" s="324" t="n">
        <v>3195.63</v>
      </c>
      <c r="F516" s="326" t="n">
        <v>0</v>
      </c>
      <c r="G516" s="55" t="n">
        <v>159</v>
      </c>
      <c r="H516" s="55" t="n">
        <v>0</v>
      </c>
      <c r="I516" s="55" t="n">
        <v>246</v>
      </c>
      <c r="J516" s="56" t="n">
        <v>4.3</v>
      </c>
      <c r="K516" s="56" t="inlineStr">
        <is>
          <t>https://amazon.com/dp/B01LTI9EZ8</t>
        </is>
      </c>
      <c r="L516" s="70">
        <f>HYPERLINK(Table1311[[#This Row],[Column1]])</f>
        <v/>
      </c>
    </row>
    <row r="517" ht="45" customHeight="1" s="290">
      <c r="A517" s="30" t="inlineStr">
        <is>
          <t>Autel Scanner MaxiIM KM100 OBD2 Diagnostic Scan Tool, Lifetime Free Update 2026 OBD Learning for 95% Vehicles Covered, 10+ Service, 2+64G, 10X Fast Hardware, No IP Limit</t>
        </is>
      </c>
      <c r="B517" s="30" t="inlineStr">
        <is>
          <t>B0FXDM2MHW</t>
        </is>
      </c>
      <c r="C517" s="30" t="inlineStr">
        <is>
          <t>Tablet</t>
        </is>
      </c>
      <c r="D517" s="324" t="n">
        <v>544.7123076923077</v>
      </c>
      <c r="E517" s="324" t="n">
        <v>14518.85</v>
      </c>
      <c r="F517" s="326" t="n">
        <v>0</v>
      </c>
      <c r="G517" s="55" t="n">
        <v>27</v>
      </c>
      <c r="H517" s="55" t="n">
        <v>0</v>
      </c>
      <c r="I517" s="55" t="n">
        <v>5</v>
      </c>
      <c r="J517" s="56" t="n">
        <v>5</v>
      </c>
      <c r="K517" s="56" t="inlineStr">
        <is>
          <t>https://amazon.com/dp/B0FXDM2MHW</t>
        </is>
      </c>
      <c r="L517" s="70">
        <f>HYPERLINK(Table1311[[#This Row],[Column1]])</f>
        <v/>
      </c>
    </row>
    <row r="518" ht="30" customHeight="1" s="290">
      <c r="A518" s="30" t="inlineStr">
        <is>
          <t>Autel Scanner MaxiiM KM100 OBD2 Diagnostic Tool, 2026 KM100E OBDII Scan Tool with Lifetime Free Updates, OBD-Learn on 95% Car, 2GB &amp; 64GB Android 9.0, for Home Mechanics &amp; DIYers</t>
        </is>
      </c>
      <c r="B518" s="30" t="inlineStr">
        <is>
          <t>B0FX9QY4JQ</t>
        </is>
      </c>
      <c r="C518" s="30" t="inlineStr">
        <is>
          <t>Tablet</t>
        </is>
      </c>
      <c r="D518" s="324" t="n">
        <v>516.24</v>
      </c>
      <c r="E518" s="324" t="n">
        <v>11964.59</v>
      </c>
      <c r="F518" s="326" t="n">
        <v>0</v>
      </c>
      <c r="G518" s="55" t="n">
        <v>23</v>
      </c>
      <c r="H518" s="55" t="n">
        <v>0</v>
      </c>
      <c r="I518" s="55" t="n">
        <v>3</v>
      </c>
      <c r="J518" s="56" t="n">
        <v>5</v>
      </c>
      <c r="K518" s="56" t="inlineStr">
        <is>
          <t>https://amazon.com/dp/B0FX9QY4JQ</t>
        </is>
      </c>
      <c r="L518" s="70">
        <f>HYPERLINK(Table1311[[#This Row],[Column1]])</f>
        <v/>
      </c>
    </row>
    <row r="519" ht="45" customHeight="1" s="290">
      <c r="A519" s="30" t="inlineStr">
        <is>
          <t>Autel AutoLink AL329 OBD2 Scanner, Upgrade of AL319 &amp; MS309 Code Reader, OBDII Reader with Auto VIN, Live Data, DTC Lookup, Emission Monitor Test, I/M Readiness Smog Check CAN Diagnostic Scan Tool</t>
        </is>
      </c>
      <c r="B519" s="30" t="inlineStr">
        <is>
          <t>B0C3BZSPT9</t>
        </is>
      </c>
      <c r="C519" s="30" t="inlineStr">
        <is>
          <t>Handheld</t>
        </is>
      </c>
      <c r="D519" s="324" t="n">
        <v>48.95692307692308</v>
      </c>
      <c r="E519" s="324" t="n">
        <v>17426.06</v>
      </c>
      <c r="F519" s="326" t="n">
        <v>0</v>
      </c>
      <c r="G519" s="55" t="n">
        <v>394</v>
      </c>
      <c r="H519" s="55" t="n">
        <v>0</v>
      </c>
      <c r="I519" s="55" t="n">
        <v>321</v>
      </c>
      <c r="J519" s="56" t="n">
        <v>4.5</v>
      </c>
      <c r="K519" s="56" t="inlineStr">
        <is>
          <t>https://amazon.com/dp/B0C3BZSPT9</t>
        </is>
      </c>
      <c r="L519" s="70">
        <f>HYPERLINK(Table1311[[#This Row],[Column1]])</f>
        <v/>
      </c>
    </row>
    <row r="520" ht="45" customHeight="1" s="290">
      <c r="A520" s="30" t="inlineStr">
        <is>
          <t>Autel OBD2 12+8 Adapter for Chrysler: OBD II Bypa3s FCA SGW Cable for 2018+ Chrysler, Dodge, Je*p, Fiat, or Alfa R0meo SGW Cars, Work w/All Scanners MK808S MK900BT MX900 MS906 Pro Elite II Pro KM100</t>
        </is>
      </c>
      <c r="B520" s="30" t="inlineStr">
        <is>
          <t>B0FQPHDQSH</t>
        </is>
      </c>
      <c r="C520" s="30" t="inlineStr">
        <is>
          <t>Cable/Adapter</t>
        </is>
      </c>
      <c r="D520" s="324" t="n">
        <v>26.170625</v>
      </c>
      <c r="E520" s="324" t="n">
        <v>1385.7</v>
      </c>
      <c r="F520" s="326" t="n">
        <v>0</v>
      </c>
      <c r="G520" s="55" t="n">
        <v>53</v>
      </c>
      <c r="H520" s="55" t="n">
        <v>0</v>
      </c>
      <c r="I520" s="55" t="n">
        <v>12</v>
      </c>
      <c r="J520" s="56" t="n">
        <v>4.5</v>
      </c>
      <c r="K520" s="56" t="inlineStr">
        <is>
          <t>https://amazon.com/dp/B0FQPHDQSH</t>
        </is>
      </c>
      <c r="L520" s="70">
        <f>HYPERLINK(Table1311[[#This Row],[Column1]])</f>
        <v/>
      </c>
    </row>
    <row r="521" ht="45" customHeight="1" s="290">
      <c r="A521" s="30" t="inlineStr">
        <is>
          <t>Autel MaxiCheck MX900 with MV108 Bidirectional OBD2 Scanner Updated of MK900 MK808 MK808S MK808BT Android 11, 40+ Service Functions 8 inch All System Diagnostics Scan Tool</t>
        </is>
      </c>
      <c r="B521" s="30" t="inlineStr">
        <is>
          <t>B0CZ314PLQ</t>
        </is>
      </c>
      <c r="C521" s="30" t="inlineStr">
        <is>
          <t>Tablet</t>
        </is>
      </c>
      <c r="D521" s="324" t="n">
        <v>589</v>
      </c>
      <c r="E521" s="324" t="n">
        <v>4613.81</v>
      </c>
      <c r="F521" s="326" t="n">
        <v>0</v>
      </c>
      <c r="G521" s="55" t="n">
        <v>8</v>
      </c>
      <c r="H521" s="55" t="n">
        <v>0</v>
      </c>
      <c r="I521" s="55" t="n">
        <v>4</v>
      </c>
      <c r="J521" s="56" t="n">
        <v>5</v>
      </c>
      <c r="K521" s="56" t="inlineStr">
        <is>
          <t>https://amazon.com/dp/B0CZ314PLQ</t>
        </is>
      </c>
      <c r="L521" s="70">
        <f>HYPERLINK(Table1311[[#This Row],[Column1]])</f>
        <v/>
      </c>
    </row>
    <row r="522" ht="45" customHeight="1" s="290">
      <c r="A522" s="30" t="inlineStr">
        <is>
          <t>Autel Maxi-IM KM100(E) Diagnostic Tool, 2026 Car Scanner lite Ver.of IM508S IM608 PRO 2, Lifetime Free Updates,V200 Wireless BT Connection, 10X Faster Hardware, for Home Mechanics &amp; DIYers</t>
        </is>
      </c>
      <c r="B522" s="30" t="inlineStr">
        <is>
          <t>B0FMK83KGN</t>
        </is>
      </c>
      <c r="C522" s="30" t="inlineStr">
        <is>
          <t>Dongle</t>
        </is>
      </c>
      <c r="D522" s="324" t="n">
        <v>533.9461290322581</v>
      </c>
      <c r="E522" s="324" t="n">
        <v>51146.79</v>
      </c>
      <c r="F522" s="326" t="n">
        <v>0</v>
      </c>
      <c r="G522" s="55" t="n">
        <v>95</v>
      </c>
      <c r="H522" s="55" t="n">
        <v>0</v>
      </c>
      <c r="I522" s="55" t="n">
        <v>10</v>
      </c>
      <c r="J522" s="56" t="n">
        <v>4.4</v>
      </c>
      <c r="K522" s="56" t="inlineStr">
        <is>
          <t>https://amazon.com/dp/B0FMK83KGN</t>
        </is>
      </c>
      <c r="L522" s="70">
        <f>HYPERLINK(Table1311[[#This Row],[Column1]])</f>
        <v/>
      </c>
    </row>
    <row r="523" ht="45" customHeight="1" s="290">
      <c r="A523" s="30" t="inlineStr">
        <is>
          <t>2026 Autel MaxiDiag MD909 PRO OBD2 Scanner, MD909PRO Full Systems OBDII Diagnostic Tool, Wireless CAN FD Up of MaxiCOM MK808S MK808 MX808S, V2.0 of MD906PRO, 11 Services, Lifetime Free Updates, FCA</t>
        </is>
      </c>
      <c r="B523" s="30" t="inlineStr">
        <is>
          <t>B0FMRMXB7F</t>
        </is>
      </c>
      <c r="C523" s="30" t="inlineStr">
        <is>
          <t>Tablet</t>
        </is>
      </c>
      <c r="D523" s="324" t="n">
        <v>326.485</v>
      </c>
      <c r="E523" s="324" t="n">
        <v>14828.12</v>
      </c>
      <c r="F523" s="326" t="n">
        <v>0</v>
      </c>
      <c r="G523" s="55" t="n">
        <v>45</v>
      </c>
      <c r="H523" s="55" t="n">
        <v>0</v>
      </c>
      <c r="I523" s="55" t="n">
        <v>3</v>
      </c>
      <c r="J523" s="56" t="n">
        <v>3.8</v>
      </c>
      <c r="K523" s="56" t="inlineStr">
        <is>
          <t>https://amazon.com/dp/B0FMRMXB7F</t>
        </is>
      </c>
      <c r="L523" s="70">
        <f>HYPERLINK(Table1311[[#This Row],[Column1]])</f>
        <v/>
      </c>
    </row>
    <row r="524" ht="45" customHeight="1" s="290">
      <c r="A524" s="30" t="inlineStr">
        <is>
          <t>Autel Original OBD2 Diagnostic Adapter Compatible with BMW Motorcycles Year 1996 to 2016, 10Pin Connector to 16 Pin OBD II Female Cable, Work with Scan Tool and Code Reader</t>
        </is>
      </c>
      <c r="B524" s="30" t="inlineStr">
        <is>
          <t>B0DC6526D8</t>
        </is>
      </c>
      <c r="C524" s="30" t="inlineStr">
        <is>
          <t>Cable/Adapter</t>
        </is>
      </c>
      <c r="D524" s="324" t="n">
        <v>20.14473684210526</v>
      </c>
      <c r="E524" s="324" t="n">
        <v>4733.320000000001</v>
      </c>
      <c r="F524" s="326" t="n">
        <v>0</v>
      </c>
      <c r="G524" s="55" t="n">
        <v>236</v>
      </c>
      <c r="H524" s="55" t="n">
        <v>0</v>
      </c>
      <c r="I524" s="55" t="n">
        <v>19</v>
      </c>
      <c r="J524" s="56" t="n">
        <v>4.7</v>
      </c>
      <c r="K524" s="56" t="inlineStr">
        <is>
          <t>https://amazon.com/dp/B0DC6526D8</t>
        </is>
      </c>
      <c r="L524" s="70">
        <f>HYPERLINK(Table1311[[#This Row],[Column1]])</f>
        <v/>
      </c>
    </row>
    <row r="525" ht="30" customHeight="1" s="290">
      <c r="A525" s="30" t="inlineStr">
        <is>
          <t>Autel MaxiVCI V200 VCI200 Wireless OBD2 Connector Adapter, VCI 200 OBD2 Diagnostic Dongle, Work w/MaxiSys Scanner MS906 PRO MS906MAX MS906 PRO-TS KM100 BT608 BT609 ITS600 MK906 PRO TS</t>
        </is>
      </c>
      <c r="B525" s="30" t="inlineStr">
        <is>
          <t>B0FHLVKQ7J</t>
        </is>
      </c>
      <c r="C525" s="30" t="inlineStr">
        <is>
          <t>Dongle</t>
        </is>
      </c>
      <c r="D525" s="324" t="n">
        <v>231.245</v>
      </c>
      <c r="E525" s="324" t="n">
        <v>9377.84</v>
      </c>
      <c r="F525" s="326" t="n">
        <v>0</v>
      </c>
      <c r="G525" s="55" t="n">
        <v>42</v>
      </c>
      <c r="H525" s="55" t="n">
        <v>0</v>
      </c>
      <c r="I525" s="55" t="n">
        <v>8</v>
      </c>
      <c r="J525" s="56" t="n">
        <v>4.8</v>
      </c>
      <c r="K525" s="56" t="inlineStr">
        <is>
          <t>https://amazon.com/dp/B0FHLVKQ7J</t>
        </is>
      </c>
      <c r="L525" s="70">
        <f>HYPERLINK(Table1311[[#This Row],[Column1]])</f>
        <v/>
      </c>
    </row>
    <row r="526" ht="30" customHeight="1" s="290">
      <c r="A526" s="30" t="inlineStr">
        <is>
          <t>Autel MaxiCOM MK906 PRO 2026 Scanner, Same as MS906PRO Diagnostic Scan Tool, Upgade of MS906BT / MP900-BT, 3000+ Test, 40+ Services, FCA AutoAuth, AutoVIN, Guided Functions</t>
        </is>
      </c>
      <c r="B526" s="30" t="inlineStr">
        <is>
          <t>B09M48KH2B</t>
        </is>
      </c>
      <c r="C526" s="30" t="inlineStr">
        <is>
          <t>Tablet</t>
        </is>
      </c>
      <c r="D526" s="324" t="n">
        <v>1369</v>
      </c>
      <c r="E526" s="324" t="n">
        <v>7253.49</v>
      </c>
      <c r="F526" s="326" t="n">
        <v>0</v>
      </c>
      <c r="G526" s="55" t="n">
        <v>7</v>
      </c>
      <c r="H526" s="55" t="n">
        <v>0</v>
      </c>
      <c r="I526" s="55" t="n">
        <v>15</v>
      </c>
      <c r="J526" s="56" t="n">
        <v>4.5</v>
      </c>
      <c r="K526" s="56" t="inlineStr">
        <is>
          <t>https://amazon.com/dp/B09M48KH2B</t>
        </is>
      </c>
      <c r="L526" s="70">
        <f>HYPERLINK(Table1311[[#This Row],[Column1]])</f>
        <v/>
      </c>
    </row>
    <row r="527" ht="45" customHeight="1" s="290">
      <c r="A527" s="30" t="inlineStr">
        <is>
          <t>Autel Scanner MaxiSYS Ultra S2, 2026 UltraS2 AI Intelligent Scan Tool Up of MS919 S2 MS909S2 Ultra EV MSUltra, 6IN1 VCMI2, Topology 3.0 PID Analysis Multi-Point DVI, Motor TruSpeed EV Test 48 Reset</t>
        </is>
      </c>
      <c r="B527" s="30" t="inlineStr">
        <is>
          <t>B0F37T6R92</t>
        </is>
      </c>
      <c r="C527" s="30" t="inlineStr">
        <is>
          <t>Tablet</t>
        </is>
      </c>
      <c r="D527" s="324" t="n">
        <v>5681</v>
      </c>
      <c r="E527" s="324" t="n">
        <v>170632.22</v>
      </c>
      <c r="F527" s="326" t="n">
        <v>0</v>
      </c>
      <c r="G527" s="55" t="n">
        <v>29</v>
      </c>
      <c r="H527" s="55" t="n">
        <v>0</v>
      </c>
      <c r="I527" s="55" t="n">
        <v>2</v>
      </c>
      <c r="J527" s="56" t="n">
        <v>5</v>
      </c>
      <c r="K527" s="56" t="inlineStr">
        <is>
          <t>https://amazon.com/dp/B0F37T6R92</t>
        </is>
      </c>
      <c r="L527" s="70">
        <f>HYPERLINK(Table1311[[#This Row],[Column1]])</f>
        <v/>
      </c>
    </row>
    <row r="528" ht="45" customHeight="1" s="290">
      <c r="A528" s="30" t="inlineStr">
        <is>
          <t>Autel MaxiTPMS TS508WFK-4 TS508WF with 4pcs MX Sensor + 4pcs Metal Valves Upgrade of TS508K TS508 Read Activate Relearn All Known Sensors Detect &amp; Display TPMS System Faults Perform OBDII Relearns</t>
        </is>
      </c>
      <c r="B528" s="30" t="inlineStr">
        <is>
          <t>B0DB188CHQ</t>
        </is>
      </c>
      <c r="C528" s="30" t="inlineStr">
        <is>
          <t>Handheld</t>
        </is>
      </c>
      <c r="D528" s="324" t="n">
        <v>348</v>
      </c>
      <c r="E528" s="324" t="n">
        <v>164.06</v>
      </c>
      <c r="F528" s="326" t="n">
        <v>0</v>
      </c>
      <c r="G528" s="55" t="n">
        <v>1</v>
      </c>
      <c r="H528" s="55" t="n">
        <v>0</v>
      </c>
      <c r="I528" s="55" t="n">
        <v>3</v>
      </c>
      <c r="J528" s="56" t="n">
        <v>5</v>
      </c>
      <c r="K528" s="56" t="inlineStr">
        <is>
          <t>https://amazon.com/dp/B0DB188CHQ</t>
        </is>
      </c>
      <c r="L528" s="70">
        <f>HYPERLINK(Table1311[[#This Row],[Column1]])</f>
        <v/>
      </c>
    </row>
    <row r="529" ht="45" customHeight="1" s="290">
      <c r="A529" s="30" t="inlineStr">
        <is>
          <t>Autel Scanner MaxiDiag MD906 PRO, 2026 MD906PRO OBD2 Automotive Diagnostic Tool for Full System Same as MD909 PRO, Lite Ver. of MaxiCOM MK808S MK808S, CAN FD OBDII Scanner for All Car, 11 Services FCA</t>
        </is>
      </c>
      <c r="B529" s="30" t="inlineStr">
        <is>
          <t>B0FG78RPS2</t>
        </is>
      </c>
      <c r="C529" s="30" t="inlineStr">
        <is>
          <t>Tablet</t>
        </is>
      </c>
      <c r="D529" s="324" t="n">
        <v>279</v>
      </c>
      <c r="E529" s="324" t="n">
        <v>31067.09</v>
      </c>
      <c r="F529" s="326" t="n">
        <v>0</v>
      </c>
      <c r="G529" s="55" t="n">
        <v>106</v>
      </c>
      <c r="H529" s="55" t="n">
        <v>0</v>
      </c>
      <c r="I529" s="55" t="n">
        <v>32</v>
      </c>
      <c r="J529" s="56" t="n">
        <v>4.6</v>
      </c>
      <c r="K529" s="56" t="inlineStr">
        <is>
          <t>https://amazon.com/dp/B0FG78RPS2</t>
        </is>
      </c>
      <c r="L529" s="70">
        <f>HYPERLINK(Table1311[[#This Row],[Column1]])</f>
        <v/>
      </c>
    </row>
    <row r="530" ht="30" customHeight="1" s="290">
      <c r="A530" s="30" t="inlineStr">
        <is>
          <t>Autel XLink J2534 Pass-Thru Programmer, Expert-Driven Remote Car Diagnostic Tool, Enhanced VCI, Supports DoIP/CAN/CAN FD/D-PDU/J2534/RP1210, Work with PC/Autel MS909 MS919 Ultra/Smart Phone</t>
        </is>
      </c>
      <c r="B530" s="30" t="inlineStr">
        <is>
          <t>B0F2MJJPHS</t>
        </is>
      </c>
      <c r="C530" s="30" t="inlineStr">
        <is>
          <t>VCI</t>
        </is>
      </c>
      <c r="D530" s="324" t="n">
        <v>1295</v>
      </c>
      <c r="E530" s="324" t="n">
        <v>27537.07</v>
      </c>
      <c r="F530" s="326" t="n">
        <v>0</v>
      </c>
      <c r="G530" s="55" t="n">
        <v>22</v>
      </c>
      <c r="H530" s="55" t="n">
        <v>0</v>
      </c>
      <c r="I530" s="55" t="n">
        <v>1</v>
      </c>
      <c r="J530" s="56" t="n">
        <v>5</v>
      </c>
      <c r="K530" s="56" t="inlineStr">
        <is>
          <t>https://amazon.com/dp/B0F2MJJPHS</t>
        </is>
      </c>
      <c r="L530" s="70">
        <f>HYPERLINK(Table1311[[#This Row],[Column1]])</f>
        <v/>
      </c>
    </row>
    <row r="531" ht="30" customHeight="1" s="290">
      <c r="A531" s="30" t="inlineStr">
        <is>
          <t>2026 Autel Scanner MaxiDiag MD909 PRO, MD909PRO Full Systems OBDII Car Diagnostic Tool, Wireless CAN FD Up of MaxiCOM MK808S MK808 MX808S, V2.0 of MD906PRO, 11 Services, Lifetime Free Updates, FCA</t>
        </is>
      </c>
      <c r="B531" s="30" t="inlineStr">
        <is>
          <t>B0GTKPN1VG</t>
        </is>
      </c>
      <c r="C531" s="30" t="inlineStr">
        <is>
          <t>Tablet</t>
        </is>
      </c>
      <c r="D531" s="324" t="n">
        <v>329</v>
      </c>
      <c r="E531" s="324" t="n">
        <v>0</v>
      </c>
      <c r="F531" s="326" t="n">
        <v>0</v>
      </c>
      <c r="G531" s="55" t="n">
        <v>0</v>
      </c>
      <c r="H531" s="55" t="n">
        <v>0</v>
      </c>
      <c r="I531" s="55" t="n"/>
      <c r="J531" s="56" t="n"/>
      <c r="K531" s="56" t="inlineStr">
        <is>
          <t>https://amazon.com/dp/B0GTKPN1VG</t>
        </is>
      </c>
      <c r="L531" s="70">
        <f>HYPERLINK(Table1311[[#This Row],[Column1]])</f>
        <v/>
      </c>
    </row>
    <row r="532" ht="45" customHeight="1" s="290">
      <c r="A532" s="30" t="inlineStr">
        <is>
          <t>Autel MaxiCheck MX900 Scanner w/ MV108S - Up of MK808BT MX808S MX900 MK900 All System Diagnostic Scan Tool, 40+ Services, 3000+ Active Test, DoIP&amp;CAN FD, Auto VIN, Cloud Report</t>
        </is>
      </c>
      <c r="B532" s="30" t="inlineStr">
        <is>
          <t>B0CRQY8QBY</t>
        </is>
      </c>
      <c r="C532" s="30" t="inlineStr">
        <is>
          <t>Tablet</t>
        </is>
      </c>
      <c r="D532" s="324" t="n">
        <v>589</v>
      </c>
      <c r="E532" s="324" t="n">
        <v>20301.56</v>
      </c>
      <c r="F532" s="326" t="n">
        <v>0</v>
      </c>
      <c r="G532" s="55" t="n">
        <v>35</v>
      </c>
      <c r="H532" s="55" t="n">
        <v>0</v>
      </c>
      <c r="I532" s="55" t="n">
        <v>18</v>
      </c>
      <c r="J532" s="56" t="n">
        <v>4.4</v>
      </c>
      <c r="K532" s="56" t="inlineStr">
        <is>
          <t>https://amazon.com/dp/B0CRQY8QBY</t>
        </is>
      </c>
      <c r="L532" s="70">
        <f>HYPERLINK(Table1311[[#This Row],[Column1]])</f>
        <v/>
      </c>
    </row>
    <row r="533" ht="30" customHeight="1" s="290">
      <c r="A533" s="30" t="inlineStr">
        <is>
          <t>Autel Scan Tool MX900 MK900 OBD2 All System Diagnostic Scanner, Same as MK900BT, Upgraded MK808S MK808BT MX808 MX808S MK808Z, Bi Directional, 40+ Service, DoIP/CAN FD, 3000+ Active Tests, FCA SGW</t>
        </is>
      </c>
      <c r="B533" s="30" t="inlineStr">
        <is>
          <t>B0C4H7PJBN</t>
        </is>
      </c>
      <c r="C533" s="30" t="inlineStr">
        <is>
          <t>Tablet</t>
        </is>
      </c>
      <c r="D533" s="324" t="n">
        <v>559</v>
      </c>
      <c r="E533" s="324" t="n">
        <v>33308.56999999999</v>
      </c>
      <c r="F533" s="326" t="n">
        <v>0</v>
      </c>
      <c r="G533" s="55" t="n">
        <v>62</v>
      </c>
      <c r="H533" s="55" t="n">
        <v>0</v>
      </c>
      <c r="I533" s="55" t="n">
        <v>33</v>
      </c>
      <c r="J533" s="56" t="n">
        <v>4.3</v>
      </c>
      <c r="K533" s="56" t="inlineStr">
        <is>
          <t>https://amazon.com/dp/B0C4H7PJBN</t>
        </is>
      </c>
      <c r="L533" s="70">
        <f>HYPERLINK(Table1311[[#This Row],[Column1]])</f>
        <v/>
      </c>
    </row>
    <row r="534" ht="45" customHeight="1" s="290">
      <c r="A534" s="30" t="inlineStr">
        <is>
          <t>Autel Scanner MaxiCheck MX900TS, 2026 Same as MK900TS Up of MK808S-TS MX808S-TS MK900BT MK900 MX900, Top TPMS Function as MS906 PRO-TS MP900TS, Bidirectional All-Sys Diagnostic, 40+ Service, FCA SGW</t>
        </is>
      </c>
      <c r="B534" s="30" t="inlineStr">
        <is>
          <t>B08VRZWM26</t>
        </is>
      </c>
      <c r="C534" s="30" t="inlineStr">
        <is>
          <t>Tablet</t>
        </is>
      </c>
      <c r="D534" s="324" t="n">
        <v>879</v>
      </c>
      <c r="E534" s="324" t="n">
        <v>40813.54</v>
      </c>
      <c r="F534" s="326" t="n">
        <v>0</v>
      </c>
      <c r="G534" s="55" t="n">
        <v>47</v>
      </c>
      <c r="H534" s="55" t="n">
        <v>0</v>
      </c>
      <c r="I534" s="55" t="n">
        <v>38</v>
      </c>
      <c r="J534" s="56" t="n">
        <v>4.4</v>
      </c>
      <c r="K534" s="56" t="inlineStr">
        <is>
          <t>https://amazon.com/dp/B08VRZWM26</t>
        </is>
      </c>
      <c r="L534" s="70">
        <f>HYPERLINK(Table1311[[#This Row],[Column1]])</f>
        <v/>
      </c>
    </row>
    <row r="535" ht="45" customHeight="1" s="290">
      <c r="A535" s="30" t="inlineStr">
        <is>
          <t>Autel MaxiSYS Pro OBDII Replacement Cable</t>
        </is>
      </c>
      <c r="B535" s="30" t="inlineStr">
        <is>
          <t>B07V8L3W1S</t>
        </is>
      </c>
      <c r="C535" s="30" t="inlineStr">
        <is>
          <t>Cable/Adapter</t>
        </is>
      </c>
      <c r="D535" s="324" t="n">
        <v>47.98</v>
      </c>
      <c r="E535" s="324" t="n">
        <v>2144.26</v>
      </c>
      <c r="F535" s="326" t="n">
        <v>0</v>
      </c>
      <c r="G535" s="55" t="n">
        <v>40</v>
      </c>
      <c r="H535" s="55" t="n">
        <v>0</v>
      </c>
      <c r="I535" s="55" t="n">
        <v>1</v>
      </c>
      <c r="J535" s="56" t="n">
        <v>4</v>
      </c>
      <c r="K535" s="56" t="inlineStr">
        <is>
          <t>https://amazon.com/dp/B07V8L3W1S</t>
        </is>
      </c>
      <c r="L535" s="70">
        <f>HYPERLINK(Table1311[[#This Row],[Column1]])</f>
        <v/>
      </c>
    </row>
    <row r="536" ht="30" customHeight="1" s="290">
      <c r="A536" s="30" t="inlineStr">
        <is>
          <t>Autel Scanner MaxiSYS MS908S PRO II w/ $60 MV108S | 2026 Same as MS Ultra Elite II Pro, J2534 ECU Pr0gramming Scan Tool Up of MaxiCOM MK908 Pro II Elite MS906 PRO/MAX, 4K+ Tests, 38+ Resets, 4/128G</t>
        </is>
      </c>
      <c r="B536" s="30" t="inlineStr">
        <is>
          <t>B0894F6H61</t>
        </is>
      </c>
      <c r="C536" s="30" t="inlineStr">
        <is>
          <t>Tablet</t>
        </is>
      </c>
      <c r="D536" s="324" t="n">
        <v>1999</v>
      </c>
      <c r="E536" s="324" t="n">
        <v>61550.99</v>
      </c>
      <c r="F536" s="326" t="n">
        <v>0</v>
      </c>
      <c r="G536" s="55" t="n">
        <v>31</v>
      </c>
      <c r="H536" s="55" t="n">
        <v>0</v>
      </c>
      <c r="I536" s="55" t="n">
        <v>37</v>
      </c>
      <c r="J536" s="56" t="n">
        <v>4.6</v>
      </c>
      <c r="K536" s="56" t="inlineStr">
        <is>
          <t>https://amazon.com/dp/B0894F6H61</t>
        </is>
      </c>
      <c r="L536" s="70">
        <f>HYPERLINK(Table1311[[#This Row],[Column1]])</f>
        <v/>
      </c>
    </row>
    <row r="537" ht="45" customHeight="1" s="290">
      <c r="A537" s="30" t="inlineStr">
        <is>
          <t>Autel MaxiCOM MK808S Bidirectional Scanner: 2026 Same as MaxiCheck MX808S MX900 MK900BT MK808BT Pro, 3000+ Active Test, 28+ Service for 200+ Brands, OBD2 All System Diagnose, FCA Autoauth &amp; SGW, OS 11</t>
        </is>
      </c>
      <c r="B537" s="30" t="inlineStr">
        <is>
          <t>B0GX1WPD31</t>
        </is>
      </c>
      <c r="C537" s="30" t="inlineStr">
        <is>
          <t>Tablet</t>
        </is>
      </c>
      <c r="D537" s="324" t="n">
        <v>479</v>
      </c>
      <c r="E537" s="324" t="n">
        <v>0</v>
      </c>
      <c r="F537" s="326" t="n">
        <v>0</v>
      </c>
      <c r="G537" s="55" t="n">
        <v>0</v>
      </c>
      <c r="H537" s="55" t="n">
        <v>0</v>
      </c>
      <c r="I537" s="55" t="n"/>
      <c r="J537" s="56" t="n"/>
      <c r="K537" s="56" t="inlineStr">
        <is>
          <t>https://amazon.com/dp/B0GX1WPD31</t>
        </is>
      </c>
      <c r="L537" s="70">
        <f>HYPERLINK(Table1311[[#This Row],[Column1]])</f>
        <v/>
      </c>
    </row>
    <row r="538" ht="45" customHeight="1" s="290">
      <c r="A538" s="30" t="inlineStr">
        <is>
          <t>Autel VCI MaxiFlash Xlink J2534 Reprogramming Tool Expert-Driven Remote Diagnostic Tool Supports DoIP/CAN/CAN FD/D-PDU/J2534/RP1210 Work with Autel MaxiSYS Ultra MS919 MS909 PC and Mobile Phone</t>
        </is>
      </c>
      <c r="B538" s="30" t="inlineStr">
        <is>
          <t>B0C6LFN1PN</t>
        </is>
      </c>
      <c r="C538" s="30" t="inlineStr">
        <is>
          <t>VCI</t>
        </is>
      </c>
      <c r="D538" s="324" t="n">
        <v>1295</v>
      </c>
      <c r="E538" s="324" t="n">
        <v>21934.04</v>
      </c>
      <c r="F538" s="326" t="n">
        <v>0</v>
      </c>
      <c r="G538" s="55" t="n">
        <v>18</v>
      </c>
      <c r="H538" s="55" t="n">
        <v>0</v>
      </c>
      <c r="I538" s="55" t="n">
        <v>7</v>
      </c>
      <c r="J538" s="56" t="n">
        <v>2.9</v>
      </c>
      <c r="K538" s="56" t="inlineStr">
        <is>
          <t>https://amazon.com/dp/B0C6LFN1PN</t>
        </is>
      </c>
      <c r="L538" s="70">
        <f>HYPERLINK(Table1311[[#This Row],[Column1]])</f>
        <v/>
      </c>
    </row>
    <row r="539" ht="60" customHeight="1" s="290">
      <c r="A539" s="30" t="inlineStr">
        <is>
          <t>Autel MaxiCOM MK808Z-BT OBD2 Scanner, 2026 Bidirectional Diagnostic Tool, Up of MK808S MX808S MK808Z MK808BT, 28+ Service, OE All System Diagnostic, 3000+ Active Test, FCA, Alternative of MK900 MX900</t>
        </is>
      </c>
      <c r="B539" s="30" t="inlineStr">
        <is>
          <t>B0D1QVSF5F</t>
        </is>
      </c>
      <c r="C539" s="30" t="inlineStr">
        <is>
          <t>Tablet</t>
        </is>
      </c>
      <c r="D539" s="324" t="n">
        <v>549</v>
      </c>
      <c r="E539" s="324" t="n">
        <v>5036.24</v>
      </c>
      <c r="F539" s="326" t="n">
        <v>0</v>
      </c>
      <c r="G539" s="55" t="n">
        <v>9</v>
      </c>
      <c r="H539" s="55" t="n">
        <v>0</v>
      </c>
      <c r="I539" s="55" t="n">
        <v>3</v>
      </c>
      <c r="J539" s="56" t="n">
        <v>5</v>
      </c>
      <c r="K539" s="56" t="inlineStr">
        <is>
          <t>https://amazon.com/dp/B0D1QVSF5F</t>
        </is>
      </c>
      <c r="L539" s="70">
        <f>HYPERLINK(Table1311[[#This Row],[Column1]])</f>
        <v/>
      </c>
    </row>
    <row r="540" ht="45" customHeight="1" s="290">
      <c r="A540" s="30" t="inlineStr">
        <is>
          <t>Autel MaxiIM IM608S II 2026 Automotive Diagnostic Scan Tool | Global Ver. of IM608 PRO 2 w/ XP400 PRO GBOX3 APB112 [$1300], OE Full Sys ECU Function as Elite II Pro 4K+ Test 40+ Reset OS10 DoIP CAN FD</t>
        </is>
      </c>
      <c r="B540" s="30" t="inlineStr">
        <is>
          <t>B08DLGD6FD</t>
        </is>
      </c>
      <c r="C540" s="30" t="inlineStr">
        <is>
          <t>Tablet</t>
        </is>
      </c>
      <c r="D540" s="324" t="n">
        <v>3199</v>
      </c>
      <c r="E540" s="324" t="n">
        <v>156925.11</v>
      </c>
      <c r="F540" s="326" t="n">
        <v>0</v>
      </c>
      <c r="G540" s="55" t="n">
        <v>49</v>
      </c>
      <c r="H540" s="55" t="n">
        <v>0</v>
      </c>
      <c r="I540" s="55" t="n">
        <v>36</v>
      </c>
      <c r="J540" s="56" t="n">
        <v>4.3</v>
      </c>
      <c r="K540" s="56" t="inlineStr">
        <is>
          <t>https://amazon.com/dp/B08DLGD6FD</t>
        </is>
      </c>
      <c r="L540" s="70">
        <f>HYPERLINK(Table1311[[#This Row],[Column1]])</f>
        <v/>
      </c>
    </row>
    <row r="541" ht="45" customHeight="1" s="290">
      <c r="A541" s="30" t="inlineStr">
        <is>
          <t>Autel TS508WFK-1 TPMS Tool Kit — Includes TS508WF Tool, 8 Programmable 1-Sensors, Model# 700020</t>
        </is>
      </c>
      <c r="B541" s="30" t="inlineStr">
        <is>
          <t>B07RZHCBH5</t>
        </is>
      </c>
      <c r="C541" s="30" t="inlineStr">
        <is>
          <t>Handheld</t>
        </is>
      </c>
      <c r="D541" s="324" t="n">
        <v>419.95</v>
      </c>
      <c r="E541" s="324" t="n">
        <v>16714.56</v>
      </c>
      <c r="F541" s="326" t="n">
        <v>0</v>
      </c>
      <c r="G541" s="55" t="n">
        <v>46</v>
      </c>
      <c r="H541" s="55" t="n">
        <v>0</v>
      </c>
      <c r="I541" s="55" t="n">
        <v>3</v>
      </c>
      <c r="J541" s="56" t="n">
        <v>4.6</v>
      </c>
      <c r="K541" s="56" t="inlineStr">
        <is>
          <t>https://amazon.com/dp/B07RZHCBH5</t>
        </is>
      </c>
      <c r="L541" s="70">
        <f>HYPERLINK(Table1311[[#This Row],[Column1]])</f>
        <v/>
      </c>
    </row>
    <row r="542" ht="60" customHeight="1" s="290">
      <c r="A542" s="30" t="inlineStr">
        <is>
          <t>Autel MS908-1YRUPDATE Scan Tool</t>
        </is>
      </c>
      <c r="B542" s="30" t="inlineStr">
        <is>
          <t>B00S8R7ZZ0</t>
        </is>
      </c>
      <c r="C542" s="30" t="inlineStr">
        <is>
          <t>Other</t>
        </is>
      </c>
      <c r="D542" s="324" t="n">
        <v>650</v>
      </c>
      <c r="E542" s="324" t="n">
        <v>16418.37</v>
      </c>
      <c r="F542" s="326" t="n">
        <v>0</v>
      </c>
      <c r="G542" s="55" t="n">
        <v>32</v>
      </c>
      <c r="H542" s="55" t="n">
        <v>0</v>
      </c>
      <c r="I542" s="55" t="n">
        <v>25</v>
      </c>
      <c r="J542" s="56" t="n">
        <v>4.7</v>
      </c>
      <c r="K542" s="56" t="inlineStr">
        <is>
          <t>https://amazon.com/dp/B00S8R7ZZ0</t>
        </is>
      </c>
      <c r="L542" s="70">
        <f>HYPERLINK(Table1311[[#This Row],[Column1]])</f>
        <v/>
      </c>
    </row>
    <row r="543" ht="45" customHeight="1" s="290">
      <c r="A543" s="30" t="inlineStr">
        <is>
          <t>Autel Scan Tool MS906 PRO-TS, Better MaxiSYS MS906TS MS906Pro MS906BT MK906Pro MP900TS, All System Diagnostic, Full TPMS, ECU Coding, CAN FD&amp;DoIP, 3000+ Active Test, 36+ Service, Auto Scan, WiFi Print</t>
        </is>
      </c>
      <c r="B543" s="30" t="inlineStr">
        <is>
          <t>B0BHNTBHLV</t>
        </is>
      </c>
      <c r="C543" s="30" t="inlineStr">
        <is>
          <t>Tablet</t>
        </is>
      </c>
      <c r="D543" s="324" t="n">
        <v>1569</v>
      </c>
      <c r="E543" s="324" t="n">
        <v>29133.22</v>
      </c>
      <c r="F543" s="326" t="n">
        <v>0</v>
      </c>
      <c r="G543" s="55" t="n">
        <v>19</v>
      </c>
      <c r="H543" s="55" t="n">
        <v>0</v>
      </c>
      <c r="I543" s="55" t="n">
        <v>8</v>
      </c>
      <c r="J543" s="56" t="n">
        <v>4.6</v>
      </c>
      <c r="K543" s="56" t="inlineStr">
        <is>
          <t>https://amazon.com/dp/B0BHNTBHLV</t>
        </is>
      </c>
      <c r="L543" s="70">
        <f>HYPERLINK(Table1311[[#This Row],[Column1]])</f>
        <v/>
      </c>
    </row>
    <row r="544" ht="45" customHeight="1" s="290">
      <c r="A544" s="30" t="inlineStr">
        <is>
          <t>Autel TPMS Programming Tool TS508WF KIT, with $180 4PCS 315+433Mhz MX Sensors &amp; 4PCS Metal Valves, Upgrade of MaxiTPMS TS601/ TS508 Tire Sensor Programmer, TPMS Diagnostic/Activate/Relearn Tool</t>
        </is>
      </c>
      <c r="B544" s="30" t="inlineStr">
        <is>
          <t>B0DB1TGM5F</t>
        </is>
      </c>
      <c r="C544" s="30" t="inlineStr">
        <is>
          <t>Handheld</t>
        </is>
      </c>
      <c r="D544" s="324" t="n">
        <v>318</v>
      </c>
      <c r="E544" s="324" t="n">
        <v>13163.68</v>
      </c>
      <c r="F544" s="326" t="n">
        <v>0</v>
      </c>
      <c r="G544" s="55" t="n">
        <v>41</v>
      </c>
      <c r="H544" s="55" t="n">
        <v>0</v>
      </c>
      <c r="I544" s="55" t="n">
        <v>7</v>
      </c>
      <c r="J544" s="56" t="n">
        <v>5</v>
      </c>
      <c r="K544" s="56" t="inlineStr">
        <is>
          <t>https://amazon.com/dp/B0DB1TGM5F</t>
        </is>
      </c>
      <c r="L544" s="70">
        <f>HYPERLINK(Table1311[[#This Row],[Column1]])</f>
        <v/>
      </c>
    </row>
    <row r="545" ht="60" customHeight="1" s="290">
      <c r="A545" s="30" t="inlineStr">
        <is>
          <t>Autel AL529HD Heavy Duty Vehicle Code Reader</t>
        </is>
      </c>
      <c r="B545" s="30" t="inlineStr">
        <is>
          <t>B073FJ9SY5</t>
        </is>
      </c>
      <c r="C545" s="30" t="inlineStr">
        <is>
          <t>Handheld</t>
        </is>
      </c>
      <c r="D545" s="324" t="n">
        <v>110.81</v>
      </c>
      <c r="E545" s="324" t="n">
        <v>1603.88</v>
      </c>
      <c r="F545" s="326" t="n">
        <v>0</v>
      </c>
      <c r="G545" s="55" t="n">
        <v>17</v>
      </c>
      <c r="H545" s="55" t="n">
        <v>0</v>
      </c>
      <c r="I545" s="55" t="n">
        <v>42</v>
      </c>
      <c r="J545" s="56" t="n">
        <v>4</v>
      </c>
      <c r="K545" s="56" t="inlineStr">
        <is>
          <t>https://amazon.com/dp/B073FJ9SY5</t>
        </is>
      </c>
      <c r="L545" s="70">
        <f>HYPERLINK(Table1311[[#This Row],[Column1]])</f>
        <v/>
      </c>
    </row>
    <row r="546" ht="45" customHeight="1" s="290">
      <c r="A546" s="30" t="inlineStr">
        <is>
          <t>Autel MS906-1YRUpdate MS906 One Year Total Care Program Card</t>
        </is>
      </c>
      <c r="B546" s="30" t="inlineStr">
        <is>
          <t>B0756XN3C5</t>
        </is>
      </c>
      <c r="C546" s="30" t="inlineStr">
        <is>
          <t>Other</t>
        </is>
      </c>
      <c r="D546" s="324" t="n">
        <v>290.81</v>
      </c>
      <c r="E546" s="324" t="n">
        <v>17150.44</v>
      </c>
      <c r="F546" s="326" t="n">
        <v>0</v>
      </c>
      <c r="G546" s="55" t="n">
        <v>63</v>
      </c>
      <c r="H546" s="55" t="n">
        <v>0</v>
      </c>
      <c r="I546" s="55" t="n">
        <v>8</v>
      </c>
      <c r="J546" s="56" t="n">
        <v>3.9</v>
      </c>
      <c r="K546" s="56" t="inlineStr">
        <is>
          <t>https://amazon.com/dp/B0756XN3C5</t>
        </is>
      </c>
      <c r="L546" s="70">
        <f>HYPERLINK(Table1311[[#This Row],[Column1]])</f>
        <v/>
      </c>
    </row>
    <row r="547" ht="45" customHeight="1" s="290">
      <c r="A547" s="30" t="inlineStr">
        <is>
          <t>Autel MaxiSys Elite 2 PRO Scanner: 2026 Elite II Pro Top Car Diagnostic Scan Tool as MSUltra, 2-Year Free Update [$2590], Newer of MS919 MS909 MK908P, Motor TruSpeed, 40+ Service, 3K+ Test, CANFD DoIP</t>
        </is>
      </c>
      <c r="B547" s="30" t="inlineStr">
        <is>
          <t>B0BZS4PQ3P</t>
        </is>
      </c>
      <c r="C547" s="30" t="inlineStr">
        <is>
          <t>Tablet</t>
        </is>
      </c>
      <c r="D547" s="324" t="n">
        <v>2369</v>
      </c>
      <c r="E547" s="324" t="n">
        <v>0</v>
      </c>
      <c r="F547" s="326" t="n">
        <v>0</v>
      </c>
      <c r="G547" s="55" t="n">
        <v>0</v>
      </c>
      <c r="H547" s="55" t="n">
        <v>0</v>
      </c>
      <c r="I547" s="55" t="n">
        <v>4</v>
      </c>
      <c r="J547" s="56" t="n">
        <v>5</v>
      </c>
      <c r="K547" s="56" t="inlineStr">
        <is>
          <t>https://amazon.com/dp/B0BZS4PQ3P</t>
        </is>
      </c>
      <c r="L547" s="70">
        <f>HYPERLINK(Table1311[[#This Row],[Column1]])</f>
        <v/>
      </c>
    </row>
    <row r="548" ht="30" customHeight="1" s="290">
      <c r="A548" s="30" t="inlineStr">
        <is>
          <t>Autel MaxiSys MS906 Pro TS Professional OBD2 Scanner with TPMS Programming ECU Coding 36+ Service Functions, Full System Diagnostic Tool for 80+ Vehicle Brands, Android 10, 8" Touchscreen</t>
        </is>
      </c>
      <c r="B548" s="30" t="inlineStr">
        <is>
          <t>B0D1QRKDYD</t>
        </is>
      </c>
      <c r="C548" s="30" t="inlineStr">
        <is>
          <t>Tablet</t>
        </is>
      </c>
      <c r="D548" s="324" t="n">
        <v>1569</v>
      </c>
      <c r="E548" s="324" t="n">
        <v>150830.38</v>
      </c>
      <c r="F548" s="326" t="n">
        <v>0</v>
      </c>
      <c r="G548" s="55" t="n">
        <v>96</v>
      </c>
      <c r="H548" s="55" t="n">
        <v>0</v>
      </c>
      <c r="I548" s="55" t="n">
        <v>11</v>
      </c>
      <c r="J548" s="56" t="n">
        <v>5</v>
      </c>
      <c r="K548" s="56" t="inlineStr">
        <is>
          <t>https://amazon.com/dp/B0D1QRKDYD</t>
        </is>
      </c>
      <c r="L548" s="70">
        <f>HYPERLINK(Table1311[[#This Row],[Column1]])</f>
        <v/>
      </c>
    </row>
    <row r="549" ht="60" customHeight="1" s="290">
      <c r="A549" s="30" t="inlineStr">
        <is>
          <t>Autel MaxiTPMS ITS600Pro TPMS Programming Tool with Full TPMS, Upgraded Version of TS508 TS608 MK808TS ITS600 Complete TPMS Functions, 36+ Services, All System Diagnostics Free Lifetime TPMS Updates</t>
        </is>
      </c>
      <c r="B549" s="30" t="inlineStr">
        <is>
          <t>B0BTSXJ61Y</t>
        </is>
      </c>
      <c r="C549" s="30" t="inlineStr">
        <is>
          <t>Handheld</t>
        </is>
      </c>
      <c r="D549" s="324" t="n">
        <v>663</v>
      </c>
      <c r="E549" s="324" t="n">
        <v>12613.89</v>
      </c>
      <c r="F549" s="326" t="n">
        <v>0</v>
      </c>
      <c r="G549" s="55" t="n">
        <v>20</v>
      </c>
      <c r="H549" s="55" t="n">
        <v>0</v>
      </c>
      <c r="I549" s="55" t="n">
        <v>12</v>
      </c>
      <c r="J549" s="56" t="n">
        <v>4.4</v>
      </c>
      <c r="K549" s="56" t="inlineStr">
        <is>
          <t>https://amazon.com/dp/B0BTSXJ61Y</t>
        </is>
      </c>
      <c r="L549" s="70">
        <f>HYPERLINK(Table1311[[#This Row],[Column1]])</f>
        <v/>
      </c>
    </row>
    <row r="550" ht="60" customHeight="1" s="290">
      <c r="A550" s="30" t="inlineStr">
        <is>
          <t>Autel Memory Saver for Car Battery, MaxiBAS BTMS OBDII Battery Tester, Preserves Vehicle Codes, Electronic Presets, Provides Power, Maintain Data Surge Protection, Attaches to 12 Volt Backup Battery</t>
        </is>
      </c>
      <c r="B550" s="30" t="inlineStr">
        <is>
          <t>B0BWDLM32C</t>
        </is>
      </c>
      <c r="C550" s="30" t="inlineStr">
        <is>
          <t>Other</t>
        </is>
      </c>
      <c r="D550" s="324" t="n">
        <v>45.99</v>
      </c>
      <c r="E550" s="324" t="n">
        <v>3363.42</v>
      </c>
      <c r="F550" s="326" t="n">
        <v>0</v>
      </c>
      <c r="G550" s="55" t="n">
        <v>75</v>
      </c>
      <c r="H550" s="55" t="n">
        <v>0</v>
      </c>
      <c r="I550" s="55" t="n">
        <v>32</v>
      </c>
      <c r="J550" s="56" t="n">
        <v>4.6</v>
      </c>
      <c r="K550" s="56" t="inlineStr">
        <is>
          <t>https://amazon.com/dp/B0BWDLM32C</t>
        </is>
      </c>
      <c r="L550" s="70">
        <f>HYPERLINK(Table1311[[#This Row],[Column1]])</f>
        <v/>
      </c>
    </row>
    <row r="551" ht="60" customHeight="1" s="290">
      <c r="A551" s="30" t="inlineStr">
        <is>
          <t>Autel PS100 Powerscan Automotive Circuit Tester</t>
        </is>
      </c>
      <c r="B551" s="30" t="inlineStr">
        <is>
          <t>B00G9076ES</t>
        </is>
      </c>
      <c r="C551" s="30" t="inlineStr">
        <is>
          <t>Probe</t>
        </is>
      </c>
      <c r="D551" s="324" t="n">
        <v>99.98999999999999</v>
      </c>
      <c r="E551" s="324" t="n">
        <v>864.05</v>
      </c>
      <c r="F551" s="326" t="n">
        <v>0</v>
      </c>
      <c r="G551" s="55" t="n">
        <v>9</v>
      </c>
      <c r="H551" s="55" t="n">
        <v>0</v>
      </c>
      <c r="I551" s="55" t="n">
        <v>1</v>
      </c>
      <c r="J551" s="56" t="n">
        <v>5</v>
      </c>
      <c r="K551" s="56" t="inlineStr">
        <is>
          <t>https://amazon.com/dp/B00G9076ES</t>
        </is>
      </c>
      <c r="L551" s="70">
        <f>HYPERLINK(Table1311[[#This Row],[Column1]])</f>
        <v/>
      </c>
    </row>
    <row r="552" ht="45" customHeight="1" s="290">
      <c r="A552" s="30" t="inlineStr">
        <is>
          <t>Autel MS906BT1YRUPDATE 1 Year Software Subscription &amp; Warranty</t>
        </is>
      </c>
      <c r="B552" s="30" t="inlineStr">
        <is>
          <t>B07CZRRRWV</t>
        </is>
      </c>
      <c r="C552" s="30" t="inlineStr">
        <is>
          <t>Other</t>
        </is>
      </c>
      <c r="D552" s="324" t="n">
        <v>533.1799999999999</v>
      </c>
      <c r="E552" s="324" t="n">
        <v>13673.322</v>
      </c>
      <c r="F552" s="326" t="n">
        <v>0</v>
      </c>
      <c r="G552" s="55" t="n">
        <v>27</v>
      </c>
      <c r="H552" s="55" t="n">
        <v>0</v>
      </c>
      <c r="I552" s="55" t="n">
        <v>32</v>
      </c>
      <c r="J552" s="56" t="n">
        <v>4.6</v>
      </c>
      <c r="K552" s="56" t="inlineStr">
        <is>
          <t>https://amazon.com/dp/B07CZRRRWV</t>
        </is>
      </c>
      <c r="L552" s="70">
        <f>HYPERLINK(Table1311[[#This Row],[Column1]])</f>
        <v/>
      </c>
    </row>
    <row r="553" ht="60" customHeight="1" s="290">
      <c r="A553" s="30" t="inlineStr">
        <is>
          <t>Autel MaxiSys MS919 J2534 Prog,ram, D-PDU RP1210, ECU C0.ding, 40+ Hot Services, Topology, AutoScan 2.0, Intelligent All System Autel Scanner, 99% Coverage, CANFD DOIP, Same as MS Ultra</t>
        </is>
      </c>
      <c r="B553" s="30" t="inlineStr">
        <is>
          <t>B0FFZ94MYM</t>
        </is>
      </c>
      <c r="C553" s="30" t="inlineStr">
        <is>
          <t>Tablet</t>
        </is>
      </c>
      <c r="D553" s="324" t="n">
        <v>3799</v>
      </c>
      <c r="E553" s="324" t="n">
        <v>16140.73</v>
      </c>
      <c r="F553" s="326" t="n">
        <v>0</v>
      </c>
      <c r="G553" s="55" t="n">
        <v>4</v>
      </c>
      <c r="H553" s="55" t="n">
        <v>0</v>
      </c>
      <c r="I553" s="55" t="n">
        <v>3</v>
      </c>
      <c r="J553" s="56" t="n">
        <v>4.3</v>
      </c>
      <c r="K553" s="56" t="inlineStr">
        <is>
          <t>https://amazon.com/dp/B0FFZ94MYM</t>
        </is>
      </c>
      <c r="L553" s="70">
        <f>HYPERLINK(Table1311[[#This Row],[Column1]])</f>
        <v/>
      </c>
    </row>
    <row r="554" ht="45" customHeight="1" s="290">
      <c r="A554" s="30" t="inlineStr">
        <is>
          <t>Autel Scanner MaxiTPMS TS900 TPMS Programming Tool, 2025 Level-Up of MK808S-TS MK900 MX900 MK808S Same as MX900TS MK900TS, Full TPMS Function, 3000+ Active Test, 40+ Service, All System Diagnostic</t>
        </is>
      </c>
      <c r="B554" s="30" t="inlineStr">
        <is>
          <t>B07H172WBS</t>
        </is>
      </c>
      <c r="C554" s="30" t="inlineStr">
        <is>
          <t>Tablet</t>
        </is>
      </c>
      <c r="D554" s="324" t="n">
        <v>799</v>
      </c>
      <c r="E554" s="324" t="n">
        <v>5820.75</v>
      </c>
      <c r="F554" s="326" t="n">
        <v>0</v>
      </c>
      <c r="G554" s="55" t="n">
        <v>7</v>
      </c>
      <c r="H554" s="55" t="n">
        <v>0</v>
      </c>
      <c r="I554" s="55" t="n">
        <v>18</v>
      </c>
      <c r="J554" s="56" t="n">
        <v>3.7</v>
      </c>
      <c r="K554" s="56" t="inlineStr">
        <is>
          <t>https://amazon.com/dp/B07H172WBS</t>
        </is>
      </c>
      <c r="L554" s="70">
        <f>HYPERLINK(Table1311[[#This Row],[Column1]])</f>
        <v/>
      </c>
    </row>
    <row r="555" ht="45" customHeight="1" s="290">
      <c r="A555" s="30" t="inlineStr">
        <is>
          <t>Autel MaxiSys Ultra EV Scanner, 2026 Top EV Intelligent Scan Diagnostic Tool, with 5-in-1 VCMI &amp; EVDiag KIT, High-Voltage System &amp; Battery Pack Analysis, Up of Ultra/ MS919/ MS909 EV, E-C*U Program</t>
        </is>
      </c>
      <c r="B555" s="30" t="inlineStr">
        <is>
          <t>B0BM3D2K2J</t>
        </is>
      </c>
      <c r="C555" s="30" t="inlineStr">
        <is>
          <t>Tablet</t>
        </is>
      </c>
      <c r="D555" s="324" t="n">
        <v>4995</v>
      </c>
      <c r="E555" s="324" t="n">
        <v>122981.44</v>
      </c>
      <c r="F555" s="326" t="n">
        <v>0</v>
      </c>
      <c r="G555" s="55" t="n">
        <v>25</v>
      </c>
      <c r="H555" s="55" t="n">
        <v>0</v>
      </c>
      <c r="I555" s="55" t="n">
        <v>9</v>
      </c>
      <c r="J555" s="56" t="n">
        <v>3.4</v>
      </c>
      <c r="K555" s="56" t="inlineStr">
        <is>
          <t>https://amazon.com/dp/B0BM3D2K2J</t>
        </is>
      </c>
      <c r="L555" s="70">
        <f>HYPERLINK(Table1311[[#This Row],[Column1]])</f>
        <v/>
      </c>
    </row>
    <row r="556" ht="60" customHeight="1" s="290">
      <c r="A556" s="30" t="inlineStr">
        <is>
          <t>Autel MaxiSys MS906MAX Scan Tool, Upgraded MS906 PRO/ MK906 PRO/ MS906BT/ MK906BT/ MK908/ MP900BT Scanner, ECU Coding, 40+ Services, 3000+ Active Tests, All System Diagnostic Tool, VAG Guided, FCA SGW</t>
        </is>
      </c>
      <c r="B556" s="30" t="inlineStr">
        <is>
          <t>B0DLN9QCNX</t>
        </is>
      </c>
      <c r="C556" s="30" t="inlineStr">
        <is>
          <t>Tablet</t>
        </is>
      </c>
      <c r="D556" s="324" t="n">
        <v>1569</v>
      </c>
      <c r="E556" s="324" t="n">
        <v>71590.2</v>
      </c>
      <c r="F556" s="326" t="n">
        <v>0</v>
      </c>
      <c r="G556" s="55" t="n">
        <v>47</v>
      </c>
      <c r="H556" s="55" t="n">
        <v>0</v>
      </c>
      <c r="I556" s="55" t="n">
        <v>6</v>
      </c>
      <c r="J556" s="56" t="n">
        <v>5</v>
      </c>
      <c r="K556" s="56" t="inlineStr">
        <is>
          <t>https://amazon.com/dp/B0DLN9QCNX</t>
        </is>
      </c>
      <c r="L556" s="70">
        <f>HYPERLINK(Table1311[[#This Row],[Column1]])</f>
        <v/>
      </c>
    </row>
    <row r="557" ht="45" customHeight="1" s="290">
      <c r="A557" s="30" t="inlineStr">
        <is>
          <t>Autel MaxiCOM MK808Z-BT Diagnostic Scanner - Bidirectional Scan Tool Work as MK900BT, Up of MK808S MX808S MK808Z, 28+ Services, Works w/ BT506/MV108S, Android 11, 150+ Brands, FCA</t>
        </is>
      </c>
      <c r="B557" s="30" t="inlineStr">
        <is>
          <t>B0FJXY9426</t>
        </is>
      </c>
      <c r="C557" s="30" t="inlineStr">
        <is>
          <t>Tablet</t>
        </is>
      </c>
      <c r="D557" s="324" t="n">
        <v>519</v>
      </c>
      <c r="E557" s="324" t="n">
        <v>4293.14</v>
      </c>
      <c r="F557" s="326" t="n">
        <v>0</v>
      </c>
      <c r="G557" s="55" t="n">
        <v>9</v>
      </c>
      <c r="H557" s="55" t="n">
        <v>0</v>
      </c>
      <c r="I557" s="55" t="n">
        <v>1</v>
      </c>
      <c r="J557" s="56" t="n">
        <v>5</v>
      </c>
      <c r="K557" s="56" t="inlineStr">
        <is>
          <t>https://amazon.com/dp/B0FJXY9426</t>
        </is>
      </c>
      <c r="L557" s="70">
        <f>HYPERLINK(Table1311[[#This Row],[Column1]])</f>
        <v/>
      </c>
    </row>
    <row r="558" ht="45" customHeight="1" s="290">
      <c r="A558" s="30" t="inlineStr">
        <is>
          <t>Autel MaxiCOM MK906Pro OBD2 Scanner Up of MS906BT MP900BT MS908S Bidirectional Control 36+ Services OE-Level Full System Diagnosis 8" in CAN FD DoIP FCA Autoauth Support</t>
        </is>
      </c>
      <c r="B558" s="30" t="inlineStr">
        <is>
          <t>B0GFJ65MTR</t>
        </is>
      </c>
      <c r="C558" s="30" t="inlineStr">
        <is>
          <t>Tablet</t>
        </is>
      </c>
      <c r="D558" s="324" t="n">
        <v>1369</v>
      </c>
      <c r="E558" s="324" t="n">
        <v>0</v>
      </c>
      <c r="F558" s="326" t="n">
        <v>0</v>
      </c>
      <c r="G558" s="55" t="n">
        <v>0</v>
      </c>
      <c r="H558" s="55" t="n">
        <v>0</v>
      </c>
      <c r="I558" s="55" t="n"/>
      <c r="J558" s="56" t="n"/>
      <c r="K558" s="56" t="inlineStr">
        <is>
          <t>https://amazon.com/dp/B0GFJ65MTR</t>
        </is>
      </c>
      <c r="L558" s="70">
        <f>HYPERLINK(Table1311[[#This Row],[Column1]])</f>
        <v/>
      </c>
    </row>
    <row r="559" ht="60" customHeight="1" s="290">
      <c r="A559" s="30" t="inlineStr">
        <is>
          <t>Autel MaxiCOM MK808Z, Autel Scanner, 2025 Bi-Directional Tool, OBD2 Scanner for All Vehicles All System Diagnostic Tool Bi-Directional Control Same as MaxiCOM MK808 Lite MX900</t>
        </is>
      </c>
      <c r="B559" s="30" t="inlineStr">
        <is>
          <t>B0B8RDH4C7</t>
        </is>
      </c>
      <c r="C559" s="30" t="inlineStr">
        <is>
          <t>Tablet</t>
        </is>
      </c>
      <c r="D559" s="324" t="n">
        <v>449</v>
      </c>
      <c r="E559" s="324" t="n">
        <v>1056.01</v>
      </c>
      <c r="F559" s="326" t="n">
        <v>0</v>
      </c>
      <c r="G559" s="55" t="n">
        <v>2</v>
      </c>
      <c r="H559" s="55" t="n">
        <v>0</v>
      </c>
      <c r="I559" s="55" t="n">
        <v>22</v>
      </c>
      <c r="J559" s="56" t="n">
        <v>4.8</v>
      </c>
      <c r="K559" s="56" t="inlineStr">
        <is>
          <t>https://amazon.com/dp/B0B8RDH4C7</t>
        </is>
      </c>
      <c r="L559" s="70">
        <f>HYPERLINK(Table1311[[#This Row],[Column1]])</f>
        <v/>
      </c>
    </row>
    <row r="560" ht="45" customHeight="1" s="290">
      <c r="A560" s="30" t="inlineStr">
        <is>
          <t>Autel VCI V100 MaxiSYS VCI100 Compact Bluetooth-Compatible Vehicle Communication Interface Wireless Interface Vehicle Diagnostic Connector for MS906BT MS906TS Bluetooth Adapter</t>
        </is>
      </c>
      <c r="B560" s="30" t="inlineStr">
        <is>
          <t>B0B878SZZP</t>
        </is>
      </c>
      <c r="C560" s="30" t="inlineStr">
        <is>
          <t>Dongle</t>
        </is>
      </c>
      <c r="D560" s="324" t="n">
        <v>199</v>
      </c>
      <c r="E560" s="324" t="n">
        <v>4136.539999999999</v>
      </c>
      <c r="F560" s="326" t="n">
        <v>0</v>
      </c>
      <c r="G560" s="55" t="n">
        <v>20</v>
      </c>
      <c r="H560" s="55" t="n">
        <v>0</v>
      </c>
      <c r="I560" s="55" t="n">
        <v>8</v>
      </c>
      <c r="J560" s="56" t="n">
        <v>5</v>
      </c>
      <c r="K560" s="56" t="inlineStr">
        <is>
          <t>https://amazon.com/dp/B0B878SZZP</t>
        </is>
      </c>
      <c r="L560" s="70">
        <f>HYPERLINK(Table1311[[#This Row],[Column1]])</f>
        <v/>
      </c>
    </row>
    <row r="561" ht="45" customHeight="1" s="290">
      <c r="A561" s="30" t="inlineStr">
        <is>
          <t>Autel - Mx-Sensor 1-Sensor Press-in Metal Valve Stem (1-SENSORM)</t>
        </is>
      </c>
      <c r="B561" s="30" t="inlineStr">
        <is>
          <t>B075RG8G7Y</t>
        </is>
      </c>
      <c r="C561" s="30" t="inlineStr">
        <is>
          <t>Other</t>
        </is>
      </c>
      <c r="D561" s="324" t="n">
        <v>44.99</v>
      </c>
      <c r="E561" s="324" t="n">
        <v>0</v>
      </c>
      <c r="F561" s="326" t="n">
        <v>0</v>
      </c>
      <c r="G561" s="55" t="n">
        <v>0</v>
      </c>
      <c r="H561" s="55" t="n">
        <v>0</v>
      </c>
      <c r="I561" s="55" t="n">
        <v>23</v>
      </c>
      <c r="J561" s="56" t="n">
        <v>4.7</v>
      </c>
      <c r="K561" s="56" t="inlineStr">
        <is>
          <t>https://amazon.com/dp/B075RG8G7Y</t>
        </is>
      </c>
      <c r="L561" s="70">
        <f>HYPERLINK(Table1311[[#This Row],[Column1]])</f>
        <v/>
      </c>
    </row>
    <row r="562" ht="60" customHeight="1" s="290">
      <c r="A562" s="30" t="inlineStr">
        <is>
          <t>Autel MaxiCheck MX900 Scanner Function as MK900 MK900BT Better Than MX808 MX808S MK808 MK808S MK808BT MS906 for 10000+ Vehicles 40+ Services as MP900 All System Diagnostic Scan Tool</t>
        </is>
      </c>
      <c r="B562" s="30" t="inlineStr">
        <is>
          <t>B0C65JVRQM</t>
        </is>
      </c>
      <c r="C562" s="30" t="inlineStr">
        <is>
          <t>Tablet</t>
        </is>
      </c>
      <c r="D562" s="324" t="n">
        <v>559</v>
      </c>
      <c r="E562" s="324" t="n">
        <v>19710.85</v>
      </c>
      <c r="F562" s="326" t="n">
        <v>0</v>
      </c>
      <c r="G562" s="55" t="n">
        <v>39</v>
      </c>
      <c r="H562" s="55" t="n">
        <v>0</v>
      </c>
      <c r="I562" s="55" t="n">
        <v>14</v>
      </c>
      <c r="J562" s="56" t="n">
        <v>5</v>
      </c>
      <c r="K562" s="56" t="inlineStr">
        <is>
          <t>https://amazon.com/dp/B0C65JVRQM</t>
        </is>
      </c>
      <c r="L562" s="70">
        <f>HYPERLINK(Table1311[[#This Row],[Column1]])</f>
        <v/>
      </c>
    </row>
    <row r="563" ht="60" customHeight="1" s="290">
      <c r="A563" s="30" t="inlineStr">
        <is>
          <t>Autel Scanner MaxiCheck MX900, 2026 Bidirectional Scan Tool Same as MK900 MK900BT, All System Diagnostic, Updated of MK808S MK808BT Pro MX808S, 3000+ Active Test, 40+ Service, CAN-FD&amp;DoIP, FCA SGW</t>
        </is>
      </c>
      <c r="B563" s="30" t="inlineStr">
        <is>
          <t>B0C65N1BG4</t>
        </is>
      </c>
      <c r="C563" s="30" t="inlineStr">
        <is>
          <t>Tablet</t>
        </is>
      </c>
      <c r="D563" s="324" t="n">
        <v>559</v>
      </c>
      <c r="E563" s="324" t="n">
        <v>24423.14</v>
      </c>
      <c r="F563" s="326" t="n">
        <v>0</v>
      </c>
      <c r="G563" s="55" t="n">
        <v>48</v>
      </c>
      <c r="H563" s="55" t="n">
        <v>0</v>
      </c>
      <c r="I563" s="55" t="n">
        <v>27</v>
      </c>
      <c r="J563" s="56" t="n">
        <v>4.7</v>
      </c>
      <c r="K563" s="56" t="inlineStr">
        <is>
          <t>https://amazon.com/dp/B0C65N1BG4</t>
        </is>
      </c>
      <c r="L563" s="70">
        <f>HYPERLINK(Table1311[[#This Row],[Column1]])</f>
        <v/>
      </c>
    </row>
    <row r="564" ht="60" customHeight="1" s="290">
      <c r="A564" s="30" t="inlineStr">
        <is>
          <t>Autel Scanner MaxiPro MP900-TS, TPMS Version of MP900 &amp; MP900BT Bidirectional Scan Tool, ECU Coding Tool Same As MaxiSYS MS906BT MS906 Pro,40+ Services, All System OBD2 Scanner, CAN FD/DoIP</t>
        </is>
      </c>
      <c r="B564" s="30" t="inlineStr">
        <is>
          <t>B0CCJN81JY</t>
        </is>
      </c>
      <c r="C564" s="30" t="inlineStr">
        <is>
          <t>Tablet</t>
        </is>
      </c>
      <c r="D564" s="324" t="n">
        <v>1099</v>
      </c>
      <c r="E564" s="324" t="n">
        <v>10826.95</v>
      </c>
      <c r="F564" s="326" t="n">
        <v>0</v>
      </c>
      <c r="G564" s="55" t="n">
        <v>11</v>
      </c>
      <c r="H564" s="55" t="n">
        <v>0</v>
      </c>
      <c r="I564" s="55" t="n">
        <v>34</v>
      </c>
      <c r="J564" s="56" t="n">
        <v>4.4</v>
      </c>
      <c r="K564" s="56" t="inlineStr">
        <is>
          <t>https://amazon.com/dp/B0CCJN81JY</t>
        </is>
      </c>
      <c r="L564" s="70">
        <f>HYPERLINK(Table1311[[#This Row],[Column1]])</f>
        <v/>
      </c>
    </row>
    <row r="565" ht="45" customHeight="1" s="290">
      <c r="A565" s="30" t="inlineStr">
        <is>
          <t>Autel Scanner MaxiPro MP808Z-TS with 2 Year Updates: Upgrade Version of MK900BT &amp; MP808BT Bidirectional Scan Tool, ECU Coding Same As MP900BT &amp; MP900-TS, Full System Diagnostic Tool with 31+ Services</t>
        </is>
      </c>
      <c r="B565" s="30" t="inlineStr">
        <is>
          <t>B0BLNM89HH</t>
        </is>
      </c>
      <c r="C565" s="30" t="inlineStr">
        <is>
          <t>Tablet</t>
        </is>
      </c>
      <c r="D565" s="324" t="n">
        <v>899</v>
      </c>
      <c r="E565" s="324" t="n">
        <v>18299.74</v>
      </c>
      <c r="F565" s="326" t="n">
        <v>0</v>
      </c>
      <c r="G565" s="55" t="n">
        <v>21</v>
      </c>
      <c r="H565" s="55" t="n">
        <v>0</v>
      </c>
      <c r="I565" s="55" t="n">
        <v>34</v>
      </c>
      <c r="J565" s="56" t="n">
        <v>4.4</v>
      </c>
      <c r="K565" s="56" t="inlineStr">
        <is>
          <t>https://amazon.com/dp/B0BLNM89HH</t>
        </is>
      </c>
      <c r="L565" s="70">
        <f>HYPERLINK(Table1311[[#This Row],[Column1]])</f>
        <v/>
      </c>
    </row>
    <row r="566" ht="30" customHeight="1" s="290">
      <c r="A566" s="30" t="inlineStr">
        <is>
          <t>Autel MaxiSys MS906 Pro-TS Diagnostic Scanner, 2026 Top Bidirectional Scan Tool with Full TPMS Function, Up of MP900TS MS906PRO MS906 MK900, ECU Coding, 3000+ Active Test, 36+ Service, CAN FD&amp;DoIP</t>
        </is>
      </c>
      <c r="B566" s="30" t="inlineStr">
        <is>
          <t>B0B9S3WPRZ</t>
        </is>
      </c>
      <c r="C566" s="30" t="inlineStr">
        <is>
          <t>Tablet</t>
        </is>
      </c>
      <c r="D566" s="324" t="n">
        <v>1569</v>
      </c>
      <c r="E566" s="324" t="n">
        <v>30123.56</v>
      </c>
      <c r="F566" s="326" t="n">
        <v>0</v>
      </c>
      <c r="G566" s="55" t="n">
        <v>19</v>
      </c>
      <c r="H566" s="55" t="n">
        <v>0</v>
      </c>
      <c r="I566" s="55" t="n">
        <v>13</v>
      </c>
      <c r="J566" s="56" t="n">
        <v>4.5</v>
      </c>
      <c r="K566" s="56" t="inlineStr">
        <is>
          <t>https://amazon.com/dp/B0B9S3WPRZ</t>
        </is>
      </c>
      <c r="L566" s="70">
        <f>HYPERLINK(Table1311[[#This Row],[Column1]])</f>
        <v/>
      </c>
    </row>
    <row r="567" ht="60" customHeight="1" s="290">
      <c r="A567" s="30" t="inlineStr">
        <is>
          <t>Autel MaxiBAS BT608 12v Car Bettery Tester Automotive Electrical System Tester Adaptive Conductance All System Diagnostic AutoScan VIN scan Read/Clear Code Upgraded BT508 BT506</t>
        </is>
      </c>
      <c r="B567" s="30" t="inlineStr">
        <is>
          <t>B08T84XL2N</t>
        </is>
      </c>
      <c r="C567" s="30" t="inlineStr">
        <is>
          <t>Handheld</t>
        </is>
      </c>
      <c r="D567" s="324" t="n">
        <v>449</v>
      </c>
      <c r="E567" s="324" t="n">
        <v>3474.97</v>
      </c>
      <c r="F567" s="326" t="n">
        <v>0</v>
      </c>
      <c r="G567" s="55" t="n">
        <v>8</v>
      </c>
      <c r="H567" s="55" t="n">
        <v>0</v>
      </c>
      <c r="I567" s="55" t="n">
        <v>11</v>
      </c>
      <c r="J567" s="56" t="n">
        <v>5</v>
      </c>
      <c r="K567" s="56" t="inlineStr">
        <is>
          <t>https://amazon.com/dp/B08T84XL2N</t>
        </is>
      </c>
      <c r="L567" s="70">
        <f>HYPERLINK(Table1311[[#This Row],[Column1]])</f>
        <v/>
      </c>
    </row>
    <row r="568" ht="30" customHeight="1" s="290">
      <c r="A568" s="30" t="inlineStr">
        <is>
          <t>Autel MaxiSYS Ultra Scanner, 2026 MSUltra Top Intelligent Scan Tool, Topology, 5IN1 VCMI, ECU Function, 3K+ Bidirectional Diagnostic, 40+ Reset Up of Ultra Lite MS919 MS909 Elite 2 Pro, Motor TruSpeed</t>
        </is>
      </c>
      <c r="B568" s="30" t="inlineStr">
        <is>
          <t>B0971ZJ32Q</t>
        </is>
      </c>
      <c r="C568" s="30" t="inlineStr">
        <is>
          <t>Tablet</t>
        </is>
      </c>
      <c r="D568" s="324" t="n">
        <v>3999</v>
      </c>
      <c r="E568" s="324" t="n">
        <v>116167.2</v>
      </c>
      <c r="F568" s="326" t="n">
        <v>0</v>
      </c>
      <c r="G568" s="55" t="n">
        <v>28</v>
      </c>
      <c r="H568" s="55" t="n">
        <v>0</v>
      </c>
      <c r="I568" s="55" t="n">
        <v>30</v>
      </c>
      <c r="J568" s="56" t="n">
        <v>4.7</v>
      </c>
      <c r="K568" s="56" t="inlineStr">
        <is>
          <t>https://amazon.com/dp/B0971ZJ32Q</t>
        </is>
      </c>
      <c r="L568" s="70">
        <f>HYPERLINK(Table1311[[#This Row],[Column1]])</f>
        <v/>
      </c>
    </row>
    <row r="569" ht="45" customHeight="1" s="290">
      <c r="A569" s="30" t="inlineStr">
        <is>
          <t>Autel Original Tesla Diagnostic Cables Set for Tesla S &amp; Tesla X, Tesla OBD2 Diagnostic Tools Adapter for Autel MaxiSYS 909/919/908SPro/Elite/Elite II/Ultra Tablets</t>
        </is>
      </c>
      <c r="B569" s="30" t="inlineStr">
        <is>
          <t>B09XQMLWTY</t>
        </is>
      </c>
      <c r="C569" s="30" t="inlineStr">
        <is>
          <t>Cable/Adapter</t>
        </is>
      </c>
      <c r="D569" s="324" t="n">
        <v>54.56</v>
      </c>
      <c r="E569" s="324" t="n">
        <v>3479.639999999999</v>
      </c>
      <c r="F569" s="326" t="n">
        <v>0</v>
      </c>
      <c r="G569" s="55" t="n">
        <v>63</v>
      </c>
      <c r="H569" s="55" t="n">
        <v>0</v>
      </c>
      <c r="I569" s="55" t="n">
        <v>20</v>
      </c>
      <c r="J569" s="56" t="n">
        <v>4</v>
      </c>
      <c r="K569" s="56" t="inlineStr">
        <is>
          <t>https://amazon.com/dp/B09XQMLWTY</t>
        </is>
      </c>
      <c r="L569" s="70">
        <f>HYPERLINK(Table1311[[#This Row],[Column1]])</f>
        <v/>
      </c>
    </row>
    <row r="570" ht="45" customHeight="1" s="290">
      <c r="A570" s="30" t="inlineStr">
        <is>
          <t>Autel MaxiTPMS TS608 1-Year Update Service, Total Care Program (TCP) Card, One Year Software Subscription &amp; Warranty for Complete TPMS &amp; All System Service Tablet Tool</t>
        </is>
      </c>
      <c r="B570" s="30" t="inlineStr">
        <is>
          <t>B0CZ36BSQZ</t>
        </is>
      </c>
      <c r="C570" s="30" t="inlineStr">
        <is>
          <t>Other</t>
        </is>
      </c>
      <c r="D570" s="324" t="n">
        <v>219</v>
      </c>
      <c r="E570" s="324" t="n">
        <v>1865.79</v>
      </c>
      <c r="F570" s="326" t="n">
        <v>0</v>
      </c>
      <c r="G570" s="55" t="n">
        <v>9</v>
      </c>
      <c r="H570" s="55" t="n">
        <v>0</v>
      </c>
      <c r="I570" s="55" t="n"/>
      <c r="J570" s="56" t="n"/>
      <c r="K570" s="56" t="inlineStr">
        <is>
          <t>https://amazon.com/dp/B0CZ36BSQZ</t>
        </is>
      </c>
      <c r="L570" s="70">
        <f>HYPERLINK(Table1311[[#This Row],[Column1]])</f>
        <v/>
      </c>
    </row>
    <row r="571" ht="45" customHeight="1" s="290">
      <c r="A571" s="30" t="inlineStr">
        <is>
          <t>Autel MaxiSYS Ultra EV Scanner: 2026 Top EV Ver. of Ultra S2 MSUltra MS909 S2 Intelligen Scan Diagnostic, High-Voltage System Battery Pack Analyze, EVDiag KIT, 40 Service, Motor TruSpeed, Topology 2.0</t>
        </is>
      </c>
      <c r="B571" s="30" t="inlineStr">
        <is>
          <t>B0BPMJ41PY</t>
        </is>
      </c>
      <c r="C571" s="30" t="inlineStr">
        <is>
          <t>Tablet</t>
        </is>
      </c>
      <c r="D571" s="324" t="n">
        <v>4995</v>
      </c>
      <c r="E571" s="324" t="n">
        <v>68231.7</v>
      </c>
      <c r="F571" s="326" t="n">
        <v>0</v>
      </c>
      <c r="G571" s="55" t="n">
        <v>14</v>
      </c>
      <c r="H571" s="55" t="n">
        <v>0</v>
      </c>
      <c r="I571" s="55" t="n">
        <v>7</v>
      </c>
      <c r="J571" s="56" t="n">
        <v>4.3</v>
      </c>
      <c r="K571" s="56" t="inlineStr">
        <is>
          <t>https://amazon.com/dp/B0BPMJ41PY</t>
        </is>
      </c>
      <c r="L571" s="70">
        <f>HYPERLINK(Table1311[[#This Row],[Column1]])</f>
        <v/>
      </c>
    </row>
    <row r="572" ht="45" customHeight="1" s="290">
      <c r="A572" s="30" t="inlineStr">
        <is>
          <t>OBDII Main Test Cable OBD2 Main Diagnostic Cable for Autel MaxiSys MS908</t>
        </is>
      </c>
      <c r="B572" s="30" t="inlineStr">
        <is>
          <t>B01F8RIFEM</t>
        </is>
      </c>
      <c r="C572" s="30" t="inlineStr">
        <is>
          <t>Cable/Adapter</t>
        </is>
      </c>
      <c r="D572" s="324" t="n">
        <v>9.99</v>
      </c>
      <c r="E572" s="324" t="n">
        <v>37.4</v>
      </c>
      <c r="F572" s="326" t="n">
        <v>0</v>
      </c>
      <c r="G572" s="55" t="n">
        <v>4</v>
      </c>
      <c r="H572" s="55" t="n">
        <v>0</v>
      </c>
      <c r="I572" s="55" t="n">
        <v>90</v>
      </c>
      <c r="J572" s="56" t="n">
        <v>4.7</v>
      </c>
      <c r="K572" s="56" t="inlineStr">
        <is>
          <t>https://amazon.com/dp/B01F8RIFEM</t>
        </is>
      </c>
      <c r="L572" s="70">
        <f>HYPERLINK(Table1311[[#This Row],[Column1]])</f>
        <v/>
      </c>
    </row>
    <row r="573" ht="60" customHeight="1" s="290">
      <c r="A573" s="30" t="inlineStr">
        <is>
          <t>Autel MaxiSys Ultra EV 2025 UltraEV: Updated of MS Ultra Elite II Pro w/EVDiag Kit, High-Voltage System &amp; Battery Analysis, MaxiFlash VCMI, J2534 Programming, Motor TruSpeed Repair, Topology Map 2.0</t>
        </is>
      </c>
      <c r="B573" s="30" t="inlineStr">
        <is>
          <t>B077MJR54G</t>
        </is>
      </c>
      <c r="C573" s="30" t="inlineStr">
        <is>
          <t>Tablet</t>
        </is>
      </c>
      <c r="D573" s="324" t="n">
        <v>4995</v>
      </c>
      <c r="E573" s="324" t="n">
        <v>6684.02</v>
      </c>
      <c r="F573" s="326" t="n">
        <v>0</v>
      </c>
      <c r="G573" s="55" t="n">
        <v>1</v>
      </c>
      <c r="H573" s="55" t="n">
        <v>0</v>
      </c>
      <c r="I573" s="55" t="n">
        <v>12</v>
      </c>
      <c r="J573" s="56" t="n">
        <v>4.4</v>
      </c>
      <c r="K573" s="56" t="inlineStr">
        <is>
          <t>https://amazon.com/dp/B077MJR54G</t>
        </is>
      </c>
      <c r="L573" s="70">
        <f>HYPERLINK(Table1311[[#This Row],[Column1]])</f>
        <v/>
      </c>
    </row>
    <row r="574" ht="45" customHeight="1" s="290">
      <c r="A574" s="30" t="inlineStr">
        <is>
          <t>Autel MaxiTPMS ITS600 2026 Handy TPMS Tool, Wireless TPMS Tablet with Bluetooth VCI, Free Lifetime Oil Light Reset, Electronic Brake Service, Battery Registration, Steering Angle Reset 4 Service</t>
        </is>
      </c>
      <c r="B574" s="30" t="inlineStr">
        <is>
          <t>B094863K26</t>
        </is>
      </c>
      <c r="C574" s="30" t="inlineStr">
        <is>
          <t>Handheld</t>
        </is>
      </c>
      <c r="D574" s="324" t="n">
        <v>499</v>
      </c>
      <c r="E574" s="324" t="n">
        <v>3908.07</v>
      </c>
      <c r="F574" s="326" t="n">
        <v>0</v>
      </c>
      <c r="G574" s="55" t="n">
        <v>8</v>
      </c>
      <c r="H574" s="55" t="n">
        <v>0</v>
      </c>
      <c r="I574" s="55" t="n">
        <v>5</v>
      </c>
      <c r="J574" s="56" t="n">
        <v>3.6</v>
      </c>
      <c r="K574" s="56" t="inlineStr">
        <is>
          <t>https://amazon.com/dp/B094863K26</t>
        </is>
      </c>
      <c r="L574" s="70">
        <f>HYPERLINK(Table1311[[#This Row],[Column1]])</f>
        <v/>
      </c>
    </row>
    <row r="575" ht="60" customHeight="1" s="290">
      <c r="A575" s="30" t="inlineStr">
        <is>
          <t>Autel MaxiSYS Ultra EV Intelligent Scanner, 2026 EV Ver.of Ultra S2 MS909S2, Up of Ultra MS909 MS909EV MS919, with EVDiag Kit, High-Voltage System &amp; Battery Pack Analysis, 5-in-1 VCMI, Motor Truspeed</t>
        </is>
      </c>
      <c r="B575" s="30" t="inlineStr">
        <is>
          <t>B0BGSJYCTY</t>
        </is>
      </c>
      <c r="C575" s="30" t="inlineStr">
        <is>
          <t>Tablet</t>
        </is>
      </c>
      <c r="D575" s="324" t="n">
        <v>4995</v>
      </c>
      <c r="E575" s="324" t="n">
        <v>43952.92000000001</v>
      </c>
      <c r="F575" s="326" t="n">
        <v>0</v>
      </c>
      <c r="G575" s="55" t="n">
        <v>11</v>
      </c>
      <c r="H575" s="55" t="n">
        <v>0</v>
      </c>
      <c r="I575" s="55" t="n">
        <v>2</v>
      </c>
      <c r="J575" s="56" t="n">
        <v>5</v>
      </c>
      <c r="K575" s="56" t="inlineStr">
        <is>
          <t>https://amazon.com/dp/B0BGSJYCTY</t>
        </is>
      </c>
      <c r="L575" s="70">
        <f>HYPERLINK(Table1311[[#This Row],[Column1]])</f>
        <v/>
      </c>
    </row>
    <row r="576" ht="45" customHeight="1" s="290">
      <c r="A576" s="30" t="inlineStr">
        <is>
          <t>Autel MaxiCheck MX900 Same MK900 OBD2 Scan Tool Updated of MK808 MK808S MK808BT Android 11 40+ Service Functions 8 inch All System Diagnostics Scanner</t>
        </is>
      </c>
      <c r="B576" s="30" t="inlineStr">
        <is>
          <t>B0CY28XF7G</t>
        </is>
      </c>
      <c r="C576" s="30" t="inlineStr">
        <is>
          <t>Tablet</t>
        </is>
      </c>
      <c r="D576" s="324" t="n">
        <v>559</v>
      </c>
      <c r="E576" s="324" t="n">
        <v>5357.84</v>
      </c>
      <c r="F576" s="326" t="n">
        <v>0</v>
      </c>
      <c r="G576" s="55" t="n">
        <v>10</v>
      </c>
      <c r="H576" s="55" t="n">
        <v>0</v>
      </c>
      <c r="I576" s="55" t="n">
        <v>8</v>
      </c>
      <c r="J576" s="56" t="n">
        <v>4.5</v>
      </c>
      <c r="K576" s="56" t="inlineStr">
        <is>
          <t>https://amazon.com/dp/B0CY28XF7G</t>
        </is>
      </c>
      <c r="L576" s="70">
        <f>HYPERLINK(Table1311[[#This Row],[Column1]])</f>
        <v/>
      </c>
    </row>
    <row r="577" ht="45" customHeight="1" s="290">
      <c r="A577" s="30" t="inlineStr">
        <is>
          <t>Autel MaxiSys Ultra 1-Year Update Service, Total Care Program (TCP) Card, One Year Software Subscription &amp; Warranty for OBD2/CAN Bi-Directional Dual Wi-Fi Diagnostic Scanner and VCMI</t>
        </is>
      </c>
      <c r="B577" s="30" t="inlineStr">
        <is>
          <t>B0CZ3QNHXQ</t>
        </is>
      </c>
      <c r="C577" s="30" t="inlineStr">
        <is>
          <t>Other</t>
        </is>
      </c>
      <c r="D577" s="324" t="n">
        <v>1299</v>
      </c>
      <c r="E577" s="324" t="n">
        <v>21223.1</v>
      </c>
      <c r="F577" s="326" t="n">
        <v>0</v>
      </c>
      <c r="G577" s="55" t="n">
        <v>16</v>
      </c>
      <c r="H577" s="55" t="n">
        <v>0</v>
      </c>
      <c r="I577" s="55" t="n"/>
      <c r="J577" s="56" t="n"/>
      <c r="K577" s="56" t="inlineStr">
        <is>
          <t>https://amazon.com/dp/B0CZ3QNHXQ</t>
        </is>
      </c>
      <c r="L577" s="70">
        <f>HYPERLINK(Table1311[[#This Row],[Column1]])</f>
        <v/>
      </c>
    </row>
    <row r="578" ht="60" customHeight="1" s="290">
      <c r="A578" s="30" t="inlineStr">
        <is>
          <t>Autel MaxiCheck MX900 Include MV108S Function as MK900 MK900BT Upgrade of MX808 MK808S MD808 MS906 OBD2 Scanner All System Diagnostic Scan Tool</t>
        </is>
      </c>
      <c r="B578" s="30" t="inlineStr">
        <is>
          <t>B09MRZH3SY</t>
        </is>
      </c>
      <c r="C578" s="30" t="inlineStr">
        <is>
          <t>Tablet</t>
        </is>
      </c>
      <c r="D578" s="324" t="n">
        <v>589</v>
      </c>
      <c r="E578" s="324" t="n">
        <v>2627.05</v>
      </c>
      <c r="F578" s="326" t="n">
        <v>0</v>
      </c>
      <c r="G578" s="55" t="n">
        <v>4</v>
      </c>
      <c r="H578" s="55" t="n">
        <v>0</v>
      </c>
      <c r="I578" s="55" t="n">
        <v>4</v>
      </c>
      <c r="J578" s="56" t="n">
        <v>5</v>
      </c>
      <c r="K578" s="56" t="inlineStr">
        <is>
          <t>https://amazon.com/dp/B09MRZH3SY</t>
        </is>
      </c>
      <c r="L578" s="70">
        <f>HYPERLINK(Table1311[[#This Row],[Column1]])</f>
        <v/>
      </c>
    </row>
    <row r="579" ht="30" customHeight="1" s="290">
      <c r="A579" s="30" t="inlineStr">
        <is>
          <t>Autel J2534 MaxiFlash VCI Kit, 2025 Bluetooth Vehicle Communication Interface J2534, ECU Programming, DoIP/CAN FD/ J2534/ D-PDU 4 Channels, Work with MaxiSYS MS909 MS909EV MS909CV MaxiCOM Ultra Lite</t>
        </is>
      </c>
      <c r="B579" s="30" t="inlineStr">
        <is>
          <t>B0B1TCK59R</t>
        </is>
      </c>
      <c r="C579" s="30" t="inlineStr">
        <is>
          <t>VCI</t>
        </is>
      </c>
      <c r="D579" s="324" t="n">
        <v>999</v>
      </c>
      <c r="E579" s="324" t="n">
        <v>13554.92</v>
      </c>
      <c r="F579" s="326" t="n">
        <v>0</v>
      </c>
      <c r="G579" s="55" t="n">
        <v>14</v>
      </c>
      <c r="H579" s="55" t="n">
        <v>0</v>
      </c>
      <c r="I579" s="55" t="n">
        <v>10</v>
      </c>
      <c r="J579" s="56" t="n">
        <v>4.4</v>
      </c>
      <c r="K579" s="56" t="inlineStr">
        <is>
          <t>https://amazon.com/dp/B0B1TCK59R</t>
        </is>
      </c>
      <c r="L579" s="70">
        <f>HYPERLINK(Table1311[[#This Row],[Column1]])</f>
        <v/>
      </c>
    </row>
    <row r="580" ht="60" customHeight="1" s="290">
      <c r="A580" s="30" t="inlineStr">
        <is>
          <t>Autel MaxiTPMS TBE200 with Screen Wiper Autel Tire Brake Examiner Tire Tread Depth &amp; Brake Disc Wear Examiner Touchscreen Real-time Tire Health Tire ID Scan Reports &amp; Repair Tips On ITS600</t>
        </is>
      </c>
      <c r="B580" s="30" t="inlineStr">
        <is>
          <t>B0BDRDXPBT</t>
        </is>
      </c>
      <c r="C580" s="30" t="inlineStr">
        <is>
          <t>Other</t>
        </is>
      </c>
      <c r="D580" s="324" t="n">
        <v>569.5</v>
      </c>
      <c r="E580" s="324" t="n">
        <v>3088.88</v>
      </c>
      <c r="F580" s="326" t="n">
        <v>0</v>
      </c>
      <c r="G580" s="55" t="n">
        <v>7</v>
      </c>
      <c r="H580" s="55" t="n">
        <v>0</v>
      </c>
      <c r="I580" s="55" t="n">
        <v>2</v>
      </c>
      <c r="J580" s="56" t="n">
        <v>3.9</v>
      </c>
      <c r="K580" s="56" t="inlineStr">
        <is>
          <t>https://amazon.com/dp/B0BDRDXPBT</t>
        </is>
      </c>
      <c r="L580" s="70">
        <f>HYPERLINK(Table1311[[#This Row],[Column1]])</f>
        <v/>
      </c>
    </row>
    <row r="581" ht="45" customHeight="1" s="290">
      <c r="A581" s="30" t="inlineStr">
        <is>
          <t>Autel MaxiSys MS909 S2 Scanner: 2026 Top AI Intelligen Scan Diagnostic as Ultra S2 MS919S2, Up of Ultra MS919 MS909, 3.0 Topology, Enhanced PID Analysis, Motor Truspeed, 48+ Service, JVCI2 Pr0gramming</t>
        </is>
      </c>
      <c r="B581" s="30" t="inlineStr">
        <is>
          <t>B0FXMRS5FR</t>
        </is>
      </c>
      <c r="C581" s="30" t="inlineStr">
        <is>
          <t>Tablet</t>
        </is>
      </c>
      <c r="D581" s="324" t="n">
        <v>3599</v>
      </c>
      <c r="E581" s="324" t="n">
        <v>18149.52</v>
      </c>
      <c r="F581" s="326" t="n">
        <v>0</v>
      </c>
      <c r="G581" s="55" t="n">
        <v>5</v>
      </c>
      <c r="H581" s="55" t="n">
        <v>0</v>
      </c>
      <c r="I581" s="55" t="n">
        <v>1</v>
      </c>
      <c r="J581" s="56" t="n">
        <v>5</v>
      </c>
      <c r="K581" s="56" t="inlineStr">
        <is>
          <t>https://amazon.com/dp/B0FXMRS5FR</t>
        </is>
      </c>
      <c r="L581" s="70">
        <f>HYPERLINK(Table1311[[#This Row],[Column1]])</f>
        <v/>
      </c>
    </row>
    <row r="582" ht="45" customHeight="1" s="290">
      <c r="A582" s="30" t="inlineStr">
        <is>
          <t>Autel MaxiSys Ultra EV 1-Year Update Service, Total Care Program (TCP) Card, One Year Software Subscription &amp; Warranty</t>
        </is>
      </c>
      <c r="B582" s="30" t="inlineStr">
        <is>
          <t>B0FR8VJPF6</t>
        </is>
      </c>
      <c r="C582" s="30" t="inlineStr">
        <is>
          <t>Tablet</t>
        </is>
      </c>
      <c r="D582" s="324" t="n">
        <v>1299</v>
      </c>
      <c r="E582" s="324" t="n">
        <v>0</v>
      </c>
      <c r="F582" s="326" t="n">
        <v>0</v>
      </c>
      <c r="G582" s="55" t="n">
        <v>0</v>
      </c>
      <c r="H582" s="55" t="n">
        <v>0</v>
      </c>
      <c r="I582" s="55" t="n"/>
      <c r="J582" s="56" t="n"/>
      <c r="K582" s="56" t="inlineStr">
        <is>
          <t>https://amazon.com/dp/B0FR8VJPF6</t>
        </is>
      </c>
      <c r="L582" s="70">
        <f>HYPERLINK(Table1311[[#This Row],[Column1]])</f>
        <v/>
      </c>
    </row>
    <row r="583" ht="30" customHeight="1" s="290">
      <c r="A583" s="30" t="inlineStr">
        <is>
          <t>Autel MaxiSys MS909 Scanner: 2026 MS909 Scan Tool Same as MS919 Ultra, Up of MS908S PRO II Elite II, Intelligent Diagnostics, Topology 2.0, 40+ Services, Active Test</t>
        </is>
      </c>
      <c r="B583" s="30" t="inlineStr">
        <is>
          <t>B07NYQL1WV</t>
        </is>
      </c>
      <c r="C583" s="30" t="inlineStr">
        <is>
          <t>Tablet</t>
        </is>
      </c>
      <c r="D583" s="324" t="n">
        <v>2999</v>
      </c>
      <c r="E583" s="324" t="n">
        <v>24534.84</v>
      </c>
      <c r="F583" s="326" t="n">
        <v>0</v>
      </c>
      <c r="G583" s="55" t="n">
        <v>7</v>
      </c>
      <c r="H583" s="55" t="n">
        <v>0</v>
      </c>
      <c r="I583" s="55" t="n">
        <v>9</v>
      </c>
      <c r="J583" s="56" t="n">
        <v>4.6</v>
      </c>
      <c r="K583" s="56" t="inlineStr">
        <is>
          <t>https://amazon.com/dp/B07NYQL1WV</t>
        </is>
      </c>
      <c r="L583" s="70">
        <f>HYPERLINK(Table1311[[#This Row],[Column1]])</f>
        <v/>
      </c>
    </row>
    <row r="584" ht="45" customHeight="1" s="290">
      <c r="A584" s="30" t="inlineStr">
        <is>
          <t>Autel MaxiTPMS ITS600CV Commercial Vehicle TPMS Tool, for Trucks Trailers Buses, Activate/Read/Program CVS-A01 Sensors, Bluetooth VCI, Bendix/WABCO Support, Includes 6/9-Pin UNI-4 DLC Adapters</t>
        </is>
      </c>
      <c r="B584" s="30" t="inlineStr">
        <is>
          <t>B0FN75BVGG</t>
        </is>
      </c>
      <c r="C584" s="30" t="inlineStr">
        <is>
          <t>Handheld</t>
        </is>
      </c>
      <c r="D584" s="324" t="n">
        <v>699</v>
      </c>
      <c r="E584" s="324" t="n">
        <v>3572.35</v>
      </c>
      <c r="F584" s="326" t="n">
        <v>0</v>
      </c>
      <c r="G584" s="55" t="n">
        <v>5</v>
      </c>
      <c r="H584" s="55" t="n">
        <v>0</v>
      </c>
      <c r="I584" s="55" t="n">
        <v>1</v>
      </c>
      <c r="J584" s="56" t="n">
        <v>5</v>
      </c>
      <c r="K584" s="56" t="inlineStr">
        <is>
          <t>https://amazon.com/dp/B0FN75BVGG</t>
        </is>
      </c>
      <c r="L584" s="70">
        <f>HYPERLINK(Table1311[[#This Row],[Column1]])</f>
        <v/>
      </c>
    </row>
    <row r="585" ht="60" customHeight="1" s="290">
      <c r="A585" s="30" t="inlineStr">
        <is>
          <t>Autel MaxiTPMS TS900 TPMS Tool Programming Same as MX900TS Upgrade of MS906TS TS608 MK808 MK808S Programming Relearn Reset Full TPMS Functions DoIP&amp;CAN FD</t>
        </is>
      </c>
      <c r="B585" s="30" t="inlineStr">
        <is>
          <t>B0CZN1DQWC</t>
        </is>
      </c>
      <c r="C585" s="30" t="inlineStr">
        <is>
          <t>Tablet</t>
        </is>
      </c>
      <c r="D585" s="324" t="n">
        <v>849</v>
      </c>
      <c r="E585" s="324" t="n">
        <v>8703.23</v>
      </c>
      <c r="F585" s="326" t="n">
        <v>0</v>
      </c>
      <c r="G585" s="55" t="n">
        <v>11</v>
      </c>
      <c r="H585" s="55" t="n">
        <v>0</v>
      </c>
      <c r="I585" s="55" t="n">
        <v>7</v>
      </c>
      <c r="J585" s="56" t="n">
        <v>5</v>
      </c>
      <c r="K585" s="56" t="inlineStr">
        <is>
          <t>https://amazon.com/dp/B0CZN1DQWC</t>
        </is>
      </c>
      <c r="L585" s="70">
        <f>HYPERLINK(Table1311[[#This Row],[Column1]])</f>
        <v/>
      </c>
    </row>
    <row r="586" ht="45" customHeight="1" s="290">
      <c r="A586" s="30" t="inlineStr">
        <is>
          <t>Autel MaxiCom Ultra Lite Scanner 2026: 2-Year Update Same as Maxisys Ultra Motor TruSpeed Repair, New Topology 2.0, 3000+ Test, 40+ Service, Level Up of MS919/Elite II Pro</t>
        </is>
      </c>
      <c r="B586" s="30" t="inlineStr">
        <is>
          <t>B0DK3J7LD8</t>
        </is>
      </c>
      <c r="C586" s="30" t="inlineStr">
        <is>
          <t>Tablet</t>
        </is>
      </c>
      <c r="D586" s="324" t="n">
        <v>2969</v>
      </c>
      <c r="E586" s="324" t="n">
        <v>27067.18</v>
      </c>
      <c r="F586" s="326" t="n">
        <v>0</v>
      </c>
      <c r="G586" s="55" t="n">
        <v>9</v>
      </c>
      <c r="H586" s="55" t="n">
        <v>0</v>
      </c>
      <c r="I586" s="55" t="n">
        <v>3</v>
      </c>
      <c r="J586" s="56" t="n">
        <v>5</v>
      </c>
      <c r="K586" s="56" t="inlineStr">
        <is>
          <t>https://amazon.com/dp/B0DK3J7LD8</t>
        </is>
      </c>
      <c r="L586" s="70">
        <f>HYPERLINK(Table1311[[#This Row],[Column1]])</f>
        <v/>
      </c>
    </row>
    <row r="587" ht="60" customHeight="1" s="290">
      <c r="A587" s="30" t="inlineStr">
        <is>
          <t>Autel MaxiSys MS909CV Truck Scanner: 2026 Top Intelligent Heavy Duty Truck Diagnostic, Motor TruSpeed, Topology 2.0, Up of MS908CV II MS908CV, 64+ Resets 3K+ Bidirectional Tool</t>
        </is>
      </c>
      <c r="B587" s="30" t="inlineStr">
        <is>
          <t>B0G577RSP1</t>
        </is>
      </c>
      <c r="C587" s="30" t="inlineStr">
        <is>
          <t>Tablet</t>
        </is>
      </c>
      <c r="D587" s="324" t="n">
        <v>4495</v>
      </c>
      <c r="E587" s="324" t="n">
        <v>14947.1</v>
      </c>
      <c r="F587" s="326" t="n">
        <v>0</v>
      </c>
      <c r="G587" s="55" t="n">
        <v>3</v>
      </c>
      <c r="H587" s="55" t="n">
        <v>0</v>
      </c>
      <c r="I587" s="55" t="n">
        <v>4</v>
      </c>
      <c r="J587" s="56" t="n">
        <v>4.7</v>
      </c>
      <c r="K587" s="56" t="inlineStr">
        <is>
          <t>https://amazon.com/dp/B0G577RSP1</t>
        </is>
      </c>
      <c r="L587" s="70">
        <f>HYPERLINK(Table1311[[#This Row],[Column1]])</f>
        <v/>
      </c>
    </row>
    <row r="588" ht="45" customHeight="1" s="290">
      <c r="A588" s="30" t="inlineStr">
        <is>
          <t>Autel MaxiIM IM608 II Tool, Same as IM608 PRO II with XP400 PRO GBOX3 APB112 IMKPA[Valued $1316], Upgrade of IM608 PRO/IM608/IM508, ECU Coding, 40+ Service, Full Bidirectional Tool, CAN FD&amp; DOIP</t>
        </is>
      </c>
      <c r="B588" s="30" t="inlineStr">
        <is>
          <t>B0BQDT2KWF</t>
        </is>
      </c>
      <c r="C588" s="30" t="inlineStr">
        <is>
          <t>Tablet</t>
        </is>
      </c>
      <c r="D588" s="324" t="n">
        <v>3299</v>
      </c>
      <c r="E588" s="324" t="n">
        <v>25050.71</v>
      </c>
      <c r="F588" s="326" t="n">
        <v>0</v>
      </c>
      <c r="G588" s="55" t="n">
        <v>7</v>
      </c>
      <c r="H588" s="55" t="n">
        <v>0</v>
      </c>
      <c r="I588" s="55" t="n">
        <v>3</v>
      </c>
      <c r="J588" s="56" t="n">
        <v>2.6</v>
      </c>
      <c r="K588" s="56" t="inlineStr">
        <is>
          <t>https://amazon.com/dp/B0BQDT2KWF</t>
        </is>
      </c>
      <c r="L588" s="70">
        <f>HYPERLINK(Table1311[[#This Row],[Column1]])</f>
        <v/>
      </c>
    </row>
    <row r="589" ht="60" customHeight="1" s="290">
      <c r="A589" s="30" t="inlineStr">
        <is>
          <t>Autel Total Care Program — 1-Year Warranty Update for MS908CV, Model# MS908CV1YRUpdate</t>
        </is>
      </c>
      <c r="B589" s="30" t="inlineStr">
        <is>
          <t>B077TYVN8C</t>
        </is>
      </c>
      <c r="C589" s="30" t="inlineStr">
        <is>
          <t>Other</t>
        </is>
      </c>
      <c r="D589" s="324" t="n">
        <v>795.99</v>
      </c>
      <c r="E589" s="324" t="n">
        <v>23137.26</v>
      </c>
      <c r="F589" s="326" t="n">
        <v>0</v>
      </c>
      <c r="G589" s="55" t="n">
        <v>26</v>
      </c>
      <c r="H589" s="55" t="n">
        <v>0</v>
      </c>
      <c r="I589" s="55" t="n">
        <v>0</v>
      </c>
      <c r="J589" s="56" t="n"/>
      <c r="K589" s="56" t="inlineStr">
        <is>
          <t>https://amazon.com/dp/B077TYVN8C</t>
        </is>
      </c>
      <c r="L589" s="70">
        <f>HYPERLINK(Table1311[[#This Row],[Column1]])</f>
        <v/>
      </c>
    </row>
    <row r="590" ht="45" customHeight="1" s="290">
      <c r="A590" s="30" t="inlineStr">
        <is>
          <t>Autel PowerScan PS100 Automotive Relay Tester Circuit Probe Tool 12V 24V Car System Diagnostic Scan Tool with 20ft Extension Cable Read AC DC Resistance Short/Open Circuit Test</t>
        </is>
      </c>
      <c r="B590" s="30" t="inlineStr">
        <is>
          <t>B0FH4S3KF4</t>
        </is>
      </c>
      <c r="C590" s="30" t="inlineStr">
        <is>
          <t>Probe</t>
        </is>
      </c>
      <c r="D590" s="324" t="n">
        <v>89.98999999999999</v>
      </c>
      <c r="E590" s="324" t="n">
        <v>1715.97</v>
      </c>
      <c r="F590" s="326" t="n">
        <v>0</v>
      </c>
      <c r="G590" s="55" t="n">
        <v>20</v>
      </c>
      <c r="H590" s="55" t="n">
        <v>0</v>
      </c>
      <c r="I590" s="55" t="n"/>
      <c r="J590" s="56" t="n"/>
      <c r="K590" s="56" t="inlineStr">
        <is>
          <t>https://amazon.com/dp/B0FH4S3KF4</t>
        </is>
      </c>
      <c r="L590" s="70">
        <f>HYPERLINK(Table1311[[#This Row],[Column1]])</f>
        <v/>
      </c>
    </row>
    <row r="591" ht="45" customHeight="1" s="290">
      <c r="A591" s="30" t="inlineStr">
        <is>
          <t>Autel OBD2 Scanner Maxilink ML529, 2026 Code Reader Full OBD2 Functions for Turning Off Engine Light O2 Sensor Test AutoVin DTC Lookup Free Online Update</t>
        </is>
      </c>
      <c r="B591" s="30" t="inlineStr">
        <is>
          <t>B07PR3BNX3</t>
        </is>
      </c>
      <c r="C591" s="30" t="inlineStr">
        <is>
          <t>Handheld</t>
        </is>
      </c>
      <c r="D591" s="324" t="n">
        <v>59</v>
      </c>
      <c r="E591" s="324" t="n">
        <v>1757.15</v>
      </c>
      <c r="F591" s="326" t="n">
        <v>0</v>
      </c>
      <c r="G591" s="55" t="n">
        <v>30</v>
      </c>
      <c r="H591" s="55" t="n">
        <v>0</v>
      </c>
      <c r="I591" s="55" t="n">
        <v>243</v>
      </c>
      <c r="J591" s="56" t="n">
        <v>4.6</v>
      </c>
      <c r="K591" s="56" t="inlineStr">
        <is>
          <t>https://amazon.com/dp/B07PR3BNX3</t>
        </is>
      </c>
      <c r="L591" s="70">
        <f>HYPERLINK(Table1311[[#This Row],[Column1]])</f>
        <v/>
      </c>
    </row>
    <row r="592" ht="45" customHeight="1" s="290">
      <c r="A592" s="30" t="inlineStr">
        <is>
          <t>Autel MaxiVCI VCI Mini Wireless Bluetooth Diagnostic Vehicle Communication Interface Connector Compact Auto OBD2 Scanner for MK808BT MK808TS MX808TS MP808TS TS608 MS906S Oil Reset EPB BMS SAS TPMS</t>
        </is>
      </c>
      <c r="B592" s="30" t="inlineStr">
        <is>
          <t>B0B87BDVZP</t>
        </is>
      </c>
      <c r="C592" s="30" t="inlineStr">
        <is>
          <t>Dongle</t>
        </is>
      </c>
      <c r="D592" s="324" t="n">
        <v>119</v>
      </c>
      <c r="E592" s="324" t="n">
        <v>2323.35</v>
      </c>
      <c r="F592" s="326" t="n">
        <v>0</v>
      </c>
      <c r="G592" s="55" t="n">
        <v>19</v>
      </c>
      <c r="H592" s="55" t="n">
        <v>0</v>
      </c>
      <c r="I592" s="55" t="n">
        <v>3</v>
      </c>
      <c r="J592" s="56" t="n">
        <v>5</v>
      </c>
      <c r="K592" s="56" t="inlineStr">
        <is>
          <t>https://amazon.com/dp/B0B87BDVZP</t>
        </is>
      </c>
      <c r="L592" s="70">
        <f>HYPERLINK(Table1311[[#This Row],[Column1]])</f>
        <v/>
      </c>
    </row>
    <row r="593" ht="45" customHeight="1" s="290">
      <c r="A593" s="30" t="inlineStr">
        <is>
          <t>Autel MaxiSys MS908CV II: 2026 Heavy Duty Truck Scanner Upgrade of MS908CV, Same as MS909CV, Semi Truck Tool with J2534 Tool, C0ding, Active Test, 64 Service, Diesel Diagnostic Tool</t>
        </is>
      </c>
      <c r="B593" s="30" t="inlineStr">
        <is>
          <t>B00E5YQZR4</t>
        </is>
      </c>
      <c r="C593" s="30" t="inlineStr">
        <is>
          <t>Tablet</t>
        </is>
      </c>
      <c r="D593" s="324" t="n">
        <v>2899</v>
      </c>
      <c r="E593" s="324" t="n">
        <v>12954.62</v>
      </c>
      <c r="F593" s="326" t="n">
        <v>0</v>
      </c>
      <c r="G593" s="55" t="n">
        <v>4</v>
      </c>
      <c r="H593" s="55" t="n">
        <v>0</v>
      </c>
      <c r="I593" s="55" t="n">
        <v>13</v>
      </c>
      <c r="J593" s="56" t="n">
        <v>4.2</v>
      </c>
      <c r="K593" s="56" t="inlineStr">
        <is>
          <t>https://amazon.com/dp/B00E5YQZR4</t>
        </is>
      </c>
      <c r="L593" s="70">
        <f>HYPERLINK(Table1311[[#This Row],[Column1]])</f>
        <v/>
      </c>
    </row>
    <row r="594" ht="60" customHeight="1" s="290">
      <c r="A594" s="30" t="inlineStr">
        <is>
          <t>Autel MS906BT1YRUPDATE, XNR-SS278</t>
        </is>
      </c>
      <c r="B594" s="30" t="inlineStr">
        <is>
          <t>B0CRCXZ7XJ</t>
        </is>
      </c>
      <c r="C594" s="30" t="inlineStr">
        <is>
          <t>Other</t>
        </is>
      </c>
      <c r="D594" s="324" t="n">
        <v>409</v>
      </c>
      <c r="E594" s="324" t="n">
        <v>10504.19</v>
      </c>
      <c r="F594" s="326" t="n">
        <v>0</v>
      </c>
      <c r="G594" s="55" t="n">
        <v>27</v>
      </c>
      <c r="H594" s="55" t="n">
        <v>0</v>
      </c>
      <c r="I594" s="55" t="n">
        <v>2</v>
      </c>
      <c r="J594" s="56" t="n">
        <v>4.5</v>
      </c>
      <c r="K594" s="56" t="inlineStr">
        <is>
          <t>https://amazon.com/dp/B0CRCXZ7XJ</t>
        </is>
      </c>
      <c r="L594" s="70">
        <f>HYPERLINK(Table1311[[#This Row],[Column1]])</f>
        <v/>
      </c>
    </row>
    <row r="595" ht="45" customHeight="1" s="290">
      <c r="A595" s="30" t="inlineStr">
        <is>
          <t>Autel AutoLink AL419 Vehicle OBDII/CAN Code Reader TFT Color Display Clears Codes and resets Monitors Views Freeze Frame Data DTC Definitions VIN</t>
        </is>
      </c>
      <c r="B595" s="30" t="inlineStr">
        <is>
          <t>B01M8N4YYX</t>
        </is>
      </c>
      <c r="C595" s="30" t="inlineStr">
        <is>
          <t>Handheld</t>
        </is>
      </c>
      <c r="D595" s="324" t="n">
        <v>59</v>
      </c>
      <c r="E595" s="324" t="n">
        <v>464</v>
      </c>
      <c r="F595" s="326" t="n">
        <v>0</v>
      </c>
      <c r="G595" s="55" t="n">
        <v>6</v>
      </c>
      <c r="H595" s="55" t="n">
        <v>0</v>
      </c>
      <c r="I595" s="55" t="n"/>
      <c r="J595" s="56" t="n"/>
      <c r="K595" s="56" t="inlineStr">
        <is>
          <t>https://amazon.com/dp/B01M8N4YYX</t>
        </is>
      </c>
      <c r="L595" s="70">
        <f>HYPERLINK(Table1311[[#This Row],[Column1]])</f>
        <v/>
      </c>
    </row>
    <row r="596" ht="60" customHeight="1" s="290">
      <c r="A596" s="30" t="inlineStr">
        <is>
          <t>Autel MaxiSys MS906Pro-TS 1-Year Update Service, Total Care Program (TCP) Card, One Year Software Subscription &amp; Warranty for MS906 Pro-TS Diagnostic Scanner Bi Directional Tool</t>
        </is>
      </c>
      <c r="B596" s="30" t="inlineStr">
        <is>
          <t>B0FFB26CYT</t>
        </is>
      </c>
      <c r="C596" s="30" t="inlineStr">
        <is>
          <t>Tablet</t>
        </is>
      </c>
      <c r="D596" s="324" t="n">
        <v>589</v>
      </c>
      <c r="E596" s="324" t="n">
        <v>1406.98</v>
      </c>
      <c r="F596" s="326" t="n">
        <v>0</v>
      </c>
      <c r="G596" s="55" t="n">
        <v>2</v>
      </c>
      <c r="H596" s="55" t="n">
        <v>0</v>
      </c>
      <c r="I596" s="55" t="n">
        <v>1</v>
      </c>
      <c r="J596" s="56" t="n">
        <v>5</v>
      </c>
      <c r="K596" s="56" t="inlineStr">
        <is>
          <t>https://amazon.com/dp/B0FFB26CYT</t>
        </is>
      </c>
      <c r="L596" s="70">
        <f>HYPERLINK(Table1311[[#This Row],[Column1]])</f>
        <v/>
      </c>
    </row>
    <row r="597" ht="60" customHeight="1" s="290">
      <c r="A597" s="30" t="inlineStr">
        <is>
          <t>Autel MaxiDiag MD808 Pro OBD2 Scanner Code Reader Level-up of MD808 MD806 MD802 Lifetime Upgrade All System Auto SCAN DTCs Detection Codes All 10 OBDII Test Modes OLS/EPB/SBC/SAS/BMS/DPF</t>
        </is>
      </c>
      <c r="B597" s="30" t="inlineStr">
        <is>
          <t>B0DBHJSSXG</t>
        </is>
      </c>
      <c r="C597" s="30" t="inlineStr">
        <is>
          <t>Handheld</t>
        </is>
      </c>
      <c r="D597" s="324" t="n">
        <v>259</v>
      </c>
      <c r="E597" s="324" t="n">
        <v>3955.5</v>
      </c>
      <c r="F597" s="326" t="n">
        <v>0</v>
      </c>
      <c r="G597" s="55" t="n">
        <v>15</v>
      </c>
      <c r="H597" s="55" t="n">
        <v>0</v>
      </c>
      <c r="I597" s="55" t="n">
        <v>6</v>
      </c>
      <c r="J597" s="56" t="n">
        <v>4.1</v>
      </c>
      <c r="K597" s="56" t="inlineStr">
        <is>
          <t>https://amazon.com/dp/B0DBHJSSXG</t>
        </is>
      </c>
      <c r="L597" s="70">
        <f>HYPERLINK(Table1311[[#This Row],[Column1]])</f>
        <v/>
      </c>
    </row>
    <row r="598" ht="60" customHeight="1" s="290">
      <c r="A598" s="30" t="inlineStr">
        <is>
          <t>2026 Autel Scanner MaxiCOM Ultra Lite, 2-Year Update, Same as MaxiSys Ultra Up of MS919 MS909 Elite 2 Pro, Intelligent Topology 2.0, Motor TruSpeed, 40+ Reset, 3K+ Bidirectional Diagnostic Scan Tool</t>
        </is>
      </c>
      <c r="B598" s="30" t="inlineStr">
        <is>
          <t>B09XGQJV13</t>
        </is>
      </c>
      <c r="C598" s="30" t="inlineStr">
        <is>
          <t>Tablet</t>
        </is>
      </c>
      <c r="D598" s="324" t="n">
        <v>2969</v>
      </c>
      <c r="E598" s="324" t="n">
        <v>45509.32</v>
      </c>
      <c r="F598" s="326" t="n">
        <v>0</v>
      </c>
      <c r="G598" s="55" t="n">
        <v>16</v>
      </c>
      <c r="H598" s="55" t="n">
        <v>0</v>
      </c>
      <c r="I598" s="55" t="n">
        <v>11</v>
      </c>
      <c r="J598" s="56" t="n">
        <v>4.8</v>
      </c>
      <c r="K598" s="56" t="inlineStr">
        <is>
          <t>https://amazon.com/dp/B09XGQJV13</t>
        </is>
      </c>
      <c r="L598" s="70">
        <f>HYPERLINK(Table1311[[#This Row],[Column1]])</f>
        <v/>
      </c>
    </row>
    <row r="599" ht="45" customHeight="1" s="290">
      <c r="A599" s="30" t="inlineStr">
        <is>
          <t>Autel MaxiFlash VCI Kit, J2534 Pass-Thru Programming Device, Compatible with MS909/MS909EV/MS909CV/Ultra Lite/Elite II Pro, Supports CAN FD, DoIP, RP1210, ECU Coding &amp; BMW Benz Programming</t>
        </is>
      </c>
      <c r="B599" s="30" t="inlineStr">
        <is>
          <t>B0BS2LXT6X</t>
        </is>
      </c>
      <c r="C599" s="30" t="inlineStr">
        <is>
          <t>VCI</t>
        </is>
      </c>
      <c r="D599" s="324" t="n">
        <v>899</v>
      </c>
      <c r="E599" s="324" t="n">
        <v>5257.73</v>
      </c>
      <c r="F599" s="326" t="n">
        <v>0</v>
      </c>
      <c r="G599" s="55" t="n">
        <v>6</v>
      </c>
      <c r="H599" s="55" t="n">
        <v>0</v>
      </c>
      <c r="I599" s="55" t="n">
        <v>5</v>
      </c>
      <c r="J599" s="56" t="n">
        <v>4.7</v>
      </c>
      <c r="K599" s="56" t="inlineStr">
        <is>
          <t>https://amazon.com/dp/B0BS2LXT6X</t>
        </is>
      </c>
      <c r="L599" s="70">
        <f>HYPERLINK(Table1311[[#This Row],[Column1]])</f>
        <v/>
      </c>
    </row>
    <row r="600" ht="45" customHeight="1" s="290">
      <c r="A600" s="30" t="inlineStr">
        <is>
          <t>Autel TESKIT3Y Tesla 3 and Y Model Vehicles Compatible Diagnostic Cable Adapter Compatible with Autel Ultra MS919 MS909 Elite II Ultra Enables to Read and Erase Codes 26Pin OBD1 to 16 Pin OBD2</t>
        </is>
      </c>
      <c r="B600" s="30" t="inlineStr">
        <is>
          <t>B0DDT7J8VH</t>
        </is>
      </c>
      <c r="C600" s="30" t="inlineStr">
        <is>
          <t>Cable/Adapter</t>
        </is>
      </c>
      <c r="D600" s="324" t="n">
        <v>49.99</v>
      </c>
      <c r="E600" s="324" t="n">
        <v>1616.15</v>
      </c>
      <c r="F600" s="326" t="n">
        <v>0</v>
      </c>
      <c r="G600" s="55" t="n">
        <v>34</v>
      </c>
      <c r="H600" s="55" t="n">
        <v>0</v>
      </c>
      <c r="I600" s="55" t="n"/>
      <c r="J600" s="56" t="n"/>
      <c r="K600" s="56" t="inlineStr">
        <is>
          <t>https://amazon.com/dp/B0DDT7J8VH</t>
        </is>
      </c>
      <c r="L600" s="70">
        <f>HYPERLINK(Table1311[[#This Row],[Column1]])</f>
        <v/>
      </c>
    </row>
    <row r="601" ht="45" customHeight="1" s="290">
      <c r="A601" s="30" t="inlineStr">
        <is>
          <t>Autel MaxiPRO MP900 Scanner, 2025 DoIP/CAN-FD MP900, Same as MP900BT, Upgraded of MP808BT PRO MS906BT MP808S DS808 MX900, Pro ECU Coding, 3000+Bidirectional, 40+ Services, Auto VIN, OS 11,FCA SGW</t>
        </is>
      </c>
      <c r="B601" s="30" t="inlineStr">
        <is>
          <t>B09LD27XKV</t>
        </is>
      </c>
      <c r="C601" s="30" t="inlineStr">
        <is>
          <t>Tablet</t>
        </is>
      </c>
      <c r="D601" s="324" t="n">
        <v>799</v>
      </c>
      <c r="E601" s="324" t="n">
        <v>3274.13</v>
      </c>
      <c r="F601" s="326" t="n">
        <v>0</v>
      </c>
      <c r="G601" s="55" t="n">
        <v>5</v>
      </c>
      <c r="H601" s="55" t="n">
        <v>0</v>
      </c>
      <c r="I601" s="55" t="n">
        <v>29</v>
      </c>
      <c r="J601" s="56" t="n">
        <v>4.1</v>
      </c>
      <c r="K601" s="56" t="inlineStr">
        <is>
          <t>https://amazon.com/dp/B09LD27XKV</t>
        </is>
      </c>
      <c r="L601" s="70">
        <f>HYPERLINK(Table1311[[#This Row],[Column1]])</f>
        <v/>
      </c>
    </row>
    <row r="602" ht="45" customHeight="1" s="290">
      <c r="A602" s="30" t="inlineStr">
        <is>
          <t>Autel Ultra EV Scanner, High Voltage Battery Pack Analysis, Diagnostic Scanner, with EVDiag Kit MaxiFlash VCMI, Bi Directional Control, ECU Coding, Programming Advanced Autel Ultra MS919 MS909</t>
        </is>
      </c>
      <c r="B602" s="30" t="inlineStr">
        <is>
          <t>B0BHYJZB2P</t>
        </is>
      </c>
      <c r="C602" s="30" t="inlineStr">
        <is>
          <t>Tablet</t>
        </is>
      </c>
      <c r="D602" s="324" t="n">
        <v>4995</v>
      </c>
      <c r="E602" s="324" t="n">
        <v>71821.13</v>
      </c>
      <c r="F602" s="326" t="n">
        <v>0</v>
      </c>
      <c r="G602" s="55" t="n">
        <v>14</v>
      </c>
      <c r="H602" s="55" t="n">
        <v>0</v>
      </c>
      <c r="I602" s="55" t="n">
        <v>14</v>
      </c>
      <c r="J602" s="56" t="n">
        <v>4.7</v>
      </c>
      <c r="K602" s="56" t="inlineStr">
        <is>
          <t>https://amazon.com/dp/B0BHYJZB2P</t>
        </is>
      </c>
      <c r="L602" s="70">
        <f>HYPERLINK(Table1311[[#This Row],[Column1]])</f>
        <v/>
      </c>
    </row>
    <row r="603" ht="45" customHeight="1" s="290">
      <c r="A603" s="30" t="inlineStr">
        <is>
          <t>2025 Autel Scanner MaxilM IM508S PRO OBD II Diagnostic Scan Tool, 2026 Same as IM608 PRO 2/ IM608S II, Enhanced of IM508S IM508</t>
        </is>
      </c>
      <c r="B603" s="30" t="inlineStr">
        <is>
          <t>B07PQ878S5</t>
        </is>
      </c>
      <c r="C603" s="30" t="inlineStr">
        <is>
          <t>Tablet</t>
        </is>
      </c>
      <c r="D603" s="324" t="n">
        <v>1599</v>
      </c>
      <c r="E603" s="324" t="n">
        <v>51729.57000000001</v>
      </c>
      <c r="F603" s="326" t="n">
        <v>0</v>
      </c>
      <c r="G603" s="55" t="n">
        <v>32</v>
      </c>
      <c r="H603" s="55" t="n">
        <v>0</v>
      </c>
      <c r="I603" s="55" t="n">
        <v>13</v>
      </c>
      <c r="J603" s="56" t="n">
        <v>4.3</v>
      </c>
      <c r="K603" s="56" t="inlineStr">
        <is>
          <t>https://amazon.com/dp/B07PQ878S5</t>
        </is>
      </c>
      <c r="L603" s="70">
        <f>HYPERLINK(Table1311[[#This Row],[Column1]])</f>
        <v/>
      </c>
    </row>
    <row r="604" ht="60" customHeight="1" s="290">
      <c r="A604" s="30" t="inlineStr">
        <is>
          <t>Autel MaxiSYS MS908S Pro II: J2534 Reprogramming Tool, 2026 Upgrade of MK908 Pro ECU Coding Tool, Bidirectional Scanner with 38+ Services, AutoScan 2.0, FCA AutoAuth, Alternative to MaxiSYS Elite II</t>
        </is>
      </c>
      <c r="B604" s="30" t="inlineStr">
        <is>
          <t>B00Y21BPCU</t>
        </is>
      </c>
      <c r="C604" s="30" t="inlineStr">
        <is>
          <t>Tablet</t>
        </is>
      </c>
      <c r="D604" s="324" t="n">
        <v>1969</v>
      </c>
      <c r="E604" s="324" t="n">
        <v>31750.38</v>
      </c>
      <c r="F604" s="326" t="n">
        <v>0</v>
      </c>
      <c r="G604" s="55" t="n">
        <v>16</v>
      </c>
      <c r="H604" s="55" t="n">
        <v>0</v>
      </c>
      <c r="I604" s="55" t="n">
        <v>3</v>
      </c>
      <c r="J604" s="56" t="n">
        <v>4.6</v>
      </c>
      <c r="K604" s="56" t="inlineStr">
        <is>
          <t>https://amazon.com/dp/B00Y21BPCU</t>
        </is>
      </c>
      <c r="L604" s="70">
        <f>HYPERLINK(Table1311[[#This Row],[Column1]])</f>
        <v/>
      </c>
    </row>
    <row r="605" ht="45" customHeight="1" s="290">
      <c r="A605" s="30" t="inlineStr">
        <is>
          <t>2026 Autel Scanner MaxiPRO MP900E KIT: Work as MP900-BT kit MS906 Pro MP808BT Pro w/ 11 Non-OBDII Adapter Kit, DoIP CAN-FD, 40+ Service, OE ECU Function, Bi-Directional Test, All System Scan, FCA SGWG</t>
        </is>
      </c>
      <c r="B605" s="30" t="inlineStr">
        <is>
          <t>B0924G1RDR</t>
        </is>
      </c>
      <c r="C605" s="30" t="inlineStr">
        <is>
          <t>Tablet</t>
        </is>
      </c>
      <c r="D605" s="324" t="n">
        <v>849</v>
      </c>
      <c r="E605" s="324" t="n">
        <v>14846.86</v>
      </c>
      <c r="F605" s="326" t="n">
        <v>0</v>
      </c>
      <c r="G605" s="55" t="n">
        <v>16</v>
      </c>
      <c r="H605" s="55" t="n">
        <v>0</v>
      </c>
      <c r="I605" s="55" t="n">
        <v>26</v>
      </c>
      <c r="J605" s="56" t="n">
        <v>4.5</v>
      </c>
      <c r="K605" s="56" t="inlineStr">
        <is>
          <t>https://amazon.com/dp/B0924G1RDR</t>
        </is>
      </c>
      <c r="L605" s="70">
        <f>HYPERLINK(Table1311[[#This Row],[Column1]])</f>
        <v/>
      </c>
    </row>
    <row r="606" ht="60" customHeight="1" s="290">
      <c r="A606" s="30" t="inlineStr">
        <is>
          <t>Autel MaxiSys MS906 Pro OBD2 Diagnostic Scanner, ECU Coding, 3000+ Active Test, 40+ Service, Bidirectional Scan Tool with CAN FD DoIP, Auto Scan 2.0, Upgrade of MS906S MX900 MK900 MP900BT, FCA SGW</t>
        </is>
      </c>
      <c r="B606" s="30" t="inlineStr">
        <is>
          <t>B0D93H3CZK</t>
        </is>
      </c>
      <c r="C606" s="30" t="inlineStr">
        <is>
          <t>Tablet</t>
        </is>
      </c>
      <c r="D606" s="324" t="n">
        <v>1369</v>
      </c>
      <c r="E606" s="324" t="n">
        <v>20663.95</v>
      </c>
      <c r="F606" s="326" t="n">
        <v>0</v>
      </c>
      <c r="G606" s="55" t="n">
        <v>15</v>
      </c>
      <c r="H606" s="55" t="n">
        <v>0</v>
      </c>
      <c r="I606" s="55" t="n">
        <v>3</v>
      </c>
      <c r="J606" s="56" t="n">
        <v>3.2</v>
      </c>
      <c r="K606" s="56" t="inlineStr">
        <is>
          <t>https://amazon.com/dp/B0D93H3CZK</t>
        </is>
      </c>
      <c r="L606" s="70">
        <f>HYPERLINK(Table1311[[#This Row],[Column1]])</f>
        <v/>
      </c>
    </row>
    <row r="607" ht="45" customHeight="1" s="290">
      <c r="A607" s="30" t="inlineStr">
        <is>
          <t>Autel MaxiLink ML529HD, OBD II/EOBD Code Reader, Latest Diagnostic DIY tools, Scan Tools For Heavy Duty Truck Diagnostic Verhicle J1939 J1708</t>
        </is>
      </c>
      <c r="B607" s="30" t="inlineStr">
        <is>
          <t>B0CC6H1C2K</t>
        </is>
      </c>
      <c r="C607" s="30" t="inlineStr">
        <is>
          <t>Handheld</t>
        </is>
      </c>
      <c r="D607" s="324" t="n">
        <v>125</v>
      </c>
      <c r="E607" s="324" t="n">
        <v>615.22</v>
      </c>
      <c r="F607" s="326" t="n">
        <v>0</v>
      </c>
      <c r="G607" s="55" t="n">
        <v>5</v>
      </c>
      <c r="H607" s="55" t="n">
        <v>0</v>
      </c>
      <c r="I607" s="55" t="n"/>
      <c r="J607" s="56" t="n"/>
      <c r="K607" s="56" t="inlineStr">
        <is>
          <t>https://amazon.com/dp/B0CC6H1C2K</t>
        </is>
      </c>
      <c r="L607" s="70">
        <f>HYPERLINK(Table1311[[#This Row],[Column1]])</f>
        <v/>
      </c>
    </row>
    <row r="608" ht="60" customHeight="1" s="290">
      <c r="A608" s="30" t="inlineStr">
        <is>
          <t>Autel MaxiTPMS TS900, Scanner &amp; TPMS Programming Tool 2-in-1, Upgrade of MK900BT, MK900TS, MS906TS, MX900, MK900, All System Diagnosis, 40+Services CAN FD/DoIP Program Autel MX Sensors</t>
        </is>
      </c>
      <c r="B608" s="30" t="inlineStr">
        <is>
          <t>B0CB6D1644</t>
        </is>
      </c>
      <c r="C608" s="30" t="inlineStr">
        <is>
          <t>Tablet</t>
        </is>
      </c>
      <c r="D608" s="324" t="n">
        <v>799</v>
      </c>
      <c r="E608" s="324" t="n">
        <v>16082.98</v>
      </c>
      <c r="F608" s="326" t="n">
        <v>0</v>
      </c>
      <c r="G608" s="55" t="n">
        <v>20</v>
      </c>
      <c r="H608" s="55" t="n">
        <v>0</v>
      </c>
      <c r="I608" s="55" t="n">
        <v>17</v>
      </c>
      <c r="J608" s="56" t="n">
        <v>4.6</v>
      </c>
      <c r="K608" s="56" t="inlineStr">
        <is>
          <t>https://amazon.com/dp/B0CB6D1644</t>
        </is>
      </c>
      <c r="L608" s="70">
        <f>HYPERLINK(Table1311[[#This Row],[Column1]])</f>
        <v/>
      </c>
    </row>
    <row r="609" ht="45" customHeight="1" s="290">
      <c r="A609" s="30" t="inlineStr">
        <is>
          <t>Autel MaxiBAS BT506 Battery Tester: New Version Multifunctional Car Battery Analyzer (6V 12V 100-2000 CCA), Adaptive Conductance Testing 12V-24V Cranking/Charging Systems, Work with Autel Scanner</t>
        </is>
      </c>
      <c r="B609" s="30" t="inlineStr">
        <is>
          <t>B0BLNTBY98</t>
        </is>
      </c>
      <c r="C609" s="30" t="inlineStr">
        <is>
          <t>Other</t>
        </is>
      </c>
      <c r="D609" s="324" t="n">
        <v>175</v>
      </c>
      <c r="E609" s="324" t="n">
        <v>981.63</v>
      </c>
      <c r="F609" s="326" t="n">
        <v>0</v>
      </c>
      <c r="G609" s="55" t="n">
        <v>5</v>
      </c>
      <c r="H609" s="55" t="n">
        <v>0</v>
      </c>
      <c r="I609" s="55" t="n">
        <v>6</v>
      </c>
      <c r="J609" s="56" t="n">
        <v>5</v>
      </c>
      <c r="K609" s="56" t="inlineStr">
        <is>
          <t>https://amazon.com/dp/B0BLNTBY98</t>
        </is>
      </c>
      <c r="L609" s="70">
        <f>HYPERLINK(Table1311[[#This Row],[Column1]])</f>
        <v/>
      </c>
    </row>
    <row r="610" ht="45" customHeight="1" s="290">
      <c r="A610" s="30" t="inlineStr">
        <is>
          <t>Autel MaxiCOM MK908 Pro II: 205 Same as MS908S PRO II OBD2 Car Diagnostic Scanner, 38+ Service, Active Test, All System Diagnose, Injector Coding, FCA Autoauth OS 11</t>
        </is>
      </c>
      <c r="B610" s="30" t="inlineStr">
        <is>
          <t>B07MX3BCFZ</t>
        </is>
      </c>
      <c r="C610" s="30" t="inlineStr">
        <is>
          <t>Tablet</t>
        </is>
      </c>
      <c r="D610" s="324" t="n">
        <v>1969</v>
      </c>
      <c r="E610" s="324" t="n">
        <v>5214.28</v>
      </c>
      <c r="F610" s="326" t="n">
        <v>0</v>
      </c>
      <c r="G610" s="55" t="n">
        <v>2</v>
      </c>
      <c r="H610" s="55" t="n">
        <v>0</v>
      </c>
      <c r="I610" s="55" t="n">
        <v>19</v>
      </c>
      <c r="J610" s="56" t="n">
        <v>4.2</v>
      </c>
      <c r="K610" s="56" t="inlineStr">
        <is>
          <t>https://amazon.com/dp/B07MX3BCFZ</t>
        </is>
      </c>
      <c r="L610" s="70">
        <f>HYPERLINK(Table1311[[#This Row],[Column1]])</f>
        <v/>
      </c>
    </row>
    <row r="611" ht="45" customHeight="1" s="290">
      <c r="A611" s="30" t="n"/>
      <c r="B611" s="30" t="n"/>
      <c r="C611" s="30" t="n"/>
      <c r="D611" s="324" t="n"/>
      <c r="E611" s="324" t="n"/>
      <c r="F611" s="326" t="n"/>
      <c r="G611" s="55" t="n"/>
      <c r="H611" s="55" t="n"/>
      <c r="I611" s="55" t="n"/>
      <c r="J611" s="56" t="n"/>
      <c r="K611" s="56" t="n"/>
      <c r="L611" s="70">
        <f>HYPERLINK(Table1311[[#This Row],[Column1]])</f>
        <v/>
      </c>
    </row>
    <row r="612" ht="45" customHeight="1" s="290">
      <c r="A612" s="30" t="n"/>
      <c r="B612" s="30" t="n"/>
      <c r="C612" s="30" t="n"/>
      <c r="D612" s="324" t="n"/>
      <c r="E612" s="324" t="n"/>
      <c r="F612" s="326" t="n"/>
      <c r="G612" s="55" t="n"/>
      <c r="H612" s="55" t="n"/>
      <c r="I612" s="55" t="n"/>
      <c r="J612" s="56" t="n"/>
      <c r="K612" s="56" t="n"/>
      <c r="L612" s="70">
        <f>HYPERLINK(Table1311[[#This Row],[Column1]])</f>
        <v/>
      </c>
    </row>
    <row r="613" ht="30" customHeight="1" s="290">
      <c r="A613" s="30" t="n"/>
      <c r="B613" s="30" t="n"/>
      <c r="C613" s="30" t="n"/>
      <c r="D613" s="324" t="n"/>
      <c r="E613" s="324" t="n"/>
      <c r="F613" s="326" t="n"/>
      <c r="G613" s="55" t="n"/>
      <c r="H613" s="55" t="n"/>
      <c r="I613" s="55" t="n"/>
      <c r="J613" s="56" t="n"/>
      <c r="K613" s="56" t="n"/>
      <c r="L613" s="70">
        <f>HYPERLINK(Table1311[[#This Row],[Column1]])</f>
        <v/>
      </c>
    </row>
    <row r="614" ht="30" customHeight="1" s="290">
      <c r="A614" s="30" t="n"/>
      <c r="B614" s="30" t="n"/>
      <c r="C614" s="30" t="n"/>
      <c r="D614" s="324" t="n"/>
      <c r="E614" s="324" t="n"/>
      <c r="F614" s="326" t="n"/>
      <c r="G614" s="55" t="n"/>
      <c r="H614" s="55" t="n"/>
      <c r="I614" s="55" t="n"/>
      <c r="J614" s="56" t="n"/>
      <c r="K614" s="56" t="n"/>
      <c r="L614" s="70">
        <f>HYPERLINK(Table1311[[#This Row],[Column1]])</f>
        <v/>
      </c>
    </row>
    <row r="615" ht="45" customHeight="1" s="290">
      <c r="A615" s="30" t="n"/>
      <c r="B615" s="30" t="n"/>
      <c r="C615" s="30" t="n"/>
      <c r="D615" s="324" t="n"/>
      <c r="E615" s="324" t="n"/>
      <c r="F615" s="326" t="n"/>
      <c r="G615" s="55" t="n"/>
      <c r="H615" s="55" t="n"/>
      <c r="I615" s="55" t="n"/>
      <c r="J615" s="56" t="n"/>
      <c r="K615" s="56" t="n"/>
      <c r="L615" s="70">
        <f>HYPERLINK(Table1311[[#This Row],[Column1]])</f>
        <v/>
      </c>
    </row>
    <row r="616" ht="45" customHeight="1" s="290">
      <c r="A616" s="30" t="n"/>
      <c r="B616" s="30" t="n"/>
      <c r="C616" s="30" t="n"/>
      <c r="D616" s="324" t="n"/>
      <c r="E616" s="324" t="n"/>
      <c r="F616" s="326" t="n"/>
      <c r="G616" s="55" t="n"/>
      <c r="H616" s="55" t="n"/>
      <c r="I616" s="55" t="n"/>
      <c r="J616" s="56" t="n"/>
      <c r="K616" s="56" t="n"/>
      <c r="L616" s="70">
        <f>HYPERLINK(Table1311[[#This Row],[Column1]])</f>
        <v/>
      </c>
    </row>
    <row r="617" ht="45" customHeight="1" s="290">
      <c r="A617" s="30" t="n"/>
      <c r="B617" s="30" t="n"/>
      <c r="C617" s="30" t="n"/>
      <c r="D617" s="324" t="n"/>
      <c r="E617" s="324" t="n"/>
      <c r="F617" s="326" t="n"/>
      <c r="G617" s="55" t="n"/>
      <c r="H617" s="55" t="n"/>
      <c r="I617" s="55" t="n"/>
      <c r="J617" s="56" t="n"/>
      <c r="K617" s="56" t="n"/>
      <c r="L617" s="70">
        <f>HYPERLINK(Table1311[[#This Row],[Column1]])</f>
        <v/>
      </c>
    </row>
    <row r="618" ht="60" customHeight="1" s="290">
      <c r="A618" s="30" t="n"/>
      <c r="B618" s="30" t="n"/>
      <c r="C618" s="30" t="n"/>
      <c r="D618" s="324" t="n"/>
      <c r="E618" s="324" t="n"/>
      <c r="F618" s="326" t="n"/>
      <c r="G618" s="55" t="n"/>
      <c r="H618" s="55" t="n"/>
      <c r="I618" s="55" t="n"/>
      <c r="J618" s="56" t="n"/>
      <c r="K618" s="56" t="n"/>
      <c r="L618" s="70">
        <f>HYPERLINK(Table1311[[#This Row],[Column1]])</f>
        <v/>
      </c>
    </row>
    <row r="619" ht="30" customHeight="1" s="290">
      <c r="A619" s="30" t="n"/>
      <c r="B619" s="30" t="n"/>
      <c r="C619" s="30" t="n"/>
      <c r="D619" s="324" t="n"/>
      <c r="E619" s="324" t="n"/>
      <c r="F619" s="326" t="n"/>
      <c r="G619" s="55" t="n"/>
      <c r="H619" s="55" t="n"/>
      <c r="I619" s="55" t="n"/>
      <c r="J619" s="56" t="n"/>
      <c r="K619" s="56" t="n"/>
      <c r="L619" s="70">
        <f>HYPERLINK(Table1311[[#This Row],[Column1]])</f>
        <v/>
      </c>
    </row>
    <row r="620" ht="17" customHeight="1" s="290">
      <c r="A620" s="33" t="inlineStr">
        <is>
          <t>Total</t>
        </is>
      </c>
      <c r="B620" s="32" t="n"/>
      <c r="C620" s="325" t="n"/>
      <c r="D620" s="325" t="n"/>
      <c r="E620" s="325">
        <f>SUM(E53:E619)</f>
        <v/>
      </c>
      <c r="F620" s="325">
        <f>SUM(F53:F619)</f>
        <v/>
      </c>
      <c r="I620" s="286" t="n"/>
      <c r="J620" s="287" t="n"/>
      <c r="K620" s="288" t="n"/>
    </row>
    <row r="621">
      <c r="D621" s="320" t="n"/>
      <c r="E621" s="320" t="n"/>
      <c r="J621" s="288" t="n"/>
    </row>
    <row r="622">
      <c r="D622" s="320" t="n"/>
      <c r="E622" s="320" t="n"/>
      <c r="J622" s="288" t="n"/>
    </row>
    <row r="623">
      <c r="A623" s="283" t="inlineStr">
        <is>
          <t>Rank by Units</t>
        </is>
      </c>
    </row>
    <row r="624" ht="17" customHeight="1" s="290">
      <c r="A624" s="38" t="inlineStr">
        <is>
          <t>Product Name</t>
        </is>
      </c>
      <c r="B624" s="39" t="inlineStr">
        <is>
          <t>ASIN</t>
        </is>
      </c>
      <c r="C624" s="39" t="inlineStr">
        <is>
          <t>Type</t>
        </is>
      </c>
      <c r="D624" s="322" t="inlineStr">
        <is>
          <t>Avg Price</t>
        </is>
      </c>
      <c r="E624" s="41" t="inlineStr">
        <is>
          <t>Estimated 12mo Revenue</t>
        </is>
      </c>
      <c r="F624" s="39" t="inlineStr">
        <is>
          <t>Monthly Rev</t>
        </is>
      </c>
      <c r="G624" s="42" t="inlineStr">
        <is>
          <t>Estimated 12mo Units</t>
        </is>
      </c>
      <c r="H624" s="45" t="inlineStr">
        <is>
          <t>Monthly Units</t>
        </is>
      </c>
      <c r="I624" s="42" t="inlineStr">
        <is>
          <t># of Reviews</t>
        </is>
      </c>
      <c r="J624" s="43" t="inlineStr">
        <is>
          <t xml:space="preserve">Tool Rating </t>
        </is>
      </c>
      <c r="K624" s="43" t="inlineStr">
        <is>
          <t>Column1</t>
        </is>
      </c>
      <c r="L624" s="323" t="inlineStr">
        <is>
          <t>Link</t>
        </is>
      </c>
    </row>
    <row r="625" ht="45" customHeight="1" s="290">
      <c r="A625" s="30" t="inlineStr">
        <is>
          <t>Autel Professional OBD2 Scanner AL319 Code Reader, Enhanced Check and Reset Engine Fault Code, Live Data, Freeze Frame, CAN Car Diagnostic Scan Tools for All OBDII Vehicles After 1996, 2026 Upgraded</t>
        </is>
      </c>
      <c r="B625" s="30" t="inlineStr">
        <is>
          <t>B007XE8C74</t>
        </is>
      </c>
      <c r="C625" s="30" t="inlineStr">
        <is>
          <t>Handheld</t>
        </is>
      </c>
      <c r="D625" s="324" t="n">
        <v>33.92090459901178</v>
      </c>
      <c r="E625" s="324" t="n">
        <v>1146321.48</v>
      </c>
      <c r="F625" s="324" t="n">
        <v>89245.89999999999</v>
      </c>
      <c r="G625" s="55" t="n">
        <v>34132</v>
      </c>
      <c r="H625" s="57" t="n">
        <v>2631</v>
      </c>
      <c r="I625" s="55" t="n">
        <v>25897</v>
      </c>
      <c r="J625" s="56" t="n">
        <v>4.6</v>
      </c>
      <c r="K625" s="56" t="inlineStr">
        <is>
          <t>https://amazon.com/dp/B007XE8C74</t>
        </is>
      </c>
      <c r="L625" s="70">
        <f>HYPERLINK(Table1410[[#This Row],[Column1]])</f>
        <v/>
      </c>
    </row>
    <row r="626" ht="60" customHeight="1" s="290">
      <c r="A626" s="30" t="inlineStr">
        <is>
          <t>Autel Scanner MaxiCOM MK808S: 2026 Bidirectional Tool as MX808S MK808BT Pro M808Z, Work as MaxiCheck MX900 MK900BT, 28+ Service, 3000+ Active Tests, All System OBD2 Diagnostics, OS 11, 10X Faster</t>
        </is>
      </c>
      <c r="B626" s="30" t="inlineStr">
        <is>
          <t>B0744B55QV</t>
        </is>
      </c>
      <c r="C626" s="30" t="inlineStr">
        <is>
          <t>Tablet</t>
        </is>
      </c>
      <c r="D626" s="324" t="n">
        <v>455.0867040358744</v>
      </c>
      <c r="E626" s="324" t="n">
        <v>7885233.039999999</v>
      </c>
      <c r="F626" s="324" t="n">
        <v>608906.01</v>
      </c>
      <c r="G626" s="55" t="n">
        <v>17363</v>
      </c>
      <c r="H626" s="57" t="n">
        <v>1338</v>
      </c>
      <c r="I626" s="55" t="n">
        <v>3847</v>
      </c>
      <c r="J626" s="56" t="n">
        <v>4.4</v>
      </c>
      <c r="K626" s="56" t="inlineStr">
        <is>
          <t>https://amazon.com/dp/B0744B55QV</t>
        </is>
      </c>
      <c r="L626" s="70">
        <f>HYPERLINK(Table1410[[#This Row],[Column1]])</f>
        <v/>
      </c>
    </row>
    <row r="627" ht="45" customHeight="1" s="290">
      <c r="A627" s="30" t="inlineStr">
        <is>
          <t>Autel OBD2 Scanner MS309 Universal Car Engine Fault Code Reader, Check Engine Light and Emission Monitor Status, OBDII CAN Diagnostic Scan Tool</t>
        </is>
      </c>
      <c r="B627" s="30" t="inlineStr">
        <is>
          <t>B07Q5H7M5S</t>
        </is>
      </c>
      <c r="C627" s="30" t="inlineStr">
        <is>
          <t>Handheld</t>
        </is>
      </c>
      <c r="D627" s="324" t="n">
        <v>22.98575278810409</v>
      </c>
      <c r="E627" s="324" t="n">
        <v>376205.9</v>
      </c>
      <c r="F627" s="324" t="n">
        <v>24732.67</v>
      </c>
      <c r="G627" s="55" t="n">
        <v>16814</v>
      </c>
      <c r="H627" s="57" t="n">
        <v>1076</v>
      </c>
      <c r="I627" s="55" t="n">
        <v>17084</v>
      </c>
      <c r="J627" s="56" t="n">
        <v>4.6</v>
      </c>
      <c r="K627" s="56" t="inlineStr">
        <is>
          <t>https://amazon.com/dp/B07Q5H7M5S</t>
        </is>
      </c>
      <c r="L627" s="70">
        <f>HYPERLINK(Table1410[[#This Row],[Column1]])</f>
        <v/>
      </c>
    </row>
    <row r="628" ht="45" customHeight="1" s="290">
      <c r="A628" s="30" t="inlineStr">
        <is>
          <t>Autel Scanner MaxiCOM MK900BT, 2026 MK900-BT V2.0 Bidirectional Diagnostic Tool, 8in Up of MK900 MX900 MK808S MK808BT MX808S MK808Z, 3000+ Active Tests, 40+ Service, CAN-FD&amp;DOIP, All System, FCA 11 OS</t>
        </is>
      </c>
      <c r="B628" s="30" t="inlineStr">
        <is>
          <t>B098PYB8XG</t>
        </is>
      </c>
      <c r="C628" s="30" t="inlineStr">
        <is>
          <t>Tablet</t>
        </is>
      </c>
      <c r="D628" s="324" t="n">
        <v>658.7687378640776</v>
      </c>
      <c r="E628" s="324" t="n">
        <v>6159075.856923075</v>
      </c>
      <c r="F628" s="324" t="n">
        <v>542825.4399999999</v>
      </c>
      <c r="G628" s="55" t="n">
        <v>8585</v>
      </c>
      <c r="H628" s="57" t="n">
        <v>824</v>
      </c>
      <c r="I628" s="55" t="n">
        <v>708</v>
      </c>
      <c r="J628" s="56" t="n">
        <v>4.5</v>
      </c>
      <c r="K628" s="56" t="inlineStr">
        <is>
          <t>https://amazon.com/dp/B098PYB8XG</t>
        </is>
      </c>
      <c r="L628" s="70">
        <f>HYPERLINK(Table1410[[#This Row],[Column1]])</f>
        <v/>
      </c>
    </row>
    <row r="629" ht="60" customHeight="1" s="290">
      <c r="A629" s="30" t="inlineStr">
        <is>
          <t>OBD2 12+8 Adapter for Chrysler, 12 8 OBD II Security Gateway Bypass Cable, OBD2 12&amp;8 Connector for FCA SGW Car SGM, Work for All OBD 2 Scanner, for Dodge, for Jeep, for Ram, for Fiat Year 2018+</t>
        </is>
      </c>
      <c r="B629" s="30" t="inlineStr">
        <is>
          <t>B0BJQKK2TJ</t>
        </is>
      </c>
      <c r="C629" s="30" t="inlineStr">
        <is>
          <t>Cable/Adapter</t>
        </is>
      </c>
      <c r="D629" s="324" t="n">
        <v>25.9953947368421</v>
      </c>
      <c r="E629" s="324" t="n">
        <v>237733.66</v>
      </c>
      <c r="F629" s="324" t="n">
        <v>19756.5</v>
      </c>
      <c r="G629" s="55" t="n">
        <v>9339</v>
      </c>
      <c r="H629" s="57" t="n">
        <v>760</v>
      </c>
      <c r="I629" s="55" t="n">
        <v>517</v>
      </c>
      <c r="J629" s="56" t="n">
        <v>4.7</v>
      </c>
      <c r="K629" s="56" t="inlineStr">
        <is>
          <t>https://amazon.com/dp/B0BJQKK2TJ</t>
        </is>
      </c>
      <c r="L629" s="70">
        <f>HYPERLINK(Table1410[[#This Row],[Column1]])</f>
        <v/>
      </c>
    </row>
    <row r="630" ht="60" customHeight="1" s="290">
      <c r="A630" s="30" t="inlineStr">
        <is>
          <t>Autel MaxiAP AP200 OBD2 Scanner Bluetooth Wireless OBDII Auto Diagnostic Tool with Full System Diagnostic, 19 Reset Functions, AutoVIN, Check Engine Light Code Reader for iPhone Android</t>
        </is>
      </c>
      <c r="B630" s="30" t="inlineStr">
        <is>
          <t>B07QD4GZW4</t>
        </is>
      </c>
      <c r="C630" s="30" t="inlineStr">
        <is>
          <t>Dongle</t>
        </is>
      </c>
      <c r="D630" s="324" t="n">
        <v>62.67936608557845</v>
      </c>
      <c r="E630" s="324" t="n">
        <v>548747.09</v>
      </c>
      <c r="F630" s="324" t="n">
        <v>39550.68</v>
      </c>
      <c r="G630" s="55" t="n">
        <v>8571</v>
      </c>
      <c r="H630" s="57" t="n">
        <v>631</v>
      </c>
      <c r="I630" s="55" t="n">
        <v>3186</v>
      </c>
      <c r="J630" s="56" t="n">
        <v>4.1</v>
      </c>
      <c r="K630" s="56" t="inlineStr">
        <is>
          <t>https://amazon.com/dp/B07QD4GZW4</t>
        </is>
      </c>
      <c r="L630" s="70">
        <f>HYPERLINK(Table1410[[#This Row],[Column1]])</f>
        <v/>
      </c>
    </row>
    <row r="631" ht="45" customHeight="1" s="290">
      <c r="A631" s="30" t="inlineStr">
        <is>
          <t>Autel PowerScan PS100 Automotive Circuit Tester 2.0, 12-24V Power Circuit Probe Tool, Electrical Short Open Circuit Finder, AC/DC/Resistance/Component/Signal/Test Light Automotive, 20ft Extension Cord</t>
        </is>
      </c>
      <c r="B631" s="30" t="inlineStr">
        <is>
          <t>B0BW48DKFG</t>
        </is>
      </c>
      <c r="C631" s="30" t="inlineStr">
        <is>
          <t>Probe</t>
        </is>
      </c>
      <c r="D631" s="324" t="n">
        <v>89.97608286252354</v>
      </c>
      <c r="E631" s="324" t="n">
        <v>509231.6592307692</v>
      </c>
      <c r="F631" s="324" t="n">
        <v>47777.3</v>
      </c>
      <c r="G631" s="55" t="n">
        <v>4189</v>
      </c>
      <c r="H631" s="57" t="n">
        <v>531</v>
      </c>
      <c r="I631" s="55" t="n">
        <v>366</v>
      </c>
      <c r="J631" s="56" t="n">
        <v>4.7</v>
      </c>
      <c r="K631" s="56" t="inlineStr">
        <is>
          <t>https://amazon.com/dp/B0BW48DKFG</t>
        </is>
      </c>
      <c r="L631" s="70">
        <f>HYPERLINK(Table1410[[#This Row],[Column1]])</f>
        <v/>
      </c>
    </row>
    <row r="632" ht="45" customHeight="1" s="290">
      <c r="A632" s="30" t="inlineStr">
        <is>
          <t>Autel OBD2 Scanner AutoLink AL549(Upgraded Ver. of AL519)Code Reader with AutoVin, Read/Erase DTCs for ABS, Universal Car Battery Test,OBD2 Scan with Live Data,Check Engine Fault OBD2 Diagnostic Tool</t>
        </is>
      </c>
      <c r="B632" s="30" t="inlineStr">
        <is>
          <t>B0CZ8TZCQS</t>
        </is>
      </c>
      <c r="C632" s="30" t="inlineStr">
        <is>
          <t>Handheld</t>
        </is>
      </c>
      <c r="D632" s="324" t="n">
        <v>64.31249500998004</v>
      </c>
      <c r="E632" s="324" t="n">
        <v>249406.0753846154</v>
      </c>
      <c r="F632" s="324" t="n">
        <v>32220.56</v>
      </c>
      <c r="G632" s="55" t="n">
        <v>3383</v>
      </c>
      <c r="H632" s="57" t="n">
        <v>501</v>
      </c>
      <c r="I632" s="55" t="n">
        <v>571</v>
      </c>
      <c r="J632" s="56" t="n">
        <v>4.4</v>
      </c>
      <c r="K632" s="56" t="inlineStr">
        <is>
          <t>https://amazon.com/dp/B0CZ8TZCQS</t>
        </is>
      </c>
      <c r="L632" s="70">
        <f>HYPERLINK(Table1410[[#This Row],[Column1]])</f>
        <v/>
      </c>
    </row>
    <row r="633" ht="60" customHeight="1" s="290">
      <c r="A633" s="30" t="inlineStr">
        <is>
          <t>Autel Scanner MaxiCheck MX808S, 2026 US Ver. of MaxiCOM MK808S MK808Z, Bidirectional 3000+ Active Test 11OS as MK900 MK900BT MX900, 28+ Service, OE All Systems OBD2 Diagnostic Tool, FCA, 10X Faster</t>
        </is>
      </c>
      <c r="B633" s="30" t="inlineStr">
        <is>
          <t>B08ML7T7KZ</t>
        </is>
      </c>
      <c r="C633" s="30" t="inlineStr">
        <is>
          <t>Tablet</t>
        </is>
      </c>
      <c r="D633" s="324" t="n">
        <v>430.9935983263599</v>
      </c>
      <c r="E633" s="324" t="n">
        <v>3546450.44</v>
      </c>
      <c r="F633" s="324" t="n">
        <v>206014.94</v>
      </c>
      <c r="G633" s="55" t="n">
        <v>8226</v>
      </c>
      <c r="H633" s="57" t="n">
        <v>478</v>
      </c>
      <c r="I633" s="55" t="n">
        <v>711</v>
      </c>
      <c r="J633" s="56" t="n">
        <v>4.7</v>
      </c>
      <c r="K633" s="56" t="inlineStr">
        <is>
          <t>https://amazon.com/dp/B08ML7T7KZ</t>
        </is>
      </c>
      <c r="L633" s="70">
        <f>HYPERLINK(Table1410[[#This Row],[Column1]])</f>
        <v/>
      </c>
    </row>
    <row r="634" ht="45" customHeight="1" s="290">
      <c r="A634" s="30" t="inlineStr">
        <is>
          <t>Autel OBD2 Scanner AL329, Upgraded AutoLink AL319, Auto VIN, Check-Engine-Light Code Reader, MIL Reset, One-Click I/M Readiness, CAN Car Diagnostic Scan Tool, for All OBD II Vehicles After 1996</t>
        </is>
      </c>
      <c r="B634" s="30" t="inlineStr">
        <is>
          <t>B0BHNRPZXR</t>
        </is>
      </c>
      <c r="C634" s="30" t="inlineStr">
        <is>
          <t>Handheld</t>
        </is>
      </c>
      <c r="D634" s="324" t="n">
        <v>34.95733050847458</v>
      </c>
      <c r="E634" s="324" t="n">
        <v>129034.19</v>
      </c>
      <c r="F634" s="324" t="n">
        <v>16499.86</v>
      </c>
      <c r="G634" s="55" t="n">
        <v>3727</v>
      </c>
      <c r="H634" s="57" t="n">
        <v>472</v>
      </c>
      <c r="I634" s="55" t="n">
        <v>140</v>
      </c>
      <c r="J634" s="56" t="n">
        <v>4.6</v>
      </c>
      <c r="K634" s="56" t="inlineStr">
        <is>
          <t>https://amazon.com/dp/B0BHNRPZXR</t>
        </is>
      </c>
      <c r="L634" s="70">
        <f>HYPERLINK(Table1410[[#This Row],[Column1]])</f>
        <v/>
      </c>
    </row>
    <row r="635" ht="45" customHeight="1" s="290">
      <c r="A635" s="30" t="inlineStr">
        <is>
          <t>Autel 7 Pin OBD1 to OBD2 Adapter Cable for Ford, 7Pin OBD1 to 16 Pin OBD2 Diagnostic Cable, Fit for Ford Vehicles with 7Pin Port, Work with Scan Tool and Code Reader</t>
        </is>
      </c>
      <c r="B635" s="30" t="inlineStr">
        <is>
          <t>B0DCFRHNF5</t>
        </is>
      </c>
      <c r="C635" s="30" t="inlineStr">
        <is>
          <t>Cable/Adapter</t>
        </is>
      </c>
      <c r="D635" s="324" t="n">
        <v>19.96475155279503</v>
      </c>
      <c r="E635" s="324" t="n">
        <v>60947.33</v>
      </c>
      <c r="F635" s="324" t="n">
        <v>6428.65</v>
      </c>
      <c r="G635" s="55" t="n">
        <v>3055</v>
      </c>
      <c r="H635" s="57" t="n">
        <v>322</v>
      </c>
      <c r="I635" s="55" t="n">
        <v>119</v>
      </c>
      <c r="J635" s="56" t="n">
        <v>3.8</v>
      </c>
      <c r="K635" s="56" t="inlineStr">
        <is>
          <t>https://amazon.com/dp/B0DCFRHNF5</t>
        </is>
      </c>
      <c r="L635" s="70">
        <f>HYPERLINK(Table1410[[#This Row],[Column1]])</f>
        <v/>
      </c>
    </row>
    <row r="636" ht="60" customHeight="1" s="290">
      <c r="A636" s="30" t="inlineStr">
        <is>
          <t>Autel Original OBD2 16 Pin OBDII Y Splitter Extension Adapter Cable, 16Pin 1x Male to 2X Female Extension Y Connector, Fits for All Standard OBD II Scanners (1FT/30CM)</t>
        </is>
      </c>
      <c r="B636" s="30" t="inlineStr">
        <is>
          <t>B0DF2WK54W</t>
        </is>
      </c>
      <c r="C636" s="30" t="inlineStr">
        <is>
          <t>Cable/Adapter</t>
        </is>
      </c>
      <c r="D636" s="324" t="n">
        <v>19.96224299065421</v>
      </c>
      <c r="E636" s="324" t="n">
        <v>52025.41</v>
      </c>
      <c r="F636" s="324" t="n">
        <v>6407.88</v>
      </c>
      <c r="G636" s="55" t="n">
        <v>2606</v>
      </c>
      <c r="H636" s="57" t="n">
        <v>321</v>
      </c>
      <c r="I636" s="55" t="n">
        <v>76</v>
      </c>
      <c r="J636" s="56" t="n">
        <v>4.5</v>
      </c>
      <c r="K636" s="56" t="inlineStr">
        <is>
          <t>https://amazon.com/dp/B0DF2WK54W</t>
        </is>
      </c>
      <c r="L636" s="70">
        <f>HYPERLINK(Table1410[[#This Row],[Column1]])</f>
        <v/>
      </c>
    </row>
    <row r="637" ht="45" customHeight="1" s="290">
      <c r="A637" s="30" t="inlineStr">
        <is>
          <t>Autel Scanner MaxiCOM MK900: 2026 Updated as MK900BT MK900-BT MX900 Bidirectional Diagnostic Tool, 8in Up of MK808S MK808BT Pro MX808S 808Z, 3K+ Active Tests, 40+ Service, CAN-FD&amp;DOIP, All System, FCA</t>
        </is>
      </c>
      <c r="B637" s="30" t="inlineStr">
        <is>
          <t>B073CQMF25</t>
        </is>
      </c>
      <c r="C637" s="30" t="inlineStr">
        <is>
          <t>Tablet</t>
        </is>
      </c>
      <c r="D637" s="324" t="n">
        <v>559.1208823529412</v>
      </c>
      <c r="E637" s="324" t="n">
        <v>2154287.09</v>
      </c>
      <c r="F637" s="324" t="n">
        <v>171090.99</v>
      </c>
      <c r="G637" s="55" t="n">
        <v>3794</v>
      </c>
      <c r="H637" s="57" t="n">
        <v>306</v>
      </c>
      <c r="I637" s="55" t="n">
        <v>371</v>
      </c>
      <c r="J637" s="56" t="n">
        <v>4.4</v>
      </c>
      <c r="K637" s="56" t="inlineStr">
        <is>
          <t>https://amazon.com/dp/B073CQMF25</t>
        </is>
      </c>
      <c r="L637" s="70">
        <f>HYPERLINK(Table1410[[#This Row],[Column1]])</f>
        <v/>
      </c>
    </row>
    <row r="638" ht="45" customHeight="1" s="290">
      <c r="A638" s="30" t="inlineStr">
        <is>
          <t>Autel Scanner MaxiCOM MK900BT, 2026 MK900-BT Bidirectional Diagnostic Scan Tool, 2.0 BT Ver. of MK900 MX900, 8in Up of MK808S MK808BT PRO MX808S MK808Z, 40+ Reset, 3K+ Active Tests, CAN FD &amp; DoIP, FCA</t>
        </is>
      </c>
      <c r="B638" s="30" t="inlineStr">
        <is>
          <t>B09712X5CW</t>
        </is>
      </c>
      <c r="C638" s="30" t="inlineStr">
        <is>
          <t>Tablet</t>
        </is>
      </c>
      <c r="D638" s="324" t="n">
        <v>658.3624742268041</v>
      </c>
      <c r="E638" s="324" t="n">
        <v>1561721.28</v>
      </c>
      <c r="F638" s="324" t="n">
        <v>191583.48</v>
      </c>
      <c r="G638" s="55" t="n">
        <v>2370</v>
      </c>
      <c r="H638" s="57" t="n">
        <v>291</v>
      </c>
      <c r="I638" s="55" t="n">
        <v>208</v>
      </c>
      <c r="J638" s="56" t="n">
        <v>4.6</v>
      </c>
      <c r="K638" s="56" t="inlineStr">
        <is>
          <t>https://amazon.com/dp/B09712X5CW</t>
        </is>
      </c>
      <c r="L638" s="70">
        <f>HYPERLINK(Table1410[[#This Row],[Column1]])</f>
        <v/>
      </c>
    </row>
    <row r="639" ht="45" customHeight="1" s="290">
      <c r="A639" s="30" t="inlineStr">
        <is>
          <t>Autel MS300 OBD2 Scanner Code Reader, Turn Off Check Engine Light, Read &amp; Erase Fault Codes, Check Emission Monitor Status CAN Diagnostic Scan Tool</t>
        </is>
      </c>
      <c r="B639" s="30" t="inlineStr">
        <is>
          <t>B001LHVOVK</t>
        </is>
      </c>
      <c r="C639" s="30" t="inlineStr">
        <is>
          <t>Handheld</t>
        </is>
      </c>
      <c r="D639" s="324" t="n">
        <v>19.95560975609756</v>
      </c>
      <c r="E639" s="324" t="n">
        <v>84315.16307692308</v>
      </c>
      <c r="F639" s="324" t="n">
        <v>5727.26</v>
      </c>
      <c r="G639" s="55" t="n">
        <v>3744</v>
      </c>
      <c r="H639" s="57" t="n">
        <v>287</v>
      </c>
      <c r="I639" s="55" t="n">
        <v>20230</v>
      </c>
      <c r="J639" s="56" t="n">
        <v>4.4</v>
      </c>
      <c r="K639" s="56" t="inlineStr">
        <is>
          <t>https://amazon.com/dp/B001LHVOVK</t>
        </is>
      </c>
      <c r="L639" s="70">
        <f>HYPERLINK(Table1410[[#This Row],[Column1]])</f>
        <v/>
      </c>
    </row>
    <row r="640" ht="45" customHeight="1" s="290">
      <c r="A640" s="30" t="inlineStr">
        <is>
          <t>Autel Enet OBD 2 Cable for BMW F G Series Coding, Ethernet to OBD II OBDII Interface Cable, Compatible with BMW Software E-SYS ICOM ISTA+, Programming/Refresh Hidden Function, High Speed, 6.6ft/ 2M</t>
        </is>
      </c>
      <c r="B640" s="30" t="inlineStr">
        <is>
          <t>B0D4MCRF6P</t>
        </is>
      </c>
      <c r="C640" s="30" t="inlineStr">
        <is>
          <t>Cable/Adapter</t>
        </is>
      </c>
      <c r="D640" s="324" t="n">
        <v>19.94462406015038</v>
      </c>
      <c r="E640" s="324" t="n">
        <v>29956.23</v>
      </c>
      <c r="F640" s="324" t="n">
        <v>5305.27</v>
      </c>
      <c r="G640" s="55" t="n">
        <v>1501</v>
      </c>
      <c r="H640" s="57" t="n">
        <v>266</v>
      </c>
      <c r="I640" s="55" t="n">
        <v>66</v>
      </c>
      <c r="J640" s="56" t="n">
        <v>4.6</v>
      </c>
      <c r="K640" s="56" t="inlineStr">
        <is>
          <t>https://amazon.com/dp/B0D4MCRF6P</t>
        </is>
      </c>
      <c r="L640" s="70">
        <f>HYPERLINK(Table1410[[#This Row],[Column1]])</f>
        <v/>
      </c>
    </row>
    <row r="641" ht="60" customHeight="1" s="290">
      <c r="A641" s="30" t="inlineStr">
        <is>
          <t>Autel Original OBD2 Main Test Cable - 16 Pin 3 Rows OBDII Diagnostic Test Connector, Only for MaxiSys MS908P, MS908S PRO II, MK908 Pro II, MS908CV II, Elite II, MS909, MS919, Ultra Lite, Ultra</t>
        </is>
      </c>
      <c r="B641" s="30" t="inlineStr">
        <is>
          <t>B0F7LX9SKK</t>
        </is>
      </c>
      <c r="C641" s="30" t="inlineStr">
        <is>
          <t>Cable/Adapter</t>
        </is>
      </c>
      <c r="D641" s="324" t="n">
        <v>25.94552123552124</v>
      </c>
      <c r="E641" s="324" t="n">
        <v>57287.94615384615</v>
      </c>
      <c r="F641" s="324" t="n">
        <v>6719.89</v>
      </c>
      <c r="G641" s="55" t="n">
        <v>1490</v>
      </c>
      <c r="H641" s="57" t="n">
        <v>259</v>
      </c>
      <c r="I641" s="55" t="n">
        <v>29</v>
      </c>
      <c r="J641" s="56" t="n">
        <v>4.7</v>
      </c>
      <c r="K641" s="56" t="inlineStr">
        <is>
          <t>https://amazon.com/dp/B0F7LX9SKK</t>
        </is>
      </c>
      <c r="L641" s="70">
        <f>HYPERLINK(Table1410[[#This Row],[Column1]])</f>
        <v/>
      </c>
    </row>
    <row r="642" ht="45" customHeight="1" s="290">
      <c r="A642" s="30" t="inlineStr">
        <is>
          <t>Autel Scanner MaxiCOM MK808BT PRO, 2026 Bidirectional Tool as MK900BT, Up Ver. of MK900 MaxiCheck MX900 MK808S MX808S, 3000+ Test, 28+ Service, All System Diagnostic, Injector Coding, FCA Android 11</t>
        </is>
      </c>
      <c r="B642" s="30" t="inlineStr">
        <is>
          <t>B07MBSZH48</t>
        </is>
      </c>
      <c r="C642" s="30" t="inlineStr">
        <is>
          <t>Tablet</t>
        </is>
      </c>
      <c r="D642" s="324" t="n">
        <v>548.6857421875</v>
      </c>
      <c r="E642" s="324" t="n">
        <v>1830531.78</v>
      </c>
      <c r="F642" s="324" t="n">
        <v>140463.55</v>
      </c>
      <c r="G642" s="55" t="n">
        <v>3407</v>
      </c>
      <c r="H642" s="57" t="n">
        <v>256</v>
      </c>
      <c r="I642" s="55" t="n">
        <v>1785</v>
      </c>
      <c r="J642" s="56" t="n">
        <v>4.6</v>
      </c>
      <c r="K642" s="56" t="inlineStr">
        <is>
          <t>https://amazon.com/dp/B07MBSZH48</t>
        </is>
      </c>
      <c r="L642" s="70">
        <f>HYPERLINK(Table1410[[#This Row],[Column1]])</f>
        <v/>
      </c>
    </row>
    <row r="643" ht="60" customHeight="1" s="290">
      <c r="A643" s="30" t="inlineStr">
        <is>
          <t>Autel Scanner MaxiCOM MK900BT: 2026 8in MK900-BT V2.0 Bidirectional Scan Tool, 33ft BT Ver. of MK900 MX900 MK808S MK808BT PRO MX808S MK808Z, 40+ Service, 3K+ Active Tests, DOIP CANFD, All System, FCA</t>
        </is>
      </c>
      <c r="B643" s="30" t="inlineStr">
        <is>
          <t>B07PGYY8SS</t>
        </is>
      </c>
      <c r="C643" s="30" t="inlineStr">
        <is>
          <t>Tablet</t>
        </is>
      </c>
      <c r="D643" s="324" t="n">
        <v>658.3173469387755</v>
      </c>
      <c r="E643" s="324" t="n">
        <v>1188045.54</v>
      </c>
      <c r="F643" s="324" t="n">
        <v>161287.75</v>
      </c>
      <c r="G643" s="55" t="n">
        <v>1578</v>
      </c>
      <c r="H643" s="57" t="n">
        <v>245</v>
      </c>
      <c r="I643" s="55" t="n">
        <v>173</v>
      </c>
      <c r="J643" s="56" t="n">
        <v>4.5</v>
      </c>
      <c r="K643" s="56" t="inlineStr">
        <is>
          <t>https://amazon.com/dp/B07PGYY8SS</t>
        </is>
      </c>
      <c r="L643" s="70">
        <f>HYPERLINK(Table1410[[#This Row],[Column1]])</f>
        <v/>
      </c>
    </row>
    <row r="644" ht="60" customHeight="1" s="290">
      <c r="A644" s="30" t="inlineStr">
        <is>
          <t>Autel Original OBD2 Main Test Cable, 5.6ft 1.7M, 16 Pin OBDII Diagnostic Test Cable, Work with Scanner MK808 MK808S MK808Z MX808 MX808S MP808 MP808S MP808K DS708 DS808 MS906 MS908, IM508 IM508S</t>
        </is>
      </c>
      <c r="B644" s="30" t="inlineStr">
        <is>
          <t>B0DCZCNGFM</t>
        </is>
      </c>
      <c r="C644" s="30" t="inlineStr">
        <is>
          <t>Cable/Adapter</t>
        </is>
      </c>
      <c r="D644" s="324" t="n">
        <v>22.99435146443514</v>
      </c>
      <c r="E644" s="324" t="n">
        <v>39888.93000000001</v>
      </c>
      <c r="F644" s="324" t="n">
        <v>5495.65</v>
      </c>
      <c r="G644" s="55" t="n">
        <v>1737</v>
      </c>
      <c r="H644" s="57" t="n">
        <v>239</v>
      </c>
      <c r="I644" s="55" t="n">
        <v>61</v>
      </c>
      <c r="J644" s="56" t="n">
        <v>4.5</v>
      </c>
      <c r="K644" s="56" t="inlineStr">
        <is>
          <t>https://amazon.com/dp/B0DCZCNGFM</t>
        </is>
      </c>
      <c r="L644" s="70">
        <f>HYPERLINK(Table1410[[#This Row],[Column1]])</f>
        <v/>
      </c>
    </row>
    <row r="645" ht="30" customHeight="1" s="290">
      <c r="A645" s="30" t="inlineStr">
        <is>
          <t>Autel MaxiCOM MK900 Bidirectional Scanner: 2026 Up of MaxiCheck MX808S MK808S, Work as MK900-BT MK900BT MX900 OBD2 Diagnostic Tool w/ 3000+ Active Test, 40+ Service, CAN-FD&amp;DOIP, All System, FCA 11 OS</t>
        </is>
      </c>
      <c r="B645" s="30" t="inlineStr">
        <is>
          <t>B0GDY7WJB7</t>
        </is>
      </c>
      <c r="C645" s="30" t="inlineStr">
        <is>
          <t>Tablet</t>
        </is>
      </c>
      <c r="D645" s="324" t="n">
        <v>589.6067948717948</v>
      </c>
      <c r="E645" s="324" t="n">
        <v>1403053.259230769</v>
      </c>
      <c r="F645" s="324" t="n">
        <v>137967.99</v>
      </c>
      <c r="G645" s="55" t="n">
        <v>435</v>
      </c>
      <c r="H645" s="57" t="n">
        <v>234</v>
      </c>
      <c r="I645" s="55" t="n">
        <v>23</v>
      </c>
      <c r="J645" s="56" t="n">
        <v>5</v>
      </c>
      <c r="K645" s="56" t="inlineStr">
        <is>
          <t>https://amazon.com/dp/B0GDY7WJB7</t>
        </is>
      </c>
      <c r="L645" s="70">
        <f>HYPERLINK(Table1410[[#This Row],[Column1]])</f>
        <v/>
      </c>
    </row>
    <row r="646" ht="30" customHeight="1" s="290">
      <c r="A646" s="30" t="inlineStr">
        <is>
          <t>Autel AutoLink AL519 OBD2 Scanner Enhanced Mode 6 Car Diagnostic Tool Check Engine Code Reader CAN Scan Tool, Advanced Ver. of AL319</t>
        </is>
      </c>
      <c r="B646" s="30" t="inlineStr">
        <is>
          <t>B07PQH6HSQ</t>
        </is>
      </c>
      <c r="C646" s="30" t="inlineStr">
        <is>
          <t>Handheld</t>
        </is>
      </c>
      <c r="D646" s="324" t="n">
        <v>60.02823275862069</v>
      </c>
      <c r="E646" s="324" t="n">
        <v>205997.48</v>
      </c>
      <c r="F646" s="324" t="n">
        <v>13926.55</v>
      </c>
      <c r="G646" s="55" t="n">
        <v>3517</v>
      </c>
      <c r="H646" s="57" t="n">
        <v>232</v>
      </c>
      <c r="I646" s="55" t="n">
        <v>2619</v>
      </c>
      <c r="J646" s="56" t="n">
        <v>4.5</v>
      </c>
      <c r="K646" s="56" t="inlineStr">
        <is>
          <t>https://amazon.com/dp/B07PQH6HSQ</t>
        </is>
      </c>
      <c r="L646" s="70">
        <f>HYPERLINK(Table1410[[#This Row],[Column1]])</f>
        <v/>
      </c>
    </row>
    <row r="647" ht="45" customHeight="1" s="290">
      <c r="A647" s="30" t="inlineStr">
        <is>
          <t>Autel AL519 OBD2 Scanner, 2026 Newer Professional Mechanic OBDII &amp; CAN Car Diagnostic Code Reader Tool for Check Engine Light, One-Click Smog Check, DTCs Lookup, Upgraded Ver. of AL319/ MS309</t>
        </is>
      </c>
      <c r="B647" s="30" t="inlineStr">
        <is>
          <t>B07CJHWHNX</t>
        </is>
      </c>
      <c r="C647" s="30" t="inlineStr">
        <is>
          <t>Handheld</t>
        </is>
      </c>
      <c r="D647" s="324" t="n">
        <v>59.88119617224881</v>
      </c>
      <c r="E647" s="324" t="n">
        <v>164078.7746153846</v>
      </c>
      <c r="F647" s="324" t="n">
        <v>12515.17</v>
      </c>
      <c r="G647" s="55" t="n">
        <v>2579</v>
      </c>
      <c r="H647" s="57" t="n">
        <v>209</v>
      </c>
      <c r="I647" s="55" t="n">
        <v>1105</v>
      </c>
      <c r="J647" s="56" t="n">
        <v>4.5</v>
      </c>
      <c r="K647" s="56" t="inlineStr">
        <is>
          <t>https://amazon.com/dp/B07CJHWHNX</t>
        </is>
      </c>
      <c r="L647" s="70">
        <f>HYPERLINK(Table1410[[#This Row],[Column1]])</f>
        <v/>
      </c>
    </row>
    <row r="648" ht="60" customHeight="1" s="290">
      <c r="A648" s="30" t="inlineStr">
        <is>
          <t>Autel AP200(HT200) Bluetooth OBD2 Scanner, Code Reader with Full Systems Diagnoses and 19 Service Functions, Mini Size Version of MK808 Diagnostic, Vehicle Scan Tool for iPhone &amp; Android Devices</t>
        </is>
      </c>
      <c r="B648" s="30" t="inlineStr">
        <is>
          <t>B07Y8K6XZF</t>
        </is>
      </c>
      <c r="C648" s="30" t="inlineStr">
        <is>
          <t>Dongle</t>
        </is>
      </c>
      <c r="D648" s="324" t="n">
        <v>58.90209756097561</v>
      </c>
      <c r="E648" s="324" t="n">
        <v>76767.88</v>
      </c>
      <c r="F648" s="324" t="n">
        <v>12074.93</v>
      </c>
      <c r="G648" s="55" t="n">
        <v>1287</v>
      </c>
      <c r="H648" s="57" t="n">
        <v>205</v>
      </c>
      <c r="I648" s="55" t="n">
        <v>793</v>
      </c>
      <c r="J648" s="56" t="n">
        <v>4</v>
      </c>
      <c r="K648" s="56" t="inlineStr">
        <is>
          <t>https://amazon.com/dp/B07Y8K6XZF</t>
        </is>
      </c>
      <c r="L648" s="70">
        <f>HYPERLINK(Table1410[[#This Row],[Column1]])</f>
        <v/>
      </c>
    </row>
    <row r="649" ht="60" customHeight="1" s="290">
      <c r="A649" s="30" t="inlineStr">
        <is>
          <t>Autel MaxiCheck MX900 Scanner, 2026 Bidirectional Scan Tool with 3000+ Active Test, DoIP&amp;CAN FD, 40+ Service, US Ver. of MaxiCOM MK900 MK900BT, Up of MK808BT MK808S MX808S, All-Sys Diagnose, FCA 11OS</t>
        </is>
      </c>
      <c r="B649" s="30" t="inlineStr">
        <is>
          <t>B09JFXPYKL</t>
        </is>
      </c>
      <c r="C649" s="30" t="inlineStr">
        <is>
          <t>Tablet</t>
        </is>
      </c>
      <c r="D649" s="324" t="n">
        <v>559.3285572139304</v>
      </c>
      <c r="E649" s="324" t="n">
        <v>712617.9700000001</v>
      </c>
      <c r="F649" s="324" t="n">
        <v>112425.04</v>
      </c>
      <c r="G649" s="55" t="n">
        <v>1274</v>
      </c>
      <c r="H649" s="57" t="n">
        <v>201</v>
      </c>
      <c r="I649" s="55" t="n">
        <v>117</v>
      </c>
      <c r="J649" s="56" t="n">
        <v>4.6</v>
      </c>
      <c r="K649" s="56" t="inlineStr">
        <is>
          <t>https://amazon.com/dp/B09JFXPYKL</t>
        </is>
      </c>
      <c r="L649" s="70">
        <f>HYPERLINK(Table1410[[#This Row],[Column1]])</f>
        <v/>
      </c>
    </row>
    <row r="650" ht="60" customHeight="1" s="290">
      <c r="A650" s="30" t="inlineStr">
        <is>
          <t>12+8 Cable for Chrysler, 12 8 Pin Connector to OBD2 Adapter 2.6ft/ 0.8M, OBDII Security Gateway Bypass Cable for FCA SGW Vehicles, for Dodge, for Ram, for Chrysler, for Fiat, Fit All Auto Scanners</t>
        </is>
      </c>
      <c r="B650" s="30" t="inlineStr">
        <is>
          <t>B0D7VMLVNW</t>
        </is>
      </c>
      <c r="C650" s="30" t="inlineStr">
        <is>
          <t>Cable/Adapter</t>
        </is>
      </c>
      <c r="D650" s="324" t="n">
        <v>27.01031914893617</v>
      </c>
      <c r="E650" s="324" t="n">
        <v>92867.17</v>
      </c>
      <c r="F650" s="324" t="n">
        <v>5077.94</v>
      </c>
      <c r="G650" s="55" t="n">
        <v>3466</v>
      </c>
      <c r="H650" s="57" t="n">
        <v>188</v>
      </c>
      <c r="I650" s="55" t="n">
        <v>124</v>
      </c>
      <c r="J650" s="56" t="n">
        <v>4.7</v>
      </c>
      <c r="K650" s="56" t="inlineStr">
        <is>
          <t>https://amazon.com/dp/B0D7VMLVNW</t>
        </is>
      </c>
      <c r="L650" s="70">
        <f>HYPERLINK(Table1410[[#This Row],[Column1]])</f>
        <v/>
      </c>
    </row>
    <row r="651" ht="60" customHeight="1" s="290">
      <c r="A651" s="30" t="inlineStr">
        <is>
          <t>Autel AutoLink AL619 Scanner, 2026 ABS SRS Airbag Warning Light Diagnostic Scan Tool, Up of AL519 ML519 ML619, 10 OBDII Test Modes, DTCs Lookup, Live Data, Turn Off Check Engine Light OBD2 Code Reader</t>
        </is>
      </c>
      <c r="B651" s="30" t="inlineStr">
        <is>
          <t>B0925G7QY1</t>
        </is>
      </c>
      <c r="C651" s="30" t="inlineStr">
        <is>
          <t>Handheld</t>
        </is>
      </c>
      <c r="D651" s="324" t="n">
        <v>99.98058823529412</v>
      </c>
      <c r="E651" s="324" t="n">
        <v>205865.65</v>
      </c>
      <c r="F651" s="324" t="n">
        <v>16996.7</v>
      </c>
      <c r="G651" s="55" t="n">
        <v>2097</v>
      </c>
      <c r="H651" s="57" t="n">
        <v>170</v>
      </c>
      <c r="I651" s="55" t="n">
        <v>563</v>
      </c>
      <c r="J651" s="56" t="n">
        <v>4.3</v>
      </c>
      <c r="K651" s="56" t="inlineStr">
        <is>
          <t>https://amazon.com/dp/B0925G7QY1</t>
        </is>
      </c>
      <c r="L651" s="70">
        <f>HYPERLINK(Table1410[[#This Row],[Column1]])</f>
        <v/>
      </c>
    </row>
    <row r="652" ht="45" customHeight="1" s="290">
      <c r="A652" s="30" t="inlineStr">
        <is>
          <t>Autel Scanner MaxiCheck MX808S, 2026 US Ver of MaxiCOM MK808S MK808Z, Full Bidirectional Diagnostic Scan Tool as MK900 MX900 MK900BT MK808BT PRO, 3K+ Active Test, 28+ Service, OE All System, OS11, FCA</t>
        </is>
      </c>
      <c r="B652" s="30" t="inlineStr">
        <is>
          <t>B08TWMTD35</t>
        </is>
      </c>
      <c r="C652" s="30" t="inlineStr">
        <is>
          <t>Tablet</t>
        </is>
      </c>
      <c r="D652" s="324" t="n">
        <v>448.3831764705882</v>
      </c>
      <c r="E652" s="324" t="n">
        <v>598786.13</v>
      </c>
      <c r="F652" s="324" t="n">
        <v>76225.14</v>
      </c>
      <c r="G652" s="55" t="n">
        <v>1331</v>
      </c>
      <c r="H652" s="57" t="n">
        <v>170</v>
      </c>
      <c r="I652" s="55" t="n">
        <v>587</v>
      </c>
      <c r="J652" s="56" t="n">
        <v>4.6</v>
      </c>
      <c r="K652" s="56" t="inlineStr">
        <is>
          <t>https://amazon.com/dp/B08TWMTD35</t>
        </is>
      </c>
      <c r="L652" s="70">
        <f>HYPERLINK(Table1410[[#This Row],[Column1]])</f>
        <v/>
      </c>
    </row>
    <row r="653" ht="45" customHeight="1" s="290">
      <c r="A653" s="30" t="inlineStr">
        <is>
          <t>Autel Scanner MaxiIM KM100 (X), Lifetime Free Updates, 2026 New Automotive Diagnostic OBD2 Scan Tool, V200 Wireless BT Connection, Auto Scan &amp; Auto VIN, Android 9.0, 2GB &amp; 64GB, 5.5in 1280 * 720</t>
        </is>
      </c>
      <c r="B653" s="30" t="inlineStr">
        <is>
          <t>B0FLKG4BTQ</t>
        </is>
      </c>
      <c r="C653" s="30" t="inlineStr">
        <is>
          <t>Tablet</t>
        </is>
      </c>
      <c r="D653" s="324" t="n">
        <v>520.1753703703704</v>
      </c>
      <c r="E653" s="324" t="n">
        <v>670104.6876923076</v>
      </c>
      <c r="F653" s="324" t="n">
        <v>84268.41</v>
      </c>
      <c r="G653" s="55" t="n">
        <v>384</v>
      </c>
      <c r="H653" s="57" t="n">
        <v>162</v>
      </c>
      <c r="I653" s="55" t="n">
        <v>19</v>
      </c>
      <c r="J653" s="56" t="n">
        <v>4.2</v>
      </c>
      <c r="K653" s="56" t="inlineStr">
        <is>
          <t>https://amazon.com/dp/B0FLKG4BTQ</t>
        </is>
      </c>
      <c r="L653" s="70">
        <f>HYPERLINK(Table1410[[#This Row],[Column1]])</f>
        <v/>
      </c>
    </row>
    <row r="654" ht="60" customHeight="1" s="290">
      <c r="A654" s="30" t="inlineStr">
        <is>
          <t>Autel Scanner MaxiCOM MK808BT PRO, 2026 Bidirectional Diagnostic Scan Tool as MK900BT, 2.0 BT Ver. of MK808S MX808S MX900 MK900, 3000+ Active Tests, 28+ Reset, Injector Coding, All Systems, FCA, OS 11</t>
        </is>
      </c>
      <c r="B654" s="30" t="inlineStr">
        <is>
          <t>B07FFT8SCC</t>
        </is>
      </c>
      <c r="C654" s="30" t="inlineStr">
        <is>
          <t>Tablet</t>
        </is>
      </c>
      <c r="D654" s="324" t="n">
        <v>550.0850943396226</v>
      </c>
      <c r="E654" s="324" t="n">
        <v>631410.39</v>
      </c>
      <c r="F654" s="324" t="n">
        <v>87463.53</v>
      </c>
      <c r="G654" s="55" t="n">
        <v>1148</v>
      </c>
      <c r="H654" s="57" t="n">
        <v>159</v>
      </c>
      <c r="I654" s="55" t="n">
        <v>663</v>
      </c>
      <c r="J654" s="56" t="n">
        <v>4.5</v>
      </c>
      <c r="K654" s="56" t="inlineStr">
        <is>
          <t>https://amazon.com/dp/B07FFT8SCC</t>
        </is>
      </c>
      <c r="L654" s="70">
        <f>HYPERLINK(Table1410[[#This Row],[Column1]])</f>
        <v/>
      </c>
    </row>
    <row r="655" ht="45" customHeight="1" s="290">
      <c r="A655" s="30" t="inlineStr">
        <is>
          <t>Autel Original OBD1 to OBD2 GM Adapter Cable, 12 Pin Male to 16 Pin Female Extension, OBD II Connector Replacement for GM Diagnostic Tool</t>
        </is>
      </c>
      <c r="B655" s="30" t="inlineStr">
        <is>
          <t>B0FNDB1JPY</t>
        </is>
      </c>
      <c r="C655" s="30" t="inlineStr">
        <is>
          <t>OBD1</t>
        </is>
      </c>
      <c r="D655" s="324" t="n">
        <v>16.97183544303797</v>
      </c>
      <c r="E655" s="324" t="n">
        <v>34767.58538461538</v>
      </c>
      <c r="F655" s="324" t="n">
        <v>2681.55</v>
      </c>
      <c r="G655" s="55" t="n">
        <v>882</v>
      </c>
      <c r="H655" s="57" t="n">
        <v>158</v>
      </c>
      <c r="I655" s="55" t="n">
        <v>43</v>
      </c>
      <c r="J655" s="56" t="n">
        <v>3.1</v>
      </c>
      <c r="K655" s="56" t="inlineStr">
        <is>
          <t>https://amazon.com/dp/B0FNDB1JPY</t>
        </is>
      </c>
      <c r="L655" s="70">
        <f>HYPERLINK(Table1410[[#This Row],[Column1]])</f>
        <v/>
      </c>
    </row>
    <row r="656" ht="45" customHeight="1" s="290">
      <c r="A656" s="30" t="inlineStr">
        <is>
          <t>Autel Autolink Al329(Upgraded AL319) Code Reader OBDII Scanner</t>
        </is>
      </c>
      <c r="B656" s="30" t="inlineStr">
        <is>
          <t>B073RF7Z47</t>
        </is>
      </c>
      <c r="C656" s="30" t="inlineStr">
        <is>
          <t>Handheld</t>
        </is>
      </c>
      <c r="D656" s="324" t="n">
        <v>35.07866242038217</v>
      </c>
      <c r="E656" s="324" t="n">
        <v>45034.16000000001</v>
      </c>
      <c r="F656" s="324" t="n">
        <v>5507.35</v>
      </c>
      <c r="G656" s="55" t="n">
        <v>1307</v>
      </c>
      <c r="H656" s="57" t="n">
        <v>157</v>
      </c>
      <c r="I656" s="55" t="n">
        <v>546</v>
      </c>
      <c r="J656" s="56" t="n">
        <v>4.6</v>
      </c>
      <c r="K656" s="56" t="inlineStr">
        <is>
          <t>https://amazon.com/dp/B073RF7Z47</t>
        </is>
      </c>
      <c r="L656" s="70">
        <f>HYPERLINK(Table1410[[#This Row],[Column1]])</f>
        <v/>
      </c>
    </row>
    <row r="657" ht="45" customHeight="1" s="290">
      <c r="A657" s="30" t="inlineStr">
        <is>
          <t>Autel OBD 2 Extension Cable, Ultra-Long 10ft 3M, 16 Pin OBD II OBD2 Car Male to Female Extension Cord, OBD2 Diagnostic Extender Adapter, for All OBDII Vehicles</t>
        </is>
      </c>
      <c r="B657" s="30" t="inlineStr">
        <is>
          <t>B0D4QVZ7JG</t>
        </is>
      </c>
      <c r="C657" s="30" t="inlineStr">
        <is>
          <t>Cable/Adapter</t>
        </is>
      </c>
      <c r="D657" s="324" t="n">
        <v>25.9537012987013</v>
      </c>
      <c r="E657" s="324" t="n">
        <v>40381.5</v>
      </c>
      <c r="F657" s="324" t="n">
        <v>3996.87</v>
      </c>
      <c r="G657" s="55" t="n">
        <v>1557</v>
      </c>
      <c r="H657" s="57" t="n">
        <v>154</v>
      </c>
      <c r="I657" s="55" t="n">
        <v>97</v>
      </c>
      <c r="J657" s="56" t="n">
        <v>4.7</v>
      </c>
      <c r="K657" s="56" t="inlineStr">
        <is>
          <t>https://amazon.com/dp/B0D4QVZ7JG</t>
        </is>
      </c>
      <c r="L657" s="70">
        <f>HYPERLINK(Table1410[[#This Row],[Column1]])</f>
        <v/>
      </c>
    </row>
    <row r="658" ht="45" customHeight="1" s="290">
      <c r="A658" s="30" t="inlineStr">
        <is>
          <t>Autel Original 3-in-1 OBD2 Adapter Cable,16 Pin to 6/4/3 Pin OBD Diagnostic Cable, OBD2 to OBD1 6pin 4pin 3pin Plug Adapter for Motorcycle Honda/Guzzi/Kawasaki/Suzuki, Compatible with OBDII Scanners</t>
        </is>
      </c>
      <c r="B658" s="30" t="inlineStr">
        <is>
          <t>B0DF2M277F</t>
        </is>
      </c>
      <c r="C658" s="30" t="inlineStr">
        <is>
          <t>Cable/Adapter</t>
        </is>
      </c>
      <c r="D658" s="324" t="n">
        <v>23.05607142857143</v>
      </c>
      <c r="E658" s="324" t="n">
        <v>22159.69384615384</v>
      </c>
      <c r="F658" s="324" t="n">
        <v>3227.85</v>
      </c>
      <c r="G658" s="55" t="n">
        <v>835</v>
      </c>
      <c r="H658" s="57" t="n">
        <v>140</v>
      </c>
      <c r="I658" s="55" t="n">
        <v>31</v>
      </c>
      <c r="J658" s="56" t="n">
        <v>4.3</v>
      </c>
      <c r="K658" s="56" t="inlineStr">
        <is>
          <t>https://amazon.com/dp/B0DF2M277F</t>
        </is>
      </c>
      <c r="L658" s="70">
        <f>HYPERLINK(Table1410[[#This Row],[Column1]])</f>
        <v/>
      </c>
    </row>
    <row r="659" ht="45" customHeight="1" s="290">
      <c r="A659" s="30" t="inlineStr">
        <is>
          <t>Autel MaxiLink ML519 Enhanced Mode 6 OBD2 Scanner Auto Diagnostic Scan Tool Check Engine Fault Code Reader CAN Scan Tool, Upgraded Ver. of AL319</t>
        </is>
      </c>
      <c r="B659" s="30" t="inlineStr">
        <is>
          <t>B07NQFM2P2</t>
        </is>
      </c>
      <c r="C659" s="30" t="inlineStr">
        <is>
          <t>Handheld</t>
        </is>
      </c>
      <c r="D659" s="324" t="n">
        <v>60.14008620689656</v>
      </c>
      <c r="E659" s="324" t="n">
        <v>75963.45538461539</v>
      </c>
      <c r="F659" s="324" t="n">
        <v>6976.25</v>
      </c>
      <c r="G659" s="55" t="n">
        <v>1183</v>
      </c>
      <c r="H659" s="57" t="n">
        <v>116</v>
      </c>
      <c r="I659" s="55" t="n">
        <v>2619</v>
      </c>
      <c r="J659" s="56" t="n">
        <v>4.5</v>
      </c>
      <c r="K659" s="56" t="inlineStr">
        <is>
          <t>https://amazon.com/dp/B07NQFM2P2</t>
        </is>
      </c>
      <c r="L659" s="70">
        <f>HYPERLINK(Table1410[[#This Row],[Column1]])</f>
        <v/>
      </c>
    </row>
    <row r="660" ht="45" customHeight="1" s="290">
      <c r="A660" s="30" t="inlineStr">
        <is>
          <t>Autel 6 Pin Obd2 Adapter Cable for Kawasaki Yamaha Suzuki Honda Yamaha Milan Piaggio Guzzi Motorcycle, Euro 5 6 Pin OBD1 to 16 Pin OBD2 Cable Connector, Fits CAN Bus and K-Line,Work with Code Reader</t>
        </is>
      </c>
      <c r="B660" s="30" t="inlineStr">
        <is>
          <t>B0DXBRRGVZ</t>
        </is>
      </c>
      <c r="C660" s="30" t="inlineStr">
        <is>
          <t>Cable/Adapter</t>
        </is>
      </c>
      <c r="D660" s="324" t="n">
        <v>19.89939655172414</v>
      </c>
      <c r="E660" s="324" t="n">
        <v>13247.34615384615</v>
      </c>
      <c r="F660" s="324" t="n">
        <v>2308.33</v>
      </c>
      <c r="G660" s="55" t="n">
        <v>558</v>
      </c>
      <c r="H660" s="57" t="n">
        <v>116</v>
      </c>
      <c r="I660" s="55" t="n">
        <v>35</v>
      </c>
      <c r="J660" s="56" t="n">
        <v>4.7</v>
      </c>
      <c r="K660" s="56" t="inlineStr">
        <is>
          <t>https://amazon.com/dp/B0DXBRRGVZ</t>
        </is>
      </c>
      <c r="L660" s="70">
        <f>HYPERLINK(Table1410[[#This Row],[Column1]])</f>
        <v/>
      </c>
    </row>
    <row r="661" ht="45" customHeight="1" s="290">
      <c r="A661" s="30" t="inlineStr">
        <is>
          <t>Autel Original TCAN003 Splitter Diagnostic Cable for Tesla Model 3, Y, S, X, 20 Pin + 12 Pin to 16 Pin OBDII Adapter OBD2 Connector Work w/Autel Scanner MaxiSys Ultra Elite II PRO MS909</t>
        </is>
      </c>
      <c r="B661" s="30" t="inlineStr">
        <is>
          <t>B0D3V9DMLP</t>
        </is>
      </c>
      <c r="C661" s="30" t="inlineStr">
        <is>
          <t>Cable/Adapter</t>
        </is>
      </c>
      <c r="D661" s="324" t="n">
        <v>26.05485436893204</v>
      </c>
      <c r="E661" s="324" t="n">
        <v>29500.61</v>
      </c>
      <c r="F661" s="324" t="n">
        <v>2683.65</v>
      </c>
      <c r="G661" s="55" t="n">
        <v>1137</v>
      </c>
      <c r="H661" s="57" t="n">
        <v>103</v>
      </c>
      <c r="I661" s="55" t="n">
        <v>36</v>
      </c>
      <c r="J661" s="56" t="n">
        <v>4.5</v>
      </c>
      <c r="K661" s="56" t="inlineStr">
        <is>
          <t>https://amazon.com/dp/B0D3V9DMLP</t>
        </is>
      </c>
      <c r="L661" s="70">
        <f>HYPERLINK(Table1410[[#This Row],[Column1]])</f>
        <v/>
      </c>
    </row>
    <row r="662" ht="45" customHeight="1" s="290">
      <c r="A662" s="30" t="inlineStr">
        <is>
          <t>Autel Scanner MaxilM KM100 Diagnostic Tool 2026, 2026 New KM100 OBD Scan Tool for 99% Vehicles, Lifetime Update, IM508S &amp; IM608 PRO II Lite Model, No IP Limit</t>
        </is>
      </c>
      <c r="B662" s="30" t="inlineStr">
        <is>
          <t>B0G2LT49CN</t>
        </is>
      </c>
      <c r="C662" s="30" t="inlineStr">
        <is>
          <t>Tablet</t>
        </is>
      </c>
      <c r="D662" s="324" t="n">
        <v>467.3973195876289</v>
      </c>
      <c r="E662" s="324" t="n">
        <v>354597.2484615384</v>
      </c>
      <c r="F662" s="324" t="n">
        <v>45337.54</v>
      </c>
      <c r="G662" s="55" t="n">
        <v>128</v>
      </c>
      <c r="H662" s="57" t="n">
        <v>97</v>
      </c>
      <c r="I662" s="55" t="n">
        <v>3</v>
      </c>
      <c r="J662" s="56" t="n">
        <v>5</v>
      </c>
      <c r="K662" s="56" t="inlineStr">
        <is>
          <t>https://amazon.com/dp/B0G2LT49CN</t>
        </is>
      </c>
      <c r="L662" s="70">
        <f>HYPERLINK(Table1410[[#This Row],[Column1]])</f>
        <v/>
      </c>
    </row>
    <row r="663" ht="45" customHeight="1" s="290">
      <c r="A663" s="30" t="inlineStr">
        <is>
          <t>Autel AP2500E/AP2500 OBD2 Scanner Bluetooth Code Reader, Upgraded of AP200, OBDII Scanner All-System Diagnostic Tool, CAN FD, 5 Hot Resets, AutoVIN, Check Engine Light, Car Code Reader for Android/iOS</t>
        </is>
      </c>
      <c r="B663" s="30" t="inlineStr">
        <is>
          <t>B07Y8HLS33</t>
        </is>
      </c>
      <c r="C663" s="30" t="inlineStr">
        <is>
          <t>Dongle</t>
        </is>
      </c>
      <c r="D663" s="324" t="n">
        <v>59.03425531914894</v>
      </c>
      <c r="E663" s="324" t="n">
        <v>46366.92</v>
      </c>
      <c r="F663" s="324" t="n">
        <v>5549.22</v>
      </c>
      <c r="G663" s="55" t="n">
        <v>784</v>
      </c>
      <c r="H663" s="57" t="n">
        <v>94</v>
      </c>
      <c r="I663" s="55" t="n">
        <v>474</v>
      </c>
      <c r="J663" s="56" t="n">
        <v>3.9</v>
      </c>
      <c r="K663" s="56" t="inlineStr">
        <is>
          <t>https://amazon.com/dp/B07Y8HLS33</t>
        </is>
      </c>
      <c r="L663" s="70">
        <f>HYPERLINK(Table1410[[#This Row],[Column1]])</f>
        <v/>
      </c>
    </row>
    <row r="664" ht="60" customHeight="1" s="290">
      <c r="A664" s="30" t="inlineStr">
        <is>
          <t>Autel MaxiLink ML519 OBD2 Scanner [Same as AutoLink AL519], 2026 OBDII Diagnostic Scan Tool, Enhanced Mode 6 Fault Code Reader, Check Engine Light (MIL), One-Click Smog Check, Upgraded Ver. of AL319</t>
        </is>
      </c>
      <c r="B664" s="30" t="inlineStr">
        <is>
          <t>B07L8XS1ZG</t>
        </is>
      </c>
      <c r="C664" s="30" t="inlineStr">
        <is>
          <t>Handheld</t>
        </is>
      </c>
      <c r="D664" s="324" t="n">
        <v>60.14282608695652</v>
      </c>
      <c r="E664" s="324" t="n">
        <v>51749.82000000001</v>
      </c>
      <c r="F664" s="324" t="n">
        <v>5533.14</v>
      </c>
      <c r="G664" s="55" t="n">
        <v>873</v>
      </c>
      <c r="H664" s="57" t="n">
        <v>92</v>
      </c>
      <c r="I664" s="55" t="n">
        <v>1105</v>
      </c>
      <c r="J664" s="56" t="n">
        <v>4.5</v>
      </c>
      <c r="K664" s="56" t="inlineStr">
        <is>
          <t>https://amazon.com/dp/B07L8XS1ZG</t>
        </is>
      </c>
      <c r="L664" s="70">
        <f>HYPERLINK(Table1410[[#This Row],[Column1]])</f>
        <v/>
      </c>
    </row>
    <row r="665" ht="45" customHeight="1" s="290">
      <c r="A665" s="30" t="inlineStr">
        <is>
          <t>Autel AL539B OBD2 Scanner, 3-in-1 Code Reader Battery Tester Avometer for 12 Volts Batteries, Full OBDII Diagnosis and Circuit Starting &amp; Charging Systems Test, All Enhanced Ver. of AL519 AL539</t>
        </is>
      </c>
      <c r="B665" s="30" t="inlineStr">
        <is>
          <t>B079GXRV1M</t>
        </is>
      </c>
      <c r="C665" s="30" t="inlineStr">
        <is>
          <t>Handheld</t>
        </is>
      </c>
      <c r="D665" s="324" t="n">
        <v>88.13978260869565</v>
      </c>
      <c r="E665" s="324" t="n">
        <v>134921.95</v>
      </c>
      <c r="F665" s="324" t="n">
        <v>8108.86</v>
      </c>
      <c r="G665" s="55" t="n">
        <v>1576</v>
      </c>
      <c r="H665" s="57" t="n">
        <v>92</v>
      </c>
      <c r="I665" s="55" t="n">
        <v>1448</v>
      </c>
      <c r="J665" s="56" t="n">
        <v>4.6</v>
      </c>
      <c r="K665" s="56" t="inlineStr">
        <is>
          <t>https://amazon.com/dp/B079GXRV1M</t>
        </is>
      </c>
      <c r="L665" s="70">
        <f>HYPERLINK(Table1410[[#This Row],[Column1]])</f>
        <v/>
      </c>
    </row>
    <row r="666" ht="45" customHeight="1" s="290">
      <c r="A666" s="30" t="inlineStr">
        <is>
          <t>Autel MaxiIM Blank Key, IKEYAT005BL, Programmable Universal Remote Fob Replacement, 5-Button, OE-Quality, OBD Learning for 700+ Cars, Dual-Band, 130FT Remote, Multi-Frequency, Work w/ KM100 Scan Tool</t>
        </is>
      </c>
      <c r="B666" s="30" t="inlineStr">
        <is>
          <t>B0D14TWPB6</t>
        </is>
      </c>
      <c r="C666" s="30" t="inlineStr">
        <is>
          <t>Key</t>
        </is>
      </c>
      <c r="D666" s="324" t="n">
        <v>40.06613636363637</v>
      </c>
      <c r="E666" s="324" t="n">
        <v>39408.33</v>
      </c>
      <c r="F666" s="324" t="n">
        <v>3525.82</v>
      </c>
      <c r="G666" s="55" t="n">
        <v>986</v>
      </c>
      <c r="H666" s="57" t="n">
        <v>88</v>
      </c>
      <c r="I666" s="55" t="n">
        <v>79</v>
      </c>
      <c r="J666" s="56" t="n">
        <v>4.3</v>
      </c>
      <c r="K666" s="56" t="inlineStr">
        <is>
          <t>https://amazon.com/dp/B0D14TWPB6</t>
        </is>
      </c>
      <c r="L666" s="70">
        <f>HYPERLINK(Table1410[[#This Row],[Column1]])</f>
        <v/>
      </c>
    </row>
    <row r="667" ht="30" customHeight="1" s="290">
      <c r="A667" s="30" t="inlineStr">
        <is>
          <t>Autel MaxiCOM MK808Z OBD2 Scanner, 2026 Bidirectional Scan Tool Same As MK808S MX808S, Work as MaxiCheck MX900 MK900BT, Active Test, 28+ Service, All System Diagnose, Injector Coding, FCA Autoauth</t>
        </is>
      </c>
      <c r="B667" s="30" t="inlineStr">
        <is>
          <t>B094VZN94S</t>
        </is>
      </c>
      <c r="C667" s="30" t="inlineStr">
        <is>
          <t>Tablet</t>
        </is>
      </c>
      <c r="D667" s="324" t="n">
        <v>411.8664705882353</v>
      </c>
      <c r="E667" s="324" t="n">
        <v>310011.6776923077</v>
      </c>
      <c r="F667" s="324" t="n">
        <v>35008.65</v>
      </c>
      <c r="G667" s="55" t="n">
        <v>425</v>
      </c>
      <c r="H667" s="57" t="n">
        <v>85</v>
      </c>
      <c r="I667" s="55" t="n">
        <v>66</v>
      </c>
      <c r="J667" s="56" t="n">
        <v>4.4</v>
      </c>
      <c r="K667" s="56" t="inlineStr">
        <is>
          <t>https://amazon.com/dp/B094VZN94S</t>
        </is>
      </c>
      <c r="L667" s="70">
        <f>HYPERLINK(Table1410[[#This Row],[Column1]])</f>
        <v/>
      </c>
    </row>
    <row r="668" ht="60" customHeight="1" s="290">
      <c r="A668" s="30" t="inlineStr">
        <is>
          <t>Autel OBD2 OBDII Extension Cable, 5ft 1.5M, 16 Pin OBD II Male to Female Extension Cable Extender, Car 16Pin OBD 2 Diagnostic Cord Adapter, for All OBD2 Vehicles, Work with Scam Tool and Code Reader</t>
        </is>
      </c>
      <c r="B668" s="30" t="inlineStr">
        <is>
          <t>B0D4M9BQF2</t>
        </is>
      </c>
      <c r="C668" s="30" t="inlineStr">
        <is>
          <t>Cable/Adapter</t>
        </is>
      </c>
      <c r="D668" s="324" t="n">
        <v>23.07590361445783</v>
      </c>
      <c r="E668" s="324" t="n">
        <v>17656.07</v>
      </c>
      <c r="F668" s="324" t="n">
        <v>1915.3</v>
      </c>
      <c r="G668" s="55" t="n">
        <v>768</v>
      </c>
      <c r="H668" s="57" t="n">
        <v>83</v>
      </c>
      <c r="I668" s="55" t="n">
        <v>77</v>
      </c>
      <c r="J668" s="56" t="n">
        <v>4.7</v>
      </c>
      <c r="K668" s="56" t="inlineStr">
        <is>
          <t>https://amazon.com/dp/B0D4M9BQF2</t>
        </is>
      </c>
      <c r="L668" s="70">
        <f>HYPERLINK(Table1410[[#This Row],[Column1]])</f>
        <v/>
      </c>
    </row>
    <row r="669" ht="60" customHeight="1" s="290">
      <c r="A669" s="30" t="inlineStr">
        <is>
          <t>Autel Autolink AL319 Car OBD2 Scanner Code Reader Engine Fault Code Reader Scanner CAN Diagnostic Scan Tool for All OBD II Protocol Cars Since 1996</t>
        </is>
      </c>
      <c r="B669" s="30" t="inlineStr">
        <is>
          <t>B008EPKWD8</t>
        </is>
      </c>
      <c r="C669" s="30" t="inlineStr">
        <is>
          <t>Handheld</t>
        </is>
      </c>
      <c r="D669" s="324" t="n">
        <v>36.91376811594203</v>
      </c>
      <c r="E669" s="324" t="n">
        <v>30130.26</v>
      </c>
      <c r="F669" s="324" t="n">
        <v>2547.05</v>
      </c>
      <c r="G669" s="55" t="n">
        <v>815</v>
      </c>
      <c r="H669" s="57" t="n">
        <v>69</v>
      </c>
      <c r="I669" s="55" t="n">
        <v>109</v>
      </c>
      <c r="J669" s="56" t="n">
        <v>4.7</v>
      </c>
      <c r="K669" s="56" t="inlineStr">
        <is>
          <t>https://amazon.com/dp/B008EPKWD8</t>
        </is>
      </c>
      <c r="L669" s="70">
        <f>HYPERLINK(Table1410[[#This Row],[Column1]])</f>
        <v/>
      </c>
    </row>
    <row r="670" ht="60" customHeight="1" s="290">
      <c r="A670" s="30" t="inlineStr">
        <is>
          <t>Autel Scanner MaxiIM KM100(X), 2026 New Car Diagnostic Scan Tool, Lifetime Fre.e Updates, OBD-Learn on 95% Car, Wireless Auto Tool, Auto VIN &amp; Scan VIN/License, Android 9.0, 2+64GB, 5.5in 1280x720</t>
        </is>
      </c>
      <c r="B670" s="30" t="inlineStr">
        <is>
          <t>B0G6DZWVJ5</t>
        </is>
      </c>
      <c r="C670" s="30" t="inlineStr">
        <is>
          <t>Tablet</t>
        </is>
      </c>
      <c r="D670" s="324" t="n">
        <v>537.8907462686567</v>
      </c>
      <c r="E670" s="324" t="n">
        <v>546068.6707692306</v>
      </c>
      <c r="F670" s="324" t="n">
        <v>36038.68</v>
      </c>
      <c r="G670" s="55" t="n">
        <v>548</v>
      </c>
      <c r="H670" s="57" t="n">
        <v>67</v>
      </c>
      <c r="I670" s="55" t="n">
        <v>80</v>
      </c>
      <c r="J670" s="56" t="n">
        <v>4.3</v>
      </c>
      <c r="K670" s="56" t="inlineStr">
        <is>
          <t>https://amazon.com/dp/B0G6DZWVJ5</t>
        </is>
      </c>
      <c r="L670" s="70">
        <f>HYPERLINK(Table1410[[#This Row],[Column1]])</f>
        <v/>
      </c>
    </row>
    <row r="671" ht="60" customHeight="1" s="290">
      <c r="A671" s="30" t="inlineStr">
        <is>
          <t>Autel OBD2 Scanner MS309 Automotive Check Engine Code Reader, Check Emission Monitor Status, CAN Diagnostic Scan Tool for All OBDII Protocol Vehicles After 1996</t>
        </is>
      </c>
      <c r="B671" s="30" t="inlineStr">
        <is>
          <t>B001LHQBMC</t>
        </is>
      </c>
      <c r="C671" s="30" t="inlineStr">
        <is>
          <t>Handheld</t>
        </is>
      </c>
      <c r="D671" s="324" t="n">
        <v>22.82925373134328</v>
      </c>
      <c r="E671" s="324" t="n">
        <v>21120.23</v>
      </c>
      <c r="F671" s="324" t="n">
        <v>1529.56</v>
      </c>
      <c r="G671" s="55" t="n">
        <v>921</v>
      </c>
      <c r="H671" s="57" t="n">
        <v>67</v>
      </c>
      <c r="I671" s="55" t="n">
        <v>3626</v>
      </c>
      <c r="J671" s="56" t="n">
        <v>4.5</v>
      </c>
      <c r="K671" s="56" t="inlineStr">
        <is>
          <t>https://amazon.com/dp/B001LHQBMC</t>
        </is>
      </c>
      <c r="L671" s="70">
        <f>HYPERLINK(Table1410[[#This Row],[Column1]])</f>
        <v/>
      </c>
    </row>
    <row r="672" ht="45" customHeight="1" s="290">
      <c r="A672" s="30" t="inlineStr">
        <is>
          <t>Autel MaxiVCI V200 VCI200 Wireless Diagnostic Dongle, 2026 VCI 200 OBD2 Connector Adapter, Work with Scanner MK900BT MP900-BT MaxiSys MS906 PRO MS906MAX MS906 PRO-TS MK906 PRO-TS KM100 BT608 BT609</t>
        </is>
      </c>
      <c r="B672" s="30" t="inlineStr">
        <is>
          <t>B0BBFY2848</t>
        </is>
      </c>
      <c r="C672" s="30" t="inlineStr">
        <is>
          <t>Dongle</t>
        </is>
      </c>
      <c r="D672" s="324" t="n">
        <v>219.7278787878788</v>
      </c>
      <c r="E672" s="324" t="n">
        <v>172344.55</v>
      </c>
      <c r="F672" s="324" t="n">
        <v>14502.04</v>
      </c>
      <c r="G672" s="55" t="n">
        <v>813</v>
      </c>
      <c r="H672" s="57" t="n">
        <v>66</v>
      </c>
      <c r="I672" s="55" t="n">
        <v>68</v>
      </c>
      <c r="J672" s="56" t="n">
        <v>4.6</v>
      </c>
      <c r="K672" s="56" t="inlineStr">
        <is>
          <t>https://amazon.com/dp/B0BBFY2848</t>
        </is>
      </c>
      <c r="L672" s="70">
        <f>HYPERLINK(Table1410[[#This Row],[Column1]])</f>
        <v/>
      </c>
    </row>
    <row r="673" ht="45" customHeight="1" s="290">
      <c r="A673" s="30" t="inlineStr">
        <is>
          <t>Autel MaxiCheck PRO Auto Bleed Scan Tool for ABS Brake Bleeding, OBD2 ABS SRS Diagnostic Scanner, Oil Reset, BMS, EPB, Airbag, SAS Services for Specific Vehicles Up to 2015, Lifetime Free Updates</t>
        </is>
      </c>
      <c r="B673" s="30" t="inlineStr">
        <is>
          <t>B075ZLVXHY</t>
        </is>
      </c>
      <c r="C673" s="30" t="inlineStr">
        <is>
          <t>Handheld</t>
        </is>
      </c>
      <c r="D673" s="324" t="n">
        <v>199.2264615384615</v>
      </c>
      <c r="E673" s="324" t="n">
        <v>143308.79</v>
      </c>
      <c r="F673" s="324" t="n">
        <v>12949.72</v>
      </c>
      <c r="G673" s="55" t="n">
        <v>721</v>
      </c>
      <c r="H673" s="57" t="n">
        <v>65</v>
      </c>
      <c r="I673" s="55" t="n">
        <v>504</v>
      </c>
      <c r="J673" s="56" t="n">
        <v>4.4</v>
      </c>
      <c r="K673" s="56" t="inlineStr">
        <is>
          <t>https://amazon.com/dp/B075ZLVXHY</t>
        </is>
      </c>
      <c r="L673" s="70">
        <f>HYPERLINK(Table1410[[#This Row],[Column1]])</f>
        <v/>
      </c>
    </row>
    <row r="674" ht="45" customHeight="1" s="290">
      <c r="A674" s="30" t="inlineStr">
        <is>
          <t>Autel Original OBD2 Cable for Harley Davidson, 4pin+6pin 2 in 1 Motorcycle OBD Scanner Adapter, 16Pin to 4Pin and 6Pin OBDII Connector Work with Harleydavidson Diagnostic Tool</t>
        </is>
      </c>
      <c r="B674" s="30" t="inlineStr">
        <is>
          <t>B0G13GBCB7</t>
        </is>
      </c>
      <c r="C674" s="30" t="inlineStr">
        <is>
          <t>Cable/Adapter</t>
        </is>
      </c>
      <c r="D674" s="324" t="n">
        <v>19.75390625</v>
      </c>
      <c r="E674" s="324" t="n">
        <v>13032.7</v>
      </c>
      <c r="F674" s="324" t="n">
        <v>1264.25</v>
      </c>
      <c r="G674" s="55" t="n">
        <v>123</v>
      </c>
      <c r="H674" s="57" t="n">
        <v>64</v>
      </c>
      <c r="I674" s="55" t="n">
        <v>24</v>
      </c>
      <c r="J674" s="56" t="n">
        <v>4.1</v>
      </c>
      <c r="K674" s="56" t="inlineStr">
        <is>
          <t>https://amazon.com/dp/B0G13GBCB7</t>
        </is>
      </c>
      <c r="L674" s="70">
        <f>HYPERLINK(Table1410[[#This Row],[Column1]])</f>
        <v/>
      </c>
    </row>
    <row r="675" ht="45" customHeight="1" s="290">
      <c r="A675" s="30" t="inlineStr">
        <is>
          <t>Autel Original BENZ-38 PIN Adapter, 38 Pin Male to 16 Pin Female OBDII Connector Compatible with Mercedes-Benz Pre-2001, Work with OBD2 Diagnostic Scan Tool OBD II Scanner</t>
        </is>
      </c>
      <c r="B675" s="30" t="inlineStr">
        <is>
          <t>B0D62Z3ZGV</t>
        </is>
      </c>
      <c r="C675" s="30" t="inlineStr">
        <is>
          <t>Cable/Adapter</t>
        </is>
      </c>
      <c r="D675" s="324" t="n">
        <v>49.6040625</v>
      </c>
      <c r="E675" s="324" t="n">
        <v>29819.69</v>
      </c>
      <c r="F675" s="324" t="n">
        <v>3174.66</v>
      </c>
      <c r="G675" s="55" t="n">
        <v>522</v>
      </c>
      <c r="H675" s="57" t="n">
        <v>64</v>
      </c>
      <c r="I675" s="55" t="n">
        <v>23</v>
      </c>
      <c r="J675" s="56" t="n">
        <v>4.5</v>
      </c>
      <c r="K675" s="56" t="inlineStr">
        <is>
          <t>https://amazon.com/dp/B0D62Z3ZGV</t>
        </is>
      </c>
      <c r="L675" s="70">
        <f>HYPERLINK(Table1410[[#This Row],[Column1]])</f>
        <v/>
      </c>
    </row>
    <row r="676" ht="45" customHeight="1" s="290">
      <c r="A676" s="30" t="inlineStr">
        <is>
          <t>2026 Autel MaxiBAS BTMS OBD2 Car Battery Tester Memory Saver, Preserve Vehicle Data Code Electronic Preset, Maintain Data Surge Protection Attaches to 12 Volt Backup Battery, Provide Power to Vehicle</t>
        </is>
      </c>
      <c r="B676" s="30" t="inlineStr">
        <is>
          <t>B0CZDKVZSN</t>
        </is>
      </c>
      <c r="C676" s="30" t="inlineStr">
        <is>
          <t>Other</t>
        </is>
      </c>
      <c r="D676" s="324" t="n">
        <v>45.87095238095238</v>
      </c>
      <c r="E676" s="324" t="n">
        <v>34744.83692307693</v>
      </c>
      <c r="F676" s="324" t="n">
        <v>2889.87</v>
      </c>
      <c r="G676" s="55" t="n">
        <v>582</v>
      </c>
      <c r="H676" s="57" t="n">
        <v>63</v>
      </c>
      <c r="I676" s="55" t="n">
        <v>56</v>
      </c>
      <c r="J676" s="56" t="n">
        <v>5</v>
      </c>
      <c r="K676" s="56" t="inlineStr">
        <is>
          <t>https://amazon.com/dp/B0CZDKVZSN</t>
        </is>
      </c>
      <c r="L676" s="70">
        <f>HYPERLINK(Table1410[[#This Row],[Column1]])</f>
        <v/>
      </c>
    </row>
    <row r="677" ht="60" customHeight="1" s="290">
      <c r="A677" s="30" t="inlineStr">
        <is>
          <t>Autel OBD2 16Pin J1962 Female to OBDII Open Pigtail Cable, Pigtail Fixed Wire Harness with Underdash Mount Bracket, OE-Quality, 1FT/ 30CM</t>
        </is>
      </c>
      <c r="B677" s="30" t="inlineStr">
        <is>
          <t>B0F3XHP8FF</t>
        </is>
      </c>
      <c r="C677" s="30" t="inlineStr">
        <is>
          <t>Cable/Adapter</t>
        </is>
      </c>
      <c r="D677" s="324" t="n">
        <v>20.01967213114754</v>
      </c>
      <c r="E677" s="324" t="n">
        <v>11806.84</v>
      </c>
      <c r="F677" s="324" t="n">
        <v>1221.2</v>
      </c>
      <c r="G677" s="55" t="n">
        <v>670</v>
      </c>
      <c r="H677" s="57" t="n">
        <v>61</v>
      </c>
      <c r="I677" s="55" t="n">
        <v>25</v>
      </c>
      <c r="J677" s="56" t="n">
        <v>4.7</v>
      </c>
      <c r="K677" s="56" t="inlineStr">
        <is>
          <t>https://amazon.com/dp/B0F3XHP8FF</t>
        </is>
      </c>
      <c r="L677" s="70">
        <f>HYPERLINK(Table1410[[#This Row],[Column1]])</f>
        <v/>
      </c>
    </row>
    <row r="678" ht="45" customHeight="1" s="290">
      <c r="A678" s="30" t="inlineStr">
        <is>
          <t>Autel G-BOX3 Accessory Tool Adapter, 2026 Upgraded of Gox2 G-BOX2, Gbox3 Adapter for Mercedes-Benz/for BMW, Works W/MaxiIM IM508(S) + XP400, IM608 PRO II, IM608S II, IM608 PRO 2 Scanner</t>
        </is>
      </c>
      <c r="B678" s="30" t="inlineStr">
        <is>
          <t>B089GJ4NTX</t>
        </is>
      </c>
      <c r="C678" s="30" t="inlineStr">
        <is>
          <t>Key</t>
        </is>
      </c>
      <c r="D678" s="324" t="n">
        <v>129.7426666666667</v>
      </c>
      <c r="E678" s="324" t="n">
        <v>91044.90999999999</v>
      </c>
      <c r="F678" s="324" t="n">
        <v>7784.56</v>
      </c>
      <c r="G678" s="55" t="n">
        <v>705</v>
      </c>
      <c r="H678" s="57" t="n">
        <v>60</v>
      </c>
      <c r="I678" s="55" t="n">
        <v>98</v>
      </c>
      <c r="J678" s="56" t="n">
        <v>4.6</v>
      </c>
      <c r="K678" s="56" t="inlineStr">
        <is>
          <t>https://amazon.com/dp/B089GJ4NTX</t>
        </is>
      </c>
      <c r="L678" s="70">
        <f>HYPERLINK(Table1410[[#This Row],[Column1]])</f>
        <v/>
      </c>
    </row>
    <row r="679" ht="45" customHeight="1" s="290">
      <c r="A679" s="30" t="inlineStr">
        <is>
          <t>Autel Original Daewoo &amp; GM OBD2 to OBD1 Adapter, 2026 OBDI 12 Pin Male Socket to 16 Pin Female OBDII Connector for General Motors Scan Tool</t>
        </is>
      </c>
      <c r="B679" s="30" t="inlineStr">
        <is>
          <t>B0FQBTV6S5</t>
        </is>
      </c>
      <c r="C679" s="30" t="inlineStr">
        <is>
          <t>OBD1</t>
        </is>
      </c>
      <c r="D679" s="324" t="n">
        <v>18.92116666666667</v>
      </c>
      <c r="E679" s="324" t="n">
        <v>14325.88923076923</v>
      </c>
      <c r="F679" s="324" t="n">
        <v>1135.27</v>
      </c>
      <c r="G679" s="55" t="n">
        <v>412</v>
      </c>
      <c r="H679" s="57" t="n">
        <v>60</v>
      </c>
      <c r="I679" s="55" t="n">
        <v>16</v>
      </c>
      <c r="J679" s="56" t="n">
        <v>3.7</v>
      </c>
      <c r="K679" s="56" t="inlineStr">
        <is>
          <t>https://amazon.com/dp/B0FQBTV6S5</t>
        </is>
      </c>
      <c r="L679" s="70">
        <f>HYPERLINK(Table1410[[#This Row],[Column1]])</f>
        <v/>
      </c>
    </row>
    <row r="680" ht="45" customHeight="1" s="290">
      <c r="A680" s="30" t="inlineStr">
        <is>
          <t>2026 Autel MaxiCOM MK900TS Scanner, MK900-TS Up of MK808S-TS MK900BT MK900 MX900, Bidirectional Scan Tool w/Top TPMS Function, All System, CAN FD &amp; DoIP, 3000+ Active Test, 40+ Service, FCA, OS 11.0</t>
        </is>
      </c>
      <c r="B680" s="30" t="inlineStr">
        <is>
          <t>B08PB6DHBS</t>
        </is>
      </c>
      <c r="C680" s="30" t="inlineStr">
        <is>
          <t>Tablet</t>
        </is>
      </c>
      <c r="D680" s="324" t="n">
        <v>874.6203333333334</v>
      </c>
      <c r="E680" s="324" t="n">
        <v>313027.51</v>
      </c>
      <c r="F680" s="324" t="n">
        <v>52477.22</v>
      </c>
      <c r="G680" s="55" t="n">
        <v>356</v>
      </c>
      <c r="H680" s="57" t="n">
        <v>60</v>
      </c>
      <c r="I680" s="55" t="n">
        <v>88</v>
      </c>
      <c r="J680" s="56" t="n">
        <v>4.8</v>
      </c>
      <c r="K680" s="56" t="inlineStr">
        <is>
          <t>https://amazon.com/dp/B08PB6DHBS</t>
        </is>
      </c>
      <c r="L680" s="70">
        <f>HYPERLINK(Table1410[[#This Row],[Column1]])</f>
        <v/>
      </c>
    </row>
    <row r="681" ht="45" customHeight="1" s="290">
      <c r="A681" s="30" t="inlineStr">
        <is>
          <t>Autel Original OBD to Type 2 Green 9pin J1939 Male and 6pin J1708 Split Y Cable, 2-in-1 OBD2 Adapter for Commercial Vehicles Diesel Truck Heavy Duty Diagnostic, Work with Both Tpye2 and Type1</t>
        </is>
      </c>
      <c r="B681" s="30" t="inlineStr">
        <is>
          <t>B0G4LYW24Q</t>
        </is>
      </c>
      <c r="C681" s="30" t="inlineStr">
        <is>
          <t>Cable/Adapter</t>
        </is>
      </c>
      <c r="D681" s="324" t="n">
        <v>22.11482142857143</v>
      </c>
      <c r="E681" s="324" t="n">
        <v>13707.10153846154</v>
      </c>
      <c r="F681" s="324" t="n">
        <v>1238.43</v>
      </c>
      <c r="G681" s="55" t="n">
        <v>102</v>
      </c>
      <c r="H681" s="57" t="n">
        <v>56</v>
      </c>
      <c r="I681" s="55" t="n">
        <v>15</v>
      </c>
      <c r="J681" s="56" t="n">
        <v>4.9</v>
      </c>
      <c r="K681" s="56" t="inlineStr">
        <is>
          <t>https://amazon.com/dp/B0G4LYW24Q</t>
        </is>
      </c>
      <c r="L681" s="70">
        <f>HYPERLINK(Table1410[[#This Row],[Column1]])</f>
        <v/>
      </c>
    </row>
    <row r="682" ht="45" customHeight="1" s="290">
      <c r="A682" s="30" t="inlineStr">
        <is>
          <t>Autel OBD2 Extension Cable, Full 16Pin Male to Female OBDII Extension Cable Diagnostic Extender, 16Pin OBD II Cord Adapter, for All OBD2 OBD II Vehicles (1m/3.3ft)</t>
        </is>
      </c>
      <c r="B682" s="30" t="inlineStr">
        <is>
          <t>B0DHH3KJPN</t>
        </is>
      </c>
      <c r="C682" s="30" t="inlineStr">
        <is>
          <t>Cable/Adapter</t>
        </is>
      </c>
      <c r="D682" s="324" t="n">
        <v>20.13607142857143</v>
      </c>
      <c r="E682" s="324" t="n">
        <v>13597.495294</v>
      </c>
      <c r="F682" s="324" t="n">
        <v>1127.62</v>
      </c>
      <c r="G682" s="55" t="n">
        <v>692</v>
      </c>
      <c r="H682" s="57" t="n">
        <v>56</v>
      </c>
      <c r="I682" s="55" t="n">
        <v>56</v>
      </c>
      <c r="J682" s="56" t="n">
        <v>4.7</v>
      </c>
      <c r="K682" s="56" t="inlineStr">
        <is>
          <t>https://amazon.com/dp/B0DHH3KJPN</t>
        </is>
      </c>
      <c r="L682" s="70">
        <f>HYPERLINK(Table1410[[#This Row],[Column1]])</f>
        <v/>
      </c>
    </row>
    <row r="683" ht="45" customHeight="1" s="290">
      <c r="A683" s="30" t="inlineStr">
        <is>
          <t>Autel Original OBD2 Adapter Ram Security Gateway SGB Bypass Cable, OBDII Cable Connector for 2018-2020 Dodge Cummins RAM 1500 2500, 16 Pin 2Pin OBDII Diagnostic Tool Adapter</t>
        </is>
      </c>
      <c r="B683" s="30" t="inlineStr">
        <is>
          <t>B0G141QT15</t>
        </is>
      </c>
      <c r="C683" s="30" t="inlineStr">
        <is>
          <t>Cable/Adapter</t>
        </is>
      </c>
      <c r="D683" s="324" t="n">
        <v>19.93370370370371</v>
      </c>
      <c r="E683" s="324" t="n">
        <v>13952.46461538461</v>
      </c>
      <c r="F683" s="324" t="n">
        <v>1076.42</v>
      </c>
      <c r="G683" s="55" t="n">
        <v>187</v>
      </c>
      <c r="H683" s="57" t="n">
        <v>54</v>
      </c>
      <c r="I683" s="55" t="n">
        <v>27</v>
      </c>
      <c r="J683" s="56" t="n">
        <v>3.9</v>
      </c>
      <c r="K683" s="56" t="inlineStr">
        <is>
          <t>https://amazon.com/dp/B0G141QT15</t>
        </is>
      </c>
      <c r="L683" s="70">
        <f>HYPERLINK(Table1410[[#This Row],[Column1]])</f>
        <v/>
      </c>
    </row>
    <row r="684" ht="60" customHeight="1" s="290">
      <c r="A684" s="30" t="inlineStr">
        <is>
          <t>Autel MaxiCOM MK808S Scanner, 2026 Bidirectional Scan Tool as MK808BT Pro MX808S MK808Z, Work as MaxiCheck MX900 MK900 MK900BT, 28+ Reset, 3K+ Active Test, FCA AutoAuth, OE All System Diagnostic,OS 11</t>
        </is>
      </c>
      <c r="B684" s="30" t="inlineStr">
        <is>
          <t>B0744JBC7W</t>
        </is>
      </c>
      <c r="C684" s="30" t="inlineStr">
        <is>
          <t>Tablet</t>
        </is>
      </c>
      <c r="D684" s="324" t="n">
        <v>452.6094230769231</v>
      </c>
      <c r="E684" s="324" t="n">
        <v>179690.83</v>
      </c>
      <c r="F684" s="324" t="n">
        <v>23535.69</v>
      </c>
      <c r="G684" s="55" t="n">
        <v>384</v>
      </c>
      <c r="H684" s="57" t="n">
        <v>52</v>
      </c>
      <c r="I684" s="55" t="n">
        <v>708</v>
      </c>
      <c r="J684" s="56" t="n">
        <v>4.5</v>
      </c>
      <c r="K684" s="56" t="inlineStr">
        <is>
          <t>https://amazon.com/dp/B0744JBC7W</t>
        </is>
      </c>
      <c r="L684" s="70">
        <f>HYPERLINK(Table1410[[#This Row],[Column1]])</f>
        <v/>
      </c>
    </row>
    <row r="685" ht="45" customHeight="1" s="290">
      <c r="A685" s="30" t="inlineStr">
        <is>
          <t>Autel MaxiTPMS TS408S PRO TPMS Programming Tool: 2026 Ver. Same as TS501 Pro 508WF MX808TS MK808TS MP900TS Relearn Tool, Activate Relearn 99% Sensors, Program Autel MX-Sensors, TPMS Reset/Diagnosis</t>
        </is>
      </c>
      <c r="B685" s="30" t="inlineStr">
        <is>
          <t>B07VZFHJ6H</t>
        </is>
      </c>
      <c r="C685" s="30" t="inlineStr">
        <is>
          <t>Handheld</t>
        </is>
      </c>
      <c r="D685" s="324" t="n">
        <v>188.0476923076923</v>
      </c>
      <c r="E685" s="324" t="n">
        <v>118181.4</v>
      </c>
      <c r="F685" s="324" t="n">
        <v>9778.48</v>
      </c>
      <c r="G685" s="55" t="n">
        <v>624</v>
      </c>
      <c r="H685" s="57" t="n">
        <v>52</v>
      </c>
      <c r="I685" s="55" t="n">
        <v>981</v>
      </c>
      <c r="J685" s="56" t="n">
        <v>4.3</v>
      </c>
      <c r="K685" s="56" t="inlineStr">
        <is>
          <t>https://amazon.com/dp/B07VZFHJ6H</t>
        </is>
      </c>
      <c r="L685" s="70">
        <f>HYPERLINK(Table1410[[#This Row],[Column1]])</f>
        <v/>
      </c>
    </row>
    <row r="686" ht="45" customHeight="1" s="290">
      <c r="A686" s="30" t="inlineStr">
        <is>
          <t>Autel CAN FD CANFD Adapter for GM MY2020 Vehicles, 2026 Compatible with Autel Scanner Diagnostic Scan Tool MaxiCOM MK808S MX808S DS808 Maxisys Elite 908 Series Models W/CAN FD Protocol (100% Original)</t>
        </is>
      </c>
      <c r="B686" s="30" t="inlineStr">
        <is>
          <t>B08B4KZGF3</t>
        </is>
      </c>
      <c r="C686" s="30" t="inlineStr">
        <is>
          <t>Cable/Adapter</t>
        </is>
      </c>
      <c r="D686" s="324" t="n">
        <v>118.3352</v>
      </c>
      <c r="E686" s="324" t="n">
        <v>85062.14</v>
      </c>
      <c r="F686" s="324" t="n">
        <v>5916.76</v>
      </c>
      <c r="G686" s="55" t="n">
        <v>715</v>
      </c>
      <c r="H686" s="57" t="n">
        <v>50</v>
      </c>
      <c r="I686" s="55" t="n">
        <v>71</v>
      </c>
      <c r="J686" s="56" t="n">
        <v>4.4</v>
      </c>
      <c r="K686" s="56" t="inlineStr">
        <is>
          <t>https://amazon.com/dp/B08B4KZGF3</t>
        </is>
      </c>
      <c r="L686" s="70">
        <f>HYPERLINK(Table1410[[#This Row],[Column1]])</f>
        <v/>
      </c>
    </row>
    <row r="687" ht="60" customHeight="1" s="290">
      <c r="A687" s="30" t="inlineStr">
        <is>
          <t>Autel AutoLink AL619 OBD2 Scanner | 2026 ABS/SRS/CAN Diagnostic Tool | Read/Erase Codes, Check Engine Light, OBDII Live Data &amp; DTC Library | Upgrade for AL519, ML519, ML619 (Vehicle-Specific)</t>
        </is>
      </c>
      <c r="B687" s="30" t="inlineStr">
        <is>
          <t>B07PQJTQN2</t>
        </is>
      </c>
      <c r="C687" s="30" t="inlineStr">
        <is>
          <t>Handheld</t>
        </is>
      </c>
      <c r="D687" s="324" t="n">
        <v>99.94020833333332</v>
      </c>
      <c r="E687" s="324" t="n">
        <v>51012.91999999999</v>
      </c>
      <c r="F687" s="324" t="n">
        <v>4797.13</v>
      </c>
      <c r="G687" s="55" t="n">
        <v>509</v>
      </c>
      <c r="H687" s="57" t="n">
        <v>48</v>
      </c>
      <c r="I687" s="55" t="n">
        <v>541</v>
      </c>
      <c r="J687" s="56" t="n">
        <v>4.4</v>
      </c>
      <c r="K687" s="56" t="inlineStr">
        <is>
          <t>https://amazon.com/dp/B07PQJTQN2</t>
        </is>
      </c>
      <c r="L687" s="70">
        <f>HYPERLINK(Table1410[[#This Row],[Column1]])</f>
        <v/>
      </c>
    </row>
    <row r="688" ht="45" customHeight="1" s="290">
      <c r="A688" s="30" t="inlineStr">
        <is>
          <t>Autel Original OBD to Green Type2 9 Pin J1939 and 6 Pin J1708 Split Y Cable for Diesel Truck Diagnostics, 9Pin and 6Pin Male to 16Pin OBDII Female Splitter Adapter, OBD to OBD2 16 Pin Diagnostic Tool</t>
        </is>
      </c>
      <c r="B688" s="30" t="inlineStr">
        <is>
          <t>B0DBZTZLJ1</t>
        </is>
      </c>
      <c r="C688" s="30" t="inlineStr">
        <is>
          <t>Cable/Adapter</t>
        </is>
      </c>
      <c r="D688" s="324" t="n">
        <v>25.77872340425532</v>
      </c>
      <c r="E688" s="324" t="n">
        <v>17054.48</v>
      </c>
      <c r="F688" s="324" t="n">
        <v>1211.6</v>
      </c>
      <c r="G688" s="55" t="n">
        <v>656</v>
      </c>
      <c r="H688" s="57" t="n">
        <v>47</v>
      </c>
      <c r="I688" s="55" t="n">
        <v>27</v>
      </c>
      <c r="J688" s="56" t="n">
        <v>4.3</v>
      </c>
      <c r="K688" s="56" t="inlineStr">
        <is>
          <t>https://amazon.com/dp/B0DBZTZLJ1</t>
        </is>
      </c>
      <c r="L688" s="70">
        <f>HYPERLINK(Table1410[[#This Row],[Column1]])</f>
        <v/>
      </c>
    </row>
    <row r="689" ht="45" customHeight="1" s="290">
      <c r="A689" s="30" t="inlineStr">
        <is>
          <t>Autel OBD2 Memory Saver for Car Battery, 2026 MaxiBAS BTMS for All 12V Vehicles, Preserve ECU Code &amp; Electronic Presets, Maintain PCM Data, Polarity Protection, Built-in Voltage Meter, LED Lights</t>
        </is>
      </c>
      <c r="B689" s="30" t="inlineStr">
        <is>
          <t>B0DTV6LHHH</t>
        </is>
      </c>
      <c r="C689" s="30" t="inlineStr">
        <is>
          <t>Other</t>
        </is>
      </c>
      <c r="D689" s="324" t="n">
        <v>42.06042553191489</v>
      </c>
      <c r="E689" s="324" t="n">
        <v>23973.46538461538</v>
      </c>
      <c r="F689" s="324" t="n">
        <v>1976.84</v>
      </c>
      <c r="G689" s="55" t="n">
        <v>537</v>
      </c>
      <c r="H689" s="57" t="n">
        <v>47</v>
      </c>
      <c r="I689" s="55" t="n">
        <v>46</v>
      </c>
      <c r="J689" s="56" t="n">
        <v>4.9</v>
      </c>
      <c r="K689" s="56" t="inlineStr">
        <is>
          <t>https://amazon.com/dp/B0DTV6LHHH</t>
        </is>
      </c>
      <c r="L689" s="70">
        <f>HYPERLINK(Table1410[[#This Row],[Column1]])</f>
        <v/>
      </c>
    </row>
    <row r="690" ht="45" customHeight="1" s="290">
      <c r="A690" s="30" t="inlineStr">
        <is>
          <t>Autel MaxiLink ML519 OBD2 Scanner, New Ver. of AL519, Enhanced Mode 6 Car Code Reader, Check Engine Light Read/Erase Fault Code Car Diagnostic Tool, One-Click Smong Check, DTC Lookup, Up of AL319</t>
        </is>
      </c>
      <c r="B690" s="30" t="inlineStr">
        <is>
          <t>B07PRPQCSL</t>
        </is>
      </c>
      <c r="C690" s="30" t="inlineStr">
        <is>
          <t>Handheld</t>
        </is>
      </c>
      <c r="D690" s="324" t="n">
        <v>60.34186046511628</v>
      </c>
      <c r="E690" s="324" t="n">
        <v>22084.5</v>
      </c>
      <c r="F690" s="324" t="n">
        <v>2594.7</v>
      </c>
      <c r="G690" s="55" t="n">
        <v>368</v>
      </c>
      <c r="H690" s="57" t="n">
        <v>43</v>
      </c>
      <c r="I690" s="55" t="n">
        <v>3786</v>
      </c>
      <c r="J690" s="56" t="n">
        <v>4.6</v>
      </c>
      <c r="K690" s="56" t="inlineStr">
        <is>
          <t>https://amazon.com/dp/B07PRPQCSL</t>
        </is>
      </c>
      <c r="L690" s="70">
        <f>HYPERLINK(Table1410[[#This Row],[Column1]])</f>
        <v/>
      </c>
    </row>
    <row r="691" ht="60" customHeight="1" s="290">
      <c r="A691" s="30" t="inlineStr">
        <is>
          <t>Autel MaxiPRO MP900-BT KIT Scanner: 2026 Same as MS906 Pro MS906 MAX MK908 w/OE C0ding, 3000+ Test, 40+ Service, 150+ Makes, Up of MP900-BT MP900BT w/ 200 Bucks 11 PCS OBD Cables, CAN FD &amp; FCA SGW</t>
        </is>
      </c>
      <c r="B691" s="30" t="inlineStr">
        <is>
          <t>B0751G1W5C</t>
        </is>
      </c>
      <c r="C691" s="30" t="inlineStr">
        <is>
          <t>Tablet</t>
        </is>
      </c>
      <c r="D691" s="324" t="n">
        <v>942.283953488372</v>
      </c>
      <c r="E691" s="324" t="n">
        <v>420490.92</v>
      </c>
      <c r="F691" s="324" t="n">
        <v>40518.21</v>
      </c>
      <c r="G691" s="55" t="n">
        <v>442</v>
      </c>
      <c r="H691" s="57" t="n">
        <v>43</v>
      </c>
      <c r="I691" s="55" t="n">
        <v>145</v>
      </c>
      <c r="J691" s="56" t="n">
        <v>4.6</v>
      </c>
      <c r="K691" s="56" t="inlineStr">
        <is>
          <t>https://amazon.com/dp/B0751G1W5C</t>
        </is>
      </c>
      <c r="L691" s="70">
        <f>HYPERLINK(Table1410[[#This Row],[Column1]])</f>
        <v/>
      </c>
    </row>
    <row r="692" ht="45" customHeight="1" s="290">
      <c r="A692" s="30" t="inlineStr">
        <is>
          <t>Autel Original OBD Diagnostic Adapter, 9Pin J1939 Male to 16Pin OBD2 OBDII Female Connector, Work for Heavy Duty Trucks and Commercial Vehicles, Compatible with OBD2 Automotive Diagnostic Scanners</t>
        </is>
      </c>
      <c r="B692" s="30" t="inlineStr">
        <is>
          <t>B0DF31J5ZN</t>
        </is>
      </c>
      <c r="C692" s="30" t="inlineStr">
        <is>
          <t>Cable/Adapter</t>
        </is>
      </c>
      <c r="D692" s="324" t="n">
        <v>20.03714285714286</v>
      </c>
      <c r="E692" s="324" t="n">
        <v>14207.13</v>
      </c>
      <c r="F692" s="324" t="n">
        <v>841.5599999999999</v>
      </c>
      <c r="G692" s="55" t="n">
        <v>711</v>
      </c>
      <c r="H692" s="57" t="n">
        <v>42</v>
      </c>
      <c r="I692" s="55" t="n">
        <v>19</v>
      </c>
      <c r="J692" s="56" t="n">
        <v>4.5</v>
      </c>
      <c r="K692" s="56" t="inlineStr">
        <is>
          <t>https://amazon.com/dp/B0DF31J5ZN</t>
        </is>
      </c>
      <c r="L692" s="70">
        <f>HYPERLINK(Table1410[[#This Row],[Column1]])</f>
        <v/>
      </c>
    </row>
    <row r="693" ht="60" customHeight="1" s="290">
      <c r="A693" s="30" t="inlineStr">
        <is>
          <t>Autel Original Tesla Diagnostic Service Cable for Tesla Model X &amp; Model S, Activate Factory Mode, System Diagnostic, Work Scanner MaxiSys Ultra, Elite II PRO, MS909, MS908S PRO II, MK908 PRO II</t>
        </is>
      </c>
      <c r="B693" s="30" t="inlineStr">
        <is>
          <t>B0D3VCD5F8</t>
        </is>
      </c>
      <c r="C693" s="30" t="inlineStr">
        <is>
          <t>Cable/Adapter</t>
        </is>
      </c>
      <c r="D693" s="324" t="n">
        <v>17.00309523809524</v>
      </c>
      <c r="E693" s="324" t="n">
        <v>4247.51</v>
      </c>
      <c r="F693" s="324" t="n">
        <v>714.13</v>
      </c>
      <c r="G693" s="55" t="n">
        <v>238</v>
      </c>
      <c r="H693" s="57" t="n">
        <v>42</v>
      </c>
      <c r="I693" s="55" t="n">
        <v>12</v>
      </c>
      <c r="J693" s="56" t="n">
        <v>4.6</v>
      </c>
      <c r="K693" s="56" t="inlineStr">
        <is>
          <t>https://amazon.com/dp/B0D3VCD5F8</t>
        </is>
      </c>
      <c r="L693" s="70">
        <f>HYPERLINK(Table1410[[#This Row],[Column1]])</f>
        <v/>
      </c>
    </row>
    <row r="694" ht="45" customHeight="1" s="290">
      <c r="A694" s="30" t="inlineStr">
        <is>
          <t>Autel Original OBD2 Splitter 16 Pin OBD II Splitter Extension, 1X Male to 2X Female Extension Cable Adapter, OBDII Extension Cord (1FT/ 30CM)</t>
        </is>
      </c>
      <c r="B694" s="30" t="inlineStr">
        <is>
          <t>B0DGCLVXTF</t>
        </is>
      </c>
      <c r="C694" s="30" t="inlineStr">
        <is>
          <t>Cable/Adapter</t>
        </is>
      </c>
      <c r="D694" s="324" t="n">
        <v>19.79690476190476</v>
      </c>
      <c r="E694" s="324" t="n">
        <v>12457.51076923077</v>
      </c>
      <c r="F694" s="324" t="n">
        <v>831.47</v>
      </c>
      <c r="G694" s="55" t="n">
        <v>586</v>
      </c>
      <c r="H694" s="57" t="n">
        <v>42</v>
      </c>
      <c r="I694" s="55" t="n">
        <v>54</v>
      </c>
      <c r="J694" s="56" t="n">
        <v>4.2</v>
      </c>
      <c r="K694" s="56" t="inlineStr">
        <is>
          <t>https://amazon.com/dp/B0DGCLVXTF</t>
        </is>
      </c>
      <c r="L694" s="70">
        <f>HYPERLINK(Table1410[[#This Row],[Column1]])</f>
        <v/>
      </c>
    </row>
    <row r="695" ht="45" customHeight="1" s="290">
      <c r="A695" s="30" t="inlineStr">
        <is>
          <t>Autel MaxiSYS VCI100 Wireless Diagnostic Interface, 2026 MaxiVCI VCI V100 Car Communication Interface, OBD2 Connector Adapter Dongle, Compatible for Autel Scanner MS906BT MK906BT MS906TS</t>
        </is>
      </c>
      <c r="B695" s="30" t="inlineStr">
        <is>
          <t>B0BL79T62P</t>
        </is>
      </c>
      <c r="C695" s="30" t="inlineStr">
        <is>
          <t>Dongle</t>
        </is>
      </c>
      <c r="D695" s="324" t="n">
        <v>199.9826190476191</v>
      </c>
      <c r="E695" s="324" t="n">
        <v>75507.39</v>
      </c>
      <c r="F695" s="324" t="n">
        <v>8399.27</v>
      </c>
      <c r="G695" s="55" t="n">
        <v>388</v>
      </c>
      <c r="H695" s="57" t="n">
        <v>42</v>
      </c>
      <c r="I695" s="55" t="n">
        <v>27</v>
      </c>
      <c r="J695" s="56" t="n">
        <v>4.6</v>
      </c>
      <c r="K695" s="56" t="inlineStr">
        <is>
          <t>https://amazon.com/dp/B0BL79T62P</t>
        </is>
      </c>
      <c r="L695" s="70">
        <f>HYPERLINK(Table1410[[#This Row],[Column1]])</f>
        <v/>
      </c>
    </row>
    <row r="696" ht="60" customHeight="1" s="290">
      <c r="A696" s="30" t="inlineStr">
        <is>
          <t>Autel Scanner MaxiCOM MK808BT PRO: 2026 Upgrade of MK808S MX808S MK808Z Bidirectional Diagnostic Tool, 2.0 BT Ver. of MK900 MX900 MK900BT, 3000+ Active Test, 28+ Service, OE All System, FCA, 11 OS</t>
        </is>
      </c>
      <c r="B696" s="30" t="inlineStr">
        <is>
          <t>B07H3M98FL</t>
        </is>
      </c>
      <c r="C696" s="30" t="inlineStr">
        <is>
          <t>Tablet</t>
        </is>
      </c>
      <c r="D696" s="324" t="n">
        <v>578.1202380952381</v>
      </c>
      <c r="E696" s="324" t="n">
        <v>297660.03</v>
      </c>
      <c r="F696" s="324" t="n">
        <v>24281.05</v>
      </c>
      <c r="G696" s="55" t="n">
        <v>517</v>
      </c>
      <c r="H696" s="57" t="n">
        <v>42</v>
      </c>
      <c r="I696" s="55" t="n">
        <v>651</v>
      </c>
      <c r="J696" s="56" t="n">
        <v>4.5</v>
      </c>
      <c r="K696" s="56" t="inlineStr">
        <is>
          <t>https://amazon.com/dp/B07H3M98FL</t>
        </is>
      </c>
      <c r="L696" s="70">
        <f>HYPERLINK(Table1410[[#This Row],[Column1]])</f>
        <v/>
      </c>
    </row>
    <row r="697" ht="60" customHeight="1" s="290">
      <c r="A697" s="30" t="inlineStr">
        <is>
          <t>Autel MaxiPRO MP900TS Scanner, 2026 8in MP900-TS up of MaxiSYS MS906 PRO MS906TS MP900-BT MK900-TS, Top TPMS as MS906 Pro-TS, Car Bidirectional Scan Tool, 40+ Service, All System, CAN FD&amp;DOIP, OS 11.0</t>
        </is>
      </c>
      <c r="B697" s="30" t="inlineStr">
        <is>
          <t>B08R3MHLG7</t>
        </is>
      </c>
      <c r="C697" s="30" t="inlineStr">
        <is>
          <t>Tablet</t>
        </is>
      </c>
      <c r="D697" s="324" t="n">
        <v>1097.467317073171</v>
      </c>
      <c r="E697" s="324" t="n">
        <v>482064.07</v>
      </c>
      <c r="F697" s="324" t="n">
        <v>44996.16</v>
      </c>
      <c r="G697" s="55" t="n">
        <v>434</v>
      </c>
      <c r="H697" s="57" t="n">
        <v>41</v>
      </c>
      <c r="I697" s="55" t="n">
        <v>119</v>
      </c>
      <c r="J697" s="56" t="n">
        <v>4.6</v>
      </c>
      <c r="K697" s="56" t="inlineStr">
        <is>
          <t>https://amazon.com/dp/B08R3MHLG7</t>
        </is>
      </c>
      <c r="L697" s="70">
        <f>HYPERLINK(Table1410[[#This Row],[Column1]])</f>
        <v/>
      </c>
    </row>
    <row r="698" ht="60" customHeight="1" s="290">
      <c r="A698" s="30" t="inlineStr">
        <is>
          <t>Autel Original OBD2 Male to 9pin J1939 Female Adapter Cable OBDII to Green J1939, Type 2 Connector for Heavy Duty Trucks and Commercial Vehicles Like Volvo, Plug Work with Truck ELD GPS Trackers</t>
        </is>
      </c>
      <c r="B698" s="30" t="inlineStr">
        <is>
          <t>B0FMDXHXHM</t>
        </is>
      </c>
      <c r="C698" s="30" t="inlineStr">
        <is>
          <t>Cable/Adapter</t>
        </is>
      </c>
      <c r="D698" s="324" t="n">
        <v>18.96675</v>
      </c>
      <c r="E698" s="324" t="n">
        <v>8517.256153846156</v>
      </c>
      <c r="F698" s="324" t="n">
        <v>758.67</v>
      </c>
      <c r="G698" s="55" t="n">
        <v>148</v>
      </c>
      <c r="H698" s="57" t="n">
        <v>40</v>
      </c>
      <c r="I698" s="55" t="n">
        <v>12</v>
      </c>
      <c r="J698" s="56" t="n">
        <v>4.9</v>
      </c>
      <c r="K698" s="56" t="inlineStr">
        <is>
          <t>https://amazon.com/dp/B0FMDXHXHM</t>
        </is>
      </c>
      <c r="L698" s="70">
        <f>HYPERLINK(Table1410[[#This Row],[Column1]])</f>
        <v/>
      </c>
    </row>
    <row r="699" ht="60" customHeight="1" s="290">
      <c r="A699" s="30" t="inlineStr">
        <is>
          <t>Autel Original CV CAT 14-Pin Adapter, CAT 14 Off Highway Connector for Caterpillar Engines, 2026 Work with Autel Scanner Heavy Duty Truck Semi Scan Tool MaxiSYS MS909CV, MS908CV II, MS908CV, MS906CV</t>
        </is>
      </c>
      <c r="B699" s="30" t="inlineStr">
        <is>
          <t>B0DBHVKGK8</t>
        </is>
      </c>
      <c r="C699" s="30" t="inlineStr">
        <is>
          <t>Cable/Adapter</t>
        </is>
      </c>
      <c r="D699" s="324" t="n">
        <v>39.6695</v>
      </c>
      <c r="E699" s="324" t="n">
        <v>14806.99</v>
      </c>
      <c r="F699" s="324" t="n">
        <v>1586.78</v>
      </c>
      <c r="G699" s="55" t="n">
        <v>376</v>
      </c>
      <c r="H699" s="57" t="n">
        <v>40</v>
      </c>
      <c r="I699" s="55" t="n">
        <v>8</v>
      </c>
      <c r="J699" s="56" t="n">
        <v>4.5</v>
      </c>
      <c r="K699" s="56" t="inlineStr">
        <is>
          <t>https://amazon.com/dp/B0DBHVKGK8</t>
        </is>
      </c>
      <c r="L699" s="70">
        <f>HYPERLINK(Table1410[[#This Row],[Column1]])</f>
        <v/>
      </c>
    </row>
    <row r="700" ht="45" customHeight="1" s="290">
      <c r="A700" s="30" t="inlineStr">
        <is>
          <t>Autel Scanner MaxiCOM MK808Z: 2026 Bidirectional Scan Tool as MK808BT Pro MX808S OBD2 Scanner, 28+ Resets, Active Test, All System Diagnostic, Injector C0ding, Escaner Automotriz,Work as MX900 MK900BT</t>
        </is>
      </c>
      <c r="B700" s="30" t="inlineStr">
        <is>
          <t>B098TDC7FM</t>
        </is>
      </c>
      <c r="C700" s="30" t="inlineStr">
        <is>
          <t>Tablet</t>
        </is>
      </c>
      <c r="D700" s="324" t="n">
        <v>419.388</v>
      </c>
      <c r="E700" s="324" t="n">
        <v>244815.01</v>
      </c>
      <c r="F700" s="324" t="n">
        <v>16775.52</v>
      </c>
      <c r="G700" s="55" t="n">
        <v>568</v>
      </c>
      <c r="H700" s="57" t="n">
        <v>40</v>
      </c>
      <c r="I700" s="55" t="n">
        <v>366</v>
      </c>
      <c r="J700" s="56" t="n">
        <v>4.4</v>
      </c>
      <c r="K700" s="56" t="inlineStr">
        <is>
          <t>https://amazon.com/dp/B098TDC7FM</t>
        </is>
      </c>
      <c r="L700" s="70">
        <f>HYPERLINK(Table1410[[#This Row],[Column1]])</f>
        <v/>
      </c>
    </row>
    <row r="701" ht="45" customHeight="1" s="290">
      <c r="A701" s="30" t="inlineStr">
        <is>
          <t>Autel MaxiSys MS906MAX 2026 Way Better Than MS906 Pro, Autel Scanner, Top Scan Tool DoIP CANFD Diagnostic Tool, Upgrade of MK900 MP900BT MS906BT MK908 3000+Active Test All System Diagnosis</t>
        </is>
      </c>
      <c r="B701" s="30" t="inlineStr">
        <is>
          <t>B0DRHX4MYX</t>
        </is>
      </c>
      <c r="C701" s="30" t="inlineStr">
        <is>
          <t>Tablet</t>
        </is>
      </c>
      <c r="D701" s="324" t="n">
        <v>1575.688</v>
      </c>
      <c r="E701" s="324" t="n">
        <v>728494.03</v>
      </c>
      <c r="F701" s="324" t="n">
        <v>63027.52</v>
      </c>
      <c r="G701" s="55" t="n">
        <v>466</v>
      </c>
      <c r="H701" s="57" t="n">
        <v>40</v>
      </c>
      <c r="I701" s="55" t="n">
        <v>32</v>
      </c>
      <c r="J701" s="56" t="n">
        <v>4.7</v>
      </c>
      <c r="K701" s="56" t="inlineStr">
        <is>
          <t>https://amazon.com/dp/B0DRHX4MYX</t>
        </is>
      </c>
      <c r="L701" s="70">
        <f>HYPERLINK(Table1410[[#This Row],[Column1]])</f>
        <v/>
      </c>
    </row>
    <row r="702" ht="60" customHeight="1" s="290">
      <c r="A702" s="30" t="inlineStr">
        <is>
          <t>Autel MaxiCheck MX900 Scanner, 2026 Bidirectional Diagnostic Scan Tool, 8in Up of MaxiCOM MK808S MX808S MK808BT PRO Same as MK900 MK900BT, CAN FD DoIP, 3K+ Active Tests, 40+ Services, All Systems, FCA</t>
        </is>
      </c>
      <c r="B702" s="30" t="inlineStr">
        <is>
          <t>B0BZS52VQD</t>
        </is>
      </c>
      <c r="C702" s="30" t="inlineStr">
        <is>
          <t>Tablet</t>
        </is>
      </c>
      <c r="D702" s="324" t="n">
        <v>564.3635</v>
      </c>
      <c r="E702" s="324" t="n">
        <v>219902.67</v>
      </c>
      <c r="F702" s="324" t="n">
        <v>22574.54</v>
      </c>
      <c r="G702" s="55" t="n">
        <v>422</v>
      </c>
      <c r="H702" s="57" t="n">
        <v>40</v>
      </c>
      <c r="I702" s="55" t="n">
        <v>68</v>
      </c>
      <c r="J702" s="56" t="n">
        <v>4.4</v>
      </c>
      <c r="K702" s="56" t="inlineStr">
        <is>
          <t>https://amazon.com/dp/B0BZS52VQD</t>
        </is>
      </c>
      <c r="L702" s="70">
        <f>HYPERLINK(Table1410[[#This Row],[Column1]])</f>
        <v/>
      </c>
    </row>
    <row r="703" ht="45" customHeight="1" s="290">
      <c r="A703" s="30" t="inlineStr">
        <is>
          <t>Autel MaxiTPMS ITS600 (E) TPMS Programming Tool, 2026 Complete TPMS Functions as ITS600 Pro Up of TS508WF/ MK808S-TS/ TS900, Relearn/Activate Sensors, Oil Reset EPB BMS SAS, Lifetime Free Updates</t>
        </is>
      </c>
      <c r="B703" s="30" t="inlineStr">
        <is>
          <t>B09QX9B31K</t>
        </is>
      </c>
      <c r="C703" s="30" t="inlineStr">
        <is>
          <t>Handheld</t>
        </is>
      </c>
      <c r="D703" s="324" t="n">
        <v>406.4310256410257</v>
      </c>
      <c r="E703" s="324" t="n">
        <v>117051.93</v>
      </c>
      <c r="F703" s="324" t="n">
        <v>15850.81</v>
      </c>
      <c r="G703" s="55" t="n">
        <v>245</v>
      </c>
      <c r="H703" s="57" t="n">
        <v>39</v>
      </c>
      <c r="I703" s="55" t="n">
        <v>15</v>
      </c>
      <c r="J703" s="56" t="n">
        <v>4.9</v>
      </c>
      <c r="K703" s="56" t="inlineStr">
        <is>
          <t>https://amazon.com/dp/B09QX9B31K</t>
        </is>
      </c>
      <c r="L703" s="70">
        <f>HYPERLINK(Table1410[[#This Row],[Column1]])</f>
        <v/>
      </c>
    </row>
    <row r="704" ht="60" customHeight="1" s="290">
      <c r="A704" s="30" t="inlineStr">
        <is>
          <t>Autel MaxiVCI V200 VCI200 Wireless Dongle: 2026 VCI 200 OBD2 Connector 2.0 of VCI100 V100 Adapter Car Communication Interface for MaxiSys MS906 Pro MS906 Pro-TS S906 MAX KM100 BT608 BT609 ITS600 etc.</t>
        </is>
      </c>
      <c r="B704" s="30" t="inlineStr">
        <is>
          <t>B0FHPHLR77</t>
        </is>
      </c>
      <c r="C704" s="30" t="inlineStr">
        <is>
          <t>Dongle</t>
        </is>
      </c>
      <c r="D704" s="324" t="n">
        <v>216.9705263157894</v>
      </c>
      <c r="E704" s="324" t="n">
        <v>72968.26384615386</v>
      </c>
      <c r="F704" s="324" t="n">
        <v>8244.879999999999</v>
      </c>
      <c r="G704" s="55" t="n">
        <v>193</v>
      </c>
      <c r="H704" s="57" t="n">
        <v>38</v>
      </c>
      <c r="I704" s="55" t="n">
        <v>9</v>
      </c>
      <c r="J704" s="56" t="n">
        <v>4.8</v>
      </c>
      <c r="K704" s="56" t="inlineStr">
        <is>
          <t>https://amazon.com/dp/B0FHPHLR77</t>
        </is>
      </c>
      <c r="L704" s="70">
        <f>HYPERLINK(Table1410[[#This Row],[Column1]])</f>
        <v/>
      </c>
    </row>
    <row r="705" ht="45" customHeight="1" s="290">
      <c r="A705" s="30" t="inlineStr">
        <is>
          <t>Autel MaxiSys MaxiVCI VCI Mini Bluetooth Diagnostic Interface, 2026 Vehicle Wireless Dongle, Work with Autel Scanner MaxiCOM MK808BT PRO MK808Z-BT MP808BT Pro MK808S-TS MX808S-TS MP808S-TS MK808TS</t>
        </is>
      </c>
      <c r="B705" s="30" t="inlineStr">
        <is>
          <t>B0BL6VPVYL</t>
        </is>
      </c>
      <c r="C705" s="30" t="inlineStr">
        <is>
          <t>Dongle</t>
        </is>
      </c>
      <c r="D705" s="324" t="n">
        <v>118.482972972973</v>
      </c>
      <c r="E705" s="324" t="n">
        <v>54966.90999999999</v>
      </c>
      <c r="F705" s="324" t="n">
        <v>4383.87</v>
      </c>
      <c r="G705" s="55" t="n">
        <v>513</v>
      </c>
      <c r="H705" s="57" t="n">
        <v>37</v>
      </c>
      <c r="I705" s="55" t="n">
        <v>66</v>
      </c>
      <c r="J705" s="56" t="n">
        <v>4.4</v>
      </c>
      <c r="K705" s="56" t="inlineStr">
        <is>
          <t>https://amazon.com/dp/B0BL6VPVYL</t>
        </is>
      </c>
      <c r="L705" s="70">
        <f>HYPERLINK(Table1410[[#This Row],[Column1]])</f>
        <v/>
      </c>
    </row>
    <row r="706" ht="45" customHeight="1" s="290">
      <c r="A706" s="30" t="inlineStr">
        <is>
          <t>Autel MaxiTPMS TS508WF TPMS Programming Tool, WiFi Relearn &amp; Reset for Tire Pressure Sensors, Diagnose, Activate &amp; Program MX-Sensors (315/433MHz), OBD2 Scanner, Free Lifetime Updates</t>
        </is>
      </c>
      <c r="B706" s="30" t="inlineStr">
        <is>
          <t>B0DGQ5N9K2</t>
        </is>
      </c>
      <c r="C706" s="30" t="inlineStr">
        <is>
          <t>Handheld</t>
        </is>
      </c>
      <c r="D706" s="324" t="n">
        <v>265.1262162162162</v>
      </c>
      <c r="E706" s="324" t="n">
        <v>65916.33</v>
      </c>
      <c r="F706" s="324" t="n">
        <v>9809.67</v>
      </c>
      <c r="G706" s="55" t="n">
        <v>249</v>
      </c>
      <c r="H706" s="57" t="n">
        <v>37</v>
      </c>
      <c r="I706" s="55" t="n">
        <v>11</v>
      </c>
      <c r="J706" s="56" t="n">
        <v>4.8</v>
      </c>
      <c r="K706" s="56" t="inlineStr">
        <is>
          <t>https://amazon.com/dp/B0DGQ5N9K2</t>
        </is>
      </c>
      <c r="L706" s="70">
        <f>HYPERLINK(Table1410[[#This Row],[Column1]])</f>
        <v/>
      </c>
    </row>
    <row r="707" ht="45" customHeight="1" s="290">
      <c r="A707" s="30" t="inlineStr">
        <is>
          <t>Autel MaxiSys MaxiVCI VCI Mini OBD2 Adapter Connector, 2026 Vehicle Wireless Diagnostic Interface, Work w/Autel Scanner MaxiCOM MK808BT PRO MK808Z-BT MK808K-BT MP808BT Pro MK808S-TS MP808S-TS MK808TS</t>
        </is>
      </c>
      <c r="B707" s="30" t="inlineStr">
        <is>
          <t>B0F26J3QSC</t>
        </is>
      </c>
      <c r="C707" s="30" t="inlineStr">
        <is>
          <t>Tablet</t>
        </is>
      </c>
      <c r="D707" s="324" t="n">
        <v>118.9530555555556</v>
      </c>
      <c r="E707" s="324" t="n">
        <v>38112.27307692308</v>
      </c>
      <c r="F707" s="324" t="n">
        <v>4282.31</v>
      </c>
      <c r="G707" s="55" t="n">
        <v>256</v>
      </c>
      <c r="H707" s="57" t="n">
        <v>36</v>
      </c>
      <c r="I707" s="55" t="n">
        <v>17</v>
      </c>
      <c r="J707" s="56" t="n">
        <v>4.6</v>
      </c>
      <c r="K707" s="56" t="inlineStr">
        <is>
          <t>https://amazon.com/dp/B0F26J3QSC</t>
        </is>
      </c>
      <c r="L707" s="70">
        <f>HYPERLINK(Table1410[[#This Row],[Column1]])</f>
        <v/>
      </c>
    </row>
    <row r="708" ht="30" customHeight="1" s="290">
      <c r="A708" s="30" t="inlineStr">
        <is>
          <t>Autel TPMS Sensors 4 Pack 2026</t>
        </is>
      </c>
      <c r="B708" s="30" t="inlineStr">
        <is>
          <t>B0122TXAQ2</t>
        </is>
      </c>
      <c r="C708" s="30" t="inlineStr">
        <is>
          <t>Handheld</t>
        </is>
      </c>
      <c r="D708" s="324" t="n">
        <v>199.1363888888889</v>
      </c>
      <c r="E708" s="324" t="n">
        <v>36583.39999999999</v>
      </c>
      <c r="F708" s="324" t="n">
        <v>7168.91</v>
      </c>
      <c r="G708" s="55" t="n">
        <v>180</v>
      </c>
      <c r="H708" s="57" t="n">
        <v>36</v>
      </c>
      <c r="I708" s="55" t="n">
        <v>83</v>
      </c>
      <c r="J708" s="56" t="n">
        <v>4.3</v>
      </c>
      <c r="K708" s="56" t="inlineStr">
        <is>
          <t>https://amazon.com/dp/B0122TXAQ2</t>
        </is>
      </c>
      <c r="L708" s="70">
        <f>HYPERLINK(Table1410[[#This Row],[Column1]])</f>
        <v/>
      </c>
    </row>
    <row r="709" ht="45" customHeight="1" s="290">
      <c r="A709" s="30" t="inlineStr">
        <is>
          <t>Autel MaxiTPMS TS508WF TPMS Programming Tool, 2026 WiFi Ver. of TS601 TS508 TS501 TS408, Activate/Relearn TPMS Sensors, Program MX Sensor, TPMS Diagnosis, Read/Clear TPMS Code, Free Lifetime Update</t>
        </is>
      </c>
      <c r="B709" s="30" t="inlineStr">
        <is>
          <t>B08FHXKV2M</t>
        </is>
      </c>
      <c r="C709" s="30" t="inlineStr">
        <is>
          <t>Handheld</t>
        </is>
      </c>
      <c r="D709" s="324" t="n">
        <v>262.2111428571428</v>
      </c>
      <c r="E709" s="324" t="n">
        <v>96635.19</v>
      </c>
      <c r="F709" s="324" t="n">
        <v>9177.389999999999</v>
      </c>
      <c r="G709" s="55" t="n">
        <v>369</v>
      </c>
      <c r="H709" s="57" t="n">
        <v>35</v>
      </c>
      <c r="I709" s="55" t="n">
        <v>137</v>
      </c>
      <c r="J709" s="56" t="n">
        <v>4.5</v>
      </c>
      <c r="K709" s="56" t="inlineStr">
        <is>
          <t>https://amazon.com/dp/B08FHXKV2M</t>
        </is>
      </c>
      <c r="L709" s="70">
        <f>HYPERLINK(Table1410[[#This Row],[Column1]])</f>
        <v/>
      </c>
    </row>
    <row r="710" ht="45" customHeight="1" s="290">
      <c r="A710" s="30" t="inlineStr">
        <is>
          <t>Autel Code Reader Diagnostic Tool, 2026 OBDII Scan Tool with Lifetime Free Updates, Wireless BT Scan Tool, 2GB &amp; 64GB Android 9.0, for Home Mechanics &amp; DIYers</t>
        </is>
      </c>
      <c r="B710" s="30" t="inlineStr">
        <is>
          <t>B0F6VCB25L</t>
        </is>
      </c>
      <c r="C710" s="30" t="inlineStr">
        <is>
          <t>Cable/Adapter</t>
        </is>
      </c>
      <c r="D710" s="324" t="n">
        <v>540.0205714285714</v>
      </c>
      <c r="E710" s="324" t="n">
        <v>141906.6684615385</v>
      </c>
      <c r="F710" s="324" t="n">
        <v>18900.72</v>
      </c>
      <c r="G710" s="55" t="n">
        <v>233</v>
      </c>
      <c r="H710" s="57" t="n">
        <v>35</v>
      </c>
      <c r="I710" s="55" t="n">
        <v>25</v>
      </c>
      <c r="J710" s="56" t="n">
        <v>4.6</v>
      </c>
      <c r="K710" s="56" t="inlineStr">
        <is>
          <t>https://amazon.com/dp/B0F6VCB25L</t>
        </is>
      </c>
      <c r="L710" s="70">
        <f>HYPERLINK(Table1410[[#This Row],[Column1]])</f>
        <v/>
      </c>
    </row>
    <row r="711" ht="60" customHeight="1" s="290">
      <c r="A711" s="30" t="inlineStr">
        <is>
          <t>Autel MaxiLink ML629 Automotive OBD2 Scanner, 2026 Newer Model Upgraded of AL619, ML619, Car Code Reader Check Engine ABS SRS Transmission Diagnostic Scan Tool with Auto VIN, Ready Test, DTC Lookup</t>
        </is>
      </c>
      <c r="B711" s="30" t="inlineStr">
        <is>
          <t>B07D9ZPHV4</t>
        </is>
      </c>
      <c r="C711" s="30" t="inlineStr">
        <is>
          <t>Handheld</t>
        </is>
      </c>
      <c r="D711" s="324" t="n">
        <v>113.9544117647059</v>
      </c>
      <c r="E711" s="324" t="n">
        <v>38353.43538461539</v>
      </c>
      <c r="F711" s="324" t="n">
        <v>3874.45</v>
      </c>
      <c r="G711" s="55" t="n">
        <v>307</v>
      </c>
      <c r="H711" s="57" t="n">
        <v>34</v>
      </c>
      <c r="I711" s="55" t="n">
        <v>221</v>
      </c>
      <c r="J711" s="56" t="n">
        <v>4.4</v>
      </c>
      <c r="K711" s="56" t="inlineStr">
        <is>
          <t>https://amazon.com/dp/B07D9ZPHV4</t>
        </is>
      </c>
      <c r="L711" s="70">
        <f>HYPERLINK(Table1410[[#This Row],[Column1]])</f>
        <v/>
      </c>
    </row>
    <row r="712" ht="45" customHeight="1" s="290">
      <c r="A712" s="30" t="inlineStr">
        <is>
          <t>Autel MaxiPRO MP900 Scanner, 2026 Newer of MP808BT PRO MP808S MK900 MX900, ECU C0ding, Same as MS906 MAX MS906 PRO MP900BT, Bidirectional Diagnostic Scan Tool 3000+ Test, 40+ Service, CAN FD&amp;DOIP, FCA</t>
        </is>
      </c>
      <c r="B712" s="30" t="inlineStr">
        <is>
          <t>B09YM7YPDJ</t>
        </is>
      </c>
      <c r="C712" s="30" t="inlineStr">
        <is>
          <t>Tablet</t>
        </is>
      </c>
      <c r="D712" s="324" t="n">
        <v>794.0426470588236</v>
      </c>
      <c r="E712" s="324" t="n">
        <v>193711.44</v>
      </c>
      <c r="F712" s="324" t="n">
        <v>26997.45</v>
      </c>
      <c r="G712" s="55" t="n">
        <v>241</v>
      </c>
      <c r="H712" s="57" t="n">
        <v>34</v>
      </c>
      <c r="I712" s="55" t="n">
        <v>39</v>
      </c>
      <c r="J712" s="56" t="n">
        <v>4.5</v>
      </c>
      <c r="K712" s="56" t="inlineStr">
        <is>
          <t>https://amazon.com/dp/B09YM7YPDJ</t>
        </is>
      </c>
      <c r="L712" s="70">
        <f>HYPERLINK(Table1410[[#This Row],[Column1]])</f>
        <v/>
      </c>
    </row>
    <row r="713" ht="60" customHeight="1" s="290">
      <c r="A713" s="30" t="inlineStr">
        <is>
          <t>Autel Scanner MaxiCOM MK808BT PRO: 2026 Bidirectional Scan Tool Work as MK900BT, 33FT BT 2.0 Ver. of MK900 MX900 MK808S MaxiCheck MX808S MK808Z, 3K+ Active Tests, 28+ Services, OE Full Sys, OS 11, FCA</t>
        </is>
      </c>
      <c r="B713" s="30" t="inlineStr">
        <is>
          <t>B07KXDKWRS</t>
        </is>
      </c>
      <c r="C713" s="30" t="inlineStr">
        <is>
          <t>Tablet</t>
        </is>
      </c>
      <c r="D713" s="324" t="n">
        <v>554.6626470588235</v>
      </c>
      <c r="E713" s="324" t="n">
        <v>307003.49</v>
      </c>
      <c r="F713" s="324" t="n">
        <v>18858.53</v>
      </c>
      <c r="G713" s="55" t="n">
        <v>558</v>
      </c>
      <c r="H713" s="57" t="n">
        <v>34</v>
      </c>
      <c r="I713" s="55" t="n">
        <v>602</v>
      </c>
      <c r="J713" s="56" t="n">
        <v>4.6</v>
      </c>
      <c r="K713" s="56" t="inlineStr">
        <is>
          <t>https://amazon.com/dp/B07KXDKWRS</t>
        </is>
      </c>
      <c r="L713" s="70">
        <f>HYPERLINK(Table1410[[#This Row],[Column1]])</f>
        <v/>
      </c>
    </row>
    <row r="714" ht="30" customHeight="1" s="290">
      <c r="A714" s="30" t="inlineStr">
        <is>
          <t>Autel AT100 Super Chip 2026, Transponder for ID11 ID12 ID13 ID46 ID47 ID48 ID49 ID4A ID4C ID5C ID4D ID64 ID8A ID8C MQB, Work with MaxiIM KM100 IM508 IM508S IM608 IM608 PRO 2 (10PCS/ Pack)</t>
        </is>
      </c>
      <c r="B714" s="30" t="inlineStr">
        <is>
          <t>B0FM49DF77</t>
        </is>
      </c>
      <c r="C714" s="30" t="inlineStr">
        <is>
          <t>Key</t>
        </is>
      </c>
      <c r="D714" s="324" t="n">
        <v>48.58176470588235</v>
      </c>
      <c r="E714" s="324" t="n">
        <v>17382.04</v>
      </c>
      <c r="F714" s="324" t="n">
        <v>1651.78</v>
      </c>
      <c r="G714" s="55" t="n">
        <v>169</v>
      </c>
      <c r="H714" s="57" t="n">
        <v>34</v>
      </c>
      <c r="I714" s="55" t="n">
        <v>21</v>
      </c>
      <c r="J714" s="56" t="n">
        <v>4.9</v>
      </c>
      <c r="K714" s="56" t="inlineStr">
        <is>
          <t>https://amazon.com/dp/B0FM49DF77</t>
        </is>
      </c>
      <c r="L714" s="70">
        <f>HYPERLINK(Table1410[[#This Row],[Column1]])</f>
        <v/>
      </c>
    </row>
    <row r="715" ht="60" customHeight="1" s="290">
      <c r="A715" s="30" t="inlineStr">
        <is>
          <t>2026 Autel Scanner MaxiIM IM508S PRO: OBD2 Diagnostic Scan Tool, Full Bundle Pro Version, Enhanced All System Diagnose w/ 3000+ Active Test, 40+ Service, OS11.0, FCA SGW</t>
        </is>
      </c>
      <c r="B715" s="30" t="inlineStr">
        <is>
          <t>B01DDKAF8K</t>
        </is>
      </c>
      <c r="C715" s="30" t="inlineStr">
        <is>
          <t>Tablet</t>
        </is>
      </c>
      <c r="D715" s="324" t="n">
        <v>1589.451212121212</v>
      </c>
      <c r="E715" s="324" t="n">
        <v>217067.63</v>
      </c>
      <c r="F715" s="324" t="n">
        <v>52451.89</v>
      </c>
      <c r="G715" s="55" t="n">
        <v>146</v>
      </c>
      <c r="H715" s="57" t="n">
        <v>33</v>
      </c>
      <c r="I715" s="55" t="n">
        <v>91</v>
      </c>
      <c r="J715" s="56" t="n">
        <v>4.6</v>
      </c>
      <c r="K715" s="56" t="inlineStr">
        <is>
          <t>https://amazon.com/dp/B01DDKAF8K</t>
        </is>
      </c>
      <c r="L715" s="70">
        <f>HYPERLINK(Table1410[[#This Row],[Column1]])</f>
        <v/>
      </c>
    </row>
    <row r="716" ht="60" customHeight="1" s="290">
      <c r="A716" s="30" t="inlineStr">
        <is>
          <t>Autel Scanner MaxilM KM100 Diagnostic Tool, 2026 New KM100 Scan Tool, Lifetime Fr.ee Update, OBD-Learn for 99% Cars, with Updated Hardware 2.0 for Home Mechanics &amp; DIYers (Model KM Series 100)</t>
        </is>
      </c>
      <c r="B716" s="30" t="inlineStr">
        <is>
          <t>B0F7LK3CN5</t>
        </is>
      </c>
      <c r="C716" s="30" t="inlineStr">
        <is>
          <t>Handheld</t>
        </is>
      </c>
      <c r="D716" s="324" t="n">
        <v>533.4039393939395</v>
      </c>
      <c r="E716" s="324" t="n">
        <v>177113.0392307692</v>
      </c>
      <c r="F716" s="324" t="n">
        <v>17602.33</v>
      </c>
      <c r="G716" s="55" t="n">
        <v>270</v>
      </c>
      <c r="H716" s="57" t="n">
        <v>33</v>
      </c>
      <c r="I716" s="55" t="n">
        <v>23</v>
      </c>
      <c r="J716" s="56" t="n">
        <v>4.4</v>
      </c>
      <c r="K716" s="56" t="inlineStr">
        <is>
          <t>https://amazon.com/dp/B0F7LK3CN5</t>
        </is>
      </c>
      <c r="L716" s="70">
        <f>HYPERLINK(Table1410[[#This Row],[Column1]])</f>
        <v/>
      </c>
    </row>
    <row r="717" ht="45" customHeight="1" s="290">
      <c r="A717" s="30" t="inlineStr">
        <is>
          <t>Autel MaxiTPMS TS501 PRO TPMS Programming Relearn Tool, 2026 Same as TS508WF TS508, Up of TS501 TS408S, Activate Tire Sensors, Program Autel MX-Sensors, Turn Off TPMS Light, Lifetime Free Update</t>
        </is>
      </c>
      <c r="B717" s="30" t="inlineStr">
        <is>
          <t>B096XFB7WY</t>
        </is>
      </c>
      <c r="C717" s="30" t="inlineStr">
        <is>
          <t>Handheld</t>
        </is>
      </c>
      <c r="D717" s="324" t="n">
        <v>216.6757575757576</v>
      </c>
      <c r="E717" s="324" t="n">
        <v>62946.64000000001</v>
      </c>
      <c r="F717" s="324" t="n">
        <v>7150.3</v>
      </c>
      <c r="G717" s="55" t="n">
        <v>287</v>
      </c>
      <c r="H717" s="57" t="n">
        <v>33</v>
      </c>
      <c r="I717" s="55" t="n">
        <v>36</v>
      </c>
      <c r="J717" s="56" t="n">
        <v>4.2</v>
      </c>
      <c r="K717" s="56" t="inlineStr">
        <is>
          <t>https://amazon.com/dp/B096XFB7WY</t>
        </is>
      </c>
      <c r="L717" s="70">
        <f>HYPERLINK(Table1410[[#This Row],[Column1]])</f>
        <v/>
      </c>
    </row>
    <row r="718" ht="45" customHeight="1" s="290">
      <c r="A718" s="30" t="inlineStr">
        <is>
          <t>Autel Scanner MaxiSYS MS906 PRO-TS, 2026 MS906PROTS Same as MS906 PRO2-TS Up of MS906MAX MS906PRO MP900TS, Top TPMS &amp; OE C0d-ing, Bidirectional, 36+ Service, CAN FD&amp;DoIP, Auto Scan 2.0, FCA OS 10</t>
        </is>
      </c>
      <c r="B718" s="30" t="inlineStr">
        <is>
          <t>B09JG9L1QC</t>
        </is>
      </c>
      <c r="C718" s="30" t="inlineStr">
        <is>
          <t>Tablet</t>
        </is>
      </c>
      <c r="D718" s="324" t="n">
        <v>1550.966875</v>
      </c>
      <c r="E718" s="324" t="n">
        <v>746839.02</v>
      </c>
      <c r="F718" s="324" t="n">
        <v>49630.94</v>
      </c>
      <c r="G718" s="55" t="n">
        <v>477</v>
      </c>
      <c r="H718" s="57" t="n">
        <v>32</v>
      </c>
      <c r="I718" s="55" t="n">
        <v>197</v>
      </c>
      <c r="J718" s="56" t="n">
        <v>4.7</v>
      </c>
      <c r="K718" s="56" t="inlineStr">
        <is>
          <t>https://amazon.com/dp/B09JG9L1QC</t>
        </is>
      </c>
      <c r="L718" s="70">
        <f>HYPERLINK(Table1410[[#This Row],[Column1]])</f>
        <v/>
      </c>
    </row>
    <row r="719" ht="45" customHeight="1" s="290">
      <c r="A719" s="30" t="inlineStr">
        <is>
          <t>Autel MK900 Scanner, 2026 OBD2 Diagnostic Tool Up of MK808S MX808S MK808BT, Works as MaxiCOM MX900 MK900BT MK900-BT w/ 3000+ Bidirectional Active Tests, All System, 40+ Resets, DOIP CANFD, FCA</t>
        </is>
      </c>
      <c r="B719" s="30" t="inlineStr">
        <is>
          <t>B07BQQFDKQ</t>
        </is>
      </c>
      <c r="C719" s="30" t="inlineStr">
        <is>
          <t>Tablet</t>
        </is>
      </c>
      <c r="D719" s="324" t="n">
        <v>563.7567741935484</v>
      </c>
      <c r="E719" s="324" t="n">
        <v>319618.51</v>
      </c>
      <c r="F719" s="324" t="n">
        <v>17476.46</v>
      </c>
      <c r="G719" s="55" t="n">
        <v>590</v>
      </c>
      <c r="H719" s="57" t="n">
        <v>31</v>
      </c>
      <c r="I719" s="55" t="n">
        <v>134</v>
      </c>
      <c r="J719" s="56" t="n">
        <v>4.6</v>
      </c>
      <c r="K719" s="56" t="inlineStr">
        <is>
          <t>https://amazon.com/dp/B07BQQFDKQ</t>
        </is>
      </c>
      <c r="L719" s="70">
        <f>HYPERLINK(Table1410[[#This Row],[Column1]])</f>
        <v/>
      </c>
    </row>
    <row r="720" ht="45" customHeight="1" s="290">
      <c r="A720" s="30" t="inlineStr">
        <is>
          <t>Autel Scanner MaxiCheck MX808S-TS: 2026 Same as MaxiCOM MK900TS MX900-TS TS900, US Ver. of MK808S-TS Up of MK808S, Top TPMS Programming Tool, 3000+ Bidirecitonal Active Test, 28+ Service, 11 OS, FCA</t>
        </is>
      </c>
      <c r="B720" s="30" t="inlineStr">
        <is>
          <t>B09QX69JQW</t>
        </is>
      </c>
      <c r="C720" s="30" t="inlineStr">
        <is>
          <t>Tablet</t>
        </is>
      </c>
      <c r="D720" s="324" t="n">
        <v>658.467</v>
      </c>
      <c r="E720" s="324" t="n">
        <v>315251.13</v>
      </c>
      <c r="F720" s="324" t="n">
        <v>19754.01</v>
      </c>
      <c r="G720" s="55" t="n">
        <v>482</v>
      </c>
      <c r="H720" s="57" t="n">
        <v>30</v>
      </c>
      <c r="I720" s="55" t="n">
        <v>106</v>
      </c>
      <c r="J720" s="56" t="n">
        <v>4.7</v>
      </c>
      <c r="K720" s="56" t="inlineStr">
        <is>
          <t>https://amazon.com/dp/B09QX69JQW</t>
        </is>
      </c>
      <c r="L720" s="70">
        <f>HYPERLINK(Table1410[[#This Row],[Column1]])</f>
        <v/>
      </c>
    </row>
    <row r="721" ht="60" customHeight="1" s="290">
      <c r="A721" s="30" t="inlineStr">
        <is>
          <t>Autel Original MaxiSYS CV CAT 9-PIN Adapter, 9-Pin Off-Highway Vehicle Adapter for Caterpillar Engines, Compatible with Autel Scanner MaxiSYS CV MS908CV, MS908CV II, MS909CV, MS906CV and VCI</t>
        </is>
      </c>
      <c r="B721" s="30" t="inlineStr">
        <is>
          <t>B0G8J8HN8R</t>
        </is>
      </c>
      <c r="C721" s="30" t="inlineStr">
        <is>
          <t>Cable/Adapter</t>
        </is>
      </c>
      <c r="D721" s="324" t="n">
        <v>29.64533333333333</v>
      </c>
      <c r="E721" s="324" t="n">
        <v>10644.62692307692</v>
      </c>
      <c r="F721" s="324" t="n">
        <v>889.36</v>
      </c>
      <c r="G721" s="55" t="n">
        <v>82</v>
      </c>
      <c r="H721" s="57" t="n">
        <v>30</v>
      </c>
      <c r="I721" s="55" t="n">
        <v>1</v>
      </c>
      <c r="J721" s="56" t="n">
        <v>5</v>
      </c>
      <c r="K721" s="56" t="inlineStr">
        <is>
          <t>https://amazon.com/dp/B0G8J8HN8R</t>
        </is>
      </c>
      <c r="L721" s="70">
        <f>HYPERLINK(Table1410[[#This Row],[Column1]])</f>
        <v/>
      </c>
    </row>
    <row r="722" ht="45" customHeight="1" s="290">
      <c r="A722" s="30" t="inlineStr">
        <is>
          <t>Autel Original J1939 Splitter 9pin Type 2 Male to Female and 16pin OBD2 Y Cable, Green Connector Work with Truck Diagnostic Scanner, Converter for Heavy Duty Commercial Truck Fleet ELD GPS Tracker</t>
        </is>
      </c>
      <c r="B722" s="30" t="inlineStr">
        <is>
          <t>B0G4LNY2GD</t>
        </is>
      </c>
      <c r="C722" s="30" t="inlineStr">
        <is>
          <t>Cable/Adapter</t>
        </is>
      </c>
      <c r="D722" s="324" t="n">
        <v>19.71933333333333</v>
      </c>
      <c r="E722" s="324" t="n">
        <v>7278.618461538461</v>
      </c>
      <c r="F722" s="324" t="n">
        <v>591.58</v>
      </c>
      <c r="G722" s="55" t="n">
        <v>86</v>
      </c>
      <c r="H722" s="57" t="n">
        <v>30</v>
      </c>
      <c r="I722" s="55" t="n">
        <v>3</v>
      </c>
      <c r="J722" s="56" t="n">
        <v>5</v>
      </c>
      <c r="K722" s="56" t="inlineStr">
        <is>
          <t>https://amazon.com/dp/B0G4LNY2GD</t>
        </is>
      </c>
      <c r="L722" s="70">
        <f>HYPERLINK(Table1410[[#This Row],[Column1]])</f>
        <v/>
      </c>
    </row>
    <row r="723" ht="45" customHeight="1" s="290">
      <c r="A723" s="30" t="inlineStr">
        <is>
          <t>Autel APB112 Accessory Tool, Working with Autel MaxiIM IM608Pro II/ IM608S II/ IM608 II/ IM508S II/ XP400 PRO</t>
        </is>
      </c>
      <c r="B723" s="30" t="inlineStr">
        <is>
          <t>B0DFXSX4Y1</t>
        </is>
      </c>
      <c r="C723" s="30" t="inlineStr">
        <is>
          <t>Key</t>
        </is>
      </c>
      <c r="D723" s="324" t="n">
        <v>255.413</v>
      </c>
      <c r="E723" s="324" t="n">
        <v>51548.7</v>
      </c>
      <c r="F723" s="324" t="n">
        <v>7662.39</v>
      </c>
      <c r="G723" s="55" t="n">
        <v>201</v>
      </c>
      <c r="H723" s="57" t="n">
        <v>30</v>
      </c>
      <c r="I723" s="55" t="n">
        <v>10</v>
      </c>
      <c r="J723" s="56" t="n">
        <v>5</v>
      </c>
      <c r="K723" s="56" t="inlineStr">
        <is>
          <t>https://amazon.com/dp/B0DFXSX4Y1</t>
        </is>
      </c>
      <c r="L723" s="70">
        <f>HYPERLINK(Table1410[[#This Row],[Column1]])</f>
        <v/>
      </c>
    </row>
    <row r="724" ht="45" customHeight="1" s="290">
      <c r="A724" s="30" t="inlineStr">
        <is>
          <t>Autel Original OBD2 Main Test Cable for 808 Series Scanners, 5.6FT/ 1.7M 16 Pin DB15 OBDII Diagnostic Adapter, fit MK808 MK808S MK808Z MX808 MX808S DS708 DS808 MS906 MS908 MP808 MP808S IM508S IM508</t>
        </is>
      </c>
      <c r="B724" s="30" t="inlineStr">
        <is>
          <t>B0DH2788FM</t>
        </is>
      </c>
      <c r="C724" s="30" t="inlineStr">
        <is>
          <t>Cable/Adapter</t>
        </is>
      </c>
      <c r="D724" s="324" t="n">
        <v>22.69655172413793</v>
      </c>
      <c r="E724" s="324" t="n">
        <v>14641.56923076923</v>
      </c>
      <c r="F724" s="324" t="n">
        <v>658.2</v>
      </c>
      <c r="G724" s="55" t="n">
        <v>612</v>
      </c>
      <c r="H724" s="57" t="n">
        <v>29</v>
      </c>
      <c r="I724" s="55" t="n">
        <v>31</v>
      </c>
      <c r="J724" s="56" t="n">
        <v>4.3</v>
      </c>
      <c r="K724" s="56" t="inlineStr">
        <is>
          <t>https://amazon.com/dp/B0DH2788FM</t>
        </is>
      </c>
      <c r="L724" s="70">
        <f>HYPERLINK(Table1410[[#This Row],[Column1]])</f>
        <v/>
      </c>
    </row>
    <row r="725" ht="60" customHeight="1" s="290">
      <c r="A725" s="30" t="inlineStr">
        <is>
          <t>Autel MaxiVCI V150 Wireless Bluetooth Diagnostic Dongle, 2026 VCI 150 OBD2 Connector Adapter Car Communication Interface, Work w/Autel Scanner MK900BT MP900BT MP900Z-BT MP900TS MK900TS MX900TS TS900</t>
        </is>
      </c>
      <c r="B725" s="30" t="inlineStr">
        <is>
          <t>B0DK4RV3TZ</t>
        </is>
      </c>
      <c r="C725" s="30" t="inlineStr">
        <is>
          <t>Dongle</t>
        </is>
      </c>
      <c r="D725" s="324" t="n">
        <v>200.0613793103448</v>
      </c>
      <c r="E725" s="324" t="n">
        <v>61426.45</v>
      </c>
      <c r="F725" s="324" t="n">
        <v>5801.78</v>
      </c>
      <c r="G725" s="55" t="n">
        <v>311</v>
      </c>
      <c r="H725" s="57" t="n">
        <v>29</v>
      </c>
      <c r="I725" s="55" t="n">
        <v>10</v>
      </c>
      <c r="J725" s="56" t="n">
        <v>4.8</v>
      </c>
      <c r="K725" s="56" t="inlineStr">
        <is>
          <t>https://amazon.com/dp/B0DK4RV3TZ</t>
        </is>
      </c>
      <c r="L725" s="70">
        <f>HYPERLINK(Table1410[[#This Row],[Column1]])</f>
        <v/>
      </c>
    </row>
    <row r="726" ht="60" customHeight="1" s="290">
      <c r="A726" s="30" t="inlineStr">
        <is>
          <t>Autel MaxiSys MS906 PRO Scanner, 2026 MS906Pro Same as MS906MAX, Top ECU Elite 2.0 of MS906BT MP900BT MP900 MS908S, Bidirectional 3K+ Test, OE All Sys, CAN FD DoIP, 36+ Service, AutoScan 2.0</t>
        </is>
      </c>
      <c r="B726" s="30" t="inlineStr">
        <is>
          <t>B00UEHHI3G</t>
        </is>
      </c>
      <c r="C726" s="30" t="inlineStr">
        <is>
          <t>Tablet</t>
        </is>
      </c>
      <c r="D726" s="324" t="n">
        <v>1358.563793103448</v>
      </c>
      <c r="E726" s="324" t="n">
        <v>336133.61</v>
      </c>
      <c r="F726" s="324" t="n">
        <v>39398.35</v>
      </c>
      <c r="G726" s="55" t="n">
        <v>262</v>
      </c>
      <c r="H726" s="57" t="n">
        <v>29</v>
      </c>
      <c r="I726" s="55" t="n">
        <v>26</v>
      </c>
      <c r="J726" s="56" t="n">
        <v>4.6</v>
      </c>
      <c r="K726" s="56" t="inlineStr">
        <is>
          <t>https://amazon.com/dp/B00UEHHI3G</t>
        </is>
      </c>
      <c r="L726" s="70">
        <f>HYPERLINK(Table1410[[#This Row],[Column1]])</f>
        <v/>
      </c>
    </row>
    <row r="727" ht="45" customHeight="1" s="290">
      <c r="A727" s="30" t="inlineStr">
        <is>
          <t>2026 Autel CAN FD Adapter, Support CANFD Protocol for GM 2020+, for Ford 2021+, for FCA Cars 2020+, for Toyota 2020+, etc., Work with Autel OBD2 Scanner MK808S MX808S MaxiSys Elite MK908 MS908 MS906BT</t>
        </is>
      </c>
      <c r="B727" s="30" t="inlineStr">
        <is>
          <t>B0F26CZRFF</t>
        </is>
      </c>
      <c r="C727" s="30" t="inlineStr">
        <is>
          <t>Tablet</t>
        </is>
      </c>
      <c r="D727" s="324" t="n">
        <v>119.8744827586207</v>
      </c>
      <c r="E727" s="324" t="n">
        <v>26591.00538461538</v>
      </c>
      <c r="F727" s="324" t="n">
        <v>3476.36</v>
      </c>
      <c r="G727" s="55" t="n">
        <v>171</v>
      </c>
      <c r="H727" s="57" t="n">
        <v>29</v>
      </c>
      <c r="I727" s="55" t="n">
        <v>3</v>
      </c>
      <c r="J727" s="56" t="n">
        <v>5</v>
      </c>
      <c r="K727" s="56" t="inlineStr">
        <is>
          <t>https://amazon.com/dp/B0F26CZRFF</t>
        </is>
      </c>
      <c r="L727" s="70">
        <f>HYPERLINK(Table1410[[#This Row],[Column1]])</f>
        <v/>
      </c>
    </row>
    <row r="728" ht="60" customHeight="1" s="290">
      <c r="A728" s="30" t="inlineStr">
        <is>
          <t>Autel Original OBD2 Splitter 16 Pin OBD II Splitter Extension, 1X Male to 2X Female Extension Cable Adapter, OBDII Extension Cord (2FT/ 60CM)</t>
        </is>
      </c>
      <c r="B728" s="30" t="inlineStr">
        <is>
          <t>B0D4MBB7C9</t>
        </is>
      </c>
      <c r="C728" s="30" t="inlineStr">
        <is>
          <t>Cable/Adapter</t>
        </is>
      </c>
      <c r="D728" s="324" t="n">
        <v>23.28413793103448</v>
      </c>
      <c r="E728" s="324" t="n">
        <v>6111.84</v>
      </c>
      <c r="F728" s="324" t="n">
        <v>675.24</v>
      </c>
      <c r="G728" s="55" t="n">
        <v>264</v>
      </c>
      <c r="H728" s="57" t="n">
        <v>29</v>
      </c>
      <c r="I728" s="55" t="n">
        <v>31</v>
      </c>
      <c r="J728" s="56" t="n">
        <v>4.6</v>
      </c>
      <c r="K728" s="56" t="inlineStr">
        <is>
          <t>https://amazon.com/dp/B0D4MBB7C9</t>
        </is>
      </c>
      <c r="L728" s="70">
        <f>HYPERLINK(Table1410[[#This Row],[Column1]])</f>
        <v/>
      </c>
    </row>
    <row r="729" ht="45" customHeight="1" s="290">
      <c r="A729" s="30" t="inlineStr">
        <is>
          <t>Autel MaxiCheck PRO AutoBleed Scan Tool, ABS Brake Bleed with with ABS SRS Diagnostics, Full OBDII, BMS EPB SRS SAS Oil Reset Services for Specific Vehicles, Free Update, Functions Not for All Cars</t>
        </is>
      </c>
      <c r="B729" s="30" t="inlineStr">
        <is>
          <t>B07NV4943F</t>
        </is>
      </c>
      <c r="C729" s="30" t="inlineStr">
        <is>
          <t>Handheld</t>
        </is>
      </c>
      <c r="D729" s="324" t="n">
        <v>178.2125</v>
      </c>
      <c r="E729" s="324" t="n">
        <v>60617.13769230769</v>
      </c>
      <c r="F729" s="324" t="n">
        <v>4989.95</v>
      </c>
      <c r="G729" s="55" t="n">
        <v>288</v>
      </c>
      <c r="H729" s="57" t="n">
        <v>28</v>
      </c>
      <c r="I729" s="55" t="n">
        <v>498</v>
      </c>
      <c r="J729" s="56" t="n">
        <v>4.4</v>
      </c>
      <c r="K729" s="56" t="inlineStr">
        <is>
          <t>https://amazon.com/dp/B07NV4943F</t>
        </is>
      </c>
      <c r="L729" s="70">
        <f>HYPERLINK(Table1410[[#This Row],[Column1]])</f>
        <v/>
      </c>
    </row>
    <row r="730" ht="45" customHeight="1" s="290">
      <c r="A730" s="30" t="inlineStr">
        <is>
          <t>Autel MaxiDiag MD806 OBD2 Scanner, ABS SRS Engine Transmission 4 Systems Diagnostic Scan Tool, 7 Hot Service as MD808 Pro, Oil Reset D-P.F, EPB SAS BMS Throttle A/F, Up of MD805 MD802, Free Update</t>
        </is>
      </c>
      <c r="B730" s="30" t="inlineStr">
        <is>
          <t>B07PXQVKBY</t>
        </is>
      </c>
      <c r="C730" s="30" t="inlineStr">
        <is>
          <t>Handheld</t>
        </is>
      </c>
      <c r="D730" s="324" t="n">
        <v>175.1292857142857</v>
      </c>
      <c r="E730" s="324" t="n">
        <v>52593.08</v>
      </c>
      <c r="F730" s="324" t="n">
        <v>4903.62</v>
      </c>
      <c r="G730" s="55" t="n">
        <v>269</v>
      </c>
      <c r="H730" s="57" t="n">
        <v>28</v>
      </c>
      <c r="I730" s="55" t="n">
        <v>1149</v>
      </c>
      <c r="J730" s="56" t="n">
        <v>4.4</v>
      </c>
      <c r="K730" s="56" t="inlineStr">
        <is>
          <t>https://amazon.com/dp/B07PXQVKBY</t>
        </is>
      </c>
      <c r="L730" s="70">
        <f>HYPERLINK(Table1410[[#This Row],[Column1]])</f>
        <v/>
      </c>
    </row>
    <row r="731" ht="60" customHeight="1" s="290">
      <c r="A731" s="30" t="inlineStr">
        <is>
          <t>2026 Autel ML629 OBD2 Scanner ABS SRS Engine Transmission Diagnoses OBD II Full Functions Upgraded Version of AL519/AL619/ ML619 for DIYers Professionals</t>
        </is>
      </c>
      <c r="B731" s="30" t="inlineStr">
        <is>
          <t>B07M66RH77</t>
        </is>
      </c>
      <c r="C731" s="30" t="inlineStr">
        <is>
          <t>Handheld</t>
        </is>
      </c>
      <c r="D731" s="324" t="n">
        <v>127.372962962963</v>
      </c>
      <c r="E731" s="324" t="n">
        <v>72095.19</v>
      </c>
      <c r="F731" s="324" t="n">
        <v>3439.07</v>
      </c>
      <c r="G731" s="55" t="n">
        <v>581</v>
      </c>
      <c r="H731" s="57" t="n">
        <v>27</v>
      </c>
      <c r="I731" s="55" t="n">
        <v>1114</v>
      </c>
      <c r="J731" s="56" t="n">
        <v>4.3</v>
      </c>
      <c r="K731" s="56" t="inlineStr">
        <is>
          <t>https://amazon.com/dp/B07M66RH77</t>
        </is>
      </c>
      <c r="L731" s="70">
        <f>HYPERLINK(Table1410[[#This Row],[Column1]])</f>
        <v/>
      </c>
    </row>
    <row r="732" ht="45" customHeight="1" s="290">
      <c r="A732" s="30" t="inlineStr">
        <is>
          <t>Autel J2534 Pass-Thru Programmer, 2026 OEM Reprogramming Diagnostic Tool, Pro 2.0 Ver. of MaxiFlash Elite, Support J2534/ D-PDU/CAN FD/DoIP Protocols, Work with OE Tools &amp; Ultra Lite Elite II PRO</t>
        </is>
      </c>
      <c r="B732" s="30" t="inlineStr">
        <is>
          <t>B0D5MDKFCF</t>
        </is>
      </c>
      <c r="C732" s="30" t="inlineStr">
        <is>
          <t>VCI</t>
        </is>
      </c>
      <c r="D732" s="324" t="n">
        <v>897.8576923076923</v>
      </c>
      <c r="E732" s="324" t="n">
        <v>181142.36</v>
      </c>
      <c r="F732" s="324" t="n">
        <v>23344.3</v>
      </c>
      <c r="G732" s="55" t="n">
        <v>190</v>
      </c>
      <c r="H732" s="57" t="n">
        <v>26</v>
      </c>
      <c r="I732" s="55" t="n">
        <v>68</v>
      </c>
      <c r="J732" s="56" t="n">
        <v>4.6</v>
      </c>
      <c r="K732" s="56" t="inlineStr">
        <is>
          <t>https://amazon.com/dp/B0D5MDKFCF</t>
        </is>
      </c>
      <c r="L732" s="70">
        <f>HYPERLINK(Table1410[[#This Row],[Column1]])</f>
        <v/>
      </c>
    </row>
    <row r="733" ht="45" customHeight="1" s="290">
      <c r="A733" s="30" t="inlineStr">
        <is>
          <t>Autel MaxiTPMS TS508WF TPMS Programming Tool Kit, 2026 WiFi Tire Sensor Relearn Activation Tool, Up of TS508 TS601 TS501 PRO, Clear TPMS DTCs, 4PCS 315+433MHz MX Sensors ($120), Lifetime Free Updates</t>
        </is>
      </c>
      <c r="B733" s="30" t="inlineStr">
        <is>
          <t>B0788GG1PZ</t>
        </is>
      </c>
      <c r="C733" s="30" t="inlineStr">
        <is>
          <t>Handheld</t>
        </is>
      </c>
      <c r="D733" s="324" t="n">
        <v>312.0953846153846</v>
      </c>
      <c r="E733" s="324" t="n">
        <v>126698.14</v>
      </c>
      <c r="F733" s="324" t="n">
        <v>8114.48</v>
      </c>
      <c r="G733" s="55" t="n">
        <v>409</v>
      </c>
      <c r="H733" s="57" t="n">
        <v>26</v>
      </c>
      <c r="I733" s="55" t="n">
        <v>222</v>
      </c>
      <c r="J733" s="56" t="n">
        <v>4.5</v>
      </c>
      <c r="K733" s="56" t="inlineStr">
        <is>
          <t>https://amazon.com/dp/B0788GG1PZ</t>
        </is>
      </c>
      <c r="L733" s="70">
        <f>HYPERLINK(Table1410[[#This Row],[Column1]])</f>
        <v/>
      </c>
    </row>
    <row r="734" ht="60" customHeight="1" s="290">
      <c r="A734" s="30" t="inlineStr">
        <is>
          <t>Autel Scanner MaxiIM IM508S PRO w/ $512 PRO Bundle, 2026 Same as IM608 PRO 2/ IM608S II, Enhanced of IM508S IM508, Bidirectional Diagnostic Scan Tool, 3000+ Tests, 40+ Service, All-Sys, OS 11.0, FCA</t>
        </is>
      </c>
      <c r="B734" s="30" t="inlineStr">
        <is>
          <t>B07W6YYLY8</t>
        </is>
      </c>
      <c r="C734" s="30" t="inlineStr">
        <is>
          <t>Tablet</t>
        </is>
      </c>
      <c r="D734" s="324" t="n">
        <v>1610.449230769231</v>
      </c>
      <c r="E734" s="324" t="n">
        <v>562358.35</v>
      </c>
      <c r="F734" s="324" t="n">
        <v>41871.68</v>
      </c>
      <c r="G734" s="55" t="n">
        <v>332</v>
      </c>
      <c r="H734" s="57" t="n">
        <v>26</v>
      </c>
      <c r="I734" s="55" t="n">
        <v>83</v>
      </c>
      <c r="J734" s="56" t="n">
        <v>4.4</v>
      </c>
      <c r="K734" s="56" t="inlineStr">
        <is>
          <t>https://amazon.com/dp/B07W6YYLY8</t>
        </is>
      </c>
      <c r="L734" s="70">
        <f>HYPERLINK(Table1410[[#This Row],[Column1]])</f>
        <v/>
      </c>
    </row>
    <row r="735" ht="45" customHeight="1" s="290">
      <c r="A735" s="30" t="inlineStr">
        <is>
          <t>Autel MaxiPRO MP900-BT Scanner w/ $60 MV108S | 2026 MP900BT Same as MS906 PRO MS906 MAX MK908 w/ECU C0ding, 3000+ Active Test, 40+ Service, 150+Makes, SGW DoIP &amp; CAN-FD, Up of MP900 MP808BT PRO DS808</t>
        </is>
      </c>
      <c r="B735" s="30" t="inlineStr">
        <is>
          <t>B07WR7P3FF</t>
        </is>
      </c>
      <c r="C735" s="30" t="inlineStr">
        <is>
          <t>Tablet</t>
        </is>
      </c>
      <c r="D735" s="324" t="n">
        <v>925.9419230769232</v>
      </c>
      <c r="E735" s="324" t="n">
        <v>214636.8</v>
      </c>
      <c r="F735" s="324" t="n">
        <v>24074.49</v>
      </c>
      <c r="G735" s="55" t="n">
        <v>231</v>
      </c>
      <c r="H735" s="57" t="n">
        <v>26</v>
      </c>
      <c r="I735" s="55" t="n">
        <v>415</v>
      </c>
      <c r="J735" s="56" t="n">
        <v>4.6</v>
      </c>
      <c r="K735" s="56" t="inlineStr">
        <is>
          <t>https://amazon.com/dp/B07WR7P3FF</t>
        </is>
      </c>
      <c r="L735" s="70">
        <f>HYPERLINK(Table1410[[#This Row],[Column1]])</f>
        <v/>
      </c>
    </row>
    <row r="736" ht="45" customHeight="1" s="290">
      <c r="A736" s="30" t="inlineStr">
        <is>
          <t>Autel MaxiSYS MS906 PRO Scanner: 2026 MS906PRO V2.0 Same as MS906MAX Up of MS906BT MP900BT MS908S, CAN FD DoIP, 36+ Resets, Bidirectional 3K+ Tests, Full Diagnostic, Auto Scan 2.0, FCA</t>
        </is>
      </c>
      <c r="B736" s="30" t="inlineStr">
        <is>
          <t>B086DRGM15</t>
        </is>
      </c>
      <c r="C736" s="30" t="inlineStr">
        <is>
          <t>Tablet</t>
        </is>
      </c>
      <c r="D736" s="324" t="n">
        <v>1498.8628</v>
      </c>
      <c r="E736" s="324" t="n">
        <v>388605.7</v>
      </c>
      <c r="F736" s="324" t="n">
        <v>37471.57</v>
      </c>
      <c r="G736" s="55" t="n">
        <v>265</v>
      </c>
      <c r="H736" s="57" t="n">
        <v>25</v>
      </c>
      <c r="I736" s="55" t="n">
        <v>88</v>
      </c>
      <c r="J736" s="56" t="n">
        <v>4.4</v>
      </c>
      <c r="K736" s="56" t="inlineStr">
        <is>
          <t>https://amazon.com/dp/B086DRGM15</t>
        </is>
      </c>
      <c r="L736" s="70">
        <f>HYPERLINK(Table1410[[#This Row],[Column1]])</f>
        <v/>
      </c>
    </row>
    <row r="737" ht="30" customHeight="1" s="290">
      <c r="A737" s="30" t="inlineStr">
        <is>
          <t>2026 New Autel ML629 OBD2 Scanner, ABS SRS Engine Transmission Diagnostic Scan Tool, Mechanic Full OBDII Code Reader w/DTC Lookup AutoVIN, OBD2 Live Data, Up of AL619 AL629 for Professionals DIYers</t>
        </is>
      </c>
      <c r="B737" s="30" t="inlineStr">
        <is>
          <t>B07PQL9HDR</t>
        </is>
      </c>
      <c r="C737" s="30" t="inlineStr">
        <is>
          <t>Handheld</t>
        </is>
      </c>
      <c r="D737" s="324" t="n">
        <v>113.7428</v>
      </c>
      <c r="E737" s="324" t="n">
        <v>18239.97</v>
      </c>
      <c r="F737" s="324" t="n">
        <v>2843.57</v>
      </c>
      <c r="G737" s="55" t="n">
        <v>161</v>
      </c>
      <c r="H737" s="57" t="n">
        <v>25</v>
      </c>
      <c r="I737" s="55" t="n">
        <v>679</v>
      </c>
      <c r="J737" s="56" t="n">
        <v>4.3</v>
      </c>
      <c r="K737" s="56" t="inlineStr">
        <is>
          <t>https://amazon.com/dp/B07PQL9HDR</t>
        </is>
      </c>
      <c r="L737" s="70">
        <f>HYPERLINK(Table1410[[#This Row],[Column1]])</f>
        <v/>
      </c>
    </row>
    <row r="738" ht="60" customHeight="1" s="290">
      <c r="A738" s="30" t="inlineStr">
        <is>
          <t>Autel Original TESKIT3Y Teala Diagnostic Cable Adapter for Tesla Model 3 &amp; Y, 26Pin OBD1 to 16 Pin OBD2 Extension Harness Connector Work w/Autel Scanner MaxiSys Ultra/Elite II PRO/ MS908S PRO/ MS909</t>
        </is>
      </c>
      <c r="B738" s="30" t="inlineStr">
        <is>
          <t>B0D3V6QNH8</t>
        </is>
      </c>
      <c r="C738" s="30" t="inlineStr">
        <is>
          <t>Cable/Adapter</t>
        </is>
      </c>
      <c r="D738" s="324" t="n">
        <v>46.52916666666667</v>
      </c>
      <c r="E738" s="324" t="n">
        <v>14586.89</v>
      </c>
      <c r="F738" s="324" t="n">
        <v>1116.7</v>
      </c>
      <c r="G738" s="55" t="n">
        <v>316</v>
      </c>
      <c r="H738" s="57" t="n">
        <v>24</v>
      </c>
      <c r="I738" s="55" t="n">
        <v>14</v>
      </c>
      <c r="J738" s="56" t="n">
        <v>4.1</v>
      </c>
      <c r="K738" s="56" t="inlineStr">
        <is>
          <t>https://amazon.com/dp/B0D3V6QNH8</t>
        </is>
      </c>
      <c r="L738" s="70">
        <f>HYPERLINK(Table1410[[#This Row],[Column1]])</f>
        <v/>
      </c>
    </row>
    <row r="739" ht="45" customHeight="1" s="290">
      <c r="A739" s="30" t="inlineStr">
        <is>
          <t>2026 Autel Scanner MaxiIM KM100(E), Car Diagnostic Scan Tool with Lifetime Fre.e Update, OBD-Learn for 95% Car, Auto Tool Lite of IM508S IM608 PRO 2, 2GB &amp; 64GB Android 9.0</t>
        </is>
      </c>
      <c r="B739" s="30" t="inlineStr">
        <is>
          <t>B0CHYB2T6T</t>
        </is>
      </c>
      <c r="C739" s="30" t="inlineStr">
        <is>
          <t>Tablet</t>
        </is>
      </c>
      <c r="D739" s="324" t="n">
        <v>529.2545833333334</v>
      </c>
      <c r="E739" s="324" t="n">
        <v>14319.99</v>
      </c>
      <c r="F739" s="324" t="n">
        <v>12702.11</v>
      </c>
      <c r="G739" s="55" t="n">
        <v>27</v>
      </c>
      <c r="H739" s="57" t="n">
        <v>24</v>
      </c>
      <c r="I739" s="55" t="n">
        <v>17</v>
      </c>
      <c r="J739" s="56" t="n">
        <v>4.8</v>
      </c>
      <c r="K739" s="56" t="inlineStr">
        <is>
          <t>https://amazon.com/dp/B0CHYB2T6T</t>
        </is>
      </c>
      <c r="L739" s="70">
        <f>HYPERLINK(Table1410[[#This Row],[Column1]])</f>
        <v/>
      </c>
    </row>
    <row r="740" ht="60" customHeight="1" s="290">
      <c r="A740" s="30" t="inlineStr">
        <is>
          <t>Autel MaxiSys Ultra S2 Scanner, 2026 Top Intelligen Scan Diagnostic with AI, 6-in-1 VCMI2, Up of MSUltra MS919, Topology 3.0, Multi-Point DVI, Motor Truspeed Repair, EV Test, 48+ Service, ECU Program</t>
        </is>
      </c>
      <c r="B740" s="30" t="inlineStr">
        <is>
          <t>B0DZC1M7MZ</t>
        </is>
      </c>
      <c r="C740" s="30" t="inlineStr">
        <is>
          <t>Tablet</t>
        </is>
      </c>
      <c r="D740" s="324" t="n">
        <v>5558.342608695652</v>
      </c>
      <c r="E740" s="324" t="n">
        <v>1461214.87</v>
      </c>
      <c r="F740" s="324" t="n">
        <v>127841.88</v>
      </c>
      <c r="G740" s="55" t="n">
        <v>272</v>
      </c>
      <c r="H740" s="57" t="n">
        <v>23</v>
      </c>
      <c r="I740" s="55" t="n">
        <v>22</v>
      </c>
      <c r="J740" s="56" t="n">
        <v>4.8</v>
      </c>
      <c r="K740" s="56" t="inlineStr">
        <is>
          <t>https://amazon.com/dp/B0DZC1M7MZ</t>
        </is>
      </c>
      <c r="L740" s="70">
        <f>HYPERLINK(Table1410[[#This Row],[Column1]])</f>
        <v/>
      </c>
    </row>
    <row r="741" ht="45" customHeight="1" s="290">
      <c r="A741" s="30" t="inlineStr">
        <is>
          <t>Autel RFID Blocking Cards 2 Pack Ev Charger</t>
        </is>
      </c>
      <c r="B741" s="30" t="inlineStr">
        <is>
          <t>B0B82B7JQL</t>
        </is>
      </c>
      <c r="C741" s="30" t="inlineStr">
        <is>
          <t>Other</t>
        </is>
      </c>
      <c r="D741" s="324" t="n">
        <v>37.63869565217392</v>
      </c>
      <c r="E741" s="324" t="n">
        <v>15691.58</v>
      </c>
      <c r="F741" s="324" t="n">
        <v>865.6900000000001</v>
      </c>
      <c r="G741" s="55" t="n">
        <v>425</v>
      </c>
      <c r="H741" s="57" t="n">
        <v>23</v>
      </c>
      <c r="I741" s="55" t="n">
        <v>53</v>
      </c>
      <c r="J741" s="56" t="n">
        <v>4.2</v>
      </c>
      <c r="K741" s="56" t="inlineStr">
        <is>
          <t>https://amazon.com/dp/B0B82B7JQL</t>
        </is>
      </c>
      <c r="L741" s="70">
        <f>HYPERLINK(Table1410[[#This Row],[Column1]])</f>
        <v/>
      </c>
    </row>
    <row r="742" ht="45" customHeight="1" s="290">
      <c r="A742" s="30" t="inlineStr">
        <is>
          <t>Autel MaxiSYS MS906 PRO Scanner, 2026 MS906PRO V2.0 Same as MS906 MAX, 3K+ Bidirectional Diagnostic Scan Tool, Top ECU Function Up of MP900BT MS906BT MS908 MK908, CAN FD DoIP, 36+ Reset, Auto Scan 2.0</t>
        </is>
      </c>
      <c r="B742" s="30" t="inlineStr">
        <is>
          <t>B09JGL9BXC</t>
        </is>
      </c>
      <c r="C742" s="30" t="inlineStr">
        <is>
          <t>Tablet</t>
        </is>
      </c>
      <c r="D742" s="324" t="n">
        <v>1470.948260869565</v>
      </c>
      <c r="E742" s="324" t="n">
        <v>357960.65</v>
      </c>
      <c r="F742" s="324" t="n">
        <v>33831.81</v>
      </c>
      <c r="G742" s="55" t="n">
        <v>253</v>
      </c>
      <c r="H742" s="57" t="n">
        <v>23</v>
      </c>
      <c r="I742" s="55" t="n">
        <v>65</v>
      </c>
      <c r="J742" s="56" t="n">
        <v>4.8</v>
      </c>
      <c r="K742" s="56" t="inlineStr">
        <is>
          <t>https://amazon.com/dp/B09JGL9BXC</t>
        </is>
      </c>
      <c r="L742" s="70">
        <f>HYPERLINK(Table1410[[#This Row],[Column1]])</f>
        <v/>
      </c>
    </row>
    <row r="743" ht="45" customHeight="1" s="290">
      <c r="A743" s="30" t="inlineStr">
        <is>
          <t>Autel MaxiSys Elite II Pro Scanner, 2026 Elite 2 Pro with 2 Years Update, J2534 Tool as MS Ultra MS909 MS919 Up of MS908S PRO II MK908P, Motor TruSpeed Repair, 40+ Resets, 3K+ Active Test, DOIP CANFD</t>
        </is>
      </c>
      <c r="B743" s="30" t="inlineStr">
        <is>
          <t>B09KNDC9PP</t>
        </is>
      </c>
      <c r="C743" s="30" t="inlineStr">
        <is>
          <t>Tablet</t>
        </is>
      </c>
      <c r="D743" s="324" t="n">
        <v>2407.118095238096</v>
      </c>
      <c r="E743" s="324" t="n">
        <v>428536.11</v>
      </c>
      <c r="F743" s="324" t="n">
        <v>50549.48</v>
      </c>
      <c r="G743" s="55" t="n">
        <v>178</v>
      </c>
      <c r="H743" s="57" t="n">
        <v>21</v>
      </c>
      <c r="I743" s="55" t="n">
        <v>57</v>
      </c>
      <c r="J743" s="56" t="n">
        <v>4.6</v>
      </c>
      <c r="K743" s="56" t="inlineStr">
        <is>
          <t>https://amazon.com/dp/B09KNDC9PP</t>
        </is>
      </c>
      <c r="L743" s="70">
        <f>HYPERLINK(Table1410[[#This Row],[Column1]])</f>
        <v/>
      </c>
    </row>
    <row r="744" ht="60" customHeight="1" s="290">
      <c r="A744" s="30" t="inlineStr">
        <is>
          <t>Autel MaxiLink ML619 OBD II Scanner - Same as AL619, ABS &amp; SRS Diagnostic Tool for 1996+ Vehicles, Up of AL519 ML519, Code Reader with Live Data &amp; Troubleshooting Tips</t>
        </is>
      </c>
      <c r="B744" s="30" t="inlineStr">
        <is>
          <t>B0FL7HQTPP</t>
        </is>
      </c>
      <c r="C744" s="30" t="inlineStr">
        <is>
          <t>Handheld</t>
        </is>
      </c>
      <c r="D744" s="324" t="n">
        <v>98.99666666666666</v>
      </c>
      <c r="E744" s="324" t="n">
        <v>20918.46153846154</v>
      </c>
      <c r="F744" s="324" t="n">
        <v>2078.93</v>
      </c>
      <c r="G744" s="55" t="n">
        <v>115</v>
      </c>
      <c r="H744" s="57" t="n">
        <v>21</v>
      </c>
      <c r="I744" s="55" t="n">
        <v>5</v>
      </c>
      <c r="J744" s="56" t="n">
        <v>3.9</v>
      </c>
      <c r="K744" s="56" t="inlineStr">
        <is>
          <t>https://amazon.com/dp/B0FL7HQTPP</t>
        </is>
      </c>
      <c r="L744" s="70">
        <f>HYPERLINK(Table1410[[#This Row],[Column1]])</f>
        <v/>
      </c>
    </row>
    <row r="745" ht="60" customHeight="1" s="290">
      <c r="A745" s="30" t="inlineStr">
        <is>
          <t>Autel AT100 Super Chip, 2026 New Transponder Chip for ID11 ID12 ID13 ID46 ID47 ID48 ID49 ID4A ID4C ID5C ID4D ID64 ID8A ID8C MQB, Work with MaxiIM KM100 IM508 IM608 IM508S PRO IM608 Pro 2 (Pack of 10)</t>
        </is>
      </c>
      <c r="B745" s="30" t="inlineStr">
        <is>
          <t>B0FM49VV56</t>
        </is>
      </c>
      <c r="C745" s="30" t="inlineStr">
        <is>
          <t>Key</t>
        </is>
      </c>
      <c r="D745" s="324" t="n">
        <v>48.13476190476191</v>
      </c>
      <c r="E745" s="324" t="n">
        <v>17417.13307692307</v>
      </c>
      <c r="F745" s="324" t="n">
        <v>1010.83</v>
      </c>
      <c r="G745" s="55" t="n">
        <v>241</v>
      </c>
      <c r="H745" s="57" t="n">
        <v>21</v>
      </c>
      <c r="I745" s="55" t="n">
        <v>32</v>
      </c>
      <c r="J745" s="56" t="n">
        <v>4.8</v>
      </c>
      <c r="K745" s="56" t="inlineStr">
        <is>
          <t>https://amazon.com/dp/B0FM49VV56</t>
        </is>
      </c>
      <c r="L745" s="70">
        <f>HYPERLINK(Table1410[[#This Row],[Column1]])</f>
        <v/>
      </c>
    </row>
    <row r="746" ht="45" customHeight="1" s="290">
      <c r="A746" s="30" t="inlineStr">
        <is>
          <t>Autel OBDII OBD2 Code Reader Diaglink (DIY Version of MD802) All Systems/Modules Diagnostic for ABS, SRS, Engine, Transmission, EPB, Oil Reset</t>
        </is>
      </c>
      <c r="B746" s="30" t="inlineStr">
        <is>
          <t>B01N0QQZY7</t>
        </is>
      </c>
      <c r="C746" s="30" t="inlineStr">
        <is>
          <t>Handheld</t>
        </is>
      </c>
      <c r="D746" s="324" t="n">
        <v>88.42100000000001</v>
      </c>
      <c r="E746" s="324" t="n">
        <v>17816.4</v>
      </c>
      <c r="F746" s="324" t="n">
        <v>1768.42</v>
      </c>
      <c r="G746" s="55" t="n">
        <v>186</v>
      </c>
      <c r="H746" s="57" t="n">
        <v>20</v>
      </c>
      <c r="I746" s="55" t="n">
        <v>1069</v>
      </c>
      <c r="J746" s="56" t="n">
        <v>4</v>
      </c>
      <c r="K746" s="56" t="inlineStr">
        <is>
          <t>https://amazon.com/dp/B01N0QQZY7</t>
        </is>
      </c>
      <c r="L746" s="70">
        <f>HYPERLINK(Table1410[[#This Row],[Column1]])</f>
        <v/>
      </c>
    </row>
    <row r="747" ht="60" customHeight="1" s="290">
      <c r="A747" s="30" t="inlineStr">
        <is>
          <t>Autel OBD2 Scanner MaxiDIAG MD906PRO Scan Tool, 2026 MD906 PRO All System Diagnostic, Code Reader, 11 Reset Services, Oil/Brake/BMS/SAS/Injector, Free Lifetime Upgrade, Same MD909 PRO Lite of MK808S</t>
        </is>
      </c>
      <c r="B747" s="30" t="inlineStr">
        <is>
          <t>B0FG3DDHHB</t>
        </is>
      </c>
      <c r="C747" s="30" t="inlineStr">
        <is>
          <t>Tablet</t>
        </is>
      </c>
      <c r="D747" s="324" t="n">
        <v>282.5125</v>
      </c>
      <c r="E747" s="324" t="n">
        <v>69602.41153846153</v>
      </c>
      <c r="F747" s="324" t="n">
        <v>5650.25</v>
      </c>
      <c r="G747" s="55" t="n">
        <v>171</v>
      </c>
      <c r="H747" s="57" t="n">
        <v>20</v>
      </c>
      <c r="I747" s="55" t="n">
        <v>40</v>
      </c>
      <c r="J747" s="56" t="n">
        <v>4.7</v>
      </c>
      <c r="K747" s="56" t="inlineStr">
        <is>
          <t>https://amazon.com/dp/B0FG3DDHHB</t>
        </is>
      </c>
      <c r="L747" s="70">
        <f>HYPERLINK(Table1410[[#This Row],[Column1]])</f>
        <v/>
      </c>
    </row>
    <row r="748" ht="45" customHeight="1" s="290">
      <c r="A748" s="30" t="inlineStr">
        <is>
          <t>Autel Original OBD2 Female to 14pin Convert Adapter, OBD1 to OBD II Connector for Nissan, Work with Autel Scanner MK808S, MX808S, MK808BT PRO, MK900BT, MK900, MP900BT, Elite II PRO, MSUltra, Ultra S2</t>
        </is>
      </c>
      <c r="B748" s="30" t="inlineStr">
        <is>
          <t>B0D62XG45N</t>
        </is>
      </c>
      <c r="C748" s="30" t="inlineStr">
        <is>
          <t>Cable/Adapter</t>
        </is>
      </c>
      <c r="D748" s="324" t="n">
        <v>19.865</v>
      </c>
      <c r="E748" s="324" t="n">
        <v>4310.83</v>
      </c>
      <c r="F748" s="324" t="n">
        <v>397.3</v>
      </c>
      <c r="G748" s="55" t="n">
        <v>217</v>
      </c>
      <c r="H748" s="57" t="n">
        <v>20</v>
      </c>
      <c r="I748" s="55" t="n">
        <v>13</v>
      </c>
      <c r="J748" s="56" t="n">
        <v>4.7</v>
      </c>
      <c r="K748" s="56" t="inlineStr">
        <is>
          <t>https://amazon.com/dp/B0D62XG45N</t>
        </is>
      </c>
      <c r="L748" s="70">
        <f>HYPERLINK(Table1410[[#This Row],[Column1]])</f>
        <v/>
      </c>
    </row>
    <row r="749" ht="60" customHeight="1" s="290">
      <c r="A749" s="30" t="inlineStr">
        <is>
          <t>Autel Original OBD2 Main Test Cable, Only for MaxiCOM MK900, MaxiCheck MX900, MaxiPRO MP900, MaxiDAS DS900, 16 Pin OBDII OBD 2 Diagnostic Test Cable (5.6ft 1.7M)</t>
        </is>
      </c>
      <c r="B749" s="30" t="inlineStr">
        <is>
          <t>B0F6LLRYVS</t>
        </is>
      </c>
      <c r="C749" s="30" t="inlineStr">
        <is>
          <t>Cable/Adapter</t>
        </is>
      </c>
      <c r="D749" s="324" t="n">
        <v>25.8035</v>
      </c>
      <c r="E749" s="324" t="n">
        <v>5887.762307692307</v>
      </c>
      <c r="F749" s="324" t="n">
        <v>516.0700000000001</v>
      </c>
      <c r="G749" s="55" t="n">
        <v>208</v>
      </c>
      <c r="H749" s="57" t="n">
        <v>20</v>
      </c>
      <c r="I749" s="55" t="n">
        <v>12</v>
      </c>
      <c r="J749" s="56" t="n">
        <v>5</v>
      </c>
      <c r="K749" s="56" t="inlineStr">
        <is>
          <t>https://amazon.com/dp/B0F6LLRYVS</t>
        </is>
      </c>
      <c r="L749" s="70">
        <f>HYPERLINK(Table1410[[#This Row],[Column1]])</f>
        <v/>
      </c>
    </row>
    <row r="750" ht="60" customHeight="1" s="290">
      <c r="A750" s="30" t="inlineStr">
        <is>
          <t>OBD2 12+8 Adapter for Chrysler 2018+, FCA SGW Bypass Cable, OBDII 12 8 Connector for Jeep Dodge Ram Fiat, Security Gateway Access for All Scanners</t>
        </is>
      </c>
      <c r="B750" s="30" t="inlineStr">
        <is>
          <t>B0GDXNL7CD</t>
        </is>
      </c>
      <c r="C750" s="30" t="inlineStr">
        <is>
          <t>Cable/Adapter</t>
        </is>
      </c>
      <c r="D750" s="324" t="n">
        <v>26.62105263157895</v>
      </c>
      <c r="E750" s="324" t="n">
        <v>5957.895384615385</v>
      </c>
      <c r="F750" s="324" t="n">
        <v>505.8</v>
      </c>
      <c r="G750" s="55" t="n">
        <v>31</v>
      </c>
      <c r="H750" s="57" t="n">
        <v>19</v>
      </c>
      <c r="I750" s="55" t="n">
        <v>2</v>
      </c>
      <c r="J750" s="56" t="n">
        <v>3.5</v>
      </c>
      <c r="K750" s="56" t="inlineStr">
        <is>
          <t>https://amazon.com/dp/B0GDXNL7CD</t>
        </is>
      </c>
      <c r="L750" s="70">
        <f>HYPERLINK(Table1410[[#This Row],[Column1]])</f>
        <v/>
      </c>
    </row>
    <row r="751" ht="45" customHeight="1" s="290">
      <c r="A751" s="30" t="inlineStr">
        <is>
          <t>Autel Original Type 2 Green 9pin J1939 to 16pin OBD2 Female Adapter, Male to J1962 OBDII Connector, Work for Heavy Duty Trucks, Used for ELD Device &amp; GPS Tracker &amp; Truck Scanner</t>
        </is>
      </c>
      <c r="B751" s="30" t="inlineStr">
        <is>
          <t>B0GSVC6PWZ</t>
        </is>
      </c>
      <c r="C751" s="30" t="inlineStr">
        <is>
          <t>Cable/Adapter</t>
        </is>
      </c>
      <c r="D751" s="324" t="n">
        <v>18.82052631578947</v>
      </c>
      <c r="E751" s="324" t="n">
        <v>4318.586923076923</v>
      </c>
      <c r="F751" s="324" t="n">
        <v>357.59</v>
      </c>
      <c r="G751" s="55" t="n">
        <v>19</v>
      </c>
      <c r="H751" s="57" t="n">
        <v>19</v>
      </c>
      <c r="I751" s="55" t="n"/>
      <c r="J751" s="56" t="n"/>
      <c r="K751" s="56" t="inlineStr">
        <is>
          <t>https://amazon.com/dp/B0GSVC6PWZ</t>
        </is>
      </c>
      <c r="L751" s="70">
        <f>HYPERLINK(Table1410[[#This Row],[Column1]])</f>
        <v/>
      </c>
    </row>
    <row r="752" ht="45" customHeight="1" s="290">
      <c r="A752" s="30" t="inlineStr">
        <is>
          <t>Autel MaxiCheck MX900 OBD2 Scanner, Same as MaxiCOM MK900 MK900BT, Bidirectional Scan Tool, All System Diagnose for Cars, Up of MK808 MX808, 40+ Services, 3000+ Active Tests, CAN FD/DoIP, FCA</t>
        </is>
      </c>
      <c r="B752" s="30" t="inlineStr">
        <is>
          <t>B0C65KF99Q</t>
        </is>
      </c>
      <c r="C752" s="30" t="inlineStr">
        <is>
          <t>Tablet</t>
        </is>
      </c>
      <c r="D752" s="324" t="n">
        <v>558.6278947368421</v>
      </c>
      <c r="E752" s="324" t="n">
        <v>180904.99</v>
      </c>
      <c r="F752" s="324" t="n">
        <v>10613.93</v>
      </c>
      <c r="G752" s="55" t="n">
        <v>327</v>
      </c>
      <c r="H752" s="57" t="n">
        <v>19</v>
      </c>
      <c r="I752" s="55" t="n">
        <v>139</v>
      </c>
      <c r="J752" s="56" t="n">
        <v>4.5</v>
      </c>
      <c r="K752" s="56" t="inlineStr">
        <is>
          <t>https://amazon.com/dp/B0C65KF99Q</t>
        </is>
      </c>
      <c r="L752" s="70">
        <f>HYPERLINK(Table1410[[#This Row],[Column1]])</f>
        <v/>
      </c>
    </row>
    <row r="753" ht="60" customHeight="1" s="290">
      <c r="A753" s="30" t="inlineStr">
        <is>
          <t>Autel Original MaxiSYS CV Komatsu 12-PIN Adapter, 12 Pins to OBD2 16 Pins Off-Highway Diagnostic Tool Cable Connector, Work with Truck Scanner Autel CV MS908CV, MS908CV II, MS909CV, MS906CV, and VCI</t>
        </is>
      </c>
      <c r="B753" s="30" t="inlineStr">
        <is>
          <t>B0DBHVW99Z</t>
        </is>
      </c>
      <c r="C753" s="30" t="inlineStr">
        <is>
          <t>Cable/Adapter</t>
        </is>
      </c>
      <c r="D753" s="324" t="n">
        <v>25.89368421052632</v>
      </c>
      <c r="E753" s="324" t="n">
        <v>4971.620000000001</v>
      </c>
      <c r="F753" s="324" t="n">
        <v>491.98</v>
      </c>
      <c r="G753" s="55" t="n">
        <v>196</v>
      </c>
      <c r="H753" s="57" t="n">
        <v>19</v>
      </c>
      <c r="I753" s="55" t="n">
        <v>7</v>
      </c>
      <c r="J753" s="56" t="n">
        <v>5</v>
      </c>
      <c r="K753" s="56" t="inlineStr">
        <is>
          <t>https://amazon.com/dp/B0DBHVW99Z</t>
        </is>
      </c>
      <c r="L753" s="70">
        <f>HYPERLINK(Table1410[[#This Row],[Column1]])</f>
        <v/>
      </c>
    </row>
    <row r="754" ht="45" customHeight="1" s="290">
      <c r="A754" s="30" t="inlineStr">
        <is>
          <t>Autel AutoLink AL519 Car OBD2 Scanner, Classic Enhanced Mode 6 Engine Fault Code Reader OBDII CAN Diagnostic Scan Tool, One-Click Smog Check, DTC Lookup, Upgraded of AL319, Lifetime Free Update</t>
        </is>
      </c>
      <c r="B754" s="30" t="inlineStr">
        <is>
          <t>B007XE5LTG</t>
        </is>
      </c>
      <c r="C754" s="30" t="inlineStr">
        <is>
          <t>Handheld</t>
        </is>
      </c>
      <c r="D754" s="324" t="n">
        <v>59.84777777777778</v>
      </c>
      <c r="E754" s="324" t="n">
        <v>8966.769999999999</v>
      </c>
      <c r="F754" s="324" t="n">
        <v>1077.26</v>
      </c>
      <c r="G754" s="55" t="n">
        <v>148</v>
      </c>
      <c r="H754" s="57" t="n">
        <v>18</v>
      </c>
      <c r="I754" s="55" t="n">
        <v>3785</v>
      </c>
      <c r="J754" s="56" t="n">
        <v>4.6</v>
      </c>
      <c r="K754" s="56" t="inlineStr">
        <is>
          <t>https://amazon.com/dp/B007XE5LTG</t>
        </is>
      </c>
      <c r="L754" s="70">
        <f>HYPERLINK(Table1410[[#This Row],[Column1]])</f>
        <v/>
      </c>
    </row>
    <row r="755" ht="60" customHeight="1" s="290">
      <c r="A755" s="30" t="inlineStr">
        <is>
          <t>Autel MaxiVideo MV108S Borescope Inspection Camera, 2026 Endoscope with 8.5mm Waterproof Image Head, Work w/All Autel Scanners MK808 MX808 MX900 MK900</t>
        </is>
      </c>
      <c r="B755" s="30" t="inlineStr">
        <is>
          <t>B0B31W8YVZ</t>
        </is>
      </c>
      <c r="C755" s="30" t="inlineStr">
        <is>
          <t>Other</t>
        </is>
      </c>
      <c r="D755" s="324" t="n">
        <v>47.67055555555556</v>
      </c>
      <c r="E755" s="324" t="n">
        <v>11256.24</v>
      </c>
      <c r="F755" s="324" t="n">
        <v>858.0700000000001</v>
      </c>
      <c r="G755" s="55" t="n">
        <v>231</v>
      </c>
      <c r="H755" s="57" t="n">
        <v>18</v>
      </c>
      <c r="I755" s="55" t="n">
        <v>69</v>
      </c>
      <c r="J755" s="56" t="n">
        <v>4.5</v>
      </c>
      <c r="K755" s="56" t="inlineStr">
        <is>
          <t>https://amazon.com/dp/B0B31W8YVZ</t>
        </is>
      </c>
      <c r="L755" s="70">
        <f>HYPERLINK(Table1410[[#This Row],[Column1]])</f>
        <v/>
      </c>
    </row>
    <row r="756" ht="60" customHeight="1" s="290">
      <c r="A756" s="30" t="inlineStr">
        <is>
          <t>Autel Scanner MaxiCOM MK900TS, 2026 MK900-TS Same as MX900TS TS900, Top TPMS Functions Bidirectional Scan Tool, Up of MK900BT MK900 MX900 MK808S-TS MK808S, DoIP CAN FD, 40+ Service, 3000+ Tests, FCA</t>
        </is>
      </c>
      <c r="B756" s="30" t="inlineStr">
        <is>
          <t>B09YM97Q9N</t>
        </is>
      </c>
      <c r="C756" s="30" t="inlineStr">
        <is>
          <t>Tablet</t>
        </is>
      </c>
      <c r="D756" s="324" t="n">
        <v>883.96</v>
      </c>
      <c r="E756" s="324" t="n">
        <v>147016.72</v>
      </c>
      <c r="F756" s="324" t="n">
        <v>15911.28</v>
      </c>
      <c r="G756" s="55" t="n">
        <v>169</v>
      </c>
      <c r="H756" s="57" t="n">
        <v>18</v>
      </c>
      <c r="I756" s="55" t="n">
        <v>28</v>
      </c>
      <c r="J756" s="56" t="n">
        <v>4.5</v>
      </c>
      <c r="K756" s="56" t="inlineStr">
        <is>
          <t>https://amazon.com/dp/B09YM97Q9N</t>
        </is>
      </c>
      <c r="L756" s="70">
        <f>HYPERLINK(Table1410[[#This Row],[Column1]])</f>
        <v/>
      </c>
    </row>
    <row r="757" ht="45" customHeight="1" s="290">
      <c r="A757" s="30" t="inlineStr">
        <is>
          <t>Autel MXSENSORMVK Metal Valve</t>
        </is>
      </c>
      <c r="B757" s="30" t="inlineStr">
        <is>
          <t>B0792M4BHG</t>
        </is>
      </c>
      <c r="C757" s="30" t="inlineStr">
        <is>
          <t>Other</t>
        </is>
      </c>
      <c r="D757" s="324" t="n">
        <v>12.05666666666667</v>
      </c>
      <c r="E757" s="324" t="n">
        <v>5062.69</v>
      </c>
      <c r="F757" s="324" t="n">
        <v>217.02</v>
      </c>
      <c r="G757" s="55" t="n">
        <v>439</v>
      </c>
      <c r="H757" s="57" t="n">
        <v>18</v>
      </c>
      <c r="I757" s="55" t="n">
        <v>79</v>
      </c>
      <c r="J757" s="56" t="n">
        <v>4.4</v>
      </c>
      <c r="K757" s="56" t="inlineStr">
        <is>
          <t>https://amazon.com/dp/B0792M4BHG</t>
        </is>
      </c>
      <c r="L757" s="70">
        <f>HYPERLINK(Table1410[[#This Row],[Column1]])</f>
        <v/>
      </c>
    </row>
    <row r="758" ht="60" customHeight="1" s="290">
      <c r="A758" s="30" t="inlineStr">
        <is>
          <t>Autel MaxiPRO MP808BT PRO Scanner, 2026 Bidirectional Scan Tool with 2-Year Update, Pro ECU C0ding as MS906 PRO MS906 MAX MP900BT, 30+ Service, 3000+ Test, Up of MK900BT MK900 MX900 MK808S, FCA, OS 11</t>
        </is>
      </c>
      <c r="B758" s="30" t="inlineStr">
        <is>
          <t>B09F3MZZ3F</t>
        </is>
      </c>
      <c r="C758" s="30" t="inlineStr">
        <is>
          <t>Tablet</t>
        </is>
      </c>
      <c r="D758" s="324" t="n">
        <v>716.1994117647058</v>
      </c>
      <c r="E758" s="324" t="n">
        <v>155750.29</v>
      </c>
      <c r="F758" s="324" t="n">
        <v>12175.39</v>
      </c>
      <c r="G758" s="55" t="n">
        <v>217</v>
      </c>
      <c r="H758" s="57" t="n">
        <v>17</v>
      </c>
      <c r="I758" s="55" t="n">
        <v>86</v>
      </c>
      <c r="J758" s="56" t="n">
        <v>4.6</v>
      </c>
      <c r="K758" s="56" t="inlineStr">
        <is>
          <t>https://amazon.com/dp/B09F3MZZ3F</t>
        </is>
      </c>
      <c r="L758" s="70">
        <f>HYPERLINK(Table1410[[#This Row],[Column1]])</f>
        <v/>
      </c>
    </row>
    <row r="759" ht="45" customHeight="1" s="290">
      <c r="A759" s="30" t="inlineStr">
        <is>
          <t>Autel OBD2 Scanner ML529 Code Reader, OBD2 Code Scanner with Lifetime Software Update, AutoVIN for Quick DTC, Turning Off Vehicle Engine/Emission Light, Code Reader for One-Click Smog Check</t>
        </is>
      </c>
      <c r="B759" s="30" t="inlineStr">
        <is>
          <t>B0891452NW</t>
        </is>
      </c>
      <c r="C759" s="30" t="inlineStr">
        <is>
          <t>Handheld</t>
        </is>
      </c>
      <c r="D759" s="324" t="n">
        <v>46.65705882352941</v>
      </c>
      <c r="E759" s="324" t="n">
        <v>16271.6376923077</v>
      </c>
      <c r="F759" s="324" t="n">
        <v>793.17</v>
      </c>
      <c r="G759" s="55" t="n">
        <v>256</v>
      </c>
      <c r="H759" s="57" t="n">
        <v>17</v>
      </c>
      <c r="I759" s="55" t="n">
        <v>284</v>
      </c>
      <c r="J759" s="56" t="n">
        <v>4.5</v>
      </c>
      <c r="K759" s="56" t="inlineStr">
        <is>
          <t>https://amazon.com/dp/B0891452NW</t>
        </is>
      </c>
      <c r="L759" s="70">
        <f>HYPERLINK(Table1410[[#This Row],[Column1]])</f>
        <v/>
      </c>
    </row>
    <row r="760" ht="45" customHeight="1" s="290">
      <c r="A760" s="30" t="inlineStr">
        <is>
          <t>Autel MaxiSYS MS906 MAX Scanner 2026, MS906MAX 10.1" V2.0 of MS906 PRO MP900BT MS908S MK908 MS906PRO-TS, Top Bidirectional Scan Tool, 3000+ Tests, 40+ Service, All System, CAN FD &amp; DoIP, OS 10.0, FCA</t>
        </is>
      </c>
      <c r="B760" s="30" t="inlineStr">
        <is>
          <t>B09TR9KTMB</t>
        </is>
      </c>
      <c r="C760" s="30" t="inlineStr">
        <is>
          <t>Tablet</t>
        </is>
      </c>
      <c r="D760" s="324" t="n">
        <v>1553.913529411765</v>
      </c>
      <c r="E760" s="324" t="n">
        <v>269699.1892307692</v>
      </c>
      <c r="F760" s="324" t="n">
        <v>26416.53</v>
      </c>
      <c r="G760" s="55" t="n">
        <v>158</v>
      </c>
      <c r="H760" s="57" t="n">
        <v>17</v>
      </c>
      <c r="I760" s="55" t="n">
        <v>19</v>
      </c>
      <c r="J760" s="56" t="n">
        <v>4.7</v>
      </c>
      <c r="K760" s="56" t="inlineStr">
        <is>
          <t>https://amazon.com/dp/B09TR9KTMB</t>
        </is>
      </c>
      <c r="L760" s="70">
        <f>HYPERLINK(Table1410[[#This Row],[Column1]])</f>
        <v/>
      </c>
    </row>
    <row r="761" ht="45" customHeight="1" s="290">
      <c r="A761" s="30" t="inlineStr">
        <is>
          <t>Autel MaxiDiag MD806 PRO OBD2 Scanner: Full Systems Diagnostic Scan Tool w/Live Data Oil Reset BMS SAS Throttle A/F EPB D-P.F, AutoScan, Up of MD808 MD806 MD805 MD802, Free Update, Data Print</t>
        </is>
      </c>
      <c r="B761" s="30" t="inlineStr">
        <is>
          <t>B0GFW5736P</t>
        </is>
      </c>
      <c r="C761" s="30" t="inlineStr">
        <is>
          <t>Tablet</t>
        </is>
      </c>
      <c r="D761" s="324" t="n">
        <v>200.6076470588235</v>
      </c>
      <c r="E761" s="324" t="n">
        <v>37954.66230769231</v>
      </c>
      <c r="F761" s="324" t="n">
        <v>3410.33</v>
      </c>
      <c r="G761" s="55" t="n">
        <v>49</v>
      </c>
      <c r="H761" s="57" t="n">
        <v>17</v>
      </c>
      <c r="I761" s="55" t="n">
        <v>91</v>
      </c>
      <c r="J761" s="56" t="n">
        <v>4.5</v>
      </c>
      <c r="K761" s="56" t="inlineStr">
        <is>
          <t>https://amazon.com/dp/B0GFW5736P</t>
        </is>
      </c>
      <c r="L761" s="70">
        <f>HYPERLINK(Table1410[[#This Row],[Column1]])</f>
        <v/>
      </c>
    </row>
    <row r="762" ht="45" customHeight="1" s="290">
      <c r="A762" s="30" t="inlineStr">
        <is>
          <t>Autel MaxiDiag MD808 PRO OBD2 Scanner, All System Diagnostic Scan Tool, Upgraded of MD806 MD802, 7 Hottest Special Service, Oil Reset, EPB, SAS, BMS, Throttle, Free Lifetime Update, Multilingual</t>
        </is>
      </c>
      <c r="B762" s="30" t="inlineStr">
        <is>
          <t>B08XN9LGJ2</t>
        </is>
      </c>
      <c r="C762" s="30" t="inlineStr">
        <is>
          <t>Handheld</t>
        </is>
      </c>
      <c r="D762" s="324" t="n">
        <v>253.4370588235294</v>
      </c>
      <c r="E762" s="324" t="n">
        <v>52216.41</v>
      </c>
      <c r="F762" s="324" t="n">
        <v>4308.43</v>
      </c>
      <c r="G762" s="55" t="n">
        <v>200</v>
      </c>
      <c r="H762" s="57" t="n">
        <v>17</v>
      </c>
      <c r="I762" s="55" t="n">
        <v>128</v>
      </c>
      <c r="J762" s="56" t="n">
        <v>4.3</v>
      </c>
      <c r="K762" s="56" t="inlineStr">
        <is>
          <t>https://amazon.com/dp/B08XN9LGJ2</t>
        </is>
      </c>
      <c r="L762" s="70">
        <f>HYPERLINK(Table1410[[#This Row],[Column1]])</f>
        <v/>
      </c>
    </row>
    <row r="763" ht="45" customHeight="1" s="290">
      <c r="A763" s="30" t="inlineStr">
        <is>
          <t>Autel MaxiVCI V200 Vehicle Communication Interface OBD2 Connector Bluetooth Adapter Work with MS906PRO MK906PRO TS ITS600 KM100 BT608 BT609 Wireless VCI200 Diagnostic DoIP CAN FD</t>
        </is>
      </c>
      <c r="B763" s="30" t="inlineStr">
        <is>
          <t>B0DDZY1L2Q</t>
        </is>
      </c>
      <c r="C763" s="30" t="inlineStr">
        <is>
          <t>VCI</t>
        </is>
      </c>
      <c r="D763" s="324" t="n">
        <v>218.5570588235294</v>
      </c>
      <c r="E763" s="324" t="n">
        <v>43002.38</v>
      </c>
      <c r="F763" s="324" t="n">
        <v>3715.47</v>
      </c>
      <c r="G763" s="55" t="n">
        <v>209</v>
      </c>
      <c r="H763" s="57" t="n">
        <v>17</v>
      </c>
      <c r="I763" s="55" t="n">
        <v>9</v>
      </c>
      <c r="J763" s="56" t="n">
        <v>5</v>
      </c>
      <c r="K763" s="56" t="inlineStr">
        <is>
          <t>https://amazon.com/dp/B0DDZY1L2Q</t>
        </is>
      </c>
      <c r="L763" s="70">
        <f>HYPERLINK(Table1410[[#This Row],[Column1]])</f>
        <v/>
      </c>
    </row>
    <row r="764" ht="45" customHeight="1" s="290">
      <c r="A764" s="30" t="inlineStr">
        <is>
          <t>Autel Original MaxiSYS CV Cummins 8Pin Adapter, 8-Pin Off-Highway Vehicle Cable Connector for Cummins Engines, Work with Heavy Duty Truck Scanner Semi Truck Tool MS909CV, MS908CV II, MS908CV, MS906CV</t>
        </is>
      </c>
      <c r="B764" s="30" t="inlineStr">
        <is>
          <t>B0DBHW85FN</t>
        </is>
      </c>
      <c r="C764" s="30" t="inlineStr">
        <is>
          <t>Cable/Adapter</t>
        </is>
      </c>
      <c r="D764" s="324" t="n">
        <v>29.881875</v>
      </c>
      <c r="E764" s="324" t="n">
        <v>4427.042307692307</v>
      </c>
      <c r="F764" s="324" t="n">
        <v>478.11</v>
      </c>
      <c r="G764" s="55" t="n">
        <v>119</v>
      </c>
      <c r="H764" s="57" t="n">
        <v>16</v>
      </c>
      <c r="I764" s="55" t="n">
        <v>2</v>
      </c>
      <c r="J764" s="56" t="n">
        <v>5</v>
      </c>
      <c r="K764" s="56" t="inlineStr">
        <is>
          <t>https://amazon.com/dp/B0DBHW85FN</t>
        </is>
      </c>
      <c r="L764" s="70">
        <f>HYPERLINK(Table1410[[#This Row],[Column1]])</f>
        <v/>
      </c>
    </row>
    <row r="765" ht="60" customHeight="1" s="290">
      <c r="A765" s="30" t="inlineStr">
        <is>
          <t>Autel MaxiTPMS TS900 Scanner, 2026 Bidirectional Scan Tool, Top TPMS as MS906 PRO-TS, Up of MK900TS MX900TS MK808S-TS MK900 TS608, 3000+ Active Tests, 40+ Service, CAN-FD &amp; DOIP, OS 11.0, FCA SGW</t>
        </is>
      </c>
      <c r="B765" s="30" t="inlineStr">
        <is>
          <t>B09YMB3CWN</t>
        </is>
      </c>
      <c r="C765" s="30" t="inlineStr">
        <is>
          <t>Tablet</t>
        </is>
      </c>
      <c r="D765" s="324" t="n">
        <v>815.921875</v>
      </c>
      <c r="E765" s="324" t="n">
        <v>91385.84</v>
      </c>
      <c r="F765" s="324" t="n">
        <v>13054.75</v>
      </c>
      <c r="G765" s="55" t="n">
        <v>111</v>
      </c>
      <c r="H765" s="57" t="n">
        <v>16</v>
      </c>
      <c r="I765" s="55" t="n">
        <v>20</v>
      </c>
      <c r="J765" s="56" t="n">
        <v>4.6</v>
      </c>
      <c r="K765" s="56" t="inlineStr">
        <is>
          <t>https://amazon.com/dp/B09YMB3CWN</t>
        </is>
      </c>
      <c r="L765" s="70">
        <f>HYPERLINK(Table1410[[#This Row],[Column1]])</f>
        <v/>
      </c>
    </row>
    <row r="766" ht="45" customHeight="1" s="290">
      <c r="A766" s="30" t="inlineStr">
        <is>
          <t>Autel Original Universal Key Fob Replacement, Programmable Blank Key IKEYAT003BL, 3-Button Keyless Entry for 700+ Vehicles, OBD Learning, Dual-Band, 130FT Remote, OE-Quality, Work with KM100 Scan Tool</t>
        </is>
      </c>
      <c r="B766" s="30" t="inlineStr">
        <is>
          <t>B0DCS3Z3VF</t>
        </is>
      </c>
      <c r="C766" s="30" t="inlineStr">
        <is>
          <t>Key</t>
        </is>
      </c>
      <c r="D766" s="324" t="n">
        <v>39.399375</v>
      </c>
      <c r="E766" s="324" t="n">
        <v>7096.599999999999</v>
      </c>
      <c r="F766" s="324" t="n">
        <v>630.39</v>
      </c>
      <c r="G766" s="55" t="n">
        <v>179</v>
      </c>
      <c r="H766" s="57" t="n">
        <v>16</v>
      </c>
      <c r="I766" s="55" t="n">
        <v>17</v>
      </c>
      <c r="J766" s="56" t="n">
        <v>4.9</v>
      </c>
      <c r="K766" s="56" t="inlineStr">
        <is>
          <t>https://amazon.com/dp/B0DCS3Z3VF</t>
        </is>
      </c>
      <c r="L766" s="70">
        <f>HYPERLINK(Table1410[[#This Row],[Column1]])</f>
        <v/>
      </c>
    </row>
    <row r="767" ht="45" customHeight="1" s="290">
      <c r="A767" s="30" t="inlineStr">
        <is>
          <t>Autel MaxilM KM100 OBD2 Diagnostic Scanner, 2026 Lite of IM508S IM608 PRO II with Lifetime Free Update, Compatible with 95% Cars, VCI V200 Wireless Diagnostic, Scan Tool for Home Mechanics &amp; DIYers</t>
        </is>
      </c>
      <c r="B767" s="30" t="inlineStr">
        <is>
          <t>B0FX9VGDRW</t>
        </is>
      </c>
      <c r="C767" s="30" t="inlineStr">
        <is>
          <t>Tablet</t>
        </is>
      </c>
      <c r="D767" s="324" t="n">
        <v>523.0773333333333</v>
      </c>
      <c r="E767" s="324" t="n">
        <v>81701.98307692308</v>
      </c>
      <c r="F767" s="324" t="n">
        <v>7846.16</v>
      </c>
      <c r="G767" s="55" t="n">
        <v>32</v>
      </c>
      <c r="H767" s="57" t="n">
        <v>15</v>
      </c>
      <c r="I767" s="55" t="n">
        <v>5</v>
      </c>
      <c r="J767" s="56" t="n">
        <v>4.2</v>
      </c>
      <c r="K767" s="56" t="inlineStr">
        <is>
          <t>https://amazon.com/dp/B0FX9VGDRW</t>
        </is>
      </c>
      <c r="L767" s="70">
        <f>HYPERLINK(Table1410[[#This Row],[Column1]])</f>
        <v/>
      </c>
    </row>
    <row r="768" ht="45" customHeight="1" s="290">
      <c r="A768" s="30" t="inlineStr">
        <is>
          <t>Autel Original MaxiVCI V150 VCI150 OBD2 Bluetooth Adapter, 2026 VCI 150 Car Wireless Communication Interface, Work w/Autel Diagnostic Scanner MK900BT MP900BT MP900Z-BT MP900TS MK900TS MX900TS TS900</t>
        </is>
      </c>
      <c r="B768" s="30" t="inlineStr">
        <is>
          <t>B0FKG6TDF1</t>
        </is>
      </c>
      <c r="C768" s="30" t="inlineStr">
        <is>
          <t>Dongle</t>
        </is>
      </c>
      <c r="D768" s="324" t="n">
        <v>199.2533333333334</v>
      </c>
      <c r="E768" s="324" t="n">
        <v>35132.54153846155</v>
      </c>
      <c r="F768" s="324" t="n">
        <v>2988.8</v>
      </c>
      <c r="G768" s="55" t="n">
        <v>107</v>
      </c>
      <c r="H768" s="57" t="n">
        <v>15</v>
      </c>
      <c r="I768" s="55" t="n">
        <v>3</v>
      </c>
      <c r="J768" s="56" t="n">
        <v>5</v>
      </c>
      <c r="K768" s="56" t="inlineStr">
        <is>
          <t>https://amazon.com/dp/B0FKG6TDF1</t>
        </is>
      </c>
      <c r="L768" s="70">
        <f>HYPERLINK(Table1410[[#This Row],[Column1]])</f>
        <v/>
      </c>
    </row>
    <row r="769" ht="60" customHeight="1" s="290">
      <c r="A769" s="30" t="inlineStr">
        <is>
          <t>Autel MaxiTPMS TBE200 (E) Automotive Tire Tread Depth &amp; Brake Disc Examiner: 2026 Top Laser Uneven Wear Analysis Tool, Upgrade of TBE100, Dual Camera, 0.1mm High Accuracy, Real-time Data, Supp. ITS600</t>
        </is>
      </c>
      <c r="B769" s="30" t="inlineStr">
        <is>
          <t>B09KGSRHMH</t>
        </is>
      </c>
      <c r="C769" s="30" t="inlineStr">
        <is>
          <t>Other</t>
        </is>
      </c>
      <c r="D769" s="324" t="n">
        <v>469.47</v>
      </c>
      <c r="E769" s="324" t="n">
        <v>74769.71000000001</v>
      </c>
      <c r="F769" s="324" t="n">
        <v>7042.05</v>
      </c>
      <c r="G769" s="55" t="n">
        <v>187</v>
      </c>
      <c r="H769" s="57" t="n">
        <v>15</v>
      </c>
      <c r="I769" s="55" t="n">
        <v>12</v>
      </c>
      <c r="J769" s="56" t="n">
        <v>4.7</v>
      </c>
      <c r="K769" s="56" t="inlineStr">
        <is>
          <t>https://amazon.com/dp/B09KGSRHMH</t>
        </is>
      </c>
      <c r="L769" s="70">
        <f>HYPERLINK(Table1410[[#This Row],[Column1]])</f>
        <v/>
      </c>
    </row>
    <row r="770" ht="45" customHeight="1" s="290">
      <c r="A770" s="30" t="inlineStr">
        <is>
          <t>Autel MaxiDiag MD906PRO MD906 Pro OBD2 Scanner: 2026 2.0 of MD802Pro MD806 MD808 Pro, Full Systems Diagnostics, 11 Service Oil Reset Bleeding Injector SAS etc, FCA SGW CAN FD, Free Update</t>
        </is>
      </c>
      <c r="B770" s="30" t="inlineStr">
        <is>
          <t>B0FHPX5VNF</t>
        </is>
      </c>
      <c r="C770" s="30" t="inlineStr">
        <is>
          <t>Tablet</t>
        </is>
      </c>
      <c r="D770" s="324" t="n">
        <v>268.4806666666667</v>
      </c>
      <c r="E770" s="324" t="n">
        <v>75102.98846153848</v>
      </c>
      <c r="F770" s="324" t="n">
        <v>4027.21</v>
      </c>
      <c r="G770" s="55" t="n">
        <v>214</v>
      </c>
      <c r="H770" s="57" t="n">
        <v>15</v>
      </c>
      <c r="I770" s="55" t="n">
        <v>31</v>
      </c>
      <c r="J770" s="56" t="n">
        <v>4.7</v>
      </c>
      <c r="K770" s="56" t="inlineStr">
        <is>
          <t>https://amazon.com/dp/B0FHPX5VNF</t>
        </is>
      </c>
      <c r="L770" s="70">
        <f>HYPERLINK(Table1410[[#This Row],[Column1]])</f>
        <v/>
      </c>
    </row>
    <row r="771" ht="45" customHeight="1" s="290">
      <c r="A771" s="30" t="inlineStr">
        <is>
          <t>Autel Obd2 Scanner Diagnostic Tool MaxiCOM MK808Z: 2026 Bidirectional Scan Tool, 28+ Service, Active Tests Scanner for Car, All System OBD2 Diagnostics Car Scanner for DIY, Mechanic and Small Shops</t>
        </is>
      </c>
      <c r="B771" s="30" t="inlineStr">
        <is>
          <t>B0GMQD4M5N</t>
        </is>
      </c>
      <c r="C771" s="30" t="inlineStr">
        <is>
          <t>Tablet</t>
        </is>
      </c>
      <c r="D771" s="324" t="n">
        <v>449</v>
      </c>
      <c r="E771" s="324" t="n">
        <v>81338.07692307694</v>
      </c>
      <c r="F771" s="324" t="n">
        <v>6735</v>
      </c>
      <c r="G771" s="55" t="n">
        <v>15</v>
      </c>
      <c r="H771" s="57" t="n">
        <v>15</v>
      </c>
      <c r="I771" s="55" t="n"/>
      <c r="J771" s="56" t="n"/>
      <c r="K771" s="56" t="inlineStr">
        <is>
          <t>https://amazon.com/dp/B0GMQD4M5N</t>
        </is>
      </c>
      <c r="L771" s="70">
        <f>HYPERLINK(Table1410[[#This Row],[Column1]])</f>
        <v/>
      </c>
    </row>
    <row r="772" ht="45" customHeight="1" s="290">
      <c r="A772" s="30" t="inlineStr">
        <is>
          <t>Autel MaxiAP AP2500 OBD2 Scanner Bluetooth Code Reader, Upgrade of AP200/AP200C/AP200H/AP200M, Better AP2500E, Auto Scanner Car Scan Tool, 5 DIY Servies, 45+ Car Brands, Compatible Android/iOS Phones</t>
        </is>
      </c>
      <c r="B772" s="30" t="inlineStr">
        <is>
          <t>B0CWNQLNY4</t>
        </is>
      </c>
      <c r="C772" s="30" t="inlineStr">
        <is>
          <t>Dongle</t>
        </is>
      </c>
      <c r="D772" s="324" t="n">
        <v>58.442</v>
      </c>
      <c r="E772" s="324" t="n">
        <v>3747.75</v>
      </c>
      <c r="F772" s="324" t="n">
        <v>876.63</v>
      </c>
      <c r="G772" s="55" t="n">
        <v>61</v>
      </c>
      <c r="H772" s="57" t="n">
        <v>15</v>
      </c>
      <c r="I772" s="55" t="n">
        <v>5</v>
      </c>
      <c r="J772" s="56" t="n">
        <v>4.5</v>
      </c>
      <c r="K772" s="56" t="inlineStr">
        <is>
          <t>https://amazon.com/dp/B0CWNQLNY4</t>
        </is>
      </c>
      <c r="L772" s="70">
        <f>HYPERLINK(Table1410[[#This Row],[Column1]])</f>
        <v/>
      </c>
    </row>
    <row r="773" ht="30" customHeight="1" s="290">
      <c r="A773" s="30" t="inlineStr">
        <is>
          <t>Autel MaxiAP AP2500 Code Reader, Bluetooth OBD2 Scanner, All System Diagnostic, Oil Reset, TPMS, EV Battery, BMS Reset, Upgraded AP200, OBDII 10 Tests, 45+ Car Brands, EV Battery, for Android/iOS</t>
        </is>
      </c>
      <c r="B773" s="30" t="inlineStr">
        <is>
          <t>B0DGKCMXL6</t>
        </is>
      </c>
      <c r="C773" s="30" t="inlineStr">
        <is>
          <t>Dongle</t>
        </is>
      </c>
      <c r="D773" s="324" t="n">
        <v>57.27428571428572</v>
      </c>
      <c r="E773" s="324" t="n">
        <v>5882.19</v>
      </c>
      <c r="F773" s="324" t="n">
        <v>801.84</v>
      </c>
      <c r="G773" s="55" t="n">
        <v>75</v>
      </c>
      <c r="H773" s="57" t="n">
        <v>14</v>
      </c>
      <c r="I773" s="55" t="n">
        <v>5</v>
      </c>
      <c r="J773" s="56" t="n">
        <v>2.9</v>
      </c>
      <c r="K773" s="56" t="inlineStr">
        <is>
          <t>https://amazon.com/dp/B0DGKCMXL6</t>
        </is>
      </c>
      <c r="L773" s="70">
        <f>HYPERLINK(Table1410[[#This Row],[Column1]])</f>
        <v/>
      </c>
    </row>
    <row r="774" ht="30" customHeight="1" s="290">
      <c r="A774" s="30" t="inlineStr">
        <is>
          <t>Autel Scanner IM508S OBD2 Scanner, 2026 Bidirectional Scan Tool, with XP200 Programmer, Smart &amp; Expert Mode, All System Diagnostic, 3000+ Active Test, 40+ Service, Up of MK900BT MK808S, FCA AutoAuth</t>
        </is>
      </c>
      <c r="B774" s="30" t="inlineStr">
        <is>
          <t>B0G1Y9LC4Q</t>
        </is>
      </c>
      <c r="C774" s="30" t="inlineStr">
        <is>
          <t>Tablet</t>
        </is>
      </c>
      <c r="D774" s="324" t="n">
        <v>1201.681428571429</v>
      </c>
      <c r="E774" s="324" t="n">
        <v>190871.9323076924</v>
      </c>
      <c r="F774" s="324" t="n">
        <v>16823.54</v>
      </c>
      <c r="G774" s="55" t="n">
        <v>56</v>
      </c>
      <c r="H774" s="57" t="n">
        <v>14</v>
      </c>
      <c r="I774" s="55" t="n">
        <v>4</v>
      </c>
      <c r="J774" s="56" t="n">
        <v>4.7</v>
      </c>
      <c r="K774" s="56" t="inlineStr">
        <is>
          <t>https://amazon.com/dp/B0G1Y9LC4Q</t>
        </is>
      </c>
      <c r="L774" s="70">
        <f>HYPERLINK(Table1410[[#This Row],[Column1]])</f>
        <v/>
      </c>
    </row>
    <row r="775" ht="60" customHeight="1" s="290">
      <c r="A775" s="30" t="inlineStr">
        <is>
          <t>Autel Original Tesla Diagnostic Cable Set, 3PCS Test Cord for Tesla-S &amp; X, OBD2 Diagnostic Test Cable Adapter for MaxiSys MaxiSYS 909/919/908SPro/Elite/Elite II/Ultra (3PCS)</t>
        </is>
      </c>
      <c r="B775" s="30" t="inlineStr">
        <is>
          <t>B0DD7R4TKN</t>
        </is>
      </c>
      <c r="C775" s="30" t="inlineStr">
        <is>
          <t>Cable/Adapter</t>
        </is>
      </c>
      <c r="D775" s="324" t="n">
        <v>59.24428571428571</v>
      </c>
      <c r="E775" s="324" t="n">
        <v>8466.17</v>
      </c>
      <c r="F775" s="324" t="n">
        <v>829.42</v>
      </c>
      <c r="G775" s="55" t="n">
        <v>142</v>
      </c>
      <c r="H775" s="57" t="n">
        <v>14</v>
      </c>
      <c r="I775" s="55" t="n">
        <v>10</v>
      </c>
      <c r="J775" s="56" t="n">
        <v>5</v>
      </c>
      <c r="K775" s="56" t="inlineStr">
        <is>
          <t>https://amazon.com/dp/B0DD7R4TKN</t>
        </is>
      </c>
      <c r="L775" s="70">
        <f>HYPERLINK(Table1410[[#This Row],[Column1]])</f>
        <v/>
      </c>
    </row>
    <row r="776" ht="45" customHeight="1" s="290">
      <c r="A776" s="30" t="inlineStr">
        <is>
          <t>Autel Scanner MaxiIM IM608 PRO II, 2026 IM608 PRO 2 Diagnostic Scan Tool with $1314 Full KIT, 40 Services, ECU as Elite II Pro, 3K+ Bidirectional Tool, OE Full System, DOIP CANFD, OS10, 4G&amp;128G, 16MP</t>
        </is>
      </c>
      <c r="B776" s="30" t="inlineStr">
        <is>
          <t>B07VHN3PZ3</t>
        </is>
      </c>
      <c r="C776" s="30" t="inlineStr">
        <is>
          <t>Tablet</t>
        </is>
      </c>
      <c r="D776" s="324" t="n">
        <v>3364.228571428571</v>
      </c>
      <c r="E776" s="324" t="n">
        <v>312991.6</v>
      </c>
      <c r="F776" s="324" t="n">
        <v>47099.2</v>
      </c>
      <c r="G776" s="55" t="n">
        <v>96</v>
      </c>
      <c r="H776" s="57" t="n">
        <v>14</v>
      </c>
      <c r="I776" s="55" t="n">
        <v>50</v>
      </c>
      <c r="J776" s="56" t="n">
        <v>4.6</v>
      </c>
      <c r="K776" s="56" t="inlineStr">
        <is>
          <t>https://amazon.com/dp/B07VHN3PZ3</t>
        </is>
      </c>
      <c r="L776" s="70">
        <f>HYPERLINK(Table1410[[#This Row],[Column1]])</f>
        <v/>
      </c>
    </row>
    <row r="777" ht="45" customHeight="1" s="290">
      <c r="A777" s="30" t="inlineStr">
        <is>
          <t>Autel MaxiSys MSOBD2KIT Non-OBDII Adapter Kit, 9PCS OBD Diagnostics Connectors w/Rugged Blow-Molded Carrying Case, Support All Autel Scanners MSUltra MS919 MS909 Elite II MS906 Pro MK808S MX900 MK900</t>
        </is>
      </c>
      <c r="B777" s="30" t="inlineStr">
        <is>
          <t>B0B14HBF2H</t>
        </is>
      </c>
      <c r="C777" s="30" t="inlineStr">
        <is>
          <t>Cable/Adapter</t>
        </is>
      </c>
      <c r="D777" s="324" t="n">
        <v>134.5685714285714</v>
      </c>
      <c r="E777" s="324" t="n">
        <v>21041.72</v>
      </c>
      <c r="F777" s="324" t="n">
        <v>1883.96</v>
      </c>
      <c r="G777" s="55" t="n">
        <v>153</v>
      </c>
      <c r="H777" s="57" t="n">
        <v>14</v>
      </c>
      <c r="I777" s="55" t="n">
        <v>24</v>
      </c>
      <c r="J777" s="56" t="n">
        <v>4.9</v>
      </c>
      <c r="K777" s="56" t="inlineStr">
        <is>
          <t>https://amazon.com/dp/B0B14HBF2H</t>
        </is>
      </c>
      <c r="L777" s="70">
        <f>HYPERLINK(Table1410[[#This Row],[Column1]])</f>
        <v/>
      </c>
    </row>
    <row r="778" ht="45" customHeight="1" s="290">
      <c r="A778" s="30" t="inlineStr">
        <is>
          <t>Autel Original 8A AKL Cable for Toyota Non-Smart K-y Adapter Work with APB112 and G-Box3 G BOX3 G-Box2 G BOX2</t>
        </is>
      </c>
      <c r="B778" s="30" t="inlineStr">
        <is>
          <t>B0BPX9VWQK</t>
        </is>
      </c>
      <c r="C778" s="30" t="inlineStr">
        <is>
          <t>Cable/Adapter</t>
        </is>
      </c>
      <c r="D778" s="324" t="n">
        <v>69.95071428571428</v>
      </c>
      <c r="E778" s="324" t="n">
        <v>14439.35</v>
      </c>
      <c r="F778" s="324" t="n">
        <v>979.3099999999999</v>
      </c>
      <c r="G778" s="55" t="n">
        <v>211</v>
      </c>
      <c r="H778" s="57" t="n">
        <v>14</v>
      </c>
      <c r="I778" s="55" t="n">
        <v>19</v>
      </c>
      <c r="J778" s="56" t="n">
        <v>4.6</v>
      </c>
      <c r="K778" s="56" t="inlineStr">
        <is>
          <t>https://amazon.com/dp/B0BPX9VWQK</t>
        </is>
      </c>
      <c r="L778" s="70">
        <f>HYPERLINK(Table1410[[#This Row],[Column1]])</f>
        <v/>
      </c>
    </row>
    <row r="779" ht="45" customHeight="1" s="290">
      <c r="A779" s="30" t="inlineStr">
        <is>
          <t>Autel MaxiCheck Pro OBD2 Scanner ABS Scan Tool for Auto Bleeding, SRS ABS Scanner Car Diagnostic Tool with Oil Reset Airbag SAS EPB BMS Services for Specific Vehicles Up to 2015, Lifetime Free Update</t>
        </is>
      </c>
      <c r="B779" s="30" t="inlineStr">
        <is>
          <t>B07P621KR1</t>
        </is>
      </c>
      <c r="C779" s="30" t="inlineStr">
        <is>
          <t>Handheld</t>
        </is>
      </c>
      <c r="D779" s="324" t="n">
        <v>198.2378571428571</v>
      </c>
      <c r="E779" s="324" t="n">
        <v>53266.07</v>
      </c>
      <c r="F779" s="324" t="n">
        <v>2775.33</v>
      </c>
      <c r="G779" s="55" t="n">
        <v>268</v>
      </c>
      <c r="H779" s="57" t="n">
        <v>14</v>
      </c>
      <c r="I779" s="55" t="n">
        <v>1149</v>
      </c>
      <c r="J779" s="56" t="n">
        <v>4.4</v>
      </c>
      <c r="K779" s="56" t="inlineStr">
        <is>
          <t>https://amazon.com/dp/B07P621KR1</t>
        </is>
      </c>
      <c r="L779" s="70">
        <f>HYPERLINK(Table1410[[#This Row],[Column1]])</f>
        <v/>
      </c>
    </row>
    <row r="780" ht="60" customHeight="1" s="290">
      <c r="A780" s="30" t="inlineStr">
        <is>
          <t>Autel AutoLink AL619 OBD2 Scanner, ABS SRS Airbag Warning Light Scan Tool, Turn Off Check Engine Light Car Diagnostic Tool, 10 OBDII Test Modes, Live Data, Freeze Frame, 2026 Up of ML619 AL519 ML519</t>
        </is>
      </c>
      <c r="B780" s="30" t="inlineStr">
        <is>
          <t>B07CMX3L2V</t>
        </is>
      </c>
      <c r="C780" s="30" t="inlineStr">
        <is>
          <t>Handheld</t>
        </is>
      </c>
      <c r="D780" s="324" t="n">
        <v>98.44428571428573</v>
      </c>
      <c r="E780" s="324" t="n">
        <v>22401.56</v>
      </c>
      <c r="F780" s="324" t="n">
        <v>1378.22</v>
      </c>
      <c r="G780" s="55" t="n">
        <v>226</v>
      </c>
      <c r="H780" s="57" t="n">
        <v>14</v>
      </c>
      <c r="I780" s="55" t="n">
        <v>237</v>
      </c>
      <c r="J780" s="56" t="n">
        <v>4.4</v>
      </c>
      <c r="K780" s="56" t="inlineStr">
        <is>
          <t>https://amazon.com/dp/B07CMX3L2V</t>
        </is>
      </c>
      <c r="L780" s="70">
        <f>HYPERLINK(Table1410[[#This Row],[Column1]])</f>
        <v/>
      </c>
    </row>
    <row r="781" ht="45" customHeight="1" s="290">
      <c r="A781" s="30" t="inlineStr">
        <is>
          <t>2026 Autel Scanner MaxiSys MS906 MAX, 10.1" MS906MAX 2.0 Up of MS906 PRO MP900BT MS908S MK908, OE Bidirectional Diagnostic Scan Tool, CAN FD DoIP, 3000+ Active Tests, 40+ Reset, All Sys, Auto Scan 2.0</t>
        </is>
      </c>
      <c r="B781" s="30" t="inlineStr">
        <is>
          <t>B09RWVB7FJ</t>
        </is>
      </c>
      <c r="C781" s="30" t="inlineStr">
        <is>
          <t>Tablet</t>
        </is>
      </c>
      <c r="D781" s="324" t="n">
        <v>1557.75</v>
      </c>
      <c r="E781" s="324" t="n">
        <v>210330.6330769231</v>
      </c>
      <c r="F781" s="324" t="n">
        <v>21808.5</v>
      </c>
      <c r="G781" s="55" t="n">
        <v>120</v>
      </c>
      <c r="H781" s="57" t="n">
        <v>14</v>
      </c>
      <c r="I781" s="55" t="n">
        <v>39</v>
      </c>
      <c r="J781" s="56" t="n">
        <v>4.5</v>
      </c>
      <c r="K781" s="56" t="inlineStr">
        <is>
          <t>https://amazon.com/dp/B09RWVB7FJ</t>
        </is>
      </c>
      <c r="L781" s="70">
        <f>HYPERLINK(Table1410[[#This Row],[Column1]])</f>
        <v/>
      </c>
    </row>
    <row r="782" ht="45" customHeight="1" s="290">
      <c r="A782" s="30" t="inlineStr">
        <is>
          <t>Autel Original 3 Pin Male to 16 Pin Female OBDII Adapter for Honda Vehicles, OBD1 to OBD2 Connector OE-Compliant Convertor Work with OBD II Scanners OBD2 Diagnostic Scan Tool</t>
        </is>
      </c>
      <c r="B782" s="30" t="inlineStr">
        <is>
          <t>B0D632P2NR</t>
        </is>
      </c>
      <c r="C782" s="30" t="inlineStr">
        <is>
          <t>Cable/Adapter</t>
        </is>
      </c>
      <c r="D782" s="324" t="n">
        <v>20.66615384615385</v>
      </c>
      <c r="E782" s="324" t="n">
        <v>2575.973846153846</v>
      </c>
      <c r="F782" s="324" t="n">
        <v>268.66</v>
      </c>
      <c r="G782" s="55" t="n">
        <v>116</v>
      </c>
      <c r="H782" s="57" t="n">
        <v>13</v>
      </c>
      <c r="I782" s="55" t="n">
        <v>15</v>
      </c>
      <c r="J782" s="56" t="n">
        <v>4.6</v>
      </c>
      <c r="K782" s="56" t="inlineStr">
        <is>
          <t>https://amazon.com/dp/B0D632P2NR</t>
        </is>
      </c>
      <c r="L782" s="70">
        <f>HYPERLINK(Table1410[[#This Row],[Column1]])</f>
        <v/>
      </c>
    </row>
    <row r="783" ht="45" customHeight="1" s="290">
      <c r="A783" s="30" t="inlineStr">
        <is>
          <t>Autel MaxiIM IM608 PRO 2 Scanner, 2026 IM608 PRO II Automotive Diagnostic Tool with $1316 Bundle, Advanced as Elite II Pro, 3000+ Tests, 40 Reset Services Bidirectional Tool, OS10 4/128GB CAN FD DoIP</t>
        </is>
      </c>
      <c r="B783" s="30" t="inlineStr">
        <is>
          <t>B08PNTTMQ8</t>
        </is>
      </c>
      <c r="C783" s="30" t="inlineStr">
        <is>
          <t>Tablet</t>
        </is>
      </c>
      <c r="D783" s="324" t="n">
        <v>3216.47</v>
      </c>
      <c r="E783" s="324" t="n">
        <v>1050334.14</v>
      </c>
      <c r="F783" s="324" t="n">
        <v>41814.11</v>
      </c>
      <c r="G783" s="55" t="n">
        <v>320</v>
      </c>
      <c r="H783" s="57" t="n">
        <v>13</v>
      </c>
      <c r="I783" s="55" t="n">
        <v>79</v>
      </c>
      <c r="J783" s="56" t="n">
        <v>4.8</v>
      </c>
      <c r="K783" s="56" t="inlineStr">
        <is>
          <t>https://amazon.com/dp/B08PNTTMQ8</t>
        </is>
      </c>
      <c r="L783" s="70">
        <f>HYPERLINK(Table1410[[#This Row],[Column1]])</f>
        <v/>
      </c>
    </row>
    <row r="784" ht="45" customHeight="1" s="290">
      <c r="A784" s="30" t="inlineStr">
        <is>
          <t>Autel MaxiSys MSOBD2KIT Non-OBDII Adapter Kit, 9PCS Connector for Diagnose OBD 1 Vehicle, OE-Compliant Connectors, Support Autel Scanner MK808S MK900 MX900 MK808BT PRO MK900BT MP900BT MS906 PRO Ultra</t>
        </is>
      </c>
      <c r="B784" s="30" t="inlineStr">
        <is>
          <t>B09MYDX4JS</t>
        </is>
      </c>
      <c r="C784" s="30" t="inlineStr">
        <is>
          <t>Cable/Adapter</t>
        </is>
      </c>
      <c r="D784" s="324" t="n">
        <v>130.7461538461538</v>
      </c>
      <c r="E784" s="324" t="n">
        <v>18814.98</v>
      </c>
      <c r="F784" s="324" t="n">
        <v>1699.7</v>
      </c>
      <c r="G784" s="55" t="n">
        <v>148</v>
      </c>
      <c r="H784" s="57" t="n">
        <v>13</v>
      </c>
      <c r="I784" s="55" t="n">
        <v>37</v>
      </c>
      <c r="J784" s="56" t="n">
        <v>4.8</v>
      </c>
      <c r="K784" s="56" t="inlineStr">
        <is>
          <t>https://amazon.com/dp/B09MYDX4JS</t>
        </is>
      </c>
      <c r="L784" s="70">
        <f>HYPERLINK(Table1410[[#This Row],[Column1]])</f>
        <v/>
      </c>
    </row>
    <row r="785" ht="45" customHeight="1" s="290">
      <c r="A785" s="30" t="inlineStr">
        <is>
          <t>Autel Original Mazda 17 Pin Adapter, 17 Pin Male OBD1 to 16 Pin Female OBD2 Connector for Mazda Without OBDII Port, OE-Compliant Connector</t>
        </is>
      </c>
      <c r="B785" s="30" t="inlineStr">
        <is>
          <t>B0D637SWNT</t>
        </is>
      </c>
      <c r="C785" s="30" t="inlineStr">
        <is>
          <t>Cable/Adapter</t>
        </is>
      </c>
      <c r="D785" s="324" t="n">
        <v>18.72615384615385</v>
      </c>
      <c r="E785" s="324" t="n">
        <v>2287.44</v>
      </c>
      <c r="F785" s="324" t="n">
        <v>243.44</v>
      </c>
      <c r="G785" s="55" t="n">
        <v>114</v>
      </c>
      <c r="H785" s="57" t="n">
        <v>13</v>
      </c>
      <c r="I785" s="55" t="n">
        <v>13</v>
      </c>
      <c r="J785" s="56" t="n">
        <v>4.7</v>
      </c>
      <c r="K785" s="56" t="inlineStr">
        <is>
          <t>https://amazon.com/dp/B0D637SWNT</t>
        </is>
      </c>
      <c r="L785" s="70">
        <f>HYPERLINK(Table1410[[#This Row],[Column1]])</f>
        <v/>
      </c>
    </row>
    <row r="786" ht="30" customHeight="1" s="290">
      <c r="A786" s="30" t="inlineStr">
        <is>
          <t>Autel J1939 Splitter 9 Pin to OBD 2 Male Adapter Cable, Work with Truck Diagnostic Scanner, Type 2 J-1939 Diagnostic Connector, OBD to 9 Pin J1939 Y Cable, for Heavy Duty Commercial Truck ELD GPS</t>
        </is>
      </c>
      <c r="B786" s="30" t="inlineStr">
        <is>
          <t>B0DCFGPT28</t>
        </is>
      </c>
      <c r="C786" s="30" t="inlineStr">
        <is>
          <t>Cable/Adapter</t>
        </is>
      </c>
      <c r="D786" s="324" t="n">
        <v>20.55923076923077</v>
      </c>
      <c r="E786" s="324" t="n">
        <v>3963.620769230769</v>
      </c>
      <c r="F786" s="324" t="n">
        <v>267.27</v>
      </c>
      <c r="G786" s="55" t="n">
        <v>185</v>
      </c>
      <c r="H786" s="57" t="n">
        <v>13</v>
      </c>
      <c r="I786" s="55" t="n">
        <v>54</v>
      </c>
      <c r="J786" s="56" t="n">
        <v>4.5</v>
      </c>
      <c r="K786" s="56" t="inlineStr">
        <is>
          <t>https://amazon.com/dp/B0DCFGPT28</t>
        </is>
      </c>
      <c r="L786" s="70">
        <f>HYPERLINK(Table1410[[#This Row],[Column1]])</f>
        <v/>
      </c>
    </row>
    <row r="787" ht="30" customHeight="1" s="290">
      <c r="A787" s="30" t="inlineStr">
        <is>
          <t>Autel MD909 PRO MaxiDiag OBD2 Scanner, 2026 MD909PRO BT Lite of MaxiCOM MK808S MX808S MK900, CAN FD, All System Diagnostic Tool, Up of MD906 PRO MD808 MD806, 11 Service, Battery Test, Free Update, FCA</t>
        </is>
      </c>
      <c r="B787" s="30" t="inlineStr">
        <is>
          <t>B0FN44Y8ZV</t>
        </is>
      </c>
      <c r="C787" s="30" t="inlineStr">
        <is>
          <t>Tablet</t>
        </is>
      </c>
      <c r="D787" s="324" t="n">
        <v>330.0123076923077</v>
      </c>
      <c r="E787" s="324" t="n">
        <v>45869.92153846154</v>
      </c>
      <c r="F787" s="324" t="n">
        <v>4290.16</v>
      </c>
      <c r="G787" s="55" t="n">
        <v>45</v>
      </c>
      <c r="H787" s="57" t="n">
        <v>13</v>
      </c>
      <c r="I787" s="55" t="n">
        <v>2</v>
      </c>
      <c r="J787" s="56" t="n">
        <v>5</v>
      </c>
      <c r="K787" s="56" t="inlineStr">
        <is>
          <t>https://amazon.com/dp/B0FN44Y8ZV</t>
        </is>
      </c>
      <c r="L787" s="70">
        <f>HYPERLINK(Table1410[[#This Row],[Column1]])</f>
        <v/>
      </c>
    </row>
    <row r="788" ht="45" customHeight="1" s="290">
      <c r="A788" s="30" t="inlineStr">
        <is>
          <t>Autel PowerScan PS100 Power Circuit Probe Scan Tool Automotive Circuit Tester, Read AC DC Resistance 12-24V Electrical Short/Open Circuit Finder, Relay Tester with 20ft Extension Cable</t>
        </is>
      </c>
      <c r="B788" s="30" t="inlineStr">
        <is>
          <t>B0FF95D2MY</t>
        </is>
      </c>
      <c r="C788" s="30" t="inlineStr">
        <is>
          <t>Probe</t>
        </is>
      </c>
      <c r="D788" s="324" t="n">
        <v>91.61166666666666</v>
      </c>
      <c r="E788" s="324" t="n">
        <v>15280.78153846154</v>
      </c>
      <c r="F788" s="324" t="n">
        <v>1099.34</v>
      </c>
      <c r="G788" s="55" t="n">
        <v>125</v>
      </c>
      <c r="H788" s="57" t="n">
        <v>12</v>
      </c>
      <c r="I788" s="55" t="n">
        <v>6</v>
      </c>
      <c r="J788" s="56" t="n">
        <v>5</v>
      </c>
      <c r="K788" s="56" t="inlineStr">
        <is>
          <t>https://amazon.com/dp/B0FF95D2MY</t>
        </is>
      </c>
      <c r="L788" s="70">
        <f>HYPERLINK(Table1410[[#This Row],[Column1]])</f>
        <v/>
      </c>
    </row>
    <row r="789" ht="45" customHeight="1" s="290">
      <c r="A789" s="30" t="inlineStr">
        <is>
          <t>Autel MaxiPRO MP900-BT Scanner: 2026 MP900BT Same as MS906 PRO MS906 MAX w/OE C0ding, 3000+ Active Test, 40+ Reset, Bidirectional Scan Tool Up of MP900 MP900Z-BT MP808BT PRO MK900BT MK900, DOIP&amp;CAN FD</t>
        </is>
      </c>
      <c r="B789" s="30" t="inlineStr">
        <is>
          <t>B07F4H3WZC</t>
        </is>
      </c>
      <c r="C789" s="30" t="inlineStr">
        <is>
          <t>Tablet</t>
        </is>
      </c>
      <c r="D789" s="324" t="n">
        <v>911.9241666666668</v>
      </c>
      <c r="E789" s="324" t="n">
        <v>212919.81</v>
      </c>
      <c r="F789" s="324" t="n">
        <v>10943.09</v>
      </c>
      <c r="G789" s="55" t="n">
        <v>237</v>
      </c>
      <c r="H789" s="57" t="n">
        <v>12</v>
      </c>
      <c r="I789" s="55" t="n">
        <v>354</v>
      </c>
      <c r="J789" s="56" t="n">
        <v>4.6</v>
      </c>
      <c r="K789" s="56" t="inlineStr">
        <is>
          <t>https://amazon.com/dp/B07F4H3WZC</t>
        </is>
      </c>
      <c r="L789" s="70">
        <f>HYPERLINK(Table1410[[#This Row],[Column1]])</f>
        <v/>
      </c>
    </row>
    <row r="790" ht="45" customHeight="1" s="290">
      <c r="A790" s="30" t="inlineStr">
        <is>
          <t>AUTEL Original OBD2 16Pin Male Connector to Open Plug Wire, OBDII Diagnostic Extension Cable, Universal Pigtail for OBD Scanner Cord Port Replacement, USB Adapter with 16 Color for DIY, 1M, 3.3FT</t>
        </is>
      </c>
      <c r="B790" s="30" t="inlineStr">
        <is>
          <t>B0G12WSSQ6</t>
        </is>
      </c>
      <c r="C790" s="30" t="inlineStr">
        <is>
          <t>Cable/Adapter</t>
        </is>
      </c>
      <c r="D790" s="324" t="n">
        <v>17.15916666666667</v>
      </c>
      <c r="E790" s="324" t="n">
        <v>2459.187692307692</v>
      </c>
      <c r="F790" s="324" t="n">
        <v>205.91</v>
      </c>
      <c r="G790" s="55" t="n">
        <v>32</v>
      </c>
      <c r="H790" s="57" t="n">
        <v>12</v>
      </c>
      <c r="I790" s="55" t="n">
        <v>22</v>
      </c>
      <c r="J790" s="56" t="n">
        <v>4.7</v>
      </c>
      <c r="K790" s="56" t="inlineStr">
        <is>
          <t>https://amazon.com/dp/B0G12WSSQ6</t>
        </is>
      </c>
      <c r="L790" s="70">
        <f>HYPERLINK(Table1410[[#This Row],[Column1]])</f>
        <v/>
      </c>
    </row>
    <row r="791" ht="45" customHeight="1" s="290">
      <c r="A791" s="30" t="inlineStr">
        <is>
          <t>Autel MS906 MAX Bi-Directional Scanner: 2026 MS906MAX Updated of MS906 Pro MP900BT with ECU C0ding, DoIP, CANFD, FCA SGW AutAuth, All System Scan, 40+ Service 3000+ Active Tests as MS908S PRO II</t>
        </is>
      </c>
      <c r="B791" s="30" t="inlineStr">
        <is>
          <t>B0DXKBMLVB</t>
        </is>
      </c>
      <c r="C791" s="30" t="inlineStr">
        <is>
          <t>Tablet</t>
        </is>
      </c>
      <c r="D791" s="324" t="n">
        <v>1610.810833333333</v>
      </c>
      <c r="E791" s="324" t="n">
        <v>185506.8476923077</v>
      </c>
      <c r="F791" s="324" t="n">
        <v>19329.73</v>
      </c>
      <c r="G791" s="55" t="n">
        <v>108</v>
      </c>
      <c r="H791" s="57" t="n">
        <v>12</v>
      </c>
      <c r="I791" s="55" t="n">
        <v>18</v>
      </c>
      <c r="J791" s="56" t="n">
        <v>4.8</v>
      </c>
      <c r="K791" s="56" t="inlineStr">
        <is>
          <t>https://amazon.com/dp/B0DXKBMLVB</t>
        </is>
      </c>
      <c r="L791" s="70">
        <f>HYPERLINK(Table1410[[#This Row],[Column1]])</f>
        <v/>
      </c>
    </row>
    <row r="792" ht="45" customHeight="1" s="290">
      <c r="A792" s="30" t="inlineStr">
        <is>
          <t>Autel AutoLInk AL329, I/M Readiness Key, OBD2 Code Reader, Retrieves VIN CALID and CVN, Freeze Frame Data, Turns Off MIL</t>
        </is>
      </c>
      <c r="B792" s="30" t="inlineStr">
        <is>
          <t>B07TB5BT5G</t>
        </is>
      </c>
      <c r="C792" s="30" t="inlineStr">
        <is>
          <t>Handheld</t>
        </is>
      </c>
      <c r="D792" s="324" t="n">
        <v>34.74</v>
      </c>
      <c r="E792" s="324" t="n">
        <v>5381.28</v>
      </c>
      <c r="F792" s="324" t="n">
        <v>416.88</v>
      </c>
      <c r="G792" s="55" t="n">
        <v>149</v>
      </c>
      <c r="H792" s="57" t="n">
        <v>12</v>
      </c>
      <c r="I792" s="55" t="n">
        <v>81</v>
      </c>
      <c r="J792" s="56" t="n">
        <v>4.5</v>
      </c>
      <c r="K792" s="56" t="inlineStr">
        <is>
          <t>https://amazon.com/dp/B07TB5BT5G</t>
        </is>
      </c>
      <c r="L792" s="70">
        <f>HYPERLINK(Table1410[[#This Row],[Column1]])</f>
        <v/>
      </c>
    </row>
    <row r="793" ht="45" customHeight="1" s="290">
      <c r="A793" s="30" t="inlineStr">
        <is>
          <t>Autel Scanner MaxiSys Elite 2 Pro : 2026 Elite II Pro with 2-Years Update, J2534 Tool as MS Ultra Lite MS909 S2 MS919 Up of MS908S PRO II, 40+ Service, 3K+ Active Test, DOIP CANFD, Intelligent Motor</t>
        </is>
      </c>
      <c r="B793" s="30" t="inlineStr">
        <is>
          <t>B00RD6B6MU</t>
        </is>
      </c>
      <c r="C793" s="30" t="inlineStr">
        <is>
          <t>Tablet</t>
        </is>
      </c>
      <c r="D793" s="324" t="n">
        <v>2404.539166666667</v>
      </c>
      <c r="E793" s="324" t="n">
        <v>453394.9753846154</v>
      </c>
      <c r="F793" s="324" t="n">
        <v>28854.47</v>
      </c>
      <c r="G793" s="55" t="n">
        <v>177</v>
      </c>
      <c r="H793" s="57" t="n">
        <v>12</v>
      </c>
      <c r="I793" s="55" t="n">
        <v>79</v>
      </c>
      <c r="J793" s="56" t="n">
        <v>4.4</v>
      </c>
      <c r="K793" s="56" t="inlineStr">
        <is>
          <t>https://amazon.com/dp/B00RD6B6MU</t>
        </is>
      </c>
      <c r="L793" s="70">
        <f>HYPERLINK(Table1410[[#This Row],[Column1]])</f>
        <v/>
      </c>
    </row>
    <row r="794" ht="45" customHeight="1" s="290">
      <c r="A794" s="30" t="inlineStr">
        <is>
          <t>Autel Scanner MaxiSys Elite 2 PRO: 2026 2-Year Updates Elite II PRO w/ MV105S, J2534 Programming as Ultra MS909 MS919 Up of MS908S PRO II, Motor TruSpeed Repair, 40+ Resets, 3K Active Test, DOIP CANFD</t>
        </is>
      </c>
      <c r="B794" s="30" t="inlineStr">
        <is>
          <t>B0GCJVNQY1</t>
        </is>
      </c>
      <c r="C794" s="30" t="inlineStr">
        <is>
          <t>Tablet</t>
        </is>
      </c>
      <c r="D794" s="324" t="n">
        <v>2579.396666666667</v>
      </c>
      <c r="E794" s="324" t="n">
        <v>332215.3761538462</v>
      </c>
      <c r="F794" s="324" t="n">
        <v>30952.76</v>
      </c>
      <c r="G794" s="55" t="n">
        <v>30</v>
      </c>
      <c r="H794" s="57" t="n">
        <v>12</v>
      </c>
      <c r="I794" s="55" t="n">
        <v>1</v>
      </c>
      <c r="J794" s="56" t="n">
        <v>5</v>
      </c>
      <c r="K794" s="56" t="inlineStr">
        <is>
          <t>https://amazon.com/dp/B0GCJVNQY1</t>
        </is>
      </c>
      <c r="L794" s="70">
        <f>HYPERLINK(Table1410[[#This Row],[Column1]])</f>
        <v/>
      </c>
    </row>
    <row r="795" ht="45" customHeight="1" s="290">
      <c r="A795" s="30" t="inlineStr">
        <is>
          <t>Autel AL549 OBD2 Scanner Code Reader with ABS Diagnostic &amp; Battery Test, Enhanced Check and Reset Engine Fault Code, Live Data, Freeze Frame, CAN Car Diagnostic Scan Tool for All OBDII Car After 1996</t>
        </is>
      </c>
      <c r="B795" s="30" t="inlineStr">
        <is>
          <t>B0D93GFSK1</t>
        </is>
      </c>
      <c r="C795" s="30" t="inlineStr">
        <is>
          <t>Handheld</t>
        </is>
      </c>
      <c r="D795" s="324" t="n">
        <v>69.765</v>
      </c>
      <c r="E795" s="324" t="n">
        <v>20059.80153846154</v>
      </c>
      <c r="F795" s="324" t="n">
        <v>837.1799999999999</v>
      </c>
      <c r="G795" s="55" t="n">
        <v>281</v>
      </c>
      <c r="H795" s="57" t="n">
        <v>12</v>
      </c>
      <c r="I795" s="55" t="n">
        <v>26</v>
      </c>
      <c r="J795" s="56" t="n">
        <v>4.6</v>
      </c>
      <c r="K795" s="56" t="inlineStr">
        <is>
          <t>https://amazon.com/dp/B0D93GFSK1</t>
        </is>
      </c>
      <c r="L795" s="70">
        <f>HYPERLINK(Table1410[[#This Row],[Column1]])</f>
        <v/>
      </c>
    </row>
    <row r="796" ht="45" customHeight="1" s="290">
      <c r="A796" s="30" t="inlineStr">
        <is>
          <t>Autel MaxiCOM Ultra Lite Intelligent Scanner: 2 Years Free Update, 2026 Ultra Lite Up of Elite II Pro MS909 MS919, Same as MaxiSys Ultra, Motor TruSpeed Repair, Topology 2.0, 40+ Services, DOIP CANFD</t>
        </is>
      </c>
      <c r="B796" s="30" t="inlineStr">
        <is>
          <t>B07MNY9VW3</t>
        </is>
      </c>
      <c r="C796" s="30" t="inlineStr">
        <is>
          <t>Tablet</t>
        </is>
      </c>
      <c r="D796" s="324" t="n">
        <v>2900.336666666667</v>
      </c>
      <c r="E796" s="324" t="n">
        <v>484350.91</v>
      </c>
      <c r="F796" s="324" t="n">
        <v>34804.04</v>
      </c>
      <c r="G796" s="55" t="n">
        <v>163</v>
      </c>
      <c r="H796" s="57" t="n">
        <v>12</v>
      </c>
      <c r="I796" s="55" t="n">
        <v>47</v>
      </c>
      <c r="J796" s="56" t="n">
        <v>4.1</v>
      </c>
      <c r="K796" s="56" t="inlineStr">
        <is>
          <t>https://amazon.com/dp/B07MNY9VW3</t>
        </is>
      </c>
      <c r="L796" s="70">
        <f>HYPERLINK(Table1410[[#This Row],[Column1]])</f>
        <v/>
      </c>
    </row>
    <row r="797" ht="60" customHeight="1" s="290">
      <c r="A797" s="30" t="inlineStr">
        <is>
          <t>Autel MaxiVCI Mini Bluetooth, Vehicle Communication Wireless Interface, Diagnostic Connector Compatible for MK808BT MK808TS MX808TS MP808TS TS608</t>
        </is>
      </c>
      <c r="B797" s="30" t="inlineStr">
        <is>
          <t>B09Z24BVGP</t>
        </is>
      </c>
      <c r="C797" s="30" t="inlineStr">
        <is>
          <t>Dongle</t>
        </is>
      </c>
      <c r="D797" s="324" t="n">
        <v>122.9825</v>
      </c>
      <c r="E797" s="324" t="n">
        <v>14379.75</v>
      </c>
      <c r="F797" s="324" t="n">
        <v>1475.79</v>
      </c>
      <c r="G797" s="55" t="n">
        <v>123</v>
      </c>
      <c r="H797" s="57" t="n">
        <v>12</v>
      </c>
      <c r="I797" s="55" t="n">
        <v>17</v>
      </c>
      <c r="J797" s="56" t="n">
        <v>4.6</v>
      </c>
      <c r="K797" s="56" t="inlineStr">
        <is>
          <t>https://amazon.com/dp/B09Z24BVGP</t>
        </is>
      </c>
      <c r="L797" s="70">
        <f>HYPERLINK(Table1410[[#This Row],[Column1]])</f>
        <v/>
      </c>
    </row>
    <row r="798" ht="45" customHeight="1" s="290">
      <c r="A798" s="30" t="inlineStr">
        <is>
          <t>Autel MaxiPRO MP900TS Scanner, 2026 8IN MP900-TS up of MS906 PRO MP900-BT MP900 MS906TS MK900TS, V2.0 DOIP CANFD, Full TPMS as MS906 Pro-TS, OE C0ding, 40+ Services, 3K+ Bidirectional Scan Tool, OS 11</t>
        </is>
      </c>
      <c r="B798" s="30" t="inlineStr">
        <is>
          <t>B08K72QDGQ</t>
        </is>
      </c>
      <c r="C798" s="30" t="inlineStr">
        <is>
          <t>Tablet</t>
        </is>
      </c>
      <c r="D798" s="324" t="n">
        <v>1064.168181818182</v>
      </c>
      <c r="E798" s="324" t="n">
        <v>182106.82</v>
      </c>
      <c r="F798" s="324" t="n">
        <v>11705.85</v>
      </c>
      <c r="G798" s="55" t="n">
        <v>166</v>
      </c>
      <c r="H798" s="57" t="n">
        <v>11</v>
      </c>
      <c r="I798" s="55" t="n">
        <v>78</v>
      </c>
      <c r="J798" s="56" t="n">
        <v>4.5</v>
      </c>
      <c r="K798" s="56" t="inlineStr">
        <is>
          <t>https://amazon.com/dp/B08K72QDGQ</t>
        </is>
      </c>
      <c r="L798" s="70">
        <f>HYPERLINK(Table1410[[#This Row],[Column1]])</f>
        <v/>
      </c>
    </row>
    <row r="799" ht="60" customHeight="1" s="290">
      <c r="A799" s="30" t="inlineStr">
        <is>
          <t>Autel AutoLink AL529HD with Screen Wiper OBD2 Scanner Heavy Duty Truck Code Reader AutoVIN Read/Erase DTCs O2 Monitor Test Check Live Data Advanced AL519/AL529 Compatible SAE-J1939/J1708</t>
        </is>
      </c>
      <c r="B799" s="30" t="inlineStr">
        <is>
          <t>B094VX7S63</t>
        </is>
      </c>
      <c r="C799" s="30" t="inlineStr">
        <is>
          <t>Handheld</t>
        </is>
      </c>
      <c r="D799" s="324" t="n">
        <v>115.0827272727273</v>
      </c>
      <c r="E799" s="324" t="n">
        <v>40664.52461538462</v>
      </c>
      <c r="F799" s="324" t="n">
        <v>1265.91</v>
      </c>
      <c r="G799" s="55" t="n">
        <v>319</v>
      </c>
      <c r="H799" s="57" t="n">
        <v>11</v>
      </c>
      <c r="I799" s="55" t="n">
        <v>31</v>
      </c>
      <c r="J799" s="56" t="n">
        <v>4.2</v>
      </c>
      <c r="K799" s="56" t="inlineStr">
        <is>
          <t>https://amazon.com/dp/B094VX7S63</t>
        </is>
      </c>
      <c r="L799" s="70">
        <f>HYPERLINK(Table1410[[#This Row],[Column1]])</f>
        <v/>
      </c>
    </row>
    <row r="800" ht="45" customHeight="1" s="290">
      <c r="A800" s="30" t="inlineStr">
        <is>
          <t>2026 Autel Original Green Type 2 J1939 Male to 16Pin Female OBD2 Adapter, 16Pin to 9Pin J1939 OBD Port, 30CM Extension Cable</t>
        </is>
      </c>
      <c r="B800" s="30" t="inlineStr">
        <is>
          <t>B0F6752Z4V</t>
        </is>
      </c>
      <c r="C800" s="30" t="inlineStr">
        <is>
          <t>Cable/Adapter</t>
        </is>
      </c>
      <c r="D800" s="324" t="n">
        <v>12.01545454545454</v>
      </c>
      <c r="E800" s="324" t="n">
        <v>1615.566153846154</v>
      </c>
      <c r="F800" s="324" t="n">
        <v>132.17</v>
      </c>
      <c r="G800" s="55" t="n">
        <v>94</v>
      </c>
      <c r="H800" s="57" t="n">
        <v>11</v>
      </c>
      <c r="I800" s="55" t="n">
        <v>10</v>
      </c>
      <c r="J800" s="56" t="n">
        <v>4.5</v>
      </c>
      <c r="K800" s="56" t="inlineStr">
        <is>
          <t>https://amazon.com/dp/B0F6752Z4V</t>
        </is>
      </c>
      <c r="L800" s="70">
        <f>HYPERLINK(Table1410[[#This Row],[Column1]])</f>
        <v/>
      </c>
    </row>
    <row r="801" ht="45" customHeight="1" s="290">
      <c r="A801" s="30" t="inlineStr">
        <is>
          <t>Autel Scanner MaxiPRO MP900TS, 2026 8in MP900-TS Top TPMS as MS906 Pro-TS, Up of MaxiSYS MS906 PRO MS906TS MK900TS, Advanced Function 40+ Service, Bidirectional Scan Tool, Aut0 Scan 2.0 CAN FD&amp;DOIP</t>
        </is>
      </c>
      <c r="B801" s="30" t="inlineStr">
        <is>
          <t>B08P1RBNHY</t>
        </is>
      </c>
      <c r="C801" s="30" t="inlineStr">
        <is>
          <t>Tablet</t>
        </is>
      </c>
      <c r="D801" s="324" t="n">
        <v>1082.259090909091</v>
      </c>
      <c r="E801" s="324" t="n">
        <v>109611.06</v>
      </c>
      <c r="F801" s="324" t="n">
        <v>11904.85</v>
      </c>
      <c r="G801" s="55" t="n">
        <v>99</v>
      </c>
      <c r="H801" s="57" t="n">
        <v>11</v>
      </c>
      <c r="I801" s="55" t="n">
        <v>113</v>
      </c>
      <c r="J801" s="56" t="n">
        <v>4.4</v>
      </c>
      <c r="K801" s="56" t="inlineStr">
        <is>
          <t>https://amazon.com/dp/B08P1RBNHY</t>
        </is>
      </c>
      <c r="L801" s="70">
        <f>HYPERLINK(Table1410[[#This Row],[Column1]])</f>
        <v/>
      </c>
    </row>
    <row r="802" ht="45" customHeight="1" s="290">
      <c r="A802" s="30" t="inlineStr">
        <is>
          <t>Autel MaxiDiag MD909 PRO All-Systems OBD2 Diagnostic Scanner, 11 Services, CAN FD &amp; DoIP, Upgraded from MD808PRO/MD906, FCA AutoAuth, Lifetime Free Updates, 1996+ US, Asian &amp; European Vehicles</t>
        </is>
      </c>
      <c r="B802" s="30" t="inlineStr">
        <is>
          <t>B0FFH14CPB</t>
        </is>
      </c>
      <c r="C802" s="30" t="inlineStr">
        <is>
          <t>Tablet</t>
        </is>
      </c>
      <c r="D802" s="324" t="n">
        <v>326.9545454545454</v>
      </c>
      <c r="E802" s="324" t="n">
        <v>75527.67461538462</v>
      </c>
      <c r="F802" s="324" t="n">
        <v>3596.5</v>
      </c>
      <c r="G802" s="55" t="n">
        <v>186</v>
      </c>
      <c r="H802" s="57" t="n">
        <v>11</v>
      </c>
      <c r="I802" s="55" t="n">
        <v>13</v>
      </c>
      <c r="J802" s="56" t="n">
        <v>4.3</v>
      </c>
      <c r="K802" s="56" t="inlineStr">
        <is>
          <t>https://amazon.com/dp/B0FFH14CPB</t>
        </is>
      </c>
      <c r="L802" s="70">
        <f>HYPERLINK(Table1410[[#This Row],[Column1]])</f>
        <v/>
      </c>
    </row>
    <row r="803" ht="45" customHeight="1" s="290">
      <c r="A803" s="30" t="inlineStr">
        <is>
          <t>Autel Original OBD2 Male to Green J1939 Type 2 Female Adapter, 16pin OBDII to 9pin for Truck Freightliner Code Reader, ELD Tracker, Diagnostic Scanner Device, Plug and Play with High Speed</t>
        </is>
      </c>
      <c r="B803" s="30" t="inlineStr">
        <is>
          <t>B0G41Y52RT</t>
        </is>
      </c>
      <c r="C803" s="30" t="inlineStr">
        <is>
          <t>Cable/Adapter</t>
        </is>
      </c>
      <c r="D803" s="324" t="n">
        <v>15.76727272727273</v>
      </c>
      <c r="E803" s="324" t="n">
        <v>1989.594615384616</v>
      </c>
      <c r="F803" s="324" t="n">
        <v>173.44</v>
      </c>
      <c r="G803" s="55" t="n">
        <v>22</v>
      </c>
      <c r="H803" s="57" t="n">
        <v>11</v>
      </c>
      <c r="I803" s="55" t="n">
        <v>2</v>
      </c>
      <c r="J803" s="56" t="n">
        <v>5</v>
      </c>
      <c r="K803" s="56" t="inlineStr">
        <is>
          <t>https://amazon.com/dp/B0G41Y52RT</t>
        </is>
      </c>
      <c r="L803" s="70">
        <f>HYPERLINK(Table1410[[#This Row],[Column1]])</f>
        <v/>
      </c>
    </row>
    <row r="804" ht="45" customHeight="1" s="290">
      <c r="A804" s="30" t="inlineStr">
        <is>
          <t>Autel OBD2 Scanner Autel MaxiAP AP2500 Bluetooth Code Reader Oil Reset TPMS BMS Reset All-System Code Read/Clear 45+ Car Brands Work with Android/iOS Upgrade AL329 AP200 AP200H</t>
        </is>
      </c>
      <c r="B804" s="30" t="inlineStr">
        <is>
          <t>B0CWV32ZX4</t>
        </is>
      </c>
      <c r="C804" s="30" t="inlineStr">
        <is>
          <t>Dongle</t>
        </is>
      </c>
      <c r="D804" s="324" t="n">
        <v>58.02272727272727</v>
      </c>
      <c r="E804" s="324" t="n">
        <v>2315.61</v>
      </c>
      <c r="F804" s="324" t="n">
        <v>638.25</v>
      </c>
      <c r="G804" s="55" t="n">
        <v>39</v>
      </c>
      <c r="H804" s="57" t="n">
        <v>11</v>
      </c>
      <c r="I804" s="55" t="n">
        <v>10</v>
      </c>
      <c r="J804" s="56" t="n">
        <v>3.6</v>
      </c>
      <c r="K804" s="56" t="inlineStr">
        <is>
          <t>https://amazon.com/dp/B0CWV32ZX4</t>
        </is>
      </c>
      <c r="L804" s="70">
        <f>HYPERLINK(Table1410[[#This Row],[Column1]])</f>
        <v/>
      </c>
    </row>
    <row r="805" ht="45" customHeight="1" s="290">
      <c r="A805" s="30" t="inlineStr">
        <is>
          <t>Autel CAN FD Adapter for GM MY2020 Vehicles Accessories, Mini VCI J2534, Adaptador CAN FD, Compatible with Autel MaxiSys IM608, IM508, MX808, MS906, MS908, Ultra Series</t>
        </is>
      </c>
      <c r="B805" s="30" t="inlineStr">
        <is>
          <t>B0D5XYZTHW</t>
        </is>
      </c>
      <c r="C805" s="30" t="inlineStr">
        <is>
          <t>Cable/Adapter</t>
        </is>
      </c>
      <c r="D805" s="324" t="n">
        <v>115.05</v>
      </c>
      <c r="E805" s="324" t="n">
        <v>18093.99</v>
      </c>
      <c r="F805" s="324" t="n">
        <v>1265.55</v>
      </c>
      <c r="G805" s="55" t="n">
        <v>160</v>
      </c>
      <c r="H805" s="57" t="n">
        <v>11</v>
      </c>
      <c r="I805" s="55" t="n">
        <v>8</v>
      </c>
      <c r="J805" s="56" t="n">
        <v>4.8</v>
      </c>
      <c r="K805" s="56" t="inlineStr">
        <is>
          <t>https://amazon.com/dp/B0D5XYZTHW</t>
        </is>
      </c>
      <c r="L805" s="70">
        <f>HYPERLINK(Table1410[[#This Row],[Column1]])</f>
        <v/>
      </c>
    </row>
    <row r="806" ht="60" customHeight="1" s="290">
      <c r="A806" s="30" t="inlineStr">
        <is>
          <t>Autel Scanner MaxiSYS MS906 PRO, 2026 MS906PRO Same as MS906MAX w/ECU C0ding, CAN FD DoIP, V2.0 of MP900BT MP900 MS906BT Elite 2, Bidirectional Diagnostic Scan Tool, 36+ Service, 3000+ Test, FCA SGW</t>
        </is>
      </c>
      <c r="B806" s="30" t="inlineStr">
        <is>
          <t>B09QX9KV2X</t>
        </is>
      </c>
      <c r="C806" s="30" t="inlineStr">
        <is>
          <t>Tablet</t>
        </is>
      </c>
      <c r="D806" s="324" t="n">
        <v>1402.304545454545</v>
      </c>
      <c r="E806" s="324" t="n">
        <v>315349.06</v>
      </c>
      <c r="F806" s="324" t="n">
        <v>15425.35</v>
      </c>
      <c r="G806" s="55" t="n">
        <v>228</v>
      </c>
      <c r="H806" s="57" t="n">
        <v>11</v>
      </c>
      <c r="I806" s="55" t="n">
        <v>73</v>
      </c>
      <c r="J806" s="56" t="n">
        <v>4.5</v>
      </c>
      <c r="K806" s="56" t="inlineStr">
        <is>
          <t>https://amazon.com/dp/B09QX9KV2X</t>
        </is>
      </c>
      <c r="L806" s="70">
        <f>HYPERLINK(Table1410[[#This Row],[Column1]])</f>
        <v/>
      </c>
    </row>
    <row r="807" ht="45" customHeight="1" s="290">
      <c r="A807" s="30" t="inlineStr">
        <is>
          <t>2026 Autel MaxiIM XP400 PRO Bi-Directional K** Progra-mer I-O Tool, 3000+ Chip Re-d/Wr-te/Learn/F-OB, EEPROM-Data, Work with Autel Scanner IM508 IM608 IM508S IM608 Pro 2 IM608S II</t>
        </is>
      </c>
      <c r="B807" s="30" t="inlineStr">
        <is>
          <t>B0DFWNZPQG</t>
        </is>
      </c>
      <c r="C807" s="30" t="inlineStr">
        <is>
          <t>Other</t>
        </is>
      </c>
      <c r="D807" s="324" t="n">
        <v>499.887</v>
      </c>
      <c r="E807" s="324" t="n">
        <v>29544.32</v>
      </c>
      <c r="F807" s="324" t="n">
        <v>4998.87</v>
      </c>
      <c r="G807" s="55" t="n">
        <v>59</v>
      </c>
      <c r="H807" s="57" t="n">
        <v>10</v>
      </c>
      <c r="I807" s="55" t="n">
        <v>34</v>
      </c>
      <c r="J807" s="56" t="n">
        <v>4.3</v>
      </c>
      <c r="K807" s="56" t="inlineStr">
        <is>
          <t>https://amazon.com/dp/B0DFWNZPQG</t>
        </is>
      </c>
      <c r="L807" s="70">
        <f>HYPERLINK(Table1410[[#This Row],[Column1]])</f>
        <v/>
      </c>
    </row>
    <row r="808" ht="45" customHeight="1" s="290">
      <c r="A808" s="30" t="inlineStr">
        <is>
          <t>Autel Original Green Type 2 J1939 Male to 16pin Female OBD2 Adapter Cable, for Heavy Duty Trucks Scanner and Commercial Vehicles with 9pin Diagnostic Connector</t>
        </is>
      </c>
      <c r="B808" s="30" t="inlineStr">
        <is>
          <t>B0G4CZDCPY</t>
        </is>
      </c>
      <c r="C808" s="30" t="inlineStr">
        <is>
          <t>Cable/Adapter</t>
        </is>
      </c>
      <c r="D808" s="324" t="n">
        <v>16.704</v>
      </c>
      <c r="E808" s="324" t="n">
        <v>2142.557692307693</v>
      </c>
      <c r="F808" s="324" t="n">
        <v>167.04</v>
      </c>
      <c r="G808" s="55" t="n">
        <v>33</v>
      </c>
      <c r="H808" s="57" t="n">
        <v>10</v>
      </c>
      <c r="I808" s="55" t="n">
        <v>2</v>
      </c>
      <c r="J808" s="56" t="n">
        <v>5</v>
      </c>
      <c r="K808" s="56" t="inlineStr">
        <is>
          <t>https://amazon.com/dp/B0G4CZDCPY</t>
        </is>
      </c>
      <c r="L808" s="70">
        <f>HYPERLINK(Table1410[[#This Row],[Column1]])</f>
        <v/>
      </c>
    </row>
    <row r="809" ht="60" customHeight="1" s="290">
      <c r="A809" s="30" t="inlineStr">
        <is>
          <t>Autel MaxiSys MS906 Pro2 TS Scanner Full TPMS Functionality 2.0 Up of MS906 PRO TS MK906 PRO-TS MP900TS MS906PRO MS906MAX OE-Level All Systems Diagnostics &amp; Services Same as MK906S PRO2-TS</t>
        </is>
      </c>
      <c r="B809" s="30" t="inlineStr">
        <is>
          <t>B0FPKHZ6ML</t>
        </is>
      </c>
      <c r="C809" s="30" t="inlineStr">
        <is>
          <t>Tablet</t>
        </is>
      </c>
      <c r="D809" s="324" t="n">
        <v>1718.025</v>
      </c>
      <c r="E809" s="324" t="n">
        <v>183142.6738461539</v>
      </c>
      <c r="F809" s="324" t="n">
        <v>17180.25</v>
      </c>
      <c r="G809" s="55" t="n">
        <v>50</v>
      </c>
      <c r="H809" s="57" t="n">
        <v>10</v>
      </c>
      <c r="I809" s="55" t="n">
        <v>3</v>
      </c>
      <c r="J809" s="56" t="n">
        <v>5</v>
      </c>
      <c r="K809" s="56" t="inlineStr">
        <is>
          <t>https://amazon.com/dp/B0FPKHZ6ML</t>
        </is>
      </c>
      <c r="L809" s="70">
        <f>HYPERLINK(Table1410[[#This Row],[Column1]])</f>
        <v/>
      </c>
    </row>
    <row r="810" ht="30" customHeight="1" s="290">
      <c r="A810" s="30" t="inlineStr">
        <is>
          <t>Autel MaxiIM KM100 (X) OBD2 Scanner, 2026 Car Scan Tool, Lifetime Free Updates, VCI V200 Wireless BT Diagnostic, Auto VIN, 2GB &amp; 64GB, OS 9.0, for Home Mechanics &amp; DIYers, Lite of IM508S IM608 PRO 2</t>
        </is>
      </c>
      <c r="B810" s="30" t="inlineStr">
        <is>
          <t>B0FNN4RL6L</t>
        </is>
      </c>
      <c r="C810" s="30" t="inlineStr">
        <is>
          <t>Dongle</t>
        </is>
      </c>
      <c r="D810" s="324" t="n">
        <v>533.927</v>
      </c>
      <c r="E810" s="324" t="n">
        <v>57196.35153846155</v>
      </c>
      <c r="F810" s="324" t="n">
        <v>5339.27</v>
      </c>
      <c r="G810" s="55" t="n">
        <v>53</v>
      </c>
      <c r="H810" s="57" t="n">
        <v>10</v>
      </c>
      <c r="I810" s="55" t="n">
        <v>9</v>
      </c>
      <c r="J810" s="56" t="n">
        <v>4.4</v>
      </c>
      <c r="K810" s="56" t="inlineStr">
        <is>
          <t>https://amazon.com/dp/B0FNN4RL6L</t>
        </is>
      </c>
      <c r="L810" s="70">
        <f>HYPERLINK(Table1410[[#This Row],[Column1]])</f>
        <v/>
      </c>
    </row>
    <row r="811" ht="60" customHeight="1" s="290">
      <c r="A811" s="30" t="inlineStr">
        <is>
          <t>Autel AutoLink AL529HD Heavy Duty OBD2 Scanner, Code Reader, Retrieve Code VIN, OBDII Monitor Test, Review Read Erase Data View Live Data Freeze Frame Data Lite of MS909 MS919 MS Ultra</t>
        </is>
      </c>
      <c r="B811" s="30" t="inlineStr">
        <is>
          <t>B0BHNW31B6</t>
        </is>
      </c>
      <c r="C811" s="30" t="inlineStr">
        <is>
          <t>Handheld</t>
        </is>
      </c>
      <c r="D811" s="324" t="n">
        <v>116.448</v>
      </c>
      <c r="E811" s="324" t="n">
        <v>16069.13</v>
      </c>
      <c r="F811" s="324" t="n">
        <v>1164.48</v>
      </c>
      <c r="G811" s="55" t="n">
        <v>133</v>
      </c>
      <c r="H811" s="57" t="n">
        <v>10</v>
      </c>
      <c r="I811" s="55" t="n">
        <v>8</v>
      </c>
      <c r="J811" s="56" t="n">
        <v>4.4</v>
      </c>
      <c r="K811" s="56" t="inlineStr">
        <is>
          <t>https://amazon.com/dp/B0BHNW31B6</t>
        </is>
      </c>
      <c r="L811" s="70">
        <f>HYPERLINK(Table1410[[#This Row],[Column1]])</f>
        <v/>
      </c>
    </row>
    <row r="812" ht="60" customHeight="1" s="290">
      <c r="A812" s="30" t="inlineStr">
        <is>
          <t>Autel AT100 Multi-Application Transponder Super Chip Used with XP200, XP400, XP400PRO for Vehicles for ID11/12/13/46/47/48/49/4A/4C/5C/4D/64/8A/8C (Pack of 10)</t>
        </is>
      </c>
      <c r="B812" s="30" t="inlineStr">
        <is>
          <t>B0FD36H36L</t>
        </is>
      </c>
      <c r="C812" s="30" t="inlineStr">
        <is>
          <t>Key</t>
        </is>
      </c>
      <c r="D812" s="324" t="n">
        <v>44.462</v>
      </c>
      <c r="E812" s="324" t="n">
        <v>4835.962307692308</v>
      </c>
      <c r="F812" s="324" t="n">
        <v>444.62</v>
      </c>
      <c r="G812" s="55" t="n">
        <v>57</v>
      </c>
      <c r="H812" s="57" t="n">
        <v>10</v>
      </c>
      <c r="I812" s="55" t="n">
        <v>3</v>
      </c>
      <c r="J812" s="56" t="n">
        <v>5</v>
      </c>
      <c r="K812" s="56" t="inlineStr">
        <is>
          <t>https://amazon.com/dp/B0FD36H36L</t>
        </is>
      </c>
      <c r="L812" s="70">
        <f>HYPERLINK(Table1410[[#This Row],[Column1]])</f>
        <v/>
      </c>
    </row>
    <row r="813" ht="60" customHeight="1" s="290">
      <c r="A813" s="30" t="inlineStr">
        <is>
          <t>Autel MaxiIM IM608S II Scanner: 2026 Global Ver. of IM608 PRO 2 with $1316 Full KIT, Bidirectional Scan Tool, ECU Function as Elite II Pro, 40+ Services, 3K+ Tests, OE Full Sys, CANFD DoIP, OS10, FCA</t>
        </is>
      </c>
      <c r="B813" s="30" t="inlineStr">
        <is>
          <t>B089GGB6TV</t>
        </is>
      </c>
      <c r="C813" s="30" t="inlineStr">
        <is>
          <t>Tablet</t>
        </is>
      </c>
      <c r="D813" s="324" t="n">
        <v>3378.005</v>
      </c>
      <c r="E813" s="324" t="n">
        <v>278937.57</v>
      </c>
      <c r="F813" s="324" t="n">
        <v>33780.05</v>
      </c>
      <c r="G813" s="55" t="n">
        <v>85</v>
      </c>
      <c r="H813" s="57" t="n">
        <v>10</v>
      </c>
      <c r="I813" s="55" t="n">
        <v>42</v>
      </c>
      <c r="J813" s="56" t="n">
        <v>4.5</v>
      </c>
      <c r="K813" s="56" t="inlineStr">
        <is>
          <t>https://amazon.com/dp/B089GGB6TV</t>
        </is>
      </c>
      <c r="L813" s="70">
        <f>HYPERLINK(Table1410[[#This Row],[Column1]])</f>
        <v/>
      </c>
    </row>
    <row r="814" ht="60" customHeight="1" s="290">
      <c r="A814" s="30" t="inlineStr">
        <is>
          <t>Autel MaxiVCI V150 Bluetooth Vehicle Communication Interface, VCI150 OBD Scanner, Comprehensive Diagnostic, Work with TS900, MP900-BT, MP900Z-BT, DS900TS, DS900BT, MP900-TS</t>
        </is>
      </c>
      <c r="B814" s="30" t="inlineStr">
        <is>
          <t>B0DJQQMHNR</t>
        </is>
      </c>
      <c r="C814" s="30" t="inlineStr">
        <is>
          <t>Dongle</t>
        </is>
      </c>
      <c r="D814" s="324" t="n">
        <v>189.215</v>
      </c>
      <c r="E814" s="324" t="n">
        <v>20109.73</v>
      </c>
      <c r="F814" s="324" t="n">
        <v>1892.15</v>
      </c>
      <c r="G814" s="55" t="n">
        <v>101</v>
      </c>
      <c r="H814" s="57" t="n">
        <v>10</v>
      </c>
      <c r="I814" s="55" t="n">
        <v>5</v>
      </c>
      <c r="J814" s="56" t="n">
        <v>5</v>
      </c>
      <c r="K814" s="56" t="inlineStr">
        <is>
          <t>https://amazon.com/dp/B0DJQQMHNR</t>
        </is>
      </c>
      <c r="L814" s="70">
        <f>HYPERLINK(Table1410[[#This Row],[Column1]])</f>
        <v/>
      </c>
    </row>
    <row r="815" ht="30" customHeight="1" s="290">
      <c r="A815" s="30" t="inlineStr">
        <is>
          <t>Autel OBD2 Scanner AutoLink AL549 Code Reader with AutoVin Diagnostic Tool Color-Coded Fault and IM Readiness Universal Car Battery Test Enhanced PCM and ABS Coverage Upgrade Ver. of Autel AL519</t>
        </is>
      </c>
      <c r="B815" s="30" t="inlineStr">
        <is>
          <t>B0D93BTQMG</t>
        </is>
      </c>
      <c r="C815" s="30" t="inlineStr">
        <is>
          <t>Handheld</t>
        </is>
      </c>
      <c r="D815" s="324" t="n">
        <v>71.675</v>
      </c>
      <c r="E815" s="324" t="n">
        <v>7990.19</v>
      </c>
      <c r="F815" s="324" t="n">
        <v>716.75</v>
      </c>
      <c r="G815" s="55" t="n">
        <v>117</v>
      </c>
      <c r="H815" s="57" t="n">
        <v>10</v>
      </c>
      <c r="I815" s="55" t="n">
        <v>12</v>
      </c>
      <c r="J815" s="56" t="n">
        <v>4.8</v>
      </c>
      <c r="K815" s="56" t="inlineStr">
        <is>
          <t>https://amazon.com/dp/B0D93BTQMG</t>
        </is>
      </c>
      <c r="L815" s="70">
        <f>HYPERLINK(Table1410[[#This Row],[Column1]])</f>
        <v/>
      </c>
    </row>
    <row r="816" ht="45" customHeight="1" s="290">
      <c r="A816" s="30" t="inlineStr">
        <is>
          <t>Autel Scanner MaxiCOM MK808Z-BT: Same As MK808BT Pro, Android 11 Bidirectional Scan Tool with 28+ Services, MK808S &amp; MX808S &amp; MK808 Upgraded, Bluetooth OBD2 Scanner Support BT506 &amp; FCA AutoAuth</t>
        </is>
      </c>
      <c r="B816" s="30" t="inlineStr">
        <is>
          <t>B08DG5SL9S</t>
        </is>
      </c>
      <c r="C816" s="30" t="inlineStr">
        <is>
          <t>Tablet</t>
        </is>
      </c>
      <c r="D816" s="324" t="n">
        <v>480.023</v>
      </c>
      <c r="E816" s="324" t="n">
        <v>47106</v>
      </c>
      <c r="F816" s="324" t="n">
        <v>4800.23</v>
      </c>
      <c r="G816" s="55" t="n">
        <v>91</v>
      </c>
      <c r="H816" s="57" t="n">
        <v>10</v>
      </c>
      <c r="I816" s="55" t="n">
        <v>133</v>
      </c>
      <c r="J816" s="56" t="n">
        <v>4.4</v>
      </c>
      <c r="K816" s="56" t="inlineStr">
        <is>
          <t>https://amazon.com/dp/B08DG5SL9S</t>
        </is>
      </c>
      <c r="L816" s="70">
        <f>HYPERLINK(Table1410[[#This Row],[Column1]])</f>
        <v/>
      </c>
    </row>
    <row r="817" ht="45" customHeight="1" s="290">
      <c r="A817" s="30" t="inlineStr">
        <is>
          <t>Autel Scanner MaxiSYS MS908S PRO II 2026: J2534 ECU Pr0gramming C0ding PMI As MSUltra MS919 Elite II PRO w/AutoScan 2.0, US Ver. of MK908 Pro II, Up of MS906 MAX, 4000+ Test, 38+ Reset, 8-Core 4/128G</t>
        </is>
      </c>
      <c r="B817" s="30" t="inlineStr">
        <is>
          <t>B088FRCPTB</t>
        </is>
      </c>
      <c r="C817" s="30" t="inlineStr">
        <is>
          <t>Tablet</t>
        </is>
      </c>
      <c r="D817" s="324" t="n">
        <v>1871.002</v>
      </c>
      <c r="E817" s="324" t="n">
        <v>378262.1899999999</v>
      </c>
      <c r="F817" s="324" t="n">
        <v>18710.02</v>
      </c>
      <c r="G817" s="55" t="n">
        <v>194</v>
      </c>
      <c r="H817" s="57" t="n">
        <v>10</v>
      </c>
      <c r="I817" s="55" t="n">
        <v>106</v>
      </c>
      <c r="J817" s="56" t="n">
        <v>4.6</v>
      </c>
      <c r="K817" s="56" t="inlineStr">
        <is>
          <t>https://amazon.com/dp/B088FRCPTB</t>
        </is>
      </c>
      <c r="L817" s="70">
        <f>HYPERLINK(Table1410[[#This Row],[Column1]])</f>
        <v/>
      </c>
    </row>
    <row r="818" ht="60" customHeight="1" s="290">
      <c r="A818" s="30" t="inlineStr">
        <is>
          <t>Autel Scanner MaxiSys MS909 Intelligent Scan Tool, 2026 Motor TruSpeed Same as MSUltra Ultra S2 MS919, TSB, Topology 2.0, Up of Elite 2 PRO MS908S PRO II, DOIP &amp; CAN FD, 40+ Service, 3K+ Bidirectional</t>
        </is>
      </c>
      <c r="B818" s="30" t="inlineStr">
        <is>
          <t>B08P3CX6MY</t>
        </is>
      </c>
      <c r="C818" s="30" t="inlineStr">
        <is>
          <t>Tablet</t>
        </is>
      </c>
      <c r="D818" s="324" t="n">
        <v>2862.403</v>
      </c>
      <c r="E818" s="324" t="n">
        <v>343921.3215384615</v>
      </c>
      <c r="F818" s="324" t="n">
        <v>28624.03</v>
      </c>
      <c r="G818" s="55" t="n">
        <v>102</v>
      </c>
      <c r="H818" s="57" t="n">
        <v>10</v>
      </c>
      <c r="I818" s="55" t="n">
        <v>24</v>
      </c>
      <c r="J818" s="56" t="n">
        <v>4.8</v>
      </c>
      <c r="K818" s="56" t="inlineStr">
        <is>
          <t>https://amazon.com/dp/B08P3CX6MY</t>
        </is>
      </c>
      <c r="L818" s="70">
        <f>HYPERLINK(Table1410[[#This Row],[Column1]])</f>
        <v/>
      </c>
    </row>
    <row r="819" ht="60" customHeight="1" s="290">
      <c r="A819" s="30" t="inlineStr">
        <is>
          <t>Autel Scanner MaxiSys MS906 PRO, 2026 MS906PRO Same as MS906MAX, 2.0 of MS908S MS906BT, Lite of Elite II PRO, DoIP CAN FD, 36+ Service, 3000+ Active Tests, Auto Scan 2.0, OE Bidirectional Diagnostic</t>
        </is>
      </c>
      <c r="B819" s="30" t="inlineStr">
        <is>
          <t>B09JFZF3ZC</t>
        </is>
      </c>
      <c r="C819" s="30" t="inlineStr">
        <is>
          <t>Tablet</t>
        </is>
      </c>
      <c r="D819" s="324" t="n">
        <v>1531.152</v>
      </c>
      <c r="E819" s="324" t="n">
        <v>363086.4899999999</v>
      </c>
      <c r="F819" s="324" t="n">
        <v>15311.52</v>
      </c>
      <c r="G819" s="55" t="n">
        <v>243</v>
      </c>
      <c r="H819" s="57" t="n">
        <v>10</v>
      </c>
      <c r="I819" s="55" t="n">
        <v>73</v>
      </c>
      <c r="J819" s="56" t="n">
        <v>4.6</v>
      </c>
      <c r="K819" s="56" t="inlineStr">
        <is>
          <t>https://amazon.com/dp/B09JFZF3ZC</t>
        </is>
      </c>
      <c r="L819" s="70">
        <f>HYPERLINK(Table1410[[#This Row],[Column1]])</f>
        <v/>
      </c>
    </row>
    <row r="820" ht="45" customHeight="1" s="290">
      <c r="A820" s="30" t="inlineStr">
        <is>
          <t>Autel Original Diagnostic Cable TCAN003 for Tesla Model 3, Y, S, X, Upgraded 20 Pin+12 Pin to 16 Pin OBDII Adapter, OBD2 Connector, Work with Scanner Ultra, MS919, MS909, Elite, MS908S PRO, MK908 PRO</t>
        </is>
      </c>
      <c r="B820" s="30" t="inlineStr">
        <is>
          <t>B0D9BCSL2W</t>
        </is>
      </c>
      <c r="C820" s="30" t="inlineStr">
        <is>
          <t>Cable/Adapter</t>
        </is>
      </c>
      <c r="D820" s="324" t="n">
        <v>25.459</v>
      </c>
      <c r="E820" s="324" t="n">
        <v>1571.51</v>
      </c>
      <c r="F820" s="324" t="n">
        <v>254.59</v>
      </c>
      <c r="G820" s="55" t="n">
        <v>63</v>
      </c>
      <c r="H820" s="57" t="n">
        <v>10</v>
      </c>
      <c r="I820" s="55" t="n">
        <v>8</v>
      </c>
      <c r="J820" s="56" t="n">
        <v>5</v>
      </c>
      <c r="K820" s="56" t="inlineStr">
        <is>
          <t>https://amazon.com/dp/B0D9BCSL2W</t>
        </is>
      </c>
      <c r="L820" s="70">
        <f>HYPERLINK(Table1410[[#This Row],[Column1]])</f>
        <v/>
      </c>
    </row>
    <row r="821" ht="60" customHeight="1" s="290">
      <c r="A821" s="30" t="inlineStr">
        <is>
          <t>Autel MaxiCOM MK906 PRO2-TS Scanner: 2026 Multilingual of MS906 PRO2-TS, 2.0 Up of MS906 PRO TS MK906PRO-TS MP900TS MS906PRO MS906MAX, TPMS 2.0 &amp; ECU Coding, 3K+ Bidirectional 40+ Reset, DoIP CAN FD</t>
        </is>
      </c>
      <c r="B821" s="30" t="inlineStr">
        <is>
          <t>B07F31NFDB</t>
        </is>
      </c>
      <c r="C821" s="30" t="inlineStr">
        <is>
          <t>Tablet</t>
        </is>
      </c>
      <c r="D821" s="324" t="n">
        <v>1500.803</v>
      </c>
      <c r="E821" s="324" t="n">
        <v>61756.61</v>
      </c>
      <c r="F821" s="324" t="n">
        <v>15008.03</v>
      </c>
      <c r="G821" s="55" t="n">
        <v>40</v>
      </c>
      <c r="H821" s="57" t="n">
        <v>10</v>
      </c>
      <c r="I821" s="55" t="n">
        <v>17</v>
      </c>
      <c r="J821" s="56" t="n">
        <v>4.8</v>
      </c>
      <c r="K821" s="56" t="inlineStr">
        <is>
          <t>https://amazon.com/dp/B07F31NFDB</t>
        </is>
      </c>
      <c r="L821" s="70">
        <f>HYPERLINK(Table1410[[#This Row],[Column1]])</f>
        <v/>
      </c>
    </row>
    <row r="822" ht="60" customHeight="1" s="290">
      <c r="A822" s="30" t="inlineStr">
        <is>
          <t>Autel MaxiCOM MK808S-TS Scanner, 2024 Complete TPMS Check/Activate/Relearn Tool, Same as MX808S-TS MK808Z-TS, 28+Service, BT Full System Scan,Bidirectional, FCA AutoAuth,Upgrade of MK808BT PRO MK808S</t>
        </is>
      </c>
      <c r="B822" s="30" t="inlineStr">
        <is>
          <t>B07GXGZCDW</t>
        </is>
      </c>
      <c r="C822" s="30" t="inlineStr">
        <is>
          <t>Tablet</t>
        </is>
      </c>
      <c r="D822" s="324" t="n">
        <v>697.6288888888889</v>
      </c>
      <c r="E822" s="324" t="n">
        <v>70822.64</v>
      </c>
      <c r="F822" s="324" t="n">
        <v>6278.66</v>
      </c>
      <c r="G822" s="55" t="n">
        <v>109</v>
      </c>
      <c r="H822" s="57" t="n">
        <v>9</v>
      </c>
      <c r="I822" s="55" t="n">
        <v>250</v>
      </c>
      <c r="J822" s="56" t="n">
        <v>4.4</v>
      </c>
      <c r="K822" s="56" t="inlineStr">
        <is>
          <t>https://amazon.com/dp/B07GXGZCDW</t>
        </is>
      </c>
      <c r="L822" s="70">
        <f>HYPERLINK(Table1410[[#This Row],[Column1]])</f>
        <v/>
      </c>
    </row>
    <row r="823" ht="45" customHeight="1" s="290">
      <c r="A823" s="30" t="inlineStr">
        <is>
          <t>Autel MaxiIM IM508S Automotive Diagnostic Scan Tool, 2026 Full System Diagnostic, 3000+ Bidirectional Tests, 40+ Resets, Android 11, 4-Core, 4/64G, FCA AutoAuth, Upgraded of MK808S MK808 MK900</t>
        </is>
      </c>
      <c r="B823" s="30" t="inlineStr">
        <is>
          <t>B0DFH2ZX33</t>
        </is>
      </c>
      <c r="C823" s="30" t="inlineStr">
        <is>
          <t>Tablet</t>
        </is>
      </c>
      <c r="D823" s="324" t="n">
        <v>1261.093333333333</v>
      </c>
      <c r="E823" s="324" t="n">
        <v>160278.18</v>
      </c>
      <c r="F823" s="324" t="n">
        <v>11349.84</v>
      </c>
      <c r="G823" s="55" t="n">
        <v>132</v>
      </c>
      <c r="H823" s="57" t="n">
        <v>9</v>
      </c>
      <c r="I823" s="55" t="n">
        <v>126</v>
      </c>
      <c r="J823" s="56" t="n">
        <v>4.6</v>
      </c>
      <c r="K823" s="56" t="inlineStr">
        <is>
          <t>https://amazon.com/dp/B0DFH2ZX33</t>
        </is>
      </c>
      <c r="L823" s="70">
        <f>HYPERLINK(Table1410[[#This Row],[Column1]])</f>
        <v/>
      </c>
    </row>
    <row r="824" ht="60" customHeight="1" s="290">
      <c r="A824" s="30" t="inlineStr">
        <is>
          <t>Autel MaxiIM OBD2 Scanner, 2026 OBDII Diagnostic Scan Tool with Lifetime Free Updates, Wireless BT Tool, 2GB &amp; 64GB Android 9.0, for Home Mechanics &amp; DIYers</t>
        </is>
      </c>
      <c r="B824" s="30" t="inlineStr">
        <is>
          <t>B0B31C95GX</t>
        </is>
      </c>
      <c r="C824" s="30" t="inlineStr">
        <is>
          <t>Key</t>
        </is>
      </c>
      <c r="D824" s="324" t="n">
        <v>533.2688888888889</v>
      </c>
      <c r="E824" s="324" t="n">
        <v>73048.09692307693</v>
      </c>
      <c r="F824" s="324" t="n">
        <v>4799.42</v>
      </c>
      <c r="G824" s="55" t="n">
        <v>79</v>
      </c>
      <c r="H824" s="57" t="n">
        <v>9</v>
      </c>
      <c r="I824" s="55" t="n">
        <v>225</v>
      </c>
      <c r="J824" s="56" t="n">
        <v>4.4</v>
      </c>
      <c r="K824" s="56" t="inlineStr">
        <is>
          <t>https://amazon.com/dp/B0B31C95GX</t>
        </is>
      </c>
      <c r="L824" s="70">
        <f>HYPERLINK(Table1410[[#This Row],[Column1]])</f>
        <v/>
      </c>
    </row>
    <row r="825" ht="45" customHeight="1" s="290">
      <c r="A825" s="30" t="inlineStr">
        <is>
          <t>Autel Scanner MaxiIM KM100 (X), 2026 OBD2 Car Diagnostic Tool, V200 Wireless BT OBDII Scan Tool with Lifetime Free Updates, 700+ Models, 2GB &amp; 64GB Android 9.0, for Home Mechanics &amp; DIYers</t>
        </is>
      </c>
      <c r="B825" s="30" t="inlineStr">
        <is>
          <t>B0FZBK7KJD</t>
        </is>
      </c>
      <c r="C825" s="30" t="inlineStr">
        <is>
          <t>Tablet</t>
        </is>
      </c>
      <c r="D825" s="324" t="n">
        <v>474.4866666666667</v>
      </c>
      <c r="E825" s="324" t="n">
        <v>59865.36307692307</v>
      </c>
      <c r="F825" s="324" t="n">
        <v>4270.38</v>
      </c>
      <c r="G825" s="55" t="n">
        <v>47</v>
      </c>
      <c r="H825" s="57" t="n">
        <v>9</v>
      </c>
      <c r="I825" s="55" t="n">
        <v>1</v>
      </c>
      <c r="J825" s="56" t="n">
        <v>5</v>
      </c>
      <c r="K825" s="56" t="inlineStr">
        <is>
          <t>https://amazon.com/dp/B0FZBK7KJD</t>
        </is>
      </c>
      <c r="L825" s="70">
        <f>HYPERLINK(Table1410[[#This Row],[Column1]])</f>
        <v/>
      </c>
    </row>
    <row r="826" ht="45" customHeight="1" s="290">
      <c r="A826" s="30" t="inlineStr">
        <is>
          <t>Autel AutoLink AL529HD, Vehicle Code Reader, Advanced AL529 OBD2 Code Scanner, AutoVIN Read Enhanced Codes for Ford/GM/Chrysler, Freeze Frame Data, Code Reader for Cars and Trucks</t>
        </is>
      </c>
      <c r="B826" s="30" t="inlineStr">
        <is>
          <t>B0BBM99RRF</t>
        </is>
      </c>
      <c r="C826" s="30" t="inlineStr">
        <is>
          <t>Handheld</t>
        </is>
      </c>
      <c r="D826" s="324" t="n">
        <v>115.0177777777778</v>
      </c>
      <c r="E826" s="324" t="n">
        <v>19337.49</v>
      </c>
      <c r="F826" s="324" t="n">
        <v>1035.16</v>
      </c>
      <c r="G826" s="55" t="n">
        <v>162</v>
      </c>
      <c r="H826" s="57" t="n">
        <v>9</v>
      </c>
      <c r="I826" s="55" t="n">
        <v>23</v>
      </c>
      <c r="J826" s="56" t="n">
        <v>4.2</v>
      </c>
      <c r="K826" s="56" t="inlineStr">
        <is>
          <t>https://amazon.com/dp/B0BBM99RRF</t>
        </is>
      </c>
      <c r="L826" s="70">
        <f>HYPERLINK(Table1410[[#This Row],[Column1]])</f>
        <v/>
      </c>
    </row>
    <row r="827" ht="45" customHeight="1" s="290">
      <c r="A827" s="30" t="inlineStr">
        <is>
          <t>Autel MaxiSYS MS906MAX Scanner, 2026 10.1" MS906 MAX 2.0 Upgrade of MS906 PRO MP900BT MS906BT MS908S, OE ECU C0ding Bidirectional Scan Tool, 3000+ Active Test, 40+ Reset, All-System, CAN FD DoIP</t>
        </is>
      </c>
      <c r="B827" s="30" t="inlineStr">
        <is>
          <t>B0DXFPD42C</t>
        </is>
      </c>
      <c r="C827" s="30" t="inlineStr">
        <is>
          <t>Tablet</t>
        </is>
      </c>
      <c r="D827" s="324" t="n">
        <v>1649.235</v>
      </c>
      <c r="E827" s="324" t="n">
        <v>163342.1861538462</v>
      </c>
      <c r="F827" s="324" t="n">
        <v>13193.88</v>
      </c>
      <c r="G827" s="55" t="n">
        <v>96</v>
      </c>
      <c r="H827" s="57" t="n">
        <v>8</v>
      </c>
      <c r="I827" s="55" t="n">
        <v>13</v>
      </c>
      <c r="J827" s="56" t="n">
        <v>4.5</v>
      </c>
      <c r="K827" s="56" t="inlineStr">
        <is>
          <t>https://amazon.com/dp/B0DXFPD42C</t>
        </is>
      </c>
      <c r="L827" s="70">
        <f>HYPERLINK(Table1410[[#This Row],[Column1]])</f>
        <v/>
      </c>
    </row>
    <row r="828" ht="45" customHeight="1" s="290">
      <c r="A828" s="30" t="inlineStr">
        <is>
          <t>Autel Scanner MaxiPRO MP808BT PRO, 2 Years Update ($700), 2026 Up of MaxiSys MS906BT MaxiCOM MK900BT MK900, Advanced as MS906MAX MS906 PRO MP900-BT, 3000+ Active Test, 30+ Service, FCA, 11OS 4/ 64GB</t>
        </is>
      </c>
      <c r="B828" s="30" t="inlineStr">
        <is>
          <t>B09F2VJHW1</t>
        </is>
      </c>
      <c r="C828" s="30" t="inlineStr">
        <is>
          <t>Tablet</t>
        </is>
      </c>
      <c r="D828" s="324" t="n">
        <v>711.8512500000001</v>
      </c>
      <c r="E828" s="324" t="n">
        <v>109152.58</v>
      </c>
      <c r="F828" s="324" t="n">
        <v>5694.81</v>
      </c>
      <c r="G828" s="55" t="n">
        <v>146</v>
      </c>
      <c r="H828" s="57" t="n">
        <v>8</v>
      </c>
      <c r="I828" s="55" t="n">
        <v>108</v>
      </c>
      <c r="J828" s="56" t="n">
        <v>4.6</v>
      </c>
      <c r="K828" s="56" t="inlineStr">
        <is>
          <t>https://amazon.com/dp/B09F2VJHW1</t>
        </is>
      </c>
      <c r="L828" s="70">
        <f>HYPERLINK(Table1410[[#This Row],[Column1]])</f>
        <v/>
      </c>
    </row>
    <row r="829" ht="45" customHeight="1" s="290">
      <c r="A829" s="30" t="inlineStr">
        <is>
          <t>Autel MaxiVCI VCI Mini OBD2 Scanner Bluetooth Universal Communication Interface Equipment OEM Diagnostic Functions Work with Autel Scanner MK808BT MK808TS MX808TX MP808TS MS906S TS608</t>
        </is>
      </c>
      <c r="B829" s="30" t="inlineStr">
        <is>
          <t>B0BNPKJH7P</t>
        </is>
      </c>
      <c r="C829" s="30" t="inlineStr">
        <is>
          <t>Dongle</t>
        </is>
      </c>
      <c r="D829" s="324" t="n">
        <v>119.99375</v>
      </c>
      <c r="E829" s="324" t="n">
        <v>15516.72</v>
      </c>
      <c r="F829" s="324" t="n">
        <v>959.95</v>
      </c>
      <c r="G829" s="55" t="n">
        <v>138</v>
      </c>
      <c r="H829" s="57" t="n">
        <v>8</v>
      </c>
      <c r="I829" s="55" t="n">
        <v>16</v>
      </c>
      <c r="J829" s="56" t="n">
        <v>4.1</v>
      </c>
      <c r="K829" s="56" t="inlineStr">
        <is>
          <t>https://amazon.com/dp/B0BNPKJH7P</t>
        </is>
      </c>
      <c r="L829" s="70">
        <f>HYPERLINK(Table1410[[#This Row],[Column1]])</f>
        <v/>
      </c>
    </row>
    <row r="830" ht="60" customHeight="1" s="290">
      <c r="A830" s="30" t="inlineStr">
        <is>
          <t>Autel MaxiPRO MP900TS Scanner: 2026 8in MP900-TS up of MaxiSYS MS906 PRO MS906TS MP900BT MK900-TS, Full TPMS as MS906 Pro-TS, Car Bidirectional Scan Tool, 40+ Service, All System, CAN FD&amp;DOIP, OS 11.0</t>
        </is>
      </c>
      <c r="B830" s="30" t="inlineStr">
        <is>
          <t>B073CS2RLP</t>
        </is>
      </c>
      <c r="C830" s="30" t="inlineStr">
        <is>
          <t>Tablet</t>
        </is>
      </c>
      <c r="D830" s="324" t="n">
        <v>1067.65625</v>
      </c>
      <c r="E830" s="324" t="n">
        <v>190654.32</v>
      </c>
      <c r="F830" s="324" t="n">
        <v>8541.25</v>
      </c>
      <c r="G830" s="55" t="n">
        <v>173</v>
      </c>
      <c r="H830" s="57" t="n">
        <v>8</v>
      </c>
      <c r="I830" s="55" t="n">
        <v>76</v>
      </c>
      <c r="J830" s="56" t="n">
        <v>4.7</v>
      </c>
      <c r="K830" s="56" t="inlineStr">
        <is>
          <t>https://amazon.com/dp/B073CS2RLP</t>
        </is>
      </c>
      <c r="L830" s="70">
        <f>HYPERLINK(Table1410[[#This Row],[Column1]])</f>
        <v/>
      </c>
    </row>
    <row r="831" ht="45" customHeight="1" s="290">
      <c r="A831" s="30" t="inlineStr">
        <is>
          <t>Autel MaxiPRO MP808S-TS Scanner, 2026 Bidirectional Control Scan Tool, 2-Year Free Updated, Full TPMS, ECU Coding Same as MP808BT Pro/MS906TS/MS906 Pro-TS, 31+ Services, All-System Scan &amp; FCA AutoAuth</t>
        </is>
      </c>
      <c r="B831" s="30" t="inlineStr">
        <is>
          <t>B07GWL2HBJ</t>
        </is>
      </c>
      <c r="C831" s="30" t="inlineStr">
        <is>
          <t>Tablet</t>
        </is>
      </c>
      <c r="D831" s="324" t="n">
        <v>861.98625</v>
      </c>
      <c r="E831" s="324" t="n">
        <v>66422.14999999999</v>
      </c>
      <c r="F831" s="324" t="n">
        <v>6895.89</v>
      </c>
      <c r="G831" s="55" t="n">
        <v>74</v>
      </c>
      <c r="H831" s="57" t="n">
        <v>8</v>
      </c>
      <c r="I831" s="55" t="n">
        <v>162</v>
      </c>
      <c r="J831" s="56" t="n">
        <v>4.4</v>
      </c>
      <c r="K831" s="56" t="inlineStr">
        <is>
          <t>https://amazon.com/dp/B07GWL2HBJ</t>
        </is>
      </c>
      <c r="L831" s="70">
        <f>HYPERLINK(Table1410[[#This Row],[Column1]])</f>
        <v/>
      </c>
    </row>
    <row r="832" ht="60" customHeight="1" s="290">
      <c r="A832" s="30" t="inlineStr">
        <is>
          <t>Autel MaxiSys Elite II Pro 2026 Diagnostic Scanner, J2534 ECU Programming Tool (As Ultra/MS908S PRO II), CAN FD &amp; DoIP, Bidirectional Control, 150+ Car Brands, 40+ Services, 2-Year Free Updates</t>
        </is>
      </c>
      <c r="B832" s="30" t="inlineStr">
        <is>
          <t>B0FJLSKLBP</t>
        </is>
      </c>
      <c r="C832" s="30" t="inlineStr">
        <is>
          <t>Tablet</t>
        </is>
      </c>
      <c r="D832" s="324" t="n">
        <v>2397.08375</v>
      </c>
      <c r="E832" s="324" t="n">
        <v>208762.4192307693</v>
      </c>
      <c r="F832" s="324" t="n">
        <v>19176.67</v>
      </c>
      <c r="G832" s="55" t="n">
        <v>45</v>
      </c>
      <c r="H832" s="57" t="n">
        <v>8</v>
      </c>
      <c r="I832" s="55" t="n">
        <v>4</v>
      </c>
      <c r="J832" s="56" t="n">
        <v>5</v>
      </c>
      <c r="K832" s="56" t="inlineStr">
        <is>
          <t>https://amazon.com/dp/B0FJLSKLBP</t>
        </is>
      </c>
      <c r="L832" s="70">
        <f>HYPERLINK(Table1410[[#This Row],[Column1]])</f>
        <v/>
      </c>
    </row>
    <row r="833" ht="60" customHeight="1" s="290">
      <c r="A833" s="30" t="inlineStr">
        <is>
          <t>Autel Diaglink OBDII Code Reader Full Systems Diagnostic Scanner DIY Version of MD802 for Engine/Transmission/ABS/SRS/EPB/Oil Reset Service</t>
        </is>
      </c>
      <c r="B833" s="30" t="inlineStr">
        <is>
          <t>B07QS9VH8V</t>
        </is>
      </c>
      <c r="C833" s="30" t="inlineStr">
        <is>
          <t>Handheld</t>
        </is>
      </c>
      <c r="D833" s="324" t="n">
        <v>94.16125</v>
      </c>
      <c r="E833" s="324" t="n">
        <v>4787.13</v>
      </c>
      <c r="F833" s="324" t="n">
        <v>753.29</v>
      </c>
      <c r="G833" s="55" t="n">
        <v>51</v>
      </c>
      <c r="H833" s="57" t="n">
        <v>8</v>
      </c>
      <c r="I833" s="55" t="n">
        <v>132</v>
      </c>
      <c r="J833" s="56" t="n">
        <v>3.6</v>
      </c>
      <c r="K833" s="56" t="inlineStr">
        <is>
          <t>https://amazon.com/dp/B07QS9VH8V</t>
        </is>
      </c>
      <c r="L833" s="70">
        <f>HYPERLINK(Table1410[[#This Row],[Column1]])</f>
        <v/>
      </c>
    </row>
    <row r="834" ht="60" customHeight="1" s="290">
      <c r="A834" s="30" t="inlineStr">
        <is>
          <t>Autel MaxiDiag MD906 PRO OBD2 Scanner, 2026 MD906PRO All Sys Diagnostic Scan Tool Same as MD909 PRO, BT Lite of MK808S, CAN FD, 11 Services, 10 OBDII Test Modes, FCA, Free Update, Up of MD808Pro MD806</t>
        </is>
      </c>
      <c r="B834" s="30" t="inlineStr">
        <is>
          <t>B07R19JCWR</t>
        </is>
      </c>
      <c r="C834" s="30" t="inlineStr">
        <is>
          <t>Tablet</t>
        </is>
      </c>
      <c r="D834" s="324" t="n">
        <v>290.69125</v>
      </c>
      <c r="E834" s="324" t="n">
        <v>19547.72</v>
      </c>
      <c r="F834" s="324" t="n">
        <v>2325.53</v>
      </c>
      <c r="G834" s="55" t="n">
        <v>56</v>
      </c>
      <c r="H834" s="57" t="n">
        <v>8</v>
      </c>
      <c r="I834" s="55" t="n">
        <v>77</v>
      </c>
      <c r="J834" s="56" t="n">
        <v>4.4</v>
      </c>
      <c r="K834" s="56" t="inlineStr">
        <is>
          <t>https://amazon.com/dp/B07R19JCWR</t>
        </is>
      </c>
      <c r="L834" s="70">
        <f>HYPERLINK(Table1410[[#This Row],[Column1]])</f>
        <v/>
      </c>
    </row>
    <row r="835" ht="45" customHeight="1" s="290">
      <c r="A835" s="30" t="inlineStr">
        <is>
          <t>Autel MaxiSys MS908CV II Top CV Scanner, 2026 V2.0 of MS908CV Heavy Duty Diesel Truck Diagnostic Tool, OE-Level J2534 Functions, Lite of MS909CV, Bidirectional 3000+ Test, 64 Services, 10 OS 4/128GB</t>
        </is>
      </c>
      <c r="B835" s="30" t="inlineStr">
        <is>
          <t>B09FLP47CD</t>
        </is>
      </c>
      <c r="C835" s="30" t="inlineStr">
        <is>
          <t>Tablet</t>
        </is>
      </c>
      <c r="D835" s="324" t="n">
        <v>3035.3975</v>
      </c>
      <c r="E835" s="324" t="n">
        <v>226720.36</v>
      </c>
      <c r="F835" s="324" t="n">
        <v>24283.18</v>
      </c>
      <c r="G835" s="55" t="n">
        <v>78</v>
      </c>
      <c r="H835" s="57" t="n">
        <v>8</v>
      </c>
      <c r="I835" s="55" t="n">
        <v>36</v>
      </c>
      <c r="J835" s="56" t="n">
        <v>4.8</v>
      </c>
      <c r="K835" s="56" t="inlineStr">
        <is>
          <t>https://amazon.com/dp/B09FLP47CD</t>
        </is>
      </c>
      <c r="L835" s="70">
        <f>HYPERLINK(Table1410[[#This Row],[Column1]])</f>
        <v/>
      </c>
    </row>
    <row r="836" ht="30" customHeight="1" s="290">
      <c r="A836" s="30" t="inlineStr">
        <is>
          <t>Autel AutoLink AL529HD Read/Erase Heavy Duty Engine DTCs Deutsch 9-Pin &amp; 6-Pin Adapters One-Touch I/M Readiness/LED Indicator Support All 10 OBDII Test Modes Enhanced Mode 6 Diagnostics</t>
        </is>
      </c>
      <c r="B836" s="30" t="inlineStr">
        <is>
          <t>B0D982BSTZ</t>
        </is>
      </c>
      <c r="C836" s="30" t="inlineStr">
        <is>
          <t>Handheld</t>
        </is>
      </c>
      <c r="D836" s="324" t="n">
        <v>118.64</v>
      </c>
      <c r="E836" s="324" t="n">
        <v>9123.17076923077</v>
      </c>
      <c r="F836" s="324" t="n">
        <v>949.12</v>
      </c>
      <c r="G836" s="55" t="n">
        <v>68</v>
      </c>
      <c r="H836" s="57" t="n">
        <v>8</v>
      </c>
      <c r="I836" s="55" t="n">
        <v>8</v>
      </c>
      <c r="J836" s="56" t="n">
        <v>5</v>
      </c>
      <c r="K836" s="56" t="inlineStr">
        <is>
          <t>https://amazon.com/dp/B0D982BSTZ</t>
        </is>
      </c>
      <c r="L836" s="70">
        <f>HYPERLINK(Table1410[[#This Row],[Column1]])</f>
        <v/>
      </c>
    </row>
    <row r="837" ht="60" customHeight="1" s="290">
      <c r="A837" s="30" t="inlineStr">
        <is>
          <t>Autel Scanner MaxiIM KM100 (X), 2026 OBD2 Diagnostic Scan Tool, Lifetime Free Updates, Compatible with 99% Cars, Auto Scan, V200 Wireless Conneciton, OS 9.0, 2GB+64GB, No IP Limited, Multilingual</t>
        </is>
      </c>
      <c r="B837" s="30" t="inlineStr">
        <is>
          <t>B0GKPBNHWS</t>
        </is>
      </c>
      <c r="C837" s="30" t="inlineStr">
        <is>
          <t>Tablet</t>
        </is>
      </c>
      <c r="D837" s="324" t="n">
        <v>555.35375</v>
      </c>
      <c r="E837" s="324" t="n">
        <v>51406.24846153845</v>
      </c>
      <c r="F837" s="324" t="n">
        <v>4442.83</v>
      </c>
      <c r="G837" s="55" t="n">
        <v>19</v>
      </c>
      <c r="H837" s="57" t="n">
        <v>8</v>
      </c>
      <c r="I837" s="55" t="n">
        <v>1</v>
      </c>
      <c r="J837" s="56" t="n">
        <v>5</v>
      </c>
      <c r="K837" s="56" t="inlineStr">
        <is>
          <t>https://amazon.com/dp/B0GKPBNHWS</t>
        </is>
      </c>
      <c r="L837" s="70">
        <f>HYPERLINK(Table1410[[#This Row],[Column1]])</f>
        <v/>
      </c>
    </row>
    <row r="838" ht="45" customHeight="1" s="290">
      <c r="A838" s="30" t="inlineStr">
        <is>
          <t>Autel Scanner MaxiIM IM608 PRO 2, 2026 IM608 PRO II Same As IM608 II Automotive Diagnostic Tool with $1316 Bundle, Advanced as Elite II Pro 40 Reset Services 3000+ Tests Bidirectional Tool, OS10</t>
        </is>
      </c>
      <c r="B838" s="30" t="inlineStr">
        <is>
          <t>B07NRNHJFP</t>
        </is>
      </c>
      <c r="C838" s="30" t="inlineStr">
        <is>
          <t>Tablet</t>
        </is>
      </c>
      <c r="D838" s="324" t="n">
        <v>3107.401428571429</v>
      </c>
      <c r="E838" s="324" t="n">
        <v>193391.4507692308</v>
      </c>
      <c r="F838" s="324" t="n">
        <v>21751.81</v>
      </c>
      <c r="G838" s="55" t="n">
        <v>10</v>
      </c>
      <c r="H838" s="57" t="n">
        <v>7</v>
      </c>
      <c r="I838" s="55" t="n">
        <v>16</v>
      </c>
      <c r="J838" s="56" t="n">
        <v>4.7</v>
      </c>
      <c r="K838" s="56" t="inlineStr">
        <is>
          <t>https://amazon.com/dp/B07NRNHJFP</t>
        </is>
      </c>
      <c r="L838" s="70">
        <f>HYPERLINK(Table1410[[#This Row],[Column1]])</f>
        <v/>
      </c>
    </row>
    <row r="839" ht="60" customHeight="1" s="290">
      <c r="A839" s="30" t="inlineStr">
        <is>
          <t>Autel MaxiSYS MS906 PRO2-TS Scanner: 2026 MS906Pro2-TS Up of MS906Pro-TS MK900TS MP900BT Kit MS908S MS906 PRO,Top TPMS Function&amp; ECU Coding, Bidirectional Tool, 36+ Service, Auto Scan2.0, CAN FD&amp;DoIP</t>
        </is>
      </c>
      <c r="B839" s="30" t="inlineStr">
        <is>
          <t>B0FN72T1LS</t>
        </is>
      </c>
      <c r="C839" s="30" t="inlineStr">
        <is>
          <t>Tablet</t>
        </is>
      </c>
      <c r="D839" s="324" t="n">
        <v>1690.201428571429</v>
      </c>
      <c r="E839" s="324" t="n">
        <v>160371.1992307692</v>
      </c>
      <c r="F839" s="324" t="n">
        <v>11831.41</v>
      </c>
      <c r="G839" s="55" t="n">
        <v>55</v>
      </c>
      <c r="H839" s="57" t="n">
        <v>7</v>
      </c>
      <c r="I839" s="55" t="n">
        <v>5</v>
      </c>
      <c r="J839" s="56" t="n">
        <v>5</v>
      </c>
      <c r="K839" s="56" t="inlineStr">
        <is>
          <t>https://amazon.com/dp/B0FN72T1LS</t>
        </is>
      </c>
      <c r="L839" s="70">
        <f>HYPERLINK(Table1410[[#This Row],[Column1]])</f>
        <v/>
      </c>
    </row>
    <row r="840" ht="60" customHeight="1" s="290">
      <c r="A840" s="30" t="inlineStr">
        <is>
          <t>Autel MaxiSys MS908CV II: 2026 Heavy Duty Truck Scanner Upgrade of MS908CV, Same as MS909CV, Semi Truck Tool with J2534 Tool, C0ding, Active Test, 64 Service, Diesel Diagnostic Tool</t>
        </is>
      </c>
      <c r="B840" s="30" t="inlineStr">
        <is>
          <t>B08RBR1VHV</t>
        </is>
      </c>
      <c r="C840" s="30" t="inlineStr">
        <is>
          <t>Tablet</t>
        </is>
      </c>
      <c r="D840" s="324" t="n">
        <v>2754.892857142857</v>
      </c>
      <c r="E840" s="324" t="n">
        <v>300954.37</v>
      </c>
      <c r="F840" s="324" t="n">
        <v>19284.25</v>
      </c>
      <c r="G840" s="55" t="n">
        <v>105</v>
      </c>
      <c r="H840" s="57" t="n">
        <v>7</v>
      </c>
      <c r="I840" s="55" t="n">
        <v>20</v>
      </c>
      <c r="J840" s="56" t="n">
        <v>4.6</v>
      </c>
      <c r="K840" s="56" t="inlineStr">
        <is>
          <t>https://amazon.com/dp/B08RBR1VHV</t>
        </is>
      </c>
      <c r="L840" s="70">
        <f>HYPERLINK(Table1410[[#This Row],[Column1]])</f>
        <v/>
      </c>
    </row>
    <row r="841" ht="45" customHeight="1" s="290">
      <c r="A841" s="30" t="inlineStr">
        <is>
          <t>Autel MaxiVCI V100 Bluetooth Vehicle Communication Interface OBD Scanner Comprehensive Diagnostics Work with MS906BT, MK906BT, MS906TS, MK908, MS908, MS908S Pro, MS908 Pro, MK908P, MaxiSYS Elite</t>
        </is>
      </c>
      <c r="B841" s="30" t="inlineStr">
        <is>
          <t>B0BNM91GZH</t>
        </is>
      </c>
      <c r="C841" s="30" t="inlineStr">
        <is>
          <t>Dongle</t>
        </is>
      </c>
      <c r="D841" s="324" t="n">
        <v>204.3457142857143</v>
      </c>
      <c r="E841" s="324" t="n">
        <v>25465.96</v>
      </c>
      <c r="F841" s="324" t="n">
        <v>1430.42</v>
      </c>
      <c r="G841" s="55" t="n">
        <v>131</v>
      </c>
      <c r="H841" s="57" t="n">
        <v>7</v>
      </c>
      <c r="I841" s="55" t="n">
        <v>9</v>
      </c>
      <c r="J841" s="56" t="n">
        <v>5</v>
      </c>
      <c r="K841" s="56" t="inlineStr">
        <is>
          <t>https://amazon.com/dp/B0BNM91GZH</t>
        </is>
      </c>
      <c r="L841" s="70">
        <f>HYPERLINK(Table1410[[#This Row],[Column1]])</f>
        <v/>
      </c>
    </row>
    <row r="842" ht="45" customHeight="1" s="290">
      <c r="A842" s="30" t="inlineStr">
        <is>
          <t>2026 Autel Scanner MaxiPRO MP808BT PRO KIT, 2 Years Update with 11PCS OBD Adapters, Function as MaxiSYS MS906 PRO MS906MAX, Up of MS906BT MK900BT MK900, Bidirectional 3000+Test, 30+ Services, FCA</t>
        </is>
      </c>
      <c r="B842" s="30" t="inlineStr">
        <is>
          <t>B098PXKRRL</t>
        </is>
      </c>
      <c r="C842" s="30" t="inlineStr">
        <is>
          <t>Tablet</t>
        </is>
      </c>
      <c r="D842" s="324" t="n">
        <v>714.6028571428571</v>
      </c>
      <c r="E842" s="324" t="n">
        <v>57069.42</v>
      </c>
      <c r="F842" s="324" t="n">
        <v>5002.22</v>
      </c>
      <c r="G842" s="55" t="n">
        <v>77</v>
      </c>
      <c r="H842" s="57" t="n">
        <v>7</v>
      </c>
      <c r="I842" s="55" t="n">
        <v>50</v>
      </c>
      <c r="J842" s="56" t="n">
        <v>4.7</v>
      </c>
      <c r="K842" s="56" t="inlineStr">
        <is>
          <t>https://amazon.com/dp/B098PXKRRL</t>
        </is>
      </c>
      <c r="L842" s="70">
        <f>HYPERLINK(Table1410[[#This Row],[Column1]])</f>
        <v/>
      </c>
    </row>
    <row r="843" ht="45" customHeight="1" s="290">
      <c r="A843" s="30" t="inlineStr">
        <is>
          <t>Autel MaxiCOM MK908 Pro II: 2026 MK908PRO II Same as MaxiSys MS908S Pro II Ultra Elite 2 Pro, J2534 Programming Scan Tool Up of MS908S Pro Elite MS906MAX MS906PRO, 38+ Resets, 3K+ Test, 4+128G</t>
        </is>
      </c>
      <c r="B843" s="30" t="inlineStr">
        <is>
          <t>B06WRSXPX1</t>
        </is>
      </c>
      <c r="C843" s="30" t="inlineStr">
        <is>
          <t>Tablet</t>
        </is>
      </c>
      <c r="D843" s="324" t="n">
        <v>2034.058571428571</v>
      </c>
      <c r="E843" s="324" t="n">
        <v>65345.5</v>
      </c>
      <c r="F843" s="324" t="n">
        <v>14238.41</v>
      </c>
      <c r="G843" s="55" t="n">
        <v>34</v>
      </c>
      <c r="H843" s="57" t="n">
        <v>7</v>
      </c>
      <c r="I843" s="55" t="n">
        <v>70</v>
      </c>
      <c r="J843" s="56" t="n">
        <v>4.4</v>
      </c>
      <c r="K843" s="56" t="inlineStr">
        <is>
          <t>https://amazon.com/dp/B06WRSXPX1</t>
        </is>
      </c>
      <c r="L843" s="70">
        <f>HYPERLINK(Table1410[[#This Row],[Column1]])</f>
        <v/>
      </c>
    </row>
    <row r="844" ht="45" customHeight="1" s="290">
      <c r="A844" s="30" t="inlineStr">
        <is>
          <t>Autel OBD2 Memory Saver for Car Battery, MaxiBAS BTMS Car Memory Saver, Preserve ECU Code &amp; Electronic Presets During Battery Replacement</t>
        </is>
      </c>
      <c r="B844" s="30" t="inlineStr">
        <is>
          <t>B0CQM1RR61</t>
        </is>
      </c>
      <c r="C844" s="30" t="inlineStr">
        <is>
          <t>Other</t>
        </is>
      </c>
      <c r="D844" s="324" t="n">
        <v>44.29714285714285</v>
      </c>
      <c r="E844" s="324" t="n">
        <v>13592.23</v>
      </c>
      <c r="F844" s="324" t="n">
        <v>310.08</v>
      </c>
      <c r="G844" s="55" t="n">
        <v>306</v>
      </c>
      <c r="H844" s="57" t="n">
        <v>7</v>
      </c>
      <c r="I844" s="55" t="n">
        <v>25</v>
      </c>
      <c r="J844" s="56" t="n">
        <v>4.4</v>
      </c>
      <c r="K844" s="56" t="inlineStr">
        <is>
          <t>https://amazon.com/dp/B0CQM1RR61</t>
        </is>
      </c>
      <c r="L844" s="70">
        <f>HYPERLINK(Table1410[[#This Row],[Column1]])</f>
        <v/>
      </c>
    </row>
    <row r="845" ht="45" customHeight="1" s="290">
      <c r="A845" s="30" t="inlineStr">
        <is>
          <t>Autel MaxiCheck MX900 Scanner, 2026 Bidirectional Scan Tool with 3000+ Active Tests, All System Diagnosis, CAN FD/Do IP, OE No-IP Limited, Upgrade MK808S MK808BT MX808S MK808Z Same as MK900</t>
        </is>
      </c>
      <c r="B845" s="30" t="inlineStr">
        <is>
          <t>B0C1RPXXQ8</t>
        </is>
      </c>
      <c r="C845" s="30" t="inlineStr">
        <is>
          <t>Tablet</t>
        </is>
      </c>
      <c r="D845" s="324" t="n">
        <v>560.5085714285714</v>
      </c>
      <c r="E845" s="324" t="n">
        <v>73302.65769230769</v>
      </c>
      <c r="F845" s="324" t="n">
        <v>3923.56</v>
      </c>
      <c r="G845" s="55" t="n">
        <v>128</v>
      </c>
      <c r="H845" s="57" t="n">
        <v>7</v>
      </c>
      <c r="I845" s="55" t="n">
        <v>55</v>
      </c>
      <c r="J845" s="56" t="n">
        <v>4.4</v>
      </c>
      <c r="K845" s="56" t="inlineStr">
        <is>
          <t>https://amazon.com/dp/B0C1RPXXQ8</t>
        </is>
      </c>
      <c r="L845" s="70">
        <f>HYPERLINK(Table1410[[#This Row],[Column1]])</f>
        <v/>
      </c>
    </row>
    <row r="846" ht="45" customHeight="1" s="290">
      <c r="A846" s="30" t="inlineStr">
        <is>
          <t>Autel MaxiPRO MP900-BT Kit Scanner w/ 200 Bucks OBD1 Kit: 2026 MP900BT Kit New Model of MK900BT MP900-BT(No Cables), Pro C0ding as MS906 Pro MS906 MAX, 40+ Service, 3000+ Tests, OS 11, CAN FD FCA SGW</t>
        </is>
      </c>
      <c r="B846" s="30" t="inlineStr">
        <is>
          <t>B01CQNNBA4</t>
        </is>
      </c>
      <c r="C846" s="30" t="inlineStr">
        <is>
          <t>Tablet</t>
        </is>
      </c>
      <c r="D846" s="324" t="n">
        <v>1012.644285714286</v>
      </c>
      <c r="E846" s="324" t="n">
        <v>114711.97</v>
      </c>
      <c r="F846" s="324" t="n">
        <v>7088.51</v>
      </c>
      <c r="G846" s="55" t="n">
        <v>119</v>
      </c>
      <c r="H846" s="57" t="n">
        <v>7</v>
      </c>
      <c r="I846" s="55" t="n">
        <v>245</v>
      </c>
      <c r="J846" s="56" t="n">
        <v>4.5</v>
      </c>
      <c r="K846" s="56" t="inlineStr">
        <is>
          <t>https://amazon.com/dp/B01CQNNBA4</t>
        </is>
      </c>
      <c r="L846" s="70">
        <f>HYPERLINK(Table1410[[#This Row],[Column1]])</f>
        <v/>
      </c>
    </row>
    <row r="847" ht="60" customHeight="1" s="290">
      <c r="A847" s="30" t="inlineStr">
        <is>
          <t>Autel MaxiCOM MK808S-TS OBD2 Scanner: 2026 Same TPMS Tool as MX808S-TS MP900-TS MS906 Pro w/ 3000+ Active Tests, 32 Service, TPMS Pr0gramming Relearn Retrofit, Full System, Up of MK900BT MK808BT Pro</t>
        </is>
      </c>
      <c r="B847" s="30" t="inlineStr">
        <is>
          <t>B07GZBCH7K</t>
        </is>
      </c>
      <c r="C847" s="30" t="inlineStr">
        <is>
          <t>Tablet</t>
        </is>
      </c>
      <c r="D847" s="324" t="n">
        <v>686.2214285714286</v>
      </c>
      <c r="E847" s="324" t="n">
        <v>225043.52</v>
      </c>
      <c r="F847" s="324" t="n">
        <v>4803.55</v>
      </c>
      <c r="G847" s="55" t="n">
        <v>326</v>
      </c>
      <c r="H847" s="57" t="n">
        <v>7</v>
      </c>
      <c r="I847" s="55" t="n">
        <v>630</v>
      </c>
      <c r="J847" s="56" t="n">
        <v>4.5</v>
      </c>
      <c r="K847" s="56" t="inlineStr">
        <is>
          <t>https://amazon.com/dp/B07GZBCH7K</t>
        </is>
      </c>
      <c r="L847" s="70">
        <f>HYPERLINK(Table1410[[#This Row],[Column1]])</f>
        <v/>
      </c>
    </row>
    <row r="848" ht="45" customHeight="1" s="290">
      <c r="A848" s="30" t="inlineStr">
        <is>
          <t>2026 Autel MaxiSYS Elite 2 PRO Scanner, Elite II Pro 2-Year Free Update ($2590) OE-Level J2534 Programming Coding Tool as MSUltra MS919 MS909, Motor TruSpeed, 40+ Service 3000+ Active Test CAN FD DoIP</t>
        </is>
      </c>
      <c r="B848" s="30" t="inlineStr">
        <is>
          <t>B09TT2GQ6P</t>
        </is>
      </c>
      <c r="C848" s="30" t="inlineStr">
        <is>
          <t>Tablet</t>
        </is>
      </c>
      <c r="D848" s="324" t="n">
        <v>2418.074285714286</v>
      </c>
      <c r="E848" s="324" t="n">
        <v>307030.77</v>
      </c>
      <c r="F848" s="324" t="n">
        <v>16926.52</v>
      </c>
      <c r="G848" s="55" t="n">
        <v>127</v>
      </c>
      <c r="H848" s="57" t="n">
        <v>7</v>
      </c>
      <c r="I848" s="55" t="n">
        <v>17</v>
      </c>
      <c r="J848" s="56" t="n">
        <v>4.8</v>
      </c>
      <c r="K848" s="56" t="inlineStr">
        <is>
          <t>https://amazon.com/dp/B09TT2GQ6P</t>
        </is>
      </c>
      <c r="L848" s="70">
        <f>HYPERLINK(Table1410[[#This Row],[Column1]])</f>
        <v/>
      </c>
    </row>
    <row r="849" ht="45" customHeight="1" s="290">
      <c r="A849" s="30" t="inlineStr">
        <is>
          <t>2026 Autel Scanner MaxiPRO MP900 KIT, 11PCS OBD Adapters $200, DoIP CAN FD Same as MS906 PRO MS906MAX, ECU Function Up of MS906 MX900 MK900 MK808S, Full Bidirectional as MP900BT, 40+ Reset, 3000+ Test</t>
        </is>
      </c>
      <c r="B849" s="30" t="inlineStr">
        <is>
          <t>B08PDJ21WS</t>
        </is>
      </c>
      <c r="C849" s="30" t="inlineStr">
        <is>
          <t>Tablet</t>
        </is>
      </c>
      <c r="D849" s="324" t="n">
        <v>889.8557142857143</v>
      </c>
      <c r="E849" s="324" t="n">
        <v>88164.02999999998</v>
      </c>
      <c r="F849" s="324" t="n">
        <v>6228.99</v>
      </c>
      <c r="G849" s="55" t="n">
        <v>102</v>
      </c>
      <c r="H849" s="57" t="n">
        <v>7</v>
      </c>
      <c r="I849" s="55" t="n">
        <v>56</v>
      </c>
      <c r="J849" s="56" t="n">
        <v>4.3</v>
      </c>
      <c r="K849" s="56" t="inlineStr">
        <is>
          <t>https://amazon.com/dp/B08PDJ21WS</t>
        </is>
      </c>
      <c r="L849" s="70">
        <f>HYPERLINK(Table1410[[#This Row],[Column1]])</f>
        <v/>
      </c>
    </row>
    <row r="850" ht="45" customHeight="1" s="290">
      <c r="A850" s="30" t="inlineStr">
        <is>
          <t>2026 Autel Scanner MaxiIM IM508S PRO, Plus Upgraded $569 PRO Bundle, Same as IM608 PRO 2, Bidirectional Scan Tool, 40+ Service, 3000+ Tests, OE All System Diagnostics, Auto Scan 2.0, FCA, OS 11.0</t>
        </is>
      </c>
      <c r="B850" s="30" t="inlineStr">
        <is>
          <t>B08DLGGXP6</t>
        </is>
      </c>
      <c r="C850" s="30" t="inlineStr">
        <is>
          <t>Tablet</t>
        </is>
      </c>
      <c r="D850" s="324" t="n">
        <v>1629.407142857143</v>
      </c>
      <c r="E850" s="324" t="n">
        <v>112981.6169230769</v>
      </c>
      <c r="F850" s="324" t="n">
        <v>11405.85</v>
      </c>
      <c r="G850" s="55" t="n">
        <v>63</v>
      </c>
      <c r="H850" s="57" t="n">
        <v>7</v>
      </c>
      <c r="I850" s="55" t="n">
        <v>36</v>
      </c>
      <c r="J850" s="56" t="n">
        <v>4.6</v>
      </c>
      <c r="K850" s="56" t="inlineStr">
        <is>
          <t>https://amazon.com/dp/B08DLGGXP6</t>
        </is>
      </c>
      <c r="L850" s="70">
        <f>HYPERLINK(Table1410[[#This Row],[Column1]])</f>
        <v/>
      </c>
    </row>
    <row r="851" ht="30" customHeight="1" s="290">
      <c r="A851" s="30" t="inlineStr">
        <is>
          <t>Autel Scanner MaxiCOM MK906S PRO2-TS, 2026 Multilingual of MS906 PRO2-TS, 2.0 Up of MS906 PRO TS MK906 PRO-TS MP900TS MS906PRO MS906MAX, TPMS 2.0, 3K+ Bidirectional Diagnostic, 40+ Reset, CAN FD DoIP</t>
        </is>
      </c>
      <c r="B851" s="30" t="inlineStr">
        <is>
          <t>B09YM9HHGL</t>
        </is>
      </c>
      <c r="C851" s="30" t="inlineStr">
        <is>
          <t>Tablet</t>
        </is>
      </c>
      <c r="D851" s="324" t="n">
        <v>1599.138333333333</v>
      </c>
      <c r="E851" s="324" t="n">
        <v>81613.35000000001</v>
      </c>
      <c r="F851" s="324" t="n">
        <v>9594.83</v>
      </c>
      <c r="G851" s="55" t="n">
        <v>51</v>
      </c>
      <c r="H851" s="57" t="n">
        <v>6</v>
      </c>
      <c r="I851" s="55" t="n">
        <v>11</v>
      </c>
      <c r="J851" s="56" t="n">
        <v>4.5</v>
      </c>
      <c r="K851" s="56" t="inlineStr">
        <is>
          <t>https://amazon.com/dp/B09YM9HHGL</t>
        </is>
      </c>
      <c r="L851" s="70">
        <f>HYPERLINK(Table1410[[#This Row],[Column1]])</f>
        <v/>
      </c>
    </row>
    <row r="852" ht="30" customHeight="1" s="290">
      <c r="A852" s="30" t="inlineStr">
        <is>
          <t>Autel MaxiCheck MX900 Bidirectional Scanner: 2026 Up of MaxiCOM MK808S MX808S, Work as MK900-BT MK900BT OBD2 Diagnostic Tool w/ 3000+ Active Test, 40+ Service, CAN-FD&amp;DOIP, All System, FCA 11 OS</t>
        </is>
      </c>
      <c r="B852" s="30" t="inlineStr">
        <is>
          <t>B00LPIRY6E</t>
        </is>
      </c>
      <c r="C852" s="30" t="inlineStr">
        <is>
          <t>Tablet</t>
        </is>
      </c>
      <c r="D852" s="324" t="n">
        <v>568.5716666666666</v>
      </c>
      <c r="E852" s="324" t="n">
        <v>69897.99999999999</v>
      </c>
      <c r="F852" s="324" t="n">
        <v>3411.43</v>
      </c>
      <c r="G852" s="55" t="n">
        <v>115</v>
      </c>
      <c r="H852" s="57" t="n">
        <v>6</v>
      </c>
      <c r="I852" s="55" t="n">
        <v>466</v>
      </c>
      <c r="J852" s="56" t="n">
        <v>4.4</v>
      </c>
      <c r="K852" s="56" t="inlineStr">
        <is>
          <t>https://amazon.com/dp/B00LPIRY6E</t>
        </is>
      </c>
      <c r="L852" s="70">
        <f>HYPERLINK(Table1410[[#This Row],[Column1]])</f>
        <v/>
      </c>
    </row>
    <row r="853" ht="60" customHeight="1" s="290">
      <c r="A853" s="30" t="inlineStr">
        <is>
          <t>Autel Scanner MaxiPRO MP900-BT w/ MV108S: 2026 MP900BT V2.0 Newer of MP900 MS906BT MS906 MP808BT PRO, 40+ Reset, OE Bidirectional Diagnostic Scan Tool as MS906 PRO/MAX, CAN FD/DoIP, 3K+ Tests, OS11</t>
        </is>
      </c>
      <c r="B853" s="30" t="inlineStr">
        <is>
          <t>B01B1P8JQ4</t>
        </is>
      </c>
      <c r="C853" s="30" t="inlineStr">
        <is>
          <t>Tablet</t>
        </is>
      </c>
      <c r="D853" s="324" t="n">
        <v>879.875</v>
      </c>
      <c r="E853" s="324" t="n">
        <v>157715.93</v>
      </c>
      <c r="F853" s="324" t="n">
        <v>5279.25</v>
      </c>
      <c r="G853" s="55" t="n">
        <v>169</v>
      </c>
      <c r="H853" s="57" t="n">
        <v>6</v>
      </c>
      <c r="I853" s="55" t="n">
        <v>319</v>
      </c>
      <c r="J853" s="56" t="n">
        <v>4.6</v>
      </c>
      <c r="K853" s="56" t="inlineStr">
        <is>
          <t>https://amazon.com/dp/B01B1P8JQ4</t>
        </is>
      </c>
      <c r="L853" s="70">
        <f>HYPERLINK(Table1410[[#This Row],[Column1]])</f>
        <v/>
      </c>
    </row>
    <row r="854" ht="45" customHeight="1" s="290">
      <c r="A854" s="30" t="inlineStr">
        <is>
          <t>2026 Autel MaxiSYS MS908S PRO II Scanner, w/ $219 TS501 PRO TPMS Relearn Tool, Bidirectional Diagnostic Scan as Ultra MS909 Elite 2 Pro, J2534 ECU Functions, Up of MK908P MS906MAX, 3K+Tests, 40+ Reset</t>
        </is>
      </c>
      <c r="B854" s="30" t="inlineStr">
        <is>
          <t>B07NN6J4BH</t>
        </is>
      </c>
      <c r="C854" s="30" t="inlineStr">
        <is>
          <t>Tablet</t>
        </is>
      </c>
      <c r="D854" s="324" t="n">
        <v>2111.086666666667</v>
      </c>
      <c r="E854" s="324" t="n">
        <v>97603.88</v>
      </c>
      <c r="F854" s="324" t="n">
        <v>12666.52</v>
      </c>
      <c r="G854" s="55" t="n">
        <v>45</v>
      </c>
      <c r="H854" s="57" t="n">
        <v>6</v>
      </c>
      <c r="I854" s="55" t="n">
        <v>23</v>
      </c>
      <c r="J854" s="56" t="n">
        <v>4.7</v>
      </c>
      <c r="K854" s="56" t="inlineStr">
        <is>
          <t>https://amazon.com/dp/B07NN6J4BH</t>
        </is>
      </c>
      <c r="L854" s="70">
        <f>HYPERLINK(Table1410[[#This Row],[Column1]])</f>
        <v/>
      </c>
    </row>
    <row r="855" ht="60" customHeight="1" s="290">
      <c r="A855" s="30" t="inlineStr">
        <is>
          <t>Autel MaxiPRO MP808S Scanner, 2026 MP808S Scan Tool with 2-Year Update, OE ECU Function as MP900-BT MP900 MaxiSys MS906 PRO MS906MAX, 31+ Resets, 3K+ Tests, Up of MP808BT PRO MX900 MK900BT MK900</t>
        </is>
      </c>
      <c r="B855" s="30" t="inlineStr">
        <is>
          <t>B06XY1PY6D</t>
        </is>
      </c>
      <c r="C855" s="30" t="inlineStr">
        <is>
          <t>Tablet</t>
        </is>
      </c>
      <c r="D855" s="324" t="n">
        <v>678.1116666666667</v>
      </c>
      <c r="E855" s="324" t="n">
        <v>40795.9653846154</v>
      </c>
      <c r="F855" s="324" t="n">
        <v>4068.67</v>
      </c>
      <c r="G855" s="55" t="n">
        <v>56</v>
      </c>
      <c r="H855" s="57" t="n">
        <v>6</v>
      </c>
      <c r="I855" s="55" t="n">
        <v>346</v>
      </c>
      <c r="J855" s="56" t="n">
        <v>4.4</v>
      </c>
      <c r="K855" s="56" t="inlineStr">
        <is>
          <t>https://amazon.com/dp/B06XY1PY6D</t>
        </is>
      </c>
      <c r="L855" s="70">
        <f>HYPERLINK(Table1410[[#This Row],[Column1]])</f>
        <v/>
      </c>
    </row>
    <row r="856" ht="60" customHeight="1" s="290">
      <c r="A856" s="30" t="inlineStr">
        <is>
          <t>Autel MaxiSys MS908CV II Truck Scanner: 2026 Heavy Duty Tool for Commercial Semi Trucks, OE C0ding, J-2534 Pr0grammer, 64 Service as MS909CV MS908S Pro II Elite II Pro Ultra Lite</t>
        </is>
      </c>
      <c r="B856" s="30" t="inlineStr">
        <is>
          <t>B0749MHKXT</t>
        </is>
      </c>
      <c r="C856" s="30" t="inlineStr">
        <is>
          <t>Tablet</t>
        </is>
      </c>
      <c r="D856" s="324" t="n">
        <v>3092.245</v>
      </c>
      <c r="E856" s="324" t="n">
        <v>207689.36</v>
      </c>
      <c r="F856" s="324" t="n">
        <v>18553.47</v>
      </c>
      <c r="G856" s="55" t="n">
        <v>72</v>
      </c>
      <c r="H856" s="57" t="n">
        <v>6</v>
      </c>
      <c r="I856" s="55" t="n">
        <v>26</v>
      </c>
      <c r="J856" s="56" t="n">
        <v>4.4</v>
      </c>
      <c r="K856" s="56" t="inlineStr">
        <is>
          <t>https://amazon.com/dp/B0749MHKXT</t>
        </is>
      </c>
      <c r="L856" s="70">
        <f>HYPERLINK(Table1410[[#This Row],[Column1]])</f>
        <v/>
      </c>
    </row>
    <row r="857" ht="45" customHeight="1" s="290">
      <c r="A857" s="30" t="inlineStr">
        <is>
          <t>Autel MaxiPRO MP808S Scanner, 2026 Bidirectional Scan Tool, 2-Year Update, Upgraded of MK808S MX900 MK900BT MP808BT PRO, Advanced ECU Coding as MP900-BT / MS906 PRO, 31+ Resets, All System Diagnostic</t>
        </is>
      </c>
      <c r="B857" s="30" t="inlineStr">
        <is>
          <t>B0BGJBJGQM</t>
        </is>
      </c>
      <c r="C857" s="30" t="inlineStr">
        <is>
          <t>Tablet</t>
        </is>
      </c>
      <c r="D857" s="324" t="n">
        <v>629.7466666666667</v>
      </c>
      <c r="E857" s="324" t="n">
        <v>48720.97000000001</v>
      </c>
      <c r="F857" s="324" t="n">
        <v>3778.48</v>
      </c>
      <c r="G857" s="55" t="n">
        <v>75</v>
      </c>
      <c r="H857" s="57" t="n">
        <v>6</v>
      </c>
      <c r="I857" s="55" t="n">
        <v>48</v>
      </c>
      <c r="J857" s="56" t="n">
        <v>4.7</v>
      </c>
      <c r="K857" s="56" t="inlineStr">
        <is>
          <t>https://amazon.com/dp/B0BGJBJGQM</t>
        </is>
      </c>
      <c r="L857" s="70">
        <f>HYPERLINK(Table1410[[#This Row],[Column1]])</f>
        <v/>
      </c>
    </row>
    <row r="858" ht="60" customHeight="1" s="290">
      <c r="A858" s="30" t="inlineStr">
        <is>
          <t>Autel Scanner MP900Z-BT 2026: Bidirectional OBD2 Scanner with ECU Coding &amp; 40+ Services, Upgraded of MP900/MP900E, Wireless VCI150, DoIP/CAN FD, All-System Diagnostic Tool, Alternative to MS906 Pro</t>
        </is>
      </c>
      <c r="B858" s="30" t="inlineStr">
        <is>
          <t>B0FL7N86JT</t>
        </is>
      </c>
      <c r="C858" s="30" t="inlineStr">
        <is>
          <t>Tablet</t>
        </is>
      </c>
      <c r="D858" s="324" t="n">
        <v>848.3266666666667</v>
      </c>
      <c r="E858" s="324" t="n">
        <v>45822.64769230771</v>
      </c>
      <c r="F858" s="324" t="n">
        <v>5089.96</v>
      </c>
      <c r="G858" s="55" t="n">
        <v>22</v>
      </c>
      <c r="H858" s="57" t="n">
        <v>6</v>
      </c>
      <c r="I858" s="55" t="n">
        <v>6</v>
      </c>
      <c r="J858" s="56" t="n">
        <v>5</v>
      </c>
      <c r="K858" s="56" t="inlineStr">
        <is>
          <t>https://amazon.com/dp/B0FL7N86JT</t>
        </is>
      </c>
      <c r="L858" s="70">
        <f>HYPERLINK(Table1410[[#This Row],[Column1]])</f>
        <v/>
      </c>
    </row>
    <row r="859" ht="60" customHeight="1" s="290">
      <c r="A859" s="30" t="inlineStr">
        <is>
          <t>Autel MaxiCOM MK808S OBD2 Scanner, 2026 Bidirectional Diagnostic Tool as MaxiCheck MX900 MX808S MK900BT MK808BT Pro, 3000+ Active Tests, 28+ Service, All System, Injector Coding, FCA Autoauth OS11</t>
        </is>
      </c>
      <c r="B859" s="30" t="inlineStr">
        <is>
          <t>B07T9J34HT</t>
        </is>
      </c>
      <c r="C859" s="30" t="inlineStr">
        <is>
          <t>Tablet</t>
        </is>
      </c>
      <c r="D859" s="324" t="n">
        <v>476.935</v>
      </c>
      <c r="E859" s="324" t="n">
        <v>32256.45</v>
      </c>
      <c r="F859" s="324" t="n">
        <v>2861.61</v>
      </c>
      <c r="G859" s="55" t="n">
        <v>70</v>
      </c>
      <c r="H859" s="57" t="n">
        <v>6</v>
      </c>
      <c r="I859" s="55" t="n">
        <v>381</v>
      </c>
      <c r="J859" s="56" t="n">
        <v>4.4</v>
      </c>
      <c r="K859" s="56" t="inlineStr">
        <is>
          <t>https://amazon.com/dp/B07T9J34HT</t>
        </is>
      </c>
      <c r="L859" s="70">
        <f>HYPERLINK(Table1410[[#This Row],[Column1]])</f>
        <v/>
      </c>
    </row>
    <row r="860" ht="60" customHeight="1" s="290">
      <c r="A860" s="30" t="inlineStr">
        <is>
          <t>Autel Scanner MAXIDIAG MD600CV Heavy Duty Truck Scanner D-P-F Regen Full System Diesel Diagnostic Scan Tool Wireless Android Touchscreen Tablet for Truck Light Medium and Heavy Duty Truck Vehicle</t>
        </is>
      </c>
      <c r="B860" s="30" t="inlineStr">
        <is>
          <t>B0D97BL8PJ</t>
        </is>
      </c>
      <c r="C860" s="30" t="inlineStr">
        <is>
          <t>Handheld</t>
        </is>
      </c>
      <c r="D860" s="324" t="n">
        <v>997.165</v>
      </c>
      <c r="E860" s="324" t="n">
        <v>61809.55</v>
      </c>
      <c r="F860" s="324" t="n">
        <v>5982.99</v>
      </c>
      <c r="G860" s="55" t="n">
        <v>63</v>
      </c>
      <c r="H860" s="57" t="n">
        <v>6</v>
      </c>
      <c r="I860" s="55" t="n">
        <v>8</v>
      </c>
      <c r="J860" s="56" t="n">
        <v>4.8</v>
      </c>
      <c r="K860" s="56" t="inlineStr">
        <is>
          <t>https://amazon.com/dp/B0D97BL8PJ</t>
        </is>
      </c>
      <c r="L860" s="70">
        <f>HYPERLINK(Table1410[[#This Row],[Column1]])</f>
        <v/>
      </c>
    </row>
    <row r="861" ht="60" customHeight="1" s="290">
      <c r="A861" s="30" t="inlineStr">
        <is>
          <t>Autel MaxiSys Elite II PRO Scanner, 2026 2-Year Free Update [$2590] Elite 2 PRO, J2534 Programming Coding as MSUltra MS919 MS909 UP of MK908P, Motor TruSpeed, 40+ Reset, 3K+ Bidirectional, DoIP CAN FD</t>
        </is>
      </c>
      <c r="B861" s="30" t="inlineStr">
        <is>
          <t>B0F6LPJ94T</t>
        </is>
      </c>
      <c r="C861" s="30" t="inlineStr">
        <is>
          <t>Tablet</t>
        </is>
      </c>
      <c r="D861" s="324" t="n">
        <v>2455.343333333333</v>
      </c>
      <c r="E861" s="324" t="n">
        <v>155824.9446153846</v>
      </c>
      <c r="F861" s="324" t="n">
        <v>14732.06</v>
      </c>
      <c r="G861" s="55" t="n">
        <v>59</v>
      </c>
      <c r="H861" s="57" t="n">
        <v>6</v>
      </c>
      <c r="I861" s="55" t="n">
        <v>2</v>
      </c>
      <c r="J861" s="56" t="n">
        <v>5</v>
      </c>
      <c r="K861" s="56" t="inlineStr">
        <is>
          <t>https://amazon.com/dp/B0F6LPJ94T</t>
        </is>
      </c>
      <c r="L861" s="70">
        <f>HYPERLINK(Table1410[[#This Row],[Column1]])</f>
        <v/>
      </c>
    </row>
    <row r="862" ht="30" customHeight="1" s="290">
      <c r="A862" s="30" t="inlineStr">
        <is>
          <t>Autel Scanner Maxicom MK908 Pro II 2026, J2534 Diagnostic Tool As MS908S PRO II Elite 2 Pro MSUltra w/AutoScan 2.0, Up of MS906MAX/MS906 PRO, 3000+ Active Test 38+ Services OS10.0 4/128G</t>
        </is>
      </c>
      <c r="B862" s="30" t="inlineStr">
        <is>
          <t>B07MV26KVM</t>
        </is>
      </c>
      <c r="C862" s="30" t="inlineStr">
        <is>
          <t>Tablet</t>
        </is>
      </c>
      <c r="D862" s="324" t="n">
        <v>1885.476666666667</v>
      </c>
      <c r="E862" s="324" t="n">
        <v>220170.58</v>
      </c>
      <c r="F862" s="324" t="n">
        <v>11312.86</v>
      </c>
      <c r="G862" s="55" t="n">
        <v>112</v>
      </c>
      <c r="H862" s="57" t="n">
        <v>6</v>
      </c>
      <c r="I862" s="55" t="n">
        <v>71</v>
      </c>
      <c r="J862" s="56" t="n">
        <v>4.2</v>
      </c>
      <c r="K862" s="56" t="inlineStr">
        <is>
          <t>https://amazon.com/dp/B07MV26KVM</t>
        </is>
      </c>
      <c r="L862" s="70">
        <f>HYPERLINK(Table1410[[#This Row],[Column1]])</f>
        <v/>
      </c>
    </row>
    <row r="863" ht="45" customHeight="1" s="290">
      <c r="A863" s="30" t="inlineStr">
        <is>
          <t>Autel Scanner MaxiIM KM100 (X), 2026 Car Diagnostic Scan Tool, OBD-Learn for 99% Cars, Lifetime Free Update, IM508S IM608 PRO II Lite Model, 2.0 Hardware for Home Mechanics &amp; DIYers (KM Series 100)</t>
        </is>
      </c>
      <c r="B863" s="30" t="inlineStr">
        <is>
          <t>B0FX88STZH</t>
        </is>
      </c>
      <c r="C863" s="30" t="inlineStr">
        <is>
          <t>Tablet</t>
        </is>
      </c>
      <c r="D863" s="324" t="n">
        <v>496</v>
      </c>
      <c r="E863" s="324" t="n">
        <v>37547.27846153845</v>
      </c>
      <c r="F863" s="324" t="n">
        <v>2976</v>
      </c>
      <c r="G863" s="55" t="n">
        <v>34</v>
      </c>
      <c r="H863" s="57" t="n">
        <v>6</v>
      </c>
      <c r="I863" s="55" t="n">
        <v>86</v>
      </c>
      <c r="J863" s="56" t="n">
        <v>4.6</v>
      </c>
      <c r="K863" s="56" t="inlineStr">
        <is>
          <t>https://amazon.com/dp/B0FX88STZH</t>
        </is>
      </c>
      <c r="L863" s="70">
        <f>HYPERLINK(Table1410[[#This Row],[Column1]])</f>
        <v/>
      </c>
    </row>
    <row r="864" ht="30" customHeight="1" s="290">
      <c r="A864" s="30" t="inlineStr">
        <is>
          <t>Autel Scanner MaxiCOM MX900, OE All-System OBD2 Scanner &amp; Bidirectional Tool, 8in Up of MK808S MK808BT MX808S MK808Z, 3000+ Active Tests, 40+ Service, CAN-FD&amp;DOIP, Smart Auto VI-N, FCA Auto Auth 11OS</t>
        </is>
      </c>
      <c r="B864" s="30" t="inlineStr">
        <is>
          <t>B0FLY2HCN7</t>
        </is>
      </c>
      <c r="C864" s="30" t="inlineStr">
        <is>
          <t>Tablet</t>
        </is>
      </c>
      <c r="D864" s="324" t="n">
        <v>570.5616666666666</v>
      </c>
      <c r="E864" s="324" t="n">
        <v>56306.50307692309</v>
      </c>
      <c r="F864" s="324" t="n">
        <v>3423.37</v>
      </c>
      <c r="G864" s="55" t="n">
        <v>69</v>
      </c>
      <c r="H864" s="57" t="n">
        <v>6</v>
      </c>
      <c r="I864" s="55" t="n">
        <v>369</v>
      </c>
      <c r="J864" s="56" t="n">
        <v>4.4</v>
      </c>
      <c r="K864" s="56" t="inlineStr">
        <is>
          <t>https://amazon.com/dp/B0FLY2HCN7</t>
        </is>
      </c>
      <c r="L864" s="70">
        <f>HYPERLINK(Table1410[[#This Row],[Column1]])</f>
        <v/>
      </c>
    </row>
    <row r="865" ht="60" customHeight="1" s="290">
      <c r="A865" s="30" t="inlineStr">
        <is>
          <t>Autel MaxiVCI V200 VCI200 OBD2 Adapter Connector, 2026 VCI 200 Car Wireless Communication Interface, Work w/Autel Scanner MaxiSys MS906PRO MS906 PRO-TS KM100 BT608 BT609 ITS600 MK906 PRO MK906 PRO TS</t>
        </is>
      </c>
      <c r="B865" s="30" t="inlineStr">
        <is>
          <t>B0GWPXFNL8</t>
        </is>
      </c>
      <c r="C865" s="30" t="inlineStr">
        <is>
          <t>Dongle</t>
        </is>
      </c>
      <c r="D865" s="324" t="n">
        <v>219</v>
      </c>
      <c r="E865" s="324" t="n">
        <v>15869.07692307692</v>
      </c>
      <c r="F865" s="324" t="n">
        <v>1314</v>
      </c>
      <c r="G865" s="55" t="n">
        <v>6</v>
      </c>
      <c r="H865" s="57" t="n">
        <v>6</v>
      </c>
      <c r="I865" s="55" t="n"/>
      <c r="J865" s="56" t="n"/>
      <c r="K865" s="56" t="inlineStr">
        <is>
          <t>https://amazon.com/dp/B0GWPXFNL8</t>
        </is>
      </c>
      <c r="L865" s="70">
        <f>HYPERLINK(Table1410[[#This Row],[Column1]])</f>
        <v/>
      </c>
    </row>
    <row r="866" ht="30" customHeight="1" s="290">
      <c r="A866" s="30" t="inlineStr">
        <is>
          <t>Autel Scanner MaxiIM IM608 PRO 2, 2026 IM608 PRO II Bidirectional Diagnostic Tool with XP400 PRO GBOX3 APB112, Up of IM508S PRO/ IM608, Advanced Function as Elite II Pro, 3000+ Tests, 40 Reset, OS10</t>
        </is>
      </c>
      <c r="B866" s="30" t="inlineStr">
        <is>
          <t>B08PDMD8ZT</t>
        </is>
      </c>
      <c r="C866" s="30" t="inlineStr">
        <is>
          <t>Tablet</t>
        </is>
      </c>
      <c r="D866" s="324" t="n">
        <v>3012.308333333333</v>
      </c>
      <c r="E866" s="324" t="n">
        <v>173254.9038461539</v>
      </c>
      <c r="F866" s="324" t="n">
        <v>18073.85</v>
      </c>
      <c r="G866" s="55" t="n">
        <v>53</v>
      </c>
      <c r="H866" s="57" t="n">
        <v>6</v>
      </c>
      <c r="I866" s="55" t="n">
        <v>155</v>
      </c>
      <c r="J866" s="56" t="n">
        <v>4.5</v>
      </c>
      <c r="K866" s="56" t="inlineStr">
        <is>
          <t>https://amazon.com/dp/B08PDMD8ZT</t>
        </is>
      </c>
      <c r="L866" s="70">
        <f>HYPERLINK(Table1410[[#This Row],[Column1]])</f>
        <v/>
      </c>
    </row>
    <row r="867" ht="60" customHeight="1" s="290">
      <c r="A867" s="30" t="inlineStr">
        <is>
          <t>Autel MaxiSys MS906MAX OBD2 Scanner, Way Better Than MS906 Pro, 2026 MS906 MAX Up of MS906S MS906BT MS908, ECU Coding, 3000+ Active Test, 40+ Service, All System Diagnostic, CAN FD/DoIP, AutoScan 2.0</t>
        </is>
      </c>
      <c r="B867" s="30" t="inlineStr">
        <is>
          <t>B0DRG4YXXJ</t>
        </is>
      </c>
      <c r="C867" s="30" t="inlineStr">
        <is>
          <t>Tablet</t>
        </is>
      </c>
      <c r="D867" s="324" t="n">
        <v>1685.475</v>
      </c>
      <c r="E867" s="324" t="n">
        <v>141515.55</v>
      </c>
      <c r="F867" s="324" t="n">
        <v>10112.85</v>
      </c>
      <c r="G867" s="55" t="n">
        <v>97</v>
      </c>
      <c r="H867" s="57" t="n">
        <v>6</v>
      </c>
      <c r="I867" s="55" t="n">
        <v>9</v>
      </c>
      <c r="J867" s="56" t="n">
        <v>4.7</v>
      </c>
      <c r="K867" s="56" t="inlineStr">
        <is>
          <t>https://amazon.com/dp/B0DRG4YXXJ</t>
        </is>
      </c>
      <c r="L867" s="70">
        <f>HYPERLINK(Table1410[[#This Row],[Column1]])</f>
        <v/>
      </c>
    </row>
    <row r="868" ht="45" customHeight="1" s="290">
      <c r="A868" s="30" t="inlineStr">
        <is>
          <t>Autel Scanner MaxiDAS DS808S-BT PRO w/ 11pcs Adapters[$200], 2026 Work as MS906 Pro MP900BT MS906MAX, Bidirectional Scan Tool, All-Sys, Up DS808 DS708 MaxiPro MP808S MP808BT, 32+ Service, OS 11</t>
        </is>
      </c>
      <c r="B868" s="30" t="inlineStr">
        <is>
          <t>B0FCSB14KN</t>
        </is>
      </c>
      <c r="C868" s="30" t="inlineStr">
        <is>
          <t>Tablet</t>
        </is>
      </c>
      <c r="D868" s="324" t="n">
        <v>675.4116666666666</v>
      </c>
      <c r="E868" s="324" t="n">
        <v>40243.22461538462</v>
      </c>
      <c r="F868" s="324" t="n">
        <v>4052.47</v>
      </c>
      <c r="G868" s="55" t="n">
        <v>44</v>
      </c>
      <c r="H868" s="57" t="n">
        <v>6</v>
      </c>
      <c r="I868" s="55" t="n"/>
      <c r="J868" s="56" t="n"/>
      <c r="K868" s="56" t="inlineStr">
        <is>
          <t>https://amazon.com/dp/B0FCSB14KN</t>
        </is>
      </c>
      <c r="L868" s="70">
        <f>HYPERLINK(Table1410[[#This Row],[Column1]])</f>
        <v/>
      </c>
    </row>
    <row r="869" ht="45" customHeight="1" s="290">
      <c r="A869" s="30" t="inlineStr">
        <is>
          <t>Autel Maxilink ML619 OBD2 Scanner, New Autel Scanner Upgraded Version of AL519/AL619, Code Reader with ABS SRS Diagnoses for Warning Light Turn Off (Including MIL), Graphs Data, 10 OBD2 Test Modes</t>
        </is>
      </c>
      <c r="B869" s="30" t="inlineStr">
        <is>
          <t>B07HCF5S3M</t>
        </is>
      </c>
      <c r="C869" s="30" t="inlineStr">
        <is>
          <t>Handheld</t>
        </is>
      </c>
      <c r="D869" s="324" t="n">
        <v>105.955</v>
      </c>
      <c r="E869" s="324" t="n">
        <v>17930.66</v>
      </c>
      <c r="F869" s="324" t="n">
        <v>635.73</v>
      </c>
      <c r="G869" s="55" t="n">
        <v>183</v>
      </c>
      <c r="H869" s="57" t="n">
        <v>6</v>
      </c>
      <c r="I869" s="55" t="n">
        <v>13</v>
      </c>
      <c r="J869" s="56" t="n">
        <v>4.2</v>
      </c>
      <c r="K869" s="56" t="inlineStr">
        <is>
          <t>https://amazon.com/dp/B07HCF5S3M</t>
        </is>
      </c>
      <c r="L869" s="70">
        <f>HYPERLINK(Table1410[[#This Row],[Column1]])</f>
        <v/>
      </c>
    </row>
    <row r="870" ht="45" customHeight="1" s="290">
      <c r="A870" s="30" t="inlineStr">
        <is>
          <t>2026 Autel MaxiSYS CV MS908CV II Heavy Duty Truck Scanner, Same as MS909CV Up of MS908CV, J2534 Pr0-grammer, C0ding, Semi Truck Full System Diagnostic Tool, Bidirectional Diesel Scan Tool, 3000+ Tests</t>
        </is>
      </c>
      <c r="B870" s="30" t="inlineStr">
        <is>
          <t>B0CWTM3KVX</t>
        </is>
      </c>
      <c r="C870" s="30" t="inlineStr">
        <is>
          <t>Tablet</t>
        </is>
      </c>
      <c r="D870" s="324" t="n">
        <v>2921.86</v>
      </c>
      <c r="E870" s="324" t="n">
        <v>187675.01</v>
      </c>
      <c r="F870" s="324" t="n">
        <v>17531.16</v>
      </c>
      <c r="G870" s="55" t="n">
        <v>65</v>
      </c>
      <c r="H870" s="57" t="n">
        <v>6</v>
      </c>
      <c r="I870" s="55" t="n">
        <v>16</v>
      </c>
      <c r="J870" s="56" t="n">
        <v>4.8</v>
      </c>
      <c r="K870" s="56" t="inlineStr">
        <is>
          <t>https://amazon.com/dp/B0CWTM3KVX</t>
        </is>
      </c>
      <c r="L870" s="70">
        <f>HYPERLINK(Table1410[[#This Row],[Column1]])</f>
        <v/>
      </c>
    </row>
    <row r="871" ht="45" customHeight="1" s="290">
      <c r="A871" s="30" t="inlineStr">
        <is>
          <t>Autel MaxiAP AP2500 Upgraded AP200/AP200C/AP200H/AP200M Bluetooth OBD2 Code Reader Auto Scanner Car Scan Tool 5+ Service Functions 45+ Car Brands Free APP for Android/iOS Advanced AP2500E</t>
        </is>
      </c>
      <c r="B871" s="30" t="inlineStr">
        <is>
          <t>B0CWNKXDDS</t>
        </is>
      </c>
      <c r="C871" s="30" t="inlineStr">
        <is>
          <t>Dongle</t>
        </is>
      </c>
      <c r="D871" s="324" t="n">
        <v>69.84333333333333</v>
      </c>
      <c r="E871" s="324" t="n">
        <v>7648.724615384615</v>
      </c>
      <c r="F871" s="324" t="n">
        <v>419.06</v>
      </c>
      <c r="G871" s="55" t="n">
        <v>107</v>
      </c>
      <c r="H871" s="57" t="n">
        <v>6</v>
      </c>
      <c r="I871" s="55" t="n">
        <v>28</v>
      </c>
      <c r="J871" s="56" t="n">
        <v>3.2</v>
      </c>
      <c r="K871" s="56" t="inlineStr">
        <is>
          <t>https://amazon.com/dp/B0CWNKXDDS</t>
        </is>
      </c>
      <c r="L871" s="70">
        <f>HYPERLINK(Table1410[[#This Row],[Column1]])</f>
        <v/>
      </c>
    </row>
    <row r="872" ht="60" customHeight="1" s="290">
      <c r="A872" s="30" t="inlineStr">
        <is>
          <t>Autel MaxiDiag MD909 PRO OBD2 Scanner, 2026 MD909PRO Car Code Reader All System Diagnostic Tool, 11 Reset Services, AutoVIN, No Subscription Fee, Lite of MaxiCOM MK808S MX808S MK808BT, CAN FD&amp; FCA SGW</t>
        </is>
      </c>
      <c r="B872" s="30" t="inlineStr">
        <is>
          <t>B0FMRPF7W1</t>
        </is>
      </c>
      <c r="C872" s="30" t="inlineStr">
        <is>
          <t>Tablet</t>
        </is>
      </c>
      <c r="D872" s="324" t="n">
        <v>351.7683333333334</v>
      </c>
      <c r="E872" s="324" t="n">
        <v>32233.5876923077</v>
      </c>
      <c r="F872" s="324" t="n">
        <v>2110.61</v>
      </c>
      <c r="G872" s="55" t="n">
        <v>55</v>
      </c>
      <c r="H872" s="57" t="n">
        <v>6</v>
      </c>
      <c r="I872" s="55" t="n">
        <v>2</v>
      </c>
      <c r="J872" s="56" t="n">
        <v>4.5</v>
      </c>
      <c r="K872" s="56" t="inlineStr">
        <is>
          <t>https://amazon.com/dp/B0FMRPF7W1</t>
        </is>
      </c>
      <c r="L872" s="70">
        <f>HYPERLINK(Table1410[[#This Row],[Column1]])</f>
        <v/>
      </c>
    </row>
    <row r="873" ht="45" customHeight="1" s="290">
      <c r="A873" s="30" t="inlineStr">
        <is>
          <t>Autel Scanner IM608 PRO 2, 2026 IM608 II Automotive Diagnostic Tool with XP400 PRO GBOX3 Up of IM508S PRO/IM608 Advanced Function as Elite II Pro, 3000+ Tests, 40 Reset, OS10 4/128GB CAN FD DoIP</t>
        </is>
      </c>
      <c r="B873" s="30" t="inlineStr">
        <is>
          <t>B0FMKDJD8S</t>
        </is>
      </c>
      <c r="C873" s="30" t="inlineStr">
        <is>
          <t>Tablet</t>
        </is>
      </c>
      <c r="D873" s="324" t="n">
        <v>2967.208</v>
      </c>
      <c r="E873" s="324" t="n">
        <v>167874.543076923</v>
      </c>
      <c r="F873" s="324" t="n">
        <v>14836.04</v>
      </c>
      <c r="G873" s="55" t="n">
        <v>23</v>
      </c>
      <c r="H873" s="57" t="n">
        <v>5</v>
      </c>
      <c r="I873" s="55" t="n">
        <v>4</v>
      </c>
      <c r="J873" s="56" t="n">
        <v>5</v>
      </c>
      <c r="K873" s="56" t="inlineStr">
        <is>
          <t>https://amazon.com/dp/B0FMKDJD8S</t>
        </is>
      </c>
      <c r="L873" s="70">
        <f>HYPERLINK(Table1410[[#This Row],[Column1]])</f>
        <v/>
      </c>
    </row>
    <row r="874" ht="45" customHeight="1" s="290">
      <c r="A874" s="30" t="inlineStr">
        <is>
          <t>Autel MaxiSYS MS906 PRO-TS Scanner, 2026 MS906 Pro TS Up of MS906 MAX MS906Pro MP900TS MS906TS MP900BT, OE TPMS &amp; Code, Bidirectional Scan Tool, 3000+ Test, 36+ Service, DOIP&amp;CAN FD, FCA</t>
        </is>
      </c>
      <c r="B874" s="30" t="inlineStr">
        <is>
          <t>B008PTN992</t>
        </is>
      </c>
      <c r="C874" s="30" t="inlineStr">
        <is>
          <t>Handheld</t>
        </is>
      </c>
      <c r="D874" s="324" t="n">
        <v>1681.67</v>
      </c>
      <c r="E874" s="324" t="n">
        <v>110950.19</v>
      </c>
      <c r="F874" s="324" t="n">
        <v>8408.35</v>
      </c>
      <c r="G874" s="55" t="n">
        <v>70</v>
      </c>
      <c r="H874" s="57" t="n">
        <v>5</v>
      </c>
      <c r="I874" s="55" t="n">
        <v>122</v>
      </c>
      <c r="J874" s="56" t="n">
        <v>4.6</v>
      </c>
      <c r="K874" s="56" t="inlineStr">
        <is>
          <t>https://amazon.com/dp/B008PTN992</t>
        </is>
      </c>
      <c r="L874" s="70">
        <f>HYPERLINK(Table1410[[#This Row],[Column1]])</f>
        <v/>
      </c>
    </row>
    <row r="875" ht="45" customHeight="1" s="290">
      <c r="A875" s="30" t="inlineStr">
        <is>
          <t>Autel Scanner MaxiCOM MK900BT, 2026 MK900-BT Bidirectional OBD2 Diagnostic Tool CAN FD DoIP, BT 2.0 Up. of MK900 MK808S MK808BT PRO MX900 MX808S, 40+ Service 3000+ Active Tests, OE Diagnostic, FCA SGW</t>
        </is>
      </c>
      <c r="B875" s="30" t="inlineStr">
        <is>
          <t>B0BSB1CZ8H</t>
        </is>
      </c>
      <c r="C875" s="30" t="inlineStr">
        <is>
          <t>Tablet</t>
        </is>
      </c>
      <c r="D875" s="324" t="n">
        <v>645.302</v>
      </c>
      <c r="E875" s="324" t="n">
        <v>49952.37</v>
      </c>
      <c r="F875" s="324" t="n">
        <v>3226.51</v>
      </c>
      <c r="G875" s="55" t="n">
        <v>80</v>
      </c>
      <c r="H875" s="57" t="n">
        <v>5</v>
      </c>
      <c r="I875" s="55" t="n">
        <v>22</v>
      </c>
      <c r="J875" s="56" t="n">
        <v>4.7</v>
      </c>
      <c r="K875" s="56" t="inlineStr">
        <is>
          <t>https://amazon.com/dp/B0BSB1CZ8H</t>
        </is>
      </c>
      <c r="L875" s="70">
        <f>HYPERLINK(Table1410[[#This Row],[Column1]])</f>
        <v/>
      </c>
    </row>
    <row r="876" ht="60" customHeight="1" s="290">
      <c r="A876" s="30" t="inlineStr">
        <is>
          <t>Autel MaxiCOM MK908 II Scanner: 2026 Up of MS906 PRO MS906MAX MP900BT MS906BT MK908, 38+ Services as Elite 2 PRO MK908P II MS908S Pro II, 3K+ Bidirectional Scan Tool, OE All Sys, Auto Scan 2.0, OS 10</t>
        </is>
      </c>
      <c r="B876" s="30" t="inlineStr">
        <is>
          <t>B07PDG5YR9</t>
        </is>
      </c>
      <c r="C876" s="30" t="inlineStr">
        <is>
          <t>Tablet</t>
        </is>
      </c>
      <c r="D876" s="324" t="n">
        <v>1481.594</v>
      </c>
      <c r="E876" s="324" t="n">
        <v>84657.20999999998</v>
      </c>
      <c r="F876" s="324" t="n">
        <v>7407.97</v>
      </c>
      <c r="G876" s="55" t="n">
        <v>55</v>
      </c>
      <c r="H876" s="57" t="n">
        <v>5</v>
      </c>
      <c r="I876" s="55" t="n">
        <v>36</v>
      </c>
      <c r="J876" s="56" t="n">
        <v>4.8</v>
      </c>
      <c r="K876" s="56" t="inlineStr">
        <is>
          <t>https://amazon.com/dp/B07PDG5YR9</t>
        </is>
      </c>
      <c r="L876" s="70">
        <f>HYPERLINK(Table1410[[#This Row],[Column1]])</f>
        <v/>
      </c>
    </row>
    <row r="877" ht="60" customHeight="1" s="290">
      <c r="A877" s="30" t="inlineStr">
        <is>
          <t>Autel MaxiIM IMKPA KIT - 12Pcs Expanded Fo-b Programming Chips w/Case, Work with XP400 PRO + Autel IM608 PRO II IM608S II IM608 PRO IM608 II IM508S IM508, Advanced for Benz/BWM/VW/Audi</t>
        </is>
      </c>
      <c r="B877" s="30" t="inlineStr">
        <is>
          <t>B08PPFNLSR</t>
        </is>
      </c>
      <c r="C877" s="30" t="inlineStr">
        <is>
          <t>Key</t>
        </is>
      </c>
      <c r="D877" s="324" t="n">
        <v>244.77</v>
      </c>
      <c r="E877" s="324" t="n">
        <v>10799</v>
      </c>
      <c r="F877" s="324" t="n">
        <v>1223.85</v>
      </c>
      <c r="G877" s="55" t="n">
        <v>45</v>
      </c>
      <c r="H877" s="57" t="n">
        <v>5</v>
      </c>
      <c r="I877" s="55" t="n">
        <v>15</v>
      </c>
      <c r="J877" s="56" t="n">
        <v>4.8</v>
      </c>
      <c r="K877" s="56" t="inlineStr">
        <is>
          <t>https://amazon.com/dp/B08PPFNLSR</t>
        </is>
      </c>
      <c r="L877" s="70">
        <f>HYPERLINK(Table1410[[#This Row],[Column1]])</f>
        <v/>
      </c>
    </row>
    <row r="878" ht="60" customHeight="1" s="290">
      <c r="A878" s="30" t="inlineStr">
        <is>
          <t>Autel Maxisys Elite 2 Pro Scanner, 2026 2-Year Free Update Elite II Pro,Same as MS Ultra MS908S PRO II, Motor TruSpeed Repair, 40+ Hot Services 3K+ Active Test, CANFD &amp;DoIP</t>
        </is>
      </c>
      <c r="B878" s="30" t="inlineStr">
        <is>
          <t>B0761SHWQC</t>
        </is>
      </c>
      <c r="C878" s="30" t="inlineStr">
        <is>
          <t>Tablet</t>
        </is>
      </c>
      <c r="D878" s="324" t="n">
        <v>2208.582</v>
      </c>
      <c r="E878" s="324" t="n">
        <v>113943.44</v>
      </c>
      <c r="F878" s="324" t="n">
        <v>11042.91</v>
      </c>
      <c r="G878" s="55" t="n">
        <v>50</v>
      </c>
      <c r="H878" s="57" t="n">
        <v>5</v>
      </c>
      <c r="I878" s="55" t="n">
        <v>28</v>
      </c>
      <c r="J878" s="56" t="n">
        <v>4.5</v>
      </c>
      <c r="K878" s="56" t="inlineStr">
        <is>
          <t>https://amazon.com/dp/B0761SHWQC</t>
        </is>
      </c>
      <c r="L878" s="70">
        <f>HYPERLINK(Table1410[[#This Row],[Column1]])</f>
        <v/>
      </c>
    </row>
    <row r="879" ht="45" customHeight="1" s="290">
      <c r="A879" s="30" t="inlineStr">
        <is>
          <t>Autel MaxiCheck MX900 Bidirectional Scanner, 2026 OBD2 Scan Tool Up of MaxiCOM MK808S MX808S MK808BT Pro, US Ver. of MK900BT w/ 3000+ Active Test, 40+ Service, CAN-FD&amp;DOIP, All-Sys Diagnose, FCA 11 OS</t>
        </is>
      </c>
      <c r="B879" s="30" t="inlineStr">
        <is>
          <t>B0GNTKBQD8</t>
        </is>
      </c>
      <c r="C879" s="30" t="inlineStr">
        <is>
          <t>Tablet</t>
        </is>
      </c>
      <c r="D879" s="324" t="n">
        <v>633.292</v>
      </c>
      <c r="E879" s="324" t="n">
        <v>35318.20769230769</v>
      </c>
      <c r="F879" s="324" t="n">
        <v>3166.46</v>
      </c>
      <c r="G879" s="55" t="n">
        <v>5</v>
      </c>
      <c r="H879" s="57" t="n">
        <v>5</v>
      </c>
      <c r="I879" s="55" t="n">
        <v>6</v>
      </c>
      <c r="J879" s="56" t="n">
        <v>4.7</v>
      </c>
      <c r="K879" s="56" t="inlineStr">
        <is>
          <t>https://amazon.com/dp/B0GNTKBQD8</t>
        </is>
      </c>
      <c r="L879" s="70">
        <f>HYPERLINK(Table1410[[#This Row],[Column1]])</f>
        <v/>
      </c>
    </row>
    <row r="880" ht="45" customHeight="1" s="290">
      <c r="A880" s="30" t="inlineStr">
        <is>
          <t>Autel MD600CV Heavy Duty Truck Scanner with D-P*F Regen/VGT Programming, Diesel Truck Full-System Diagnostic Scan Tool, 30+ Reset for Cummins, Detroit, Caterpillar, Volvo, Paccar, Dodge, Hino,Thomas</t>
        </is>
      </c>
      <c r="B880" s="30" t="inlineStr">
        <is>
          <t>B0D95SMX19</t>
        </is>
      </c>
      <c r="C880" s="30" t="inlineStr">
        <is>
          <t>Handheld</t>
        </is>
      </c>
      <c r="D880" s="324" t="n">
        <v>891.256</v>
      </c>
      <c r="E880" s="324" t="n">
        <v>36330.42</v>
      </c>
      <c r="F880" s="324" t="n">
        <v>4456.28</v>
      </c>
      <c r="G880" s="55" t="n">
        <v>36</v>
      </c>
      <c r="H880" s="57" t="n">
        <v>5</v>
      </c>
      <c r="I880" s="55" t="n">
        <v>3</v>
      </c>
      <c r="J880" s="56" t="n">
        <v>5</v>
      </c>
      <c r="K880" s="56" t="inlineStr">
        <is>
          <t>https://amazon.com/dp/B0D95SMX19</t>
        </is>
      </c>
      <c r="L880" s="70">
        <f>HYPERLINK(Table1410[[#This Row],[Column1]])</f>
        <v/>
      </c>
    </row>
    <row r="881" ht="45" customHeight="1" s="290">
      <c r="A881" s="30" t="inlineStr">
        <is>
          <t>Autel Scanner MaxiCheck MX808S-TS, 2026 TPMS &amp; Bidirectional Diagnostic Scan Tool, Same as MK900TS MK808S-TS TS900 Up of MK808S MX808S, Top TPMS Programming Tool, 3000+ Test, 28+ Service, FCA, OS 11</t>
        </is>
      </c>
      <c r="B881" s="30" t="inlineStr">
        <is>
          <t>B09QX781WY</t>
        </is>
      </c>
      <c r="C881" s="30" t="inlineStr">
        <is>
          <t>Tablet</t>
        </is>
      </c>
      <c r="D881" s="324" t="n">
        <v>605.15</v>
      </c>
      <c r="E881" s="324" t="n">
        <v>76293.39999999999</v>
      </c>
      <c r="F881" s="324" t="n">
        <v>3025.75</v>
      </c>
      <c r="G881" s="55" t="n">
        <v>118</v>
      </c>
      <c r="H881" s="57" t="n">
        <v>5</v>
      </c>
      <c r="I881" s="55" t="n">
        <v>76</v>
      </c>
      <c r="J881" s="56" t="n">
        <v>4.5</v>
      </c>
      <c r="K881" s="56" t="inlineStr">
        <is>
          <t>https://amazon.com/dp/B09QX781WY</t>
        </is>
      </c>
      <c r="L881" s="70">
        <f>HYPERLINK(Table1410[[#This Row],[Column1]])</f>
        <v/>
      </c>
    </row>
    <row r="882" ht="45" customHeight="1" s="290">
      <c r="A882" s="30" t="inlineStr">
        <is>
          <t>Autel AP2500E Bluetooth Code Reader OBD2 Scanner, Oil Reset, TPMS, EV Battery, BMS Reset, All-System Code Read/Clear, OBD2 10 Tests, Check Engine Light, 45+ Car Brands, for Android/iOS</t>
        </is>
      </c>
      <c r="B882" s="30" t="inlineStr">
        <is>
          <t>B0CPDTN8SB</t>
        </is>
      </c>
      <c r="C882" s="30" t="inlineStr">
        <is>
          <t>Dongle</t>
        </is>
      </c>
      <c r="D882" s="324" t="n">
        <v>57.252</v>
      </c>
      <c r="E882" s="324" t="n">
        <v>18053.16</v>
      </c>
      <c r="F882" s="324" t="n">
        <v>286.26</v>
      </c>
      <c r="G882" s="55" t="n">
        <v>309</v>
      </c>
      <c r="H882" s="57" t="n">
        <v>5</v>
      </c>
      <c r="I882" s="55" t="n">
        <v>150</v>
      </c>
      <c r="J882" s="56" t="n">
        <v>3.6</v>
      </c>
      <c r="K882" s="56" t="inlineStr">
        <is>
          <t>https://amazon.com/dp/B0CPDTN8SB</t>
        </is>
      </c>
      <c r="L882" s="70">
        <f>HYPERLINK(Table1410[[#This Row],[Column1]])</f>
        <v/>
      </c>
    </row>
    <row r="883" ht="60" customHeight="1" s="290">
      <c r="A883" s="30" t="inlineStr">
        <is>
          <t>Autel Scanner MK906 PRO2-TS with V2.0 Full TPMS &amp; ECU Coding, Bi-Directional Diagnostic Scan Tool, Upgrade of MS906 PRO-TS MK906 PRO-TS MP900TS MS906 MAX, 40+ Resets, 3000+ Active Tests, CAN FD &amp; DoIP</t>
        </is>
      </c>
      <c r="B883" s="30" t="inlineStr">
        <is>
          <t>B0GCN51PM5</t>
        </is>
      </c>
      <c r="C883" s="30" t="inlineStr">
        <is>
          <t>Tablet</t>
        </is>
      </c>
      <c r="D883" s="324" t="n">
        <v>1626.222</v>
      </c>
      <c r="E883" s="324" t="n">
        <v>88434.12999999999</v>
      </c>
      <c r="F883" s="324" t="n">
        <v>8131.11</v>
      </c>
      <c r="G883" s="55" t="n">
        <v>8</v>
      </c>
      <c r="H883" s="57" t="n">
        <v>5</v>
      </c>
      <c r="I883" s="55" t="n">
        <v>1</v>
      </c>
      <c r="J883" s="56" t="n">
        <v>5</v>
      </c>
      <c r="K883" s="56" t="inlineStr">
        <is>
          <t>https://amazon.com/dp/B0GCN51PM5</t>
        </is>
      </c>
      <c r="L883" s="70">
        <f>HYPERLINK(Table1410[[#This Row],[Column1]])</f>
        <v/>
      </c>
    </row>
    <row r="884" ht="60" customHeight="1" s="290">
      <c r="A884" s="30" t="inlineStr">
        <is>
          <t>Autel Scanner MaxiCOM MK906S PRO 2-TS: 2026 Up of MaxiSYS MS906 PRO2-TS/ MS906 MAX/ MS906PRO TS, Coding Same as Elite II PRO, Top TPMS Programming Tool, 40+ Services 3000+ Active Tests CAN FD DOIP</t>
        </is>
      </c>
      <c r="B884" s="30" t="inlineStr">
        <is>
          <t>B09YM9KJ1F</t>
        </is>
      </c>
      <c r="C884" s="30" t="inlineStr">
        <is>
          <t>Tablet</t>
        </is>
      </c>
      <c r="D884" s="324" t="n">
        <v>1492.94</v>
      </c>
      <c r="E884" s="324" t="n">
        <v>68594.70153846154</v>
      </c>
      <c r="F884" s="324" t="n">
        <v>7464.7</v>
      </c>
      <c r="G884" s="55" t="n">
        <v>22</v>
      </c>
      <c r="H884" s="57" t="n">
        <v>5</v>
      </c>
      <c r="I884" s="55" t="n">
        <v>9</v>
      </c>
      <c r="J884" s="56" t="n">
        <v>4.5</v>
      </c>
      <c r="K884" s="56" t="inlineStr">
        <is>
          <t>https://amazon.com/dp/B09YM9KJ1F</t>
        </is>
      </c>
      <c r="L884" s="70">
        <f>HYPERLINK(Table1410[[#This Row],[Column1]])</f>
        <v/>
      </c>
    </row>
    <row r="885" ht="60" customHeight="1" s="290">
      <c r="A885" s="30" t="inlineStr">
        <is>
          <t>Autel MaxiSYS MS906 PRO-TS Scanner: 2026 MS906Pro TS Up of MP900TS MK900TS MP900BT Kit MS906 MAX, Full TPMS &amp; OE C0ding, Bidirectional Tool, 3000+ Active Test, 36+ Service, CAN FD&amp;DoIP, Auto Scan 2.0</t>
        </is>
      </c>
      <c r="B885" s="30" t="inlineStr">
        <is>
          <t>B073ZMGT2R</t>
        </is>
      </c>
      <c r="C885" s="30" t="inlineStr">
        <is>
          <t>Tablet</t>
        </is>
      </c>
      <c r="D885" s="324" t="n">
        <v>1651.378</v>
      </c>
      <c r="E885" s="324" t="n">
        <v>89065.42923076922</v>
      </c>
      <c r="F885" s="324" t="n">
        <v>8256.889999999999</v>
      </c>
      <c r="G885" s="55" t="n">
        <v>47</v>
      </c>
      <c r="H885" s="57" t="n">
        <v>5</v>
      </c>
      <c r="I885" s="55" t="n">
        <v>48</v>
      </c>
      <c r="J885" s="56" t="n">
        <v>4.8</v>
      </c>
      <c r="K885" s="56" t="inlineStr">
        <is>
          <t>https://amazon.com/dp/B073ZMGT2R</t>
        </is>
      </c>
      <c r="L885" s="70">
        <f>HYPERLINK(Table1410[[#This Row],[Column1]])</f>
        <v/>
      </c>
    </row>
    <row r="886" ht="45" customHeight="1" s="290">
      <c r="A886" s="30" t="inlineStr">
        <is>
          <t>Autel MaxiSYS MS906 PRO Scanner, 2026 MS906PRO Same as MS906MAX, V2.0 Upgraded of MS908S Elite 2 MS906BT MP900BT, DoIP CAN FD, 36+ Service, Bidirectional 3000+ Active Test, VAG Guided</t>
        </is>
      </c>
      <c r="B886" s="30" t="inlineStr">
        <is>
          <t>B07GWHXWBQ</t>
        </is>
      </c>
      <c r="C886" s="30" t="inlineStr">
        <is>
          <t>Other</t>
        </is>
      </c>
      <c r="D886" s="324" t="n">
        <v>1589.736</v>
      </c>
      <c r="E886" s="324" t="n">
        <v>72117.50153846154</v>
      </c>
      <c r="F886" s="324" t="n">
        <v>7948.68</v>
      </c>
      <c r="G886" s="55" t="n">
        <v>14</v>
      </c>
      <c r="H886" s="57" t="n">
        <v>5</v>
      </c>
      <c r="I886" s="55" t="n">
        <v>39</v>
      </c>
      <c r="J886" s="56" t="n">
        <v>4.6</v>
      </c>
      <c r="K886" s="56" t="inlineStr">
        <is>
          <t>https://amazon.com/dp/B07GWHXWBQ</t>
        </is>
      </c>
      <c r="L886" s="70">
        <f>HYPERLINK(Table1410[[#This Row],[Column1]])</f>
        <v/>
      </c>
    </row>
    <row r="887" ht="60" customHeight="1" s="290">
      <c r="A887" s="30" t="inlineStr">
        <is>
          <t>Autel MaxiPRO MP900TS Scanner: 2026 MP900-TS Same as MS906 Pro-TS, Top TPMS Up of MaxiSYS MS906 PRO MS906TS MP900-BT MK900-TS, Bidirectional Scan Tool, 40+ Resets, Full Diagnostic, CAN FD&amp;DOIP</t>
        </is>
      </c>
      <c r="B887" s="30" t="inlineStr">
        <is>
          <t>B07YJGHSD4</t>
        </is>
      </c>
      <c r="C887" s="30" t="inlineStr">
        <is>
          <t>Tablet</t>
        </is>
      </c>
      <c r="D887" s="324" t="n">
        <v>1032.894</v>
      </c>
      <c r="E887" s="324" t="n">
        <v>45523.29</v>
      </c>
      <c r="F887" s="324" t="n">
        <v>5164.47</v>
      </c>
      <c r="G887" s="55" t="n">
        <v>42</v>
      </c>
      <c r="H887" s="57" t="n">
        <v>5</v>
      </c>
      <c r="I887" s="55" t="n">
        <v>169</v>
      </c>
      <c r="J887" s="56" t="n">
        <v>4.5</v>
      </c>
      <c r="K887" s="56" t="inlineStr">
        <is>
          <t>https://amazon.com/dp/B07YJGHSD4</t>
        </is>
      </c>
      <c r="L887" s="70">
        <f>HYPERLINK(Table1410[[#This Row],[Column1]])</f>
        <v/>
      </c>
    </row>
    <row r="888" ht="45" customHeight="1" s="290">
      <c r="A888" s="30" t="inlineStr">
        <is>
          <t>Autel AutoLink AL439 OBD2 Scanner, 2024 OBD2/EOBD Code Reader &amp; Electrical Testing Diagnostic Scan Tool, I/M Readiness, Reads &amp; Clears Codes, Live Data, Work on 1996 &amp; Newer for DIYers Professionals</t>
        </is>
      </c>
      <c r="B888" s="30" t="inlineStr">
        <is>
          <t>B0D2CY68J1</t>
        </is>
      </c>
      <c r="C888" s="30" t="inlineStr">
        <is>
          <t>Handheld</t>
        </is>
      </c>
      <c r="D888" s="324" t="n">
        <v>70.97799999999999</v>
      </c>
      <c r="E888" s="324" t="n">
        <v>663.34</v>
      </c>
      <c r="F888" s="324" t="n">
        <v>354.89</v>
      </c>
      <c r="G888" s="55" t="n">
        <v>9</v>
      </c>
      <c r="H888" s="57" t="n">
        <v>5</v>
      </c>
      <c r="I888" s="55" t="n">
        <v>5</v>
      </c>
      <c r="J888" s="56" t="n">
        <v>5</v>
      </c>
      <c r="K888" s="56" t="inlineStr">
        <is>
          <t>https://amazon.com/dp/B0D2CY68J1</t>
        </is>
      </c>
      <c r="L888" s="70">
        <f>HYPERLINK(Table1410[[#This Row],[Column1]])</f>
        <v/>
      </c>
    </row>
    <row r="889" ht="45" customHeight="1" s="290">
      <c r="A889" s="30" t="inlineStr">
        <is>
          <t>Autel MaxiSys Ultra Scanner, 2026 Top Intelligent Scan Tool with MV108 &amp; 5-in-1 VCMI [$2000], Up of Ultra Lite/ MS919/ MS909 S2/ Elite, Motor TruSpeed, Topology Map 2.0, 40+ Service, Programming ﻿</t>
        </is>
      </c>
      <c r="B889" s="30" t="inlineStr">
        <is>
          <t>B0C1FFYHFF</t>
        </is>
      </c>
      <c r="C889" s="30" t="inlineStr">
        <is>
          <t>Tablet</t>
        </is>
      </c>
      <c r="D889" s="324" t="n">
        <v>3945.218</v>
      </c>
      <c r="E889" s="324" t="n">
        <v>520259.9400000001</v>
      </c>
      <c r="F889" s="324" t="n">
        <v>19726.09</v>
      </c>
      <c r="G889" s="55" t="n">
        <v>135</v>
      </c>
      <c r="H889" s="57" t="n">
        <v>5</v>
      </c>
      <c r="I889" s="55" t="n">
        <v>20</v>
      </c>
      <c r="J889" s="56" t="n">
        <v>4.1</v>
      </c>
      <c r="K889" s="56" t="inlineStr">
        <is>
          <t>https://amazon.com/dp/B0C1FFYHFF</t>
        </is>
      </c>
      <c r="L889" s="70">
        <f>HYPERLINK(Table1410[[#This Row],[Column1]])</f>
        <v/>
      </c>
    </row>
    <row r="890" ht="60" customHeight="1" s="290">
      <c r="A890" s="30" t="inlineStr">
        <is>
          <t>Autel EVDiag Box EV Diagnostics Upgrade Kit Professional Electric Vehicle Scanner for EV High-Voltage Sys &amp; Battery Pack Diagnostics Test Compatible with MaxiSys Ultra/Ultra ADAS/ MS919/ MS909</t>
        </is>
      </c>
      <c r="B890" s="30" t="inlineStr">
        <is>
          <t>B0BS8MC2V7</t>
        </is>
      </c>
      <c r="C890" s="30" t="inlineStr">
        <is>
          <t>VCI</t>
        </is>
      </c>
      <c r="D890" s="324" t="n">
        <v>820.778</v>
      </c>
      <c r="E890" s="324" t="n">
        <v>11775.47615384616</v>
      </c>
      <c r="F890" s="324" t="n">
        <v>4103.89</v>
      </c>
      <c r="G890" s="55" t="n">
        <v>9</v>
      </c>
      <c r="H890" s="57" t="n">
        <v>5</v>
      </c>
      <c r="I890" s="55" t="n"/>
      <c r="J890" s="56" t="n"/>
      <c r="K890" s="56" t="inlineStr">
        <is>
          <t>https://amazon.com/dp/B0BS8MC2V7</t>
        </is>
      </c>
      <c r="L890" s="70">
        <f>HYPERLINK(Table1410[[#This Row],[Column1]])</f>
        <v/>
      </c>
    </row>
    <row r="891" ht="45" customHeight="1" s="290">
      <c r="A891" s="30" t="inlineStr">
        <is>
          <t>Autel MaxiVCI VCI200 OBDII Connector, Bluetooth Vehicle Communication Interface Comprehensive Diagnosis DoIP CAN FD Work with BT508 BT608 BT609 ITS600 KM100 MS906Pro MS906Pro-TS MK906SPRO MK906 Pro-TS</t>
        </is>
      </c>
      <c r="B891" s="30" t="inlineStr">
        <is>
          <t>B0BNHS5XKV</t>
        </is>
      </c>
      <c r="C891" s="30" t="inlineStr">
        <is>
          <t>Dongle</t>
        </is>
      </c>
      <c r="D891" s="324" t="n">
        <v>208.966</v>
      </c>
      <c r="E891" s="324" t="n">
        <v>15170.76</v>
      </c>
      <c r="F891" s="324" t="n">
        <v>1044.83</v>
      </c>
      <c r="G891" s="55" t="n">
        <v>73</v>
      </c>
      <c r="H891" s="57" t="n">
        <v>5</v>
      </c>
      <c r="I891" s="55" t="n">
        <v>7</v>
      </c>
      <c r="J891" s="56" t="n">
        <v>5</v>
      </c>
      <c r="K891" s="56" t="inlineStr">
        <is>
          <t>https://amazon.com/dp/B0BNHS5XKV</t>
        </is>
      </c>
      <c r="L891" s="70">
        <f>HYPERLINK(Table1410[[#This Row],[Column1]])</f>
        <v/>
      </c>
    </row>
    <row r="892" ht="60" customHeight="1" s="290">
      <c r="A892" s="30" t="inlineStr">
        <is>
          <t>Autel MaxiSys Elite II Pro Scanner, 2026 2 Years Free Update Elite 2 Pro, J2534 Reprogramming Tool as Ultra MS909 MS919 Up of MS908SP II MK908P II, Motor TruSpeed, 45+ Resets, CAN FD DoIP, 3K+ Test</t>
        </is>
      </c>
      <c r="B892" s="30" t="inlineStr">
        <is>
          <t>B01EHL39ZU</t>
        </is>
      </c>
      <c r="C892" s="30" t="inlineStr">
        <is>
          <t>Tablet</t>
        </is>
      </c>
      <c r="D892" s="324" t="n">
        <v>2586.468</v>
      </c>
      <c r="E892" s="324" t="n">
        <v>182636.34</v>
      </c>
      <c r="F892" s="324" t="n">
        <v>12932.34</v>
      </c>
      <c r="G892" s="55" t="n">
        <v>77</v>
      </c>
      <c r="H892" s="57" t="n">
        <v>5</v>
      </c>
      <c r="I892" s="55" t="n">
        <v>161</v>
      </c>
      <c r="J892" s="56" t="n">
        <v>4.4</v>
      </c>
      <c r="K892" s="56" t="inlineStr">
        <is>
          <t>https://amazon.com/dp/B01EHL39ZU</t>
        </is>
      </c>
      <c r="L892" s="70">
        <f>HYPERLINK(Table1410[[#This Row],[Column1]])</f>
        <v/>
      </c>
    </row>
    <row r="893" ht="45" customHeight="1" s="290">
      <c r="A893" s="30" t="inlineStr">
        <is>
          <t>Autel MaxiIM IM608 PRO 2 Scanner with Full Kit ($1316), 2026 IM608 PRO II Diagnostic Tool Upgrade of IM608 Pro IM608S II IM508S, ECU as Elite II Pro, 40+Reset, 3000+ Active Tests, Full System</t>
        </is>
      </c>
      <c r="B893" s="30" t="inlineStr">
        <is>
          <t>B07NYR2STX</t>
        </is>
      </c>
      <c r="C893" s="30" t="inlineStr">
        <is>
          <t>Tablet</t>
        </is>
      </c>
      <c r="D893" s="324" t="n">
        <v>3318.036</v>
      </c>
      <c r="E893" s="324" t="n">
        <v>117504.1623076923</v>
      </c>
      <c r="F893" s="324" t="n">
        <v>16590.18</v>
      </c>
      <c r="G893" s="55" t="n">
        <v>31</v>
      </c>
      <c r="H893" s="57" t="n">
        <v>5</v>
      </c>
      <c r="I893" s="55" t="n">
        <v>8</v>
      </c>
      <c r="J893" s="56" t="n">
        <v>4.5</v>
      </c>
      <c r="K893" s="56" t="inlineStr">
        <is>
          <t>https://amazon.com/dp/B07NYR2STX</t>
        </is>
      </c>
      <c r="L893" s="70">
        <f>HYPERLINK(Table1410[[#This Row],[Column1]])</f>
        <v/>
      </c>
    </row>
    <row r="894" ht="45" customHeight="1" s="290">
      <c r="A894" s="30" t="inlineStr">
        <is>
          <t>Autel MaxiCOM MK900-TS TPMS Scanner, 2026 Bidirectional Tool Updated of MaxiCheck MX808S-TS, MK808S-TS, MS906TS w/ 40+ Service, 3000+ Active Tests, All System Diagnose, No-IP Limited Ver. of MX900TS</t>
        </is>
      </c>
      <c r="B894" s="30" t="inlineStr">
        <is>
          <t>B08DFPK2HC</t>
        </is>
      </c>
      <c r="C894" s="30" t="inlineStr">
        <is>
          <t>Tablet</t>
        </is>
      </c>
      <c r="D894" s="324" t="n">
        <v>864.324</v>
      </c>
      <c r="E894" s="324" t="n">
        <v>63102.88999999999</v>
      </c>
      <c r="F894" s="324" t="n">
        <v>4321.62</v>
      </c>
      <c r="G894" s="55" t="n">
        <v>72</v>
      </c>
      <c r="H894" s="57" t="n">
        <v>5</v>
      </c>
      <c r="I894" s="55" t="n">
        <v>20</v>
      </c>
      <c r="J894" s="56" t="n">
        <v>4.4</v>
      </c>
      <c r="K894" s="56" t="inlineStr">
        <is>
          <t>https://amazon.com/dp/B08DFPK2HC</t>
        </is>
      </c>
      <c r="L894" s="70">
        <f>HYPERLINK(Table1410[[#This Row],[Column1]])</f>
        <v/>
      </c>
    </row>
    <row r="895" ht="30" customHeight="1" s="290">
      <c r="A895" s="30" t="inlineStr">
        <is>
          <t>AutoLINK AL629</t>
        </is>
      </c>
      <c r="B895" s="30" t="inlineStr">
        <is>
          <t>B073RDY1PX</t>
        </is>
      </c>
      <c r="C895" s="30" t="inlineStr">
        <is>
          <t>Handheld</t>
        </is>
      </c>
      <c r="D895" s="324" t="n">
        <v>140.8975</v>
      </c>
      <c r="E895" s="324" t="n">
        <v>11934.3</v>
      </c>
      <c r="F895" s="324" t="n">
        <v>563.59</v>
      </c>
      <c r="G895" s="55" t="n">
        <v>83</v>
      </c>
      <c r="H895" s="57" t="n">
        <v>4</v>
      </c>
      <c r="I895" s="55" t="n">
        <v>139</v>
      </c>
      <c r="J895" s="56" t="n">
        <v>4.2</v>
      </c>
      <c r="K895" s="56" t="inlineStr">
        <is>
          <t>https://amazon.com/dp/B073RDY1PX</t>
        </is>
      </c>
      <c r="L895" s="70">
        <f>HYPERLINK(Table1410[[#This Row],[Column1]])</f>
        <v/>
      </c>
    </row>
    <row r="896" ht="45" customHeight="1" s="290">
      <c r="A896" s="30" t="inlineStr">
        <is>
          <t>Autel Scanner Maxicom MK900TS, 2026 MK900-TS Up of MS906-TS MX900TS MK808S-TS MK900BT MK900, Top TPMS Program/Relearn, 3000+ Active Test, 40+ Service, CAN FD &amp; DoIP, Bidirectional Scan Tool OS 11.0</t>
        </is>
      </c>
      <c r="B896" s="30" t="inlineStr">
        <is>
          <t>B06VW6HM8C</t>
        </is>
      </c>
      <c r="C896" s="30" t="inlineStr">
        <is>
          <t>Tablet</t>
        </is>
      </c>
      <c r="D896" s="324" t="n">
        <v>888.8825000000001</v>
      </c>
      <c r="E896" s="324" t="n">
        <v>48402.86</v>
      </c>
      <c r="F896" s="324" t="n">
        <v>3555.53</v>
      </c>
      <c r="G896" s="55" t="n">
        <v>55</v>
      </c>
      <c r="H896" s="57" t="n">
        <v>4</v>
      </c>
      <c r="I896" s="55" t="n">
        <v>91</v>
      </c>
      <c r="J896" s="56" t="n">
        <v>4.5</v>
      </c>
      <c r="K896" s="56" t="inlineStr">
        <is>
          <t>https://amazon.com/dp/B06VW6HM8C</t>
        </is>
      </c>
      <c r="L896" s="70">
        <f>HYPERLINK(Table1410[[#This Row],[Column1]])</f>
        <v/>
      </c>
    </row>
    <row r="897" ht="45" customHeight="1" s="290">
      <c r="A897" s="30" t="inlineStr">
        <is>
          <t>Autel Original Tesla Diagnostic Cables Set for Tesla S/Y/3/X, Compatible with MaxiSYS MS909/919/908SPro/Elite/Elite II/Ultra Tablets</t>
        </is>
      </c>
      <c r="B897" s="30" t="inlineStr">
        <is>
          <t>B0D93DF9MY</t>
        </is>
      </c>
      <c r="C897" s="30" t="inlineStr">
        <is>
          <t>Cable/Adapter</t>
        </is>
      </c>
      <c r="D897" s="324" t="n">
        <v>28.3725</v>
      </c>
      <c r="E897" s="324" t="n">
        <v>753.67</v>
      </c>
      <c r="F897" s="324" t="n">
        <v>113.49</v>
      </c>
      <c r="G897" s="55" t="n">
        <v>25</v>
      </c>
      <c r="H897" s="57" t="n">
        <v>4</v>
      </c>
      <c r="I897" s="55" t="n">
        <v>4</v>
      </c>
      <c r="J897" s="56" t="n">
        <v>5</v>
      </c>
      <c r="K897" s="56" t="inlineStr">
        <is>
          <t>https://amazon.com/dp/B0D93DF9MY</t>
        </is>
      </c>
      <c r="L897" s="70">
        <f>HYPERLINK(Table1410[[#This Row],[Column1]])</f>
        <v/>
      </c>
    </row>
    <row r="898" ht="45" customHeight="1" s="290">
      <c r="A898" s="30" t="inlineStr">
        <is>
          <t>Autel Scanner MaxiSys Elite 2 PRO, 2026 Elite II PRO 2-Year Update $2590, ECU Functions as Ultra MS919 MS909, Up of MK908P, Bidirectional Diagnostic Scan Tool, Intelligent Motor, 40+ Reset, CANFD DoIP</t>
        </is>
      </c>
      <c r="B898" s="30" t="inlineStr">
        <is>
          <t>B09YGZRW51</t>
        </is>
      </c>
      <c r="C898" s="30" t="inlineStr">
        <is>
          <t>Tablet</t>
        </is>
      </c>
      <c r="D898" s="324" t="n">
        <v>2559.28</v>
      </c>
      <c r="E898" s="324" t="n">
        <v>157036.7792307692</v>
      </c>
      <c r="F898" s="324" t="n">
        <v>10237.12</v>
      </c>
      <c r="G898" s="55" t="n">
        <v>62</v>
      </c>
      <c r="H898" s="57" t="n">
        <v>4</v>
      </c>
      <c r="I898" s="55" t="n">
        <v>12</v>
      </c>
      <c r="J898" s="56" t="n">
        <v>4.6</v>
      </c>
      <c r="K898" s="56" t="inlineStr">
        <is>
          <t>https://amazon.com/dp/B09YGZRW51</t>
        </is>
      </c>
      <c r="L898" s="70">
        <f>HYPERLINK(Table1410[[#This Row],[Column1]])</f>
        <v/>
      </c>
    </row>
    <row r="899" ht="45" customHeight="1" s="290">
      <c r="A899" s="30" t="inlineStr">
        <is>
          <t>Autel MaxiIM Ikey, IKEYBW004AL, Programmable Smart Universal Key Replacement, 4pcs, OE-Quality Key Fob for BMW, IMMO Learning, Dual-Band, Work with KM100 XP400PRO XP200 for IM508S IM608 PRO</t>
        </is>
      </c>
      <c r="B899" s="30" t="inlineStr">
        <is>
          <t>B0BQ6GLDDX</t>
        </is>
      </c>
      <c r="C899" s="30" t="inlineStr">
        <is>
          <t>Key</t>
        </is>
      </c>
      <c r="D899" s="324" t="n">
        <v>129.49</v>
      </c>
      <c r="E899" s="324" t="n">
        <v>7367.35</v>
      </c>
      <c r="F899" s="324" t="n">
        <v>517.96</v>
      </c>
      <c r="G899" s="55" t="n">
        <v>49</v>
      </c>
      <c r="H899" s="57" t="n">
        <v>4</v>
      </c>
      <c r="I899" s="55" t="n">
        <v>12</v>
      </c>
      <c r="J899" s="56" t="n">
        <v>5</v>
      </c>
      <c r="K899" s="56" t="inlineStr">
        <is>
          <t>https://amazon.com/dp/B0BQ6GLDDX</t>
        </is>
      </c>
      <c r="L899" s="70">
        <f>HYPERLINK(Table1410[[#This Row],[Column1]])</f>
        <v/>
      </c>
    </row>
    <row r="900" ht="45" customHeight="1" s="290">
      <c r="A900" s="30" t="inlineStr">
        <is>
          <t>Autel MaxiAP AP2500 Obd2 Scanner Bluetooth 5 Service Functions Auto OBDII Diagnostic Scan Tool iOS &amp; Android Full Systems Code Reader Same Functions as AP2500E, Advanced AL329, 45+ Car Brands</t>
        </is>
      </c>
      <c r="B900" s="30" t="inlineStr">
        <is>
          <t>B094XRDH7S</t>
        </is>
      </c>
      <c r="C900" s="30" t="inlineStr">
        <is>
          <t>Dongle</t>
        </is>
      </c>
      <c r="D900" s="324" t="n">
        <v>62.33</v>
      </c>
      <c r="E900" s="324" t="n">
        <v>2788.78</v>
      </c>
      <c r="F900" s="324" t="n">
        <v>249.32</v>
      </c>
      <c r="G900" s="55" t="n">
        <v>48</v>
      </c>
      <c r="H900" s="57" t="n">
        <v>4</v>
      </c>
      <c r="I900" s="55" t="n">
        <v>65</v>
      </c>
      <c r="J900" s="56" t="n">
        <v>3.7</v>
      </c>
      <c r="K900" s="56" t="inlineStr">
        <is>
          <t>https://amazon.com/dp/B094XRDH7S</t>
        </is>
      </c>
      <c r="L900" s="70">
        <f>HYPERLINK(Table1410[[#This Row],[Column1]])</f>
        <v/>
      </c>
    </row>
    <row r="901" ht="45" customHeight="1" s="290">
      <c r="A901" s="30" t="inlineStr">
        <is>
          <t>Autel MaxiSys MS906 MAX Scanner, 2026 MS906MAX 10.1" 2.0 Ver. of MS906 PRO-TS/MS906 PRO/MP900BT KIT/ MK900BT, Bi-Directional Diagnostic Tool, 3000+Tests 40+ Services, CAN FD&amp;DoIP, 160+ Brands</t>
        </is>
      </c>
      <c r="B901" s="30" t="inlineStr">
        <is>
          <t>B0DXFK2ZGD</t>
        </is>
      </c>
      <c r="C901" s="30" t="inlineStr">
        <is>
          <t>Tablet</t>
        </is>
      </c>
      <c r="D901" s="324" t="n">
        <v>1538.4975</v>
      </c>
      <c r="E901" s="324" t="n">
        <v>57358.5</v>
      </c>
      <c r="F901" s="324" t="n">
        <v>6153.99</v>
      </c>
      <c r="G901" s="55" t="n">
        <v>41</v>
      </c>
      <c r="H901" s="57" t="n">
        <v>4</v>
      </c>
      <c r="I901" s="55" t="n">
        <v>113</v>
      </c>
      <c r="J901" s="56" t="n">
        <v>4.4</v>
      </c>
      <c r="K901" s="56" t="inlineStr">
        <is>
          <t>https://amazon.com/dp/B0DXFK2ZGD</t>
        </is>
      </c>
      <c r="L901" s="70">
        <f>HYPERLINK(Table1410[[#This Row],[Column1]])</f>
        <v/>
      </c>
    </row>
    <row r="902" ht="60" customHeight="1" s="290">
      <c r="A902" s="30" t="inlineStr">
        <is>
          <t>Autel Scanner MaxiSYS MS906 MAX, 2026 10'' MS906MAX 2.0 Ver. of MS906 PRO MS908S MK908 II, Lite of Elite 2 PRO, Top Scan Tool Bidirectional, 3000+ Active Test, 40+ Resets, CAN FD DoIP Auto Scan2.0 FCA</t>
        </is>
      </c>
      <c r="B902" s="30" t="inlineStr">
        <is>
          <t>B09PG3L6K1</t>
        </is>
      </c>
      <c r="C902" s="30" t="inlineStr">
        <is>
          <t>Tablet</t>
        </is>
      </c>
      <c r="D902" s="324" t="n">
        <v>1729.81</v>
      </c>
      <c r="E902" s="324" t="n">
        <v>159490.5007692308</v>
      </c>
      <c r="F902" s="324" t="n">
        <v>6919.24</v>
      </c>
      <c r="G902" s="55" t="n">
        <v>98</v>
      </c>
      <c r="H902" s="57" t="n">
        <v>4</v>
      </c>
      <c r="I902" s="55" t="n">
        <v>12</v>
      </c>
      <c r="J902" s="56" t="n">
        <v>4.8</v>
      </c>
      <c r="K902" s="56" t="inlineStr">
        <is>
          <t>https://amazon.com/dp/B09PG3L6K1</t>
        </is>
      </c>
      <c r="L902" s="70">
        <f>HYPERLINK(Table1410[[#This Row],[Column1]])</f>
        <v/>
      </c>
    </row>
    <row r="903" ht="30" customHeight="1" s="290">
      <c r="A903" s="30" t="inlineStr">
        <is>
          <t>Autel OBD2 Main Test Cable MaxiSys MS908/Mini MS905/DS808/MK808/MP808/MP808K</t>
        </is>
      </c>
      <c r="B903" s="30" t="inlineStr">
        <is>
          <t>B08MZZZJBM</t>
        </is>
      </c>
      <c r="C903" s="30" t="inlineStr">
        <is>
          <t>Cable/Adapter</t>
        </is>
      </c>
      <c r="D903" s="324" t="n">
        <v>21.18</v>
      </c>
      <c r="E903" s="324" t="n">
        <v>12709.84</v>
      </c>
      <c r="F903" s="324" t="n">
        <v>84.72</v>
      </c>
      <c r="G903" s="55" t="n">
        <v>772</v>
      </c>
      <c r="H903" s="57" t="n">
        <v>4</v>
      </c>
      <c r="I903" s="55" t="n">
        <v>237</v>
      </c>
      <c r="J903" s="56" t="n">
        <v>4.7</v>
      </c>
      <c r="K903" s="56" t="inlineStr">
        <is>
          <t>https://amazon.com/dp/B08MZZZJBM</t>
        </is>
      </c>
      <c r="L903" s="70">
        <f>HYPERLINK(Table1410[[#This Row],[Column1]])</f>
        <v/>
      </c>
    </row>
    <row r="904" ht="60" customHeight="1" s="290">
      <c r="A904" s="30" t="inlineStr">
        <is>
          <t>Autel OBD2 Scanner AutoLink AL549: 2025 Check Engine Code Reader ABS Diagnostic Tool, Universal Car Battery &amp; Alternator Test, Upgrade Ver. of Autel AL519 MaxiLink ML519 OBDII CAN Diagnostic Scan Tool</t>
        </is>
      </c>
      <c r="B904" s="30" t="inlineStr">
        <is>
          <t>B0CP3YLDLH</t>
        </is>
      </c>
      <c r="C904" s="30" t="inlineStr">
        <is>
          <t>Handheld</t>
        </is>
      </c>
      <c r="D904" s="324" t="n">
        <v>60.8975</v>
      </c>
      <c r="E904" s="324" t="n">
        <v>49515.7</v>
      </c>
      <c r="F904" s="324" t="n">
        <v>243.59</v>
      </c>
      <c r="G904" s="55" t="n">
        <v>650</v>
      </c>
      <c r="H904" s="57" t="n">
        <v>4</v>
      </c>
      <c r="I904" s="55" t="n">
        <v>322</v>
      </c>
      <c r="J904" s="56" t="n">
        <v>4.5</v>
      </c>
      <c r="K904" s="56" t="inlineStr">
        <is>
          <t>https://amazon.com/dp/B0CP3YLDLH</t>
        </is>
      </c>
      <c r="L904" s="70">
        <f>HYPERLINK(Table1410[[#This Row],[Column1]])</f>
        <v/>
      </c>
    </row>
    <row r="905" ht="60" customHeight="1" s="290">
      <c r="A905" s="30" t="inlineStr">
        <is>
          <t>Autel MaxiPRO MP900-TS Scanner: 2026 Level-up of MP808S-TS, MP808BT Pro, MS906TS w/DoIP CAN-FD, 40+ Services, OE ECU C0ding, TPMS Pr0gramming Relearn, Bi-Directional Test, All System Scan, FCA SGW</t>
        </is>
      </c>
      <c r="B905" s="30" t="inlineStr">
        <is>
          <t>B01IVFC0GW</t>
        </is>
      </c>
      <c r="C905" s="30" t="inlineStr">
        <is>
          <t>Tablet</t>
        </is>
      </c>
      <c r="D905" s="324" t="n">
        <v>1082.9425</v>
      </c>
      <c r="E905" s="324" t="n">
        <v>79524.41999999998</v>
      </c>
      <c r="F905" s="324" t="n">
        <v>4331.77</v>
      </c>
      <c r="G905" s="55" t="n">
        <v>73</v>
      </c>
      <c r="H905" s="57" t="n">
        <v>4</v>
      </c>
      <c r="I905" s="55" t="n">
        <v>42</v>
      </c>
      <c r="J905" s="56" t="n">
        <v>4.5</v>
      </c>
      <c r="K905" s="56" t="inlineStr">
        <is>
          <t>https://amazon.com/dp/B01IVFC0GW</t>
        </is>
      </c>
      <c r="L905" s="70">
        <f>HYPERLINK(Table1410[[#This Row],[Column1]])</f>
        <v/>
      </c>
    </row>
    <row r="906" ht="45" customHeight="1" s="290">
      <c r="A906" s="30" t="inlineStr">
        <is>
          <t>Autel MaxiIM KM100 OBD2 Diagnostic Scan Tool, Lifetime Free Update 2026 New Autel Scanner (95% Covered), 10+ Service, 2+64G, 10X Fast Hardware, No IP Limit</t>
        </is>
      </c>
      <c r="B906" s="30" t="inlineStr">
        <is>
          <t>B0FPC6GQ8K</t>
        </is>
      </c>
      <c r="C906" s="30" t="inlineStr">
        <is>
          <t>Tablet</t>
        </is>
      </c>
      <c r="D906" s="324" t="n">
        <v>474.0425</v>
      </c>
      <c r="E906" s="324" t="n">
        <v>21684.56846153846</v>
      </c>
      <c r="F906" s="324" t="n">
        <v>1896.17</v>
      </c>
      <c r="G906" s="55" t="n">
        <v>5</v>
      </c>
      <c r="H906" s="57" t="n">
        <v>4</v>
      </c>
      <c r="I906" s="55" t="n"/>
      <c r="J906" s="56" t="n"/>
      <c r="K906" s="56" t="inlineStr">
        <is>
          <t>https://amazon.com/dp/B0FPC6GQ8K</t>
        </is>
      </c>
      <c r="L906" s="70">
        <f>HYPERLINK(Table1410[[#This Row],[Column1]])</f>
        <v/>
      </c>
    </row>
    <row r="907" ht="60" customHeight="1" s="290">
      <c r="A907" s="30" t="inlineStr">
        <is>
          <t>Autel Scanner MaxiPro MP900Z-BT: 2026 ECU Coding OBD2 Bidirectional Scan Tool with 40+ Services, Upgraded of MP900 MS906BT MP900BT All System OBDII Car Code Reader CAN FD, Alternative to MS906 Pro</t>
        </is>
      </c>
      <c r="B907" s="30" t="inlineStr">
        <is>
          <t>B0CCJMF7PY</t>
        </is>
      </c>
      <c r="C907" s="30" t="inlineStr">
        <is>
          <t>Tablet</t>
        </is>
      </c>
      <c r="D907" s="324" t="n">
        <v>882.3575</v>
      </c>
      <c r="E907" s="324" t="n">
        <v>29335.19</v>
      </c>
      <c r="F907" s="324" t="n">
        <v>3529.43</v>
      </c>
      <c r="G907" s="55" t="n">
        <v>31</v>
      </c>
      <c r="H907" s="57" t="n">
        <v>4</v>
      </c>
      <c r="I907" s="55" t="n">
        <v>133</v>
      </c>
      <c r="J907" s="56" t="n">
        <v>4.4</v>
      </c>
      <c r="K907" s="56" t="inlineStr">
        <is>
          <t>https://amazon.com/dp/B0CCJMF7PY</t>
        </is>
      </c>
      <c r="L907" s="70">
        <f>HYPERLINK(Table1410[[#This Row],[Column1]])</f>
        <v/>
      </c>
    </row>
    <row r="908" ht="45" customHeight="1" s="290">
      <c r="A908" s="30" t="inlineStr">
        <is>
          <t>Autel TESKIT3Y Compatible Diagnostic Cable Adapter for Tesla Model 3 and Model Y, Read and Erase Codes, View Live Data, Work with Ultra/ MS919/ MS909/ Elite II PRO/UltraEV etc</t>
        </is>
      </c>
      <c r="B908" s="30" t="inlineStr">
        <is>
          <t>B0CJNKHKBB</t>
        </is>
      </c>
      <c r="C908" s="30" t="inlineStr">
        <is>
          <t>Cable/Adapter</t>
        </is>
      </c>
      <c r="D908" s="324" t="n">
        <v>48.775</v>
      </c>
      <c r="E908" s="324" t="n">
        <v>5740.429999999999</v>
      </c>
      <c r="F908" s="324" t="n">
        <v>195.1</v>
      </c>
      <c r="G908" s="55" t="n">
        <v>115</v>
      </c>
      <c r="H908" s="57" t="n">
        <v>4</v>
      </c>
      <c r="I908" s="55" t="n">
        <v>7</v>
      </c>
      <c r="J908" s="56" t="n">
        <v>4.1</v>
      </c>
      <c r="K908" s="56" t="inlineStr">
        <is>
          <t>https://amazon.com/dp/B0CJNKHKBB</t>
        </is>
      </c>
      <c r="L908" s="70">
        <f>HYPERLINK(Table1410[[#This Row],[Column1]])</f>
        <v/>
      </c>
    </row>
    <row r="909" ht="45" customHeight="1" s="290">
      <c r="A909" s="30" t="inlineStr">
        <is>
          <t>Autel TPMS Programming Tool MaxiTPMS ITS600 2023 Version Read/Activate/Relearn TPMS Sensor Program MX Sensor OLS/SAS/BMS/EPB AutoVIN VINscan Free TPMS Software Update Compatible TBE200 TBE100</t>
        </is>
      </c>
      <c r="B909" s="30" t="inlineStr">
        <is>
          <t>B0BDRBDDX6</t>
        </is>
      </c>
      <c r="C909" s="30" t="inlineStr">
        <is>
          <t>Handheld</t>
        </is>
      </c>
      <c r="D909" s="324" t="n">
        <v>547.0075000000001</v>
      </c>
      <c r="E909" s="324" t="n">
        <v>9261.529999999999</v>
      </c>
      <c r="F909" s="324" t="n">
        <v>2188.03</v>
      </c>
      <c r="G909" s="55" t="n">
        <v>19</v>
      </c>
      <c r="H909" s="57" t="n">
        <v>4</v>
      </c>
      <c r="I909" s="55" t="n">
        <v>1</v>
      </c>
      <c r="J909" s="56" t="n">
        <v>5</v>
      </c>
      <c r="K909" s="56" t="inlineStr">
        <is>
          <t>https://amazon.com/dp/B0BDRBDDX6</t>
        </is>
      </c>
      <c r="L909" s="70">
        <f>HYPERLINK(Table1410[[#This Row],[Column1]])</f>
        <v/>
      </c>
    </row>
    <row r="910" ht="45" customHeight="1" s="290">
      <c r="A910" s="30" t="inlineStr">
        <is>
          <t>Autel MaxiCom Ultra Lite Scanner, 2 Years Free Updates, Same as MaxiSys Ultra, 2026 Up of MS919 MS909 MS906 Elite II Pro, Topology 2.0, Motor TruSpeed Repair, 40+ Service, Repair Tips, FCA SGW,</t>
        </is>
      </c>
      <c r="B910" s="30" t="inlineStr">
        <is>
          <t>B0FJLZ19KF</t>
        </is>
      </c>
      <c r="C910" s="30" t="inlineStr">
        <is>
          <t>Tablet</t>
        </is>
      </c>
      <c r="D910" s="324" t="n">
        <v>3055.933333333333</v>
      </c>
      <c r="E910" s="324" t="n">
        <v>134026.323076923</v>
      </c>
      <c r="F910" s="324" t="n">
        <v>9167.799999999999</v>
      </c>
      <c r="G910" s="55" t="n">
        <v>32</v>
      </c>
      <c r="H910" s="57" t="n">
        <v>3</v>
      </c>
      <c r="I910" s="55" t="n">
        <v>8</v>
      </c>
      <c r="J910" s="56" t="n">
        <v>5</v>
      </c>
      <c r="K910" s="56" t="inlineStr">
        <is>
          <t>https://amazon.com/dp/B0FJLZ19KF</t>
        </is>
      </c>
      <c r="L910" s="70">
        <f>HYPERLINK(Table1410[[#This Row],[Column1]])</f>
        <v/>
      </c>
    </row>
    <row r="911" ht="45" customHeight="1" s="290">
      <c r="A911" s="30" t="inlineStr">
        <is>
          <t>XP400PRO</t>
        </is>
      </c>
      <c r="B911" s="30" t="inlineStr">
        <is>
          <t>B09PVQZPK5</t>
        </is>
      </c>
      <c r="C911" s="30" t="inlineStr">
        <is>
          <t>Tablet</t>
        </is>
      </c>
      <c r="D911" s="324" t="n">
        <v>401.6333333333334</v>
      </c>
      <c r="E911" s="324" t="n">
        <v>16294.20846153847</v>
      </c>
      <c r="F911" s="324" t="n">
        <v>1204.9</v>
      </c>
      <c r="G911" s="55" t="n">
        <v>16</v>
      </c>
      <c r="H911" s="57" t="n">
        <v>3</v>
      </c>
      <c r="I911" s="55" t="n">
        <v>2</v>
      </c>
      <c r="J911" s="56" t="n">
        <v>5</v>
      </c>
      <c r="K911" s="56" t="inlineStr">
        <is>
          <t>https://amazon.com/dp/B09PVQZPK5</t>
        </is>
      </c>
      <c r="L911" s="70">
        <f>HYPERLINK(Table1410[[#This Row],[Column1]])</f>
        <v/>
      </c>
    </row>
    <row r="912" ht="45" customHeight="1" s="290">
      <c r="A912" s="30" t="inlineStr">
        <is>
          <t>Autel Scanner MaxiSYS MS906 MAX, 2026 MS906MAX Bi-Directional Tool Up of MS906 Pro MP900BT w/ECU C0ding, DoIP CANFD, FCA SGW AutAuth, All System Scan, 40+ Service 3000+ Active Tests as MS908S PRO II</t>
        </is>
      </c>
      <c r="B912" s="30" t="inlineStr">
        <is>
          <t>B089XWCTX3</t>
        </is>
      </c>
      <c r="C912" s="30" t="inlineStr">
        <is>
          <t>Tablet</t>
        </is>
      </c>
      <c r="D912" s="324" t="n">
        <v>1463.016666666667</v>
      </c>
      <c r="E912" s="324" t="n">
        <v>44903.3576923077</v>
      </c>
      <c r="F912" s="324" t="n">
        <v>4389.05</v>
      </c>
      <c r="G912" s="55" t="n">
        <v>3</v>
      </c>
      <c r="H912" s="57" t="n">
        <v>3</v>
      </c>
      <c r="I912" s="55" t="n">
        <v>191</v>
      </c>
      <c r="J912" s="56" t="n">
        <v>4.4</v>
      </c>
      <c r="K912" s="56" t="inlineStr">
        <is>
          <t>https://amazon.com/dp/B089XWCTX3</t>
        </is>
      </c>
      <c r="L912" s="70">
        <f>HYPERLINK(Table1410[[#This Row],[Column1]])</f>
        <v/>
      </c>
    </row>
    <row r="913" ht="45" customHeight="1" s="290">
      <c r="A913" s="30" t="inlineStr">
        <is>
          <t>Autel MaxiCOM MK900 Bidirectional Scanner, New Autel Scanner Upgrade from MK808S MX808S MK808Z, 40+ OBD2 Service Mode, All System Scan Tool for Car, WiFi Print, DoIP CAN FD, FCA Auto Auth</t>
        </is>
      </c>
      <c r="B913" s="30" t="inlineStr">
        <is>
          <t>B0DHG4FP45</t>
        </is>
      </c>
      <c r="C913" s="30" t="inlineStr">
        <is>
          <t>Tablet</t>
        </is>
      </c>
      <c r="D913" s="324" t="n">
        <v>586.2233333333334</v>
      </c>
      <c r="E913" s="324" t="n">
        <v>85943.76999999999</v>
      </c>
      <c r="F913" s="324" t="n">
        <v>1758.67</v>
      </c>
      <c r="G913" s="55" t="n">
        <v>157</v>
      </c>
      <c r="H913" s="57" t="n">
        <v>3</v>
      </c>
      <c r="I913" s="55" t="n">
        <v>5</v>
      </c>
      <c r="J913" s="56" t="n">
        <v>4.6</v>
      </c>
      <c r="K913" s="56" t="inlineStr">
        <is>
          <t>https://amazon.com/dp/B0DHG4FP45</t>
        </is>
      </c>
      <c r="L913" s="70">
        <f>HYPERLINK(Table1410[[#This Row],[Column1]])</f>
        <v/>
      </c>
    </row>
    <row r="914" ht="60" customHeight="1" s="290">
      <c r="A914" s="30" t="inlineStr">
        <is>
          <t>Autel MaxiTPMS TS508WF TPMS Programming Tool, w/$120 4PCS Autel TPMS Sensors, 2026 WiFi Ver. of TS408S TS501 TS508 TS601, Relearn/Activate/Diagnosis All Sensor, Read/Clear DTCs, Lifetime Update</t>
        </is>
      </c>
      <c r="B914" s="30" t="inlineStr">
        <is>
          <t>B0CRTXTR9D</t>
        </is>
      </c>
      <c r="C914" s="30" t="inlineStr">
        <is>
          <t>Handheld</t>
        </is>
      </c>
      <c r="D914" s="324" t="n">
        <v>341.4933333333333</v>
      </c>
      <c r="E914" s="324" t="n">
        <v>11120.65384615385</v>
      </c>
      <c r="F914" s="324" t="n">
        <v>1024.48</v>
      </c>
      <c r="G914" s="55" t="n">
        <v>33</v>
      </c>
      <c r="H914" s="57" t="n">
        <v>3</v>
      </c>
      <c r="I914" s="55" t="n">
        <v>6</v>
      </c>
      <c r="J914" s="56" t="n">
        <v>5</v>
      </c>
      <c r="K914" s="56" t="inlineStr">
        <is>
          <t>https://amazon.com/dp/B0CRTXTR9D</t>
        </is>
      </c>
      <c r="L914" s="70">
        <f>HYPERLINK(Table1410[[#This Row],[Column1]])</f>
        <v/>
      </c>
    </row>
    <row r="915" ht="45" customHeight="1" s="290">
      <c r="A915" s="30" t="inlineStr">
        <is>
          <t>Autel AL539 AutoLink OBD ll Professional Electrical Test Tool</t>
        </is>
      </c>
      <c r="B915" s="30" t="inlineStr">
        <is>
          <t>B0091DJWKG</t>
        </is>
      </c>
      <c r="C915" s="30" t="inlineStr">
        <is>
          <t>Handheld</t>
        </is>
      </c>
      <c r="D915" s="324" t="n">
        <v>74.11333333333333</v>
      </c>
      <c r="E915" s="324" t="n">
        <v>5348.94</v>
      </c>
      <c r="F915" s="324" t="n">
        <v>222.34</v>
      </c>
      <c r="G915" s="55" t="n">
        <v>82</v>
      </c>
      <c r="H915" s="57" t="n">
        <v>3</v>
      </c>
      <c r="I915" s="55" t="n">
        <v>191</v>
      </c>
      <c r="J915" s="56" t="n">
        <v>4.5</v>
      </c>
      <c r="K915" s="56" t="inlineStr">
        <is>
          <t>https://amazon.com/dp/B0091DJWKG</t>
        </is>
      </c>
      <c r="L915" s="70">
        <f>HYPERLINK(Table1410[[#This Row],[Column1]])</f>
        <v/>
      </c>
    </row>
    <row r="916" ht="60" customHeight="1" s="290">
      <c r="A916" s="30" t="inlineStr">
        <is>
          <t>Autel Original MaxiSYS 8-Pin CV Adapter for Volvo, 8 Pins to OBD2 16 Pins for Volvo Off-Highway Cable Connector, Work w/Autel Heavy Duty Truck Scanner MS908CV MS908CV II MS909CV MS906CV MaxiFlash VCI</t>
        </is>
      </c>
      <c r="B916" s="30" t="inlineStr">
        <is>
          <t>B0FF55JXG1</t>
        </is>
      </c>
      <c r="C916" s="30" t="inlineStr">
        <is>
          <t>Cable/Adapter</t>
        </is>
      </c>
      <c r="D916" s="324" t="n">
        <v>23.29333333333333</v>
      </c>
      <c r="E916" s="324" t="n">
        <v>1053.663076923077</v>
      </c>
      <c r="F916" s="324" t="n">
        <v>69.88</v>
      </c>
      <c r="G916" s="55" t="n">
        <v>28</v>
      </c>
      <c r="H916" s="57" t="n">
        <v>3</v>
      </c>
      <c r="I916" s="55" t="n">
        <v>2</v>
      </c>
      <c r="J916" s="56" t="n">
        <v>5</v>
      </c>
      <c r="K916" s="56" t="inlineStr">
        <is>
          <t>https://amazon.com/dp/B0FF55JXG1</t>
        </is>
      </c>
      <c r="L916" s="70">
        <f>HYPERLINK(Table1410[[#This Row],[Column1]])</f>
        <v/>
      </c>
    </row>
    <row r="917" ht="60" customHeight="1" s="290">
      <c r="A917" s="30" t="inlineStr">
        <is>
          <t>2026 Autel MaxiCOM Ultra Lite Intelligent Scanner, 2 Years Free Update, Up of MS919 Elite II Pro Same as MaxiSys Ultra, Motor TruSpeed, Topology 2.0, 40+ Service, 3000+ Active Test, FCA SGW</t>
        </is>
      </c>
      <c r="B917" s="30" t="inlineStr">
        <is>
          <t>B0GVXCG3S3</t>
        </is>
      </c>
      <c r="C917" s="30" t="inlineStr">
        <is>
          <t>Tablet</t>
        </is>
      </c>
      <c r="D917" s="324" t="n">
        <v>2969</v>
      </c>
      <c r="E917" s="324" t="n">
        <v>107569.1538461539</v>
      </c>
      <c r="F917" s="324" t="n">
        <v>8907</v>
      </c>
      <c r="G917" s="55" t="n">
        <v>3</v>
      </c>
      <c r="H917" s="57" t="n">
        <v>3</v>
      </c>
      <c r="I917" s="55" t="n"/>
      <c r="J917" s="56" t="n"/>
      <c r="K917" s="56" t="inlineStr">
        <is>
          <t>https://amazon.com/dp/B0GVXCG3S3</t>
        </is>
      </c>
      <c r="L917" s="70">
        <f>HYPERLINK(Table1410[[#This Row],[Column1]])</f>
        <v/>
      </c>
    </row>
    <row r="918" ht="60" customHeight="1" s="290">
      <c r="A918" s="30" t="inlineStr">
        <is>
          <t>Autel MaxiLink ML629 OBD2 Scanner Upgraded Version of AL519 AL619 ML619 Full OBDII Code Reader ABS SRS Engine Transmission Diagnostics Tool with DTC Lookup Auto VIN</t>
        </is>
      </c>
      <c r="B918" s="30" t="inlineStr">
        <is>
          <t>B0FJ1PL3NR</t>
        </is>
      </c>
      <c r="C918" s="30" t="inlineStr">
        <is>
          <t>Handheld</t>
        </is>
      </c>
      <c r="D918" s="324" t="n">
        <v>110.7566666666667</v>
      </c>
      <c r="E918" s="324" t="n">
        <v>5146.903076923077</v>
      </c>
      <c r="F918" s="324" t="n">
        <v>332.27</v>
      </c>
      <c r="G918" s="55" t="n">
        <v>35</v>
      </c>
      <c r="H918" s="57" t="n">
        <v>3</v>
      </c>
      <c r="I918" s="55" t="n">
        <v>4</v>
      </c>
      <c r="J918" s="56" t="n">
        <v>4.1</v>
      </c>
      <c r="K918" s="56" t="inlineStr">
        <is>
          <t>https://amazon.com/dp/B0FJ1PL3NR</t>
        </is>
      </c>
      <c r="L918" s="70">
        <f>HYPERLINK(Table1410[[#This Row],[Column1]])</f>
        <v/>
      </c>
    </row>
    <row r="919" ht="45" customHeight="1" s="290">
      <c r="A919" s="30" t="inlineStr">
        <is>
          <t>Autel MaxiSys MSOBD2KIT Non-OBDII Adapter Kit 11 Adapters for Vehicles Without OBD2 Port Within Blow-Molded Carrying Case OBD2 Connectors Support MS Ultra MS919 MS909 MX808 TS608</t>
        </is>
      </c>
      <c r="B919" s="30" t="inlineStr">
        <is>
          <t>B093X3S6QY</t>
        </is>
      </c>
      <c r="C919" s="30" t="inlineStr">
        <is>
          <t>Cable/Adapter</t>
        </is>
      </c>
      <c r="D919" s="324" t="n">
        <v>137.1266666666667</v>
      </c>
      <c r="E919" s="324" t="n">
        <v>9492.735384615384</v>
      </c>
      <c r="F919" s="324" t="n">
        <v>411.38</v>
      </c>
      <c r="G919" s="55" t="n">
        <v>71</v>
      </c>
      <c r="H919" s="57" t="n">
        <v>3</v>
      </c>
      <c r="I919" s="55" t="n">
        <v>11</v>
      </c>
      <c r="J919" s="56" t="n">
        <v>4.8</v>
      </c>
      <c r="K919" s="56" t="inlineStr">
        <is>
          <t>https://amazon.com/dp/B093X3S6QY</t>
        </is>
      </c>
      <c r="L919" s="70">
        <f>HYPERLINK(Table1410[[#This Row],[Column1]])</f>
        <v/>
      </c>
    </row>
    <row r="920" ht="45" customHeight="1" s="290">
      <c r="A920" s="30" t="inlineStr">
        <is>
          <t>Autel Scanner KM100E OBD2 Tool: 2026 Lite Version of IM508 Pro, IM608 Pro 2 IM608S II, V200 Wireless BT Connect, Auto Scan 2.0, Android 9.0, 10X Faster Hardware, Full Functions, Support 150-200 Brands</t>
        </is>
      </c>
      <c r="B920" s="30" t="inlineStr">
        <is>
          <t>B07Q2LMS7J</t>
        </is>
      </c>
      <c r="C920" s="30" t="inlineStr">
        <is>
          <t>Tablet</t>
        </is>
      </c>
      <c r="D920" s="324" t="n">
        <v>461.8699999999999</v>
      </c>
      <c r="E920" s="324" t="n">
        <v>21754.89</v>
      </c>
      <c r="F920" s="324" t="n">
        <v>1385.61</v>
      </c>
      <c r="G920" s="55" t="n">
        <v>40</v>
      </c>
      <c r="H920" s="57" t="n">
        <v>3</v>
      </c>
      <c r="I920" s="55" t="n">
        <v>180</v>
      </c>
      <c r="J920" s="56" t="n">
        <v>4.5</v>
      </c>
      <c r="K920" s="56" t="inlineStr">
        <is>
          <t>https://amazon.com/dp/B07Q2LMS7J</t>
        </is>
      </c>
      <c r="L920" s="70">
        <f>HYPERLINK(Table1410[[#This Row],[Column1]])</f>
        <v/>
      </c>
    </row>
    <row r="921" ht="45" customHeight="1" s="290">
      <c r="A921" s="30" t="inlineStr">
        <is>
          <t>Autel Scanner MaxiCOM MK908 II w/ $60 MV108S | 2026 10.1" Up of MaxiSYS MS908S II MS906 PRO MS906MAX, 3000+ Active Tests, 38+ Service as Elite II Pro MK908 PRO II, AutoScan2.0, OS10, OE All-Sys</t>
        </is>
      </c>
      <c r="B921" s="30" t="inlineStr">
        <is>
          <t>B07SKVMYK8</t>
        </is>
      </c>
      <c r="C921" s="30" t="inlineStr">
        <is>
          <t>Tablet</t>
        </is>
      </c>
      <c r="D921" s="324" t="n">
        <v>1605.133333333333</v>
      </c>
      <c r="E921" s="324" t="n">
        <v>46762.8</v>
      </c>
      <c r="F921" s="324" t="n">
        <v>4815.4</v>
      </c>
      <c r="G921" s="55" t="n">
        <v>30</v>
      </c>
      <c r="H921" s="57" t="n">
        <v>3</v>
      </c>
      <c r="I921" s="55" t="n">
        <v>78</v>
      </c>
      <c r="J921" s="56" t="n">
        <v>4.6</v>
      </c>
      <c r="K921" s="56" t="inlineStr">
        <is>
          <t>https://amazon.com/dp/B07SKVMYK8</t>
        </is>
      </c>
      <c r="L921" s="70">
        <f>HYPERLINK(Table1410[[#This Row],[Column1]])</f>
        <v/>
      </c>
    </row>
    <row r="922" ht="45" customHeight="1" s="290">
      <c r="A922" s="30" t="inlineStr">
        <is>
          <t>Autel MaxiSys MS909CV 2026 Top Heavy Duty Truck Scanner for Semi Commercial Cars, Upgrade of MS908CV with Intelligent Scan, 60+ Services, J2534 Programmer Coding, 3000+ Test,Topology 2.0</t>
        </is>
      </c>
      <c r="B922" s="30" t="inlineStr">
        <is>
          <t>B094XRTNPK</t>
        </is>
      </c>
      <c r="C922" s="30" t="inlineStr">
        <is>
          <t>Tablet</t>
        </is>
      </c>
      <c r="D922" s="324" t="n">
        <v>4854.066666666667</v>
      </c>
      <c r="E922" s="324" t="n">
        <v>164926.48</v>
      </c>
      <c r="F922" s="324" t="n">
        <v>14562.2</v>
      </c>
      <c r="G922" s="55" t="n">
        <v>38</v>
      </c>
      <c r="H922" s="57" t="n">
        <v>3</v>
      </c>
      <c r="I922" s="55" t="n">
        <v>8</v>
      </c>
      <c r="J922" s="56" t="n">
        <v>4.6</v>
      </c>
      <c r="K922" s="56" t="inlineStr">
        <is>
          <t>https://amazon.com/dp/B094XRTNPK</t>
        </is>
      </c>
      <c r="L922" s="70">
        <f>HYPERLINK(Table1410[[#This Row],[Column1]])</f>
        <v/>
      </c>
    </row>
    <row r="923" ht="45" customHeight="1" s="290">
      <c r="A923" s="30" t="inlineStr">
        <is>
          <t>Autel MaxiSys Ultra S2 AI Scanner, 2026 UltraS2 Top Intelligent Scan Tool, Up of MS919 S2 MSUltra EV, 6IN1 VCMI2, Multi-Point DVI, Topology 3.0, Motor Truspeed, 48+ Service, EV Tests, 3K+ Active Tests</t>
        </is>
      </c>
      <c r="B923" s="30" t="inlineStr">
        <is>
          <t>B0936PQ6Y8</t>
        </is>
      </c>
      <c r="C923" s="30" t="inlineStr">
        <is>
          <t>Tablet</t>
        </is>
      </c>
      <c r="D923" s="324" t="n">
        <v>5715.826666666667</v>
      </c>
      <c r="E923" s="324" t="n">
        <v>122687.2330769231</v>
      </c>
      <c r="F923" s="324" t="n">
        <v>17147.48</v>
      </c>
      <c r="G923" s="55" t="n">
        <v>20</v>
      </c>
      <c r="H923" s="57" t="n">
        <v>3</v>
      </c>
      <c r="I923" s="55" t="n">
        <v>8</v>
      </c>
      <c r="J923" s="56" t="n">
        <v>5</v>
      </c>
      <c r="K923" s="56" t="inlineStr">
        <is>
          <t>https://amazon.com/dp/B0936PQ6Y8</t>
        </is>
      </c>
      <c r="L923" s="70">
        <f>HYPERLINK(Table1410[[#This Row],[Column1]])</f>
        <v/>
      </c>
    </row>
    <row r="924" ht="45" customHeight="1" s="290">
      <c r="A924" s="30" t="inlineStr">
        <is>
          <t>Autel Original MaxiSYS 14-PIN CV Adapter for Volvo, Volvo14 Off-Road Construction Cable Connector, Work w/Truck Scanner Diagnostic Scan Tool MS908CV, MS908CV II, MS909CV, MS906CV, and MaxiFlash VCI</t>
        </is>
      </c>
      <c r="B924" s="30" t="inlineStr">
        <is>
          <t>B0FF4SD9ZL</t>
        </is>
      </c>
      <c r="C924" s="30" t="inlineStr">
        <is>
          <t>Cable/Adapter</t>
        </is>
      </c>
      <c r="D924" s="324" t="n">
        <v>18.88</v>
      </c>
      <c r="E924" s="324" t="n">
        <v>1063.452307692308</v>
      </c>
      <c r="F924" s="324" t="n">
        <v>56.64</v>
      </c>
      <c r="G924" s="55" t="n">
        <v>31</v>
      </c>
      <c r="H924" s="57" t="n">
        <v>3</v>
      </c>
      <c r="I924" s="55" t="n">
        <v>6</v>
      </c>
      <c r="J924" s="56" t="n">
        <v>4.7</v>
      </c>
      <c r="K924" s="56" t="inlineStr">
        <is>
          <t>https://amazon.com/dp/B0FF4SD9ZL</t>
        </is>
      </c>
      <c r="L924" s="70">
        <f>HYPERLINK(Table1410[[#This Row],[Column1]])</f>
        <v/>
      </c>
    </row>
    <row r="925" ht="45" customHeight="1" s="290">
      <c r="A925" s="30" t="inlineStr">
        <is>
          <t>Autel MaxiDiag Advanced MD808 (MD808 Pro) All System OBDII Scanner (Combination of MaxiCheck Pro and MD802) for Oil and Battery Reset Registration, Parking Brake Pad Relearn,SAS,SRS,ABS,EPB,DPF,BMS</t>
        </is>
      </c>
      <c r="B925" s="30" t="inlineStr">
        <is>
          <t>B0714GBRZK</t>
        </is>
      </c>
      <c r="C925" s="30" t="inlineStr">
        <is>
          <t>Handheld</t>
        </is>
      </c>
      <c r="D925" s="324" t="n">
        <v>234.9933333333333</v>
      </c>
      <c r="E925" s="324" t="n">
        <v>8231.661538461538</v>
      </c>
      <c r="F925" s="324" t="n">
        <v>704.98</v>
      </c>
      <c r="G925" s="55" t="n">
        <v>26</v>
      </c>
      <c r="H925" s="57" t="n">
        <v>3</v>
      </c>
      <c r="I925" s="55" t="n">
        <v>190</v>
      </c>
      <c r="J925" s="56" t="n">
        <v>4.2</v>
      </c>
      <c r="K925" s="56" t="inlineStr">
        <is>
          <t>https://amazon.com/dp/B0714GBRZK</t>
        </is>
      </c>
      <c r="L925" s="70">
        <f>HYPERLINK(Table1410[[#This Row],[Column1]])</f>
        <v/>
      </c>
    </row>
    <row r="926" ht="60" customHeight="1" s="290">
      <c r="A926" s="30" t="inlineStr">
        <is>
          <t>Autel MaxiSys Ultra 1-Year Update Service, Total Care Program (TCP) Card, One Year Software Subscription &amp; Warranty</t>
        </is>
      </c>
      <c r="B926" s="30" t="inlineStr">
        <is>
          <t>B0G7FM9844</t>
        </is>
      </c>
      <c r="C926" s="30" t="inlineStr">
        <is>
          <t>Other</t>
        </is>
      </c>
      <c r="D926" s="324" t="n">
        <v>1283.4</v>
      </c>
      <c r="E926" s="324" t="n">
        <v>42761.43692307692</v>
      </c>
      <c r="F926" s="324" t="n">
        <v>3850.2</v>
      </c>
      <c r="G926" s="55" t="n">
        <v>9</v>
      </c>
      <c r="H926" s="57" t="n">
        <v>3</v>
      </c>
      <c r="I926" s="55" t="n"/>
      <c r="J926" s="56" t="n"/>
      <c r="K926" s="56" t="inlineStr">
        <is>
          <t>https://amazon.com/dp/B0G7FM9844</t>
        </is>
      </c>
      <c r="L926" s="70">
        <f>HYPERLINK(Table1410[[#This Row],[Column1]])</f>
        <v/>
      </c>
    </row>
    <row r="927" ht="45" customHeight="1" s="290">
      <c r="A927" s="30" t="inlineStr">
        <is>
          <t>Autel IM508S Pro Scanner OE Level Automotive Diagnostic Scan Tool 5X Faster Android 11.0 View Freeze Frame and Live Data FCA SGW 40+ Service Auto Scan 2.0 4-Core 4/64G</t>
        </is>
      </c>
      <c r="B927" s="30" t="inlineStr">
        <is>
          <t>B0G2RJ5HFL</t>
        </is>
      </c>
      <c r="C927" s="30" t="inlineStr">
        <is>
          <t>Tablet</t>
        </is>
      </c>
      <c r="D927" s="324" t="n">
        <v>1846.26</v>
      </c>
      <c r="E927" s="324" t="n">
        <v>70651.49000000001</v>
      </c>
      <c r="F927" s="324" t="n">
        <v>5538.78</v>
      </c>
      <c r="G927" s="55" t="n">
        <v>18</v>
      </c>
      <c r="H927" s="57" t="n">
        <v>3</v>
      </c>
      <c r="I927" s="55" t="n"/>
      <c r="J927" s="56" t="n"/>
      <c r="K927" s="56" t="inlineStr">
        <is>
          <t>https://amazon.com/dp/B0G2RJ5HFL</t>
        </is>
      </c>
      <c r="L927" s="70">
        <f>HYPERLINK(Table1410[[#This Row],[Column1]])</f>
        <v/>
      </c>
    </row>
    <row r="928" ht="60" customHeight="1" s="290">
      <c r="A928" s="30" t="inlineStr">
        <is>
          <t>Autel Scanner MaxiCOM MK908 Pro MS908S PRO II: 2026 J2534 Reprogramming Tool as MaxiSYS MS909 MS919 Elite II PRO Ultra Lite S2, OE Coding, 38+ Resets, All System Scan, 3K+ Active Tests, CANFD &amp; DoIP</t>
        </is>
      </c>
      <c r="B928" s="30" t="inlineStr">
        <is>
          <t>B00RFUY6XU</t>
        </is>
      </c>
      <c r="C928" s="30" t="inlineStr">
        <is>
          <t>Tablet</t>
        </is>
      </c>
      <c r="D928" s="324" t="n">
        <v>2024.45</v>
      </c>
      <c r="E928" s="324" t="n">
        <v>165981.26</v>
      </c>
      <c r="F928" s="324" t="n">
        <v>6073.35</v>
      </c>
      <c r="G928" s="55" t="n">
        <v>84</v>
      </c>
      <c r="H928" s="57" t="n">
        <v>3</v>
      </c>
      <c r="I928" s="55" t="n">
        <v>177</v>
      </c>
      <c r="J928" s="56" t="n">
        <v>4.5</v>
      </c>
      <c r="K928" s="56" t="inlineStr">
        <is>
          <t>https://amazon.com/dp/B00RFUY6XU</t>
        </is>
      </c>
      <c r="L928" s="70">
        <f>HYPERLINK(Table1410[[#This Row],[Column1]])</f>
        <v/>
      </c>
    </row>
    <row r="929" ht="60" customHeight="1" s="290">
      <c r="A929" s="30" t="inlineStr">
        <is>
          <t>Autel MaxiSYS MS906 PRO-TS Scanner: 2026 MS906Pro-TS Up of MP900TS MS906 PRO MP900BT MS906MAX, Full TPMS &amp; OE Coding, Bidirectional Scan Tool, 3000+ Test, 36+ Service, CAN FD&amp;DoIP, Auto Scan 2.0</t>
        </is>
      </c>
      <c r="B929" s="30" t="inlineStr">
        <is>
          <t>B01J1GWZVK</t>
        </is>
      </c>
      <c r="C929" s="30" t="inlineStr">
        <is>
          <t>Tablet</t>
        </is>
      </c>
      <c r="D929" s="324" t="n">
        <v>1388.883333333333</v>
      </c>
      <c r="E929" s="324" t="n">
        <v>45259.78</v>
      </c>
      <c r="F929" s="324" t="n">
        <v>4166.65</v>
      </c>
      <c r="G929" s="55" t="n">
        <v>28</v>
      </c>
      <c r="H929" s="57" t="n">
        <v>3</v>
      </c>
      <c r="I929" s="55" t="n">
        <v>42</v>
      </c>
      <c r="J929" s="56" t="n">
        <v>4.5</v>
      </c>
      <c r="K929" s="56" t="inlineStr">
        <is>
          <t>https://amazon.com/dp/B01J1GWZVK</t>
        </is>
      </c>
      <c r="L929" s="70">
        <f>HYPERLINK(Table1410[[#This Row],[Column1]])</f>
        <v/>
      </c>
    </row>
    <row r="930" ht="60" customHeight="1" s="290">
      <c r="A930" s="30" t="inlineStr">
        <is>
          <t>Autel AutoLink AL529HD OBD2 Scanner with Screen Wiper 2025 Heavy Duty Code Reader Retrieve Code VIN O2 Sensor Test OBDII Monitor Test Review Read Erase Data View Live Data Freeze Frame Data</t>
        </is>
      </c>
      <c r="B930" s="30" t="inlineStr">
        <is>
          <t>B0BJTKLQWH</t>
        </is>
      </c>
      <c r="C930" s="30" t="inlineStr">
        <is>
          <t>Handheld</t>
        </is>
      </c>
      <c r="D930" s="324" t="n">
        <v>104.16</v>
      </c>
      <c r="E930" s="324" t="n">
        <v>16290.97</v>
      </c>
      <c r="F930" s="324" t="n">
        <v>312.48</v>
      </c>
      <c r="G930" s="55" t="n">
        <v>138</v>
      </c>
      <c r="H930" s="57" t="n">
        <v>3</v>
      </c>
      <c r="I930" s="55" t="n">
        <v>24</v>
      </c>
      <c r="J930" s="56" t="n">
        <v>4.3</v>
      </c>
      <c r="K930" s="56" t="inlineStr">
        <is>
          <t>https://amazon.com/dp/B0BJTKLQWH</t>
        </is>
      </c>
      <c r="L930" s="70">
        <f>HYPERLINK(Table1410[[#This Row],[Column1]])</f>
        <v/>
      </c>
    </row>
    <row r="931" ht="45" customHeight="1" s="290">
      <c r="A931" s="30" t="inlineStr">
        <is>
          <t>Autel MaxiSys MS906MAX Scanner, Upgrade Version of Ms906Pro, Top Scan Tool, Bidirectional Diagnostic Tool, Upgrade of MK900, MP900BT, MS906BT, MK908, ECU Coding, 40+ Services, All System Diagnosis</t>
        </is>
      </c>
      <c r="B931" s="30" t="inlineStr">
        <is>
          <t>B0DWMP16VT</t>
        </is>
      </c>
      <c r="C931" s="30" t="inlineStr">
        <is>
          <t>Tablet</t>
        </is>
      </c>
      <c r="D931" s="324" t="n">
        <v>1547.206666666667</v>
      </c>
      <c r="E931" s="324" t="n">
        <v>34583.46153846155</v>
      </c>
      <c r="F931" s="324" t="n">
        <v>4641.62</v>
      </c>
      <c r="G931" s="55" t="n">
        <v>8</v>
      </c>
      <c r="H931" s="57" t="n">
        <v>3</v>
      </c>
      <c r="I931" s="55" t="n">
        <v>1</v>
      </c>
      <c r="J931" s="56" t="n">
        <v>5</v>
      </c>
      <c r="K931" s="56" t="inlineStr">
        <is>
          <t>https://amazon.com/dp/B0DWMP16VT</t>
        </is>
      </c>
      <c r="L931" s="70">
        <f>HYPERLINK(Table1410[[#This Row],[Column1]])</f>
        <v/>
      </c>
    </row>
    <row r="932" ht="60" customHeight="1" s="290">
      <c r="A932" s="30" t="inlineStr">
        <is>
          <t>MaxiCheck MX900</t>
        </is>
      </c>
      <c r="B932" s="30" t="inlineStr">
        <is>
          <t>B0F1W591BJ</t>
        </is>
      </c>
      <c r="C932" s="30" t="inlineStr">
        <is>
          <t>Tablet</t>
        </is>
      </c>
      <c r="D932" s="324" t="n">
        <v>572.77</v>
      </c>
      <c r="E932" s="324" t="n">
        <v>20751.89769230769</v>
      </c>
      <c r="F932" s="324" t="n">
        <v>1718.31</v>
      </c>
      <c r="G932" s="55" t="n">
        <v>3</v>
      </c>
      <c r="H932" s="57" t="n">
        <v>3</v>
      </c>
      <c r="I932" s="55" t="n"/>
      <c r="J932" s="56" t="n"/>
      <c r="K932" s="56" t="inlineStr">
        <is>
          <t>https://amazon.com/dp/B0F1W591BJ</t>
        </is>
      </c>
      <c r="L932" s="70">
        <f>HYPERLINK(Table1410[[#This Row],[Column1]])</f>
        <v/>
      </c>
    </row>
    <row r="933" ht="45" customHeight="1" s="290">
      <c r="A933" s="30" t="inlineStr">
        <is>
          <t>Autel Automotive Power Circuit Test Tool (Red)</t>
        </is>
      </c>
      <c r="B933" s="30" t="inlineStr">
        <is>
          <t>B0714PHHJ9</t>
        </is>
      </c>
      <c r="C933" s="30" t="inlineStr">
        <is>
          <t>Probe</t>
        </is>
      </c>
      <c r="D933" s="324" t="n">
        <v>103.4133333333333</v>
      </c>
      <c r="E933" s="324" t="n">
        <v>2852.932307692307</v>
      </c>
      <c r="F933" s="324" t="n">
        <v>310.24</v>
      </c>
      <c r="G933" s="55" t="n">
        <v>11</v>
      </c>
      <c r="H933" s="57" t="n">
        <v>3</v>
      </c>
      <c r="I933" s="55" t="n">
        <v>814</v>
      </c>
      <c r="J933" s="56" t="n">
        <v>4.7</v>
      </c>
      <c r="K933" s="56" t="inlineStr">
        <is>
          <t>https://amazon.com/dp/B0714PHHJ9</t>
        </is>
      </c>
      <c r="L933" s="70">
        <f>HYPERLINK(Table1410[[#This Row],[Column1]])</f>
        <v/>
      </c>
    </row>
    <row r="934" ht="45" customHeight="1" s="290">
      <c r="A934" s="30" t="inlineStr">
        <is>
          <t>Autel MaxiDiag MD808 Pro OBD2 Scanner, All System Diagnostic Scan Tool, Upgraded of MaxiCheck Pro/MD808/MD806 Pro/MD802, 7 Reset Service Oil/D-F/EPB/SAS/BMS/Throttle, Auto Scan, Lifetime Free Update</t>
        </is>
      </c>
      <c r="B934" s="30" t="inlineStr">
        <is>
          <t>B0D5QZG2NK</t>
        </is>
      </c>
      <c r="C934" s="30" t="inlineStr">
        <is>
          <t>Handheld</t>
        </is>
      </c>
      <c r="D934" s="324" t="n">
        <v>306.77</v>
      </c>
      <c r="E934" s="324" t="n">
        <v>13008.33461538462</v>
      </c>
      <c r="F934" s="324" t="n">
        <v>613.54</v>
      </c>
      <c r="G934" s="55" t="n">
        <v>47</v>
      </c>
      <c r="H934" s="57" t="n">
        <v>2</v>
      </c>
      <c r="I934" s="55" t="n">
        <v>8</v>
      </c>
      <c r="J934" s="56" t="n">
        <v>4.2</v>
      </c>
      <c r="K934" s="56" t="inlineStr">
        <is>
          <t>https://amazon.com/dp/B0D5QZG2NK</t>
        </is>
      </c>
      <c r="L934" s="70">
        <f>HYPERLINK(Table1410[[#This Row],[Column1]])</f>
        <v/>
      </c>
    </row>
    <row r="935" ht="45" customHeight="1" s="290">
      <c r="A935" s="30" t="inlineStr">
        <is>
          <t>2026 Autel MaxiSys MS909CV Truck Scanner: Top Heavy Duty Truck Tool for Semi Commercial Cars, Updated of MS908CV with Intelligent Diagnosis, Topology, J2534 ECU C0ding, 64+ Services, Active Test</t>
        </is>
      </c>
      <c r="B935" s="30" t="inlineStr">
        <is>
          <t>B08F7TQZ41</t>
        </is>
      </c>
      <c r="C935" s="30" t="inlineStr">
        <is>
          <t>Tablet</t>
        </is>
      </c>
      <c r="D935" s="324" t="n">
        <v>3540.77</v>
      </c>
      <c r="E935" s="324" t="n">
        <v>78670.78</v>
      </c>
      <c r="F935" s="324" t="n">
        <v>7081.54</v>
      </c>
      <c r="G935" s="55" t="n">
        <v>18</v>
      </c>
      <c r="H935" s="57" t="n">
        <v>2</v>
      </c>
      <c r="I935" s="55" t="n">
        <v>2</v>
      </c>
      <c r="J935" s="56" t="n">
        <v>5</v>
      </c>
      <c r="K935" s="56" t="inlineStr">
        <is>
          <t>https://amazon.com/dp/B08F7TQZ41</t>
        </is>
      </c>
      <c r="L935" s="70">
        <f>HYPERLINK(Table1410[[#This Row],[Column1]])</f>
        <v/>
      </c>
    </row>
    <row r="936" ht="60" customHeight="1" s="290">
      <c r="A936" s="30" t="inlineStr">
        <is>
          <t>Autel Scanner MaxiSYS MS919, 2026 Top Intelligent Same as MSUltra, $2000 5in1 VCMI, Motor TruSpeed Topology 2.0, OE-Level J2534 Functions, Up of MS909 Elite 2 Pro Ultra Lite, 40+ Services, 3000+ Tests</t>
        </is>
      </c>
      <c r="B936" s="30" t="inlineStr">
        <is>
          <t>B08PPBL1GS</t>
        </is>
      </c>
      <c r="C936" s="30" t="inlineStr">
        <is>
          <t>Tablet</t>
        </is>
      </c>
      <c r="D936" s="324" t="n">
        <v>3620.855</v>
      </c>
      <c r="E936" s="324" t="n">
        <v>119339.1507692308</v>
      </c>
      <c r="F936" s="324" t="n">
        <v>7241.71</v>
      </c>
      <c r="G936" s="55" t="n">
        <v>28</v>
      </c>
      <c r="H936" s="57" t="n">
        <v>2</v>
      </c>
      <c r="I936" s="55" t="n">
        <v>21</v>
      </c>
      <c r="J936" s="56" t="n">
        <v>4.4</v>
      </c>
      <c r="K936" s="56" t="inlineStr">
        <is>
          <t>https://amazon.com/dp/B08PPBL1GS</t>
        </is>
      </c>
      <c r="L936" s="70">
        <f>HYPERLINK(Table1410[[#This Row],[Column1]])</f>
        <v/>
      </c>
    </row>
    <row r="937" ht="45" customHeight="1" s="290">
      <c r="A937" s="30" t="inlineStr">
        <is>
          <t>Autel MaxiPRO MP900 Scanner, 2026 MP900 Same as MP900BT MS906 PRO MS906MAX, Up of MS906 MP808BT PRO MP808S MK900 MX900, Bidirectional Scan Tool, 3K+ Test, 40+ Resets, CAN FD &amp; DOIP, 11.0 OS</t>
        </is>
      </c>
      <c r="B937" s="30" t="inlineStr">
        <is>
          <t>B0F5H3MBQW</t>
        </is>
      </c>
      <c r="C937" s="30" t="inlineStr">
        <is>
          <t>Tablet</t>
        </is>
      </c>
      <c r="D937" s="324" t="n">
        <v>798.99</v>
      </c>
      <c r="E937" s="324" t="n">
        <v>24030.32692307693</v>
      </c>
      <c r="F937" s="324" t="n">
        <v>1597.98</v>
      </c>
      <c r="G937" s="55" t="n">
        <v>26</v>
      </c>
      <c r="H937" s="57" t="n">
        <v>2</v>
      </c>
      <c r="I937" s="55" t="n">
        <v>6</v>
      </c>
      <c r="J937" s="56" t="n">
        <v>4.4</v>
      </c>
      <c r="K937" s="56" t="inlineStr">
        <is>
          <t>https://amazon.com/dp/B0F5H3MBQW</t>
        </is>
      </c>
      <c r="L937" s="70">
        <f>HYPERLINK(Table1410[[#This Row],[Column1]])</f>
        <v/>
      </c>
    </row>
    <row r="938" ht="45" customHeight="1" s="290">
      <c r="A938" s="30" t="inlineStr">
        <is>
          <t>Autel MaxiSYS Ultra EV Intelligent Scanner, 2026 EV Ver of Ultra S2, High-Voltage System &amp; Battery Pack Analyze, $1000 EVDiag KIT, 5IN1 VCMI, 2.0 Topology, 3K+ Bidirectional, 40+ Reset, Motor Truspeed</t>
        </is>
      </c>
      <c r="B938" s="30" t="inlineStr">
        <is>
          <t>B08PNNVX78</t>
        </is>
      </c>
      <c r="C938" s="30" t="inlineStr">
        <is>
          <t>Tablet</t>
        </is>
      </c>
      <c r="D938" s="324" t="n">
        <v>3891.505</v>
      </c>
      <c r="E938" s="324" t="n">
        <v>112867.67</v>
      </c>
      <c r="F938" s="324" t="n">
        <v>7783.01</v>
      </c>
      <c r="G938" s="55" t="n">
        <v>21</v>
      </c>
      <c r="H938" s="57" t="n">
        <v>2</v>
      </c>
      <c r="I938" s="55" t="n">
        <v>14</v>
      </c>
      <c r="J938" s="56" t="n">
        <v>4.9</v>
      </c>
      <c r="K938" s="56" t="inlineStr">
        <is>
          <t>https://amazon.com/dp/B08PNNVX78</t>
        </is>
      </c>
      <c r="L938" s="70">
        <f>HYPERLINK(Table1410[[#This Row],[Column1]])</f>
        <v/>
      </c>
    </row>
    <row r="939" ht="45" customHeight="1" s="290">
      <c r="A939" s="30" t="inlineStr">
        <is>
          <t>Autel OBD2 Scanner Diagnostic Code Reader ML629 - ABS/SRS/Engine/Transmission MaxiLink 629 Car Diagnostic Tool DTC Lookup AutoVIN, ABS Code Reader for Vehicle Engine/Transmission/AirBag/Brake System</t>
        </is>
      </c>
      <c r="B939" s="30" t="inlineStr">
        <is>
          <t>B07KYNMZQ7</t>
        </is>
      </c>
      <c r="C939" s="30" t="inlineStr">
        <is>
          <t>Handheld</t>
        </is>
      </c>
      <c r="D939" s="324" t="n">
        <v>123.945</v>
      </c>
      <c r="E939" s="324" t="n">
        <v>6737.829999999998</v>
      </c>
      <c r="F939" s="324" t="n">
        <v>247.89</v>
      </c>
      <c r="G939" s="55" t="n">
        <v>59</v>
      </c>
      <c r="H939" s="57" t="n">
        <v>2</v>
      </c>
      <c r="I939" s="55" t="n">
        <v>88</v>
      </c>
      <c r="J939" s="56" t="n">
        <v>4.1</v>
      </c>
      <c r="K939" s="56" t="inlineStr">
        <is>
          <t>https://amazon.com/dp/B07KYNMZQ7</t>
        </is>
      </c>
      <c r="L939" s="70">
        <f>HYPERLINK(Table1410[[#This Row],[Column1]])</f>
        <v/>
      </c>
    </row>
    <row r="940" ht="45" customHeight="1" s="290">
      <c r="A940" s="30" t="inlineStr">
        <is>
          <t>Autel MaxiSys MS919 Scanner, 2026 Top Intelligent Scan Tool as Ultra, Motor TruSpeed Up of Ultra Lite MS909, Topology 2.0, Same OE Functions as Ultra S2, 40+ Service, 3K+ Test, [$2000] 5in1 VCMI</t>
        </is>
      </c>
      <c r="B940" s="30" t="inlineStr">
        <is>
          <t>B0GGH8W79N</t>
        </is>
      </c>
      <c r="C940" s="30" t="inlineStr">
        <is>
          <t>Tablet</t>
        </is>
      </c>
      <c r="D940" s="324" t="n">
        <v>3799</v>
      </c>
      <c r="E940" s="324" t="n">
        <v>92344.9130769231</v>
      </c>
      <c r="F940" s="324" t="n">
        <v>7598</v>
      </c>
      <c r="G940" s="55" t="n">
        <v>4</v>
      </c>
      <c r="H940" s="57" t="n">
        <v>2</v>
      </c>
      <c r="I940" s="55" t="n"/>
      <c r="J940" s="56" t="n"/>
      <c r="K940" s="56" t="inlineStr">
        <is>
          <t>https://amazon.com/dp/B0GGH8W79N</t>
        </is>
      </c>
      <c r="L940" s="70">
        <f>HYPERLINK(Table1410[[#This Row],[Column1]])</f>
        <v/>
      </c>
    </row>
    <row r="941" ht="45" customHeight="1" s="290">
      <c r="A941" s="30" t="inlineStr">
        <is>
          <t>Autel Scanner, escáner para carros en español, Autel MX900 with MV108, OBD2 Scanner, 40+ Resets, Support CAN FD/Do IP, All System, Android 11, FCA Auto auth, 3000+ Active Test, Upgrade MX808 MK808S</t>
        </is>
      </c>
      <c r="B941" s="30" t="inlineStr">
        <is>
          <t>B0CRRDVYKD</t>
        </is>
      </c>
      <c r="C941" s="30" t="inlineStr">
        <is>
          <t>Tablet</t>
        </is>
      </c>
      <c r="D941" s="324" t="n">
        <v>623.645</v>
      </c>
      <c r="E941" s="324" t="n">
        <v>13242.39</v>
      </c>
      <c r="F941" s="324" t="n">
        <v>1247.29</v>
      </c>
      <c r="G941" s="55" t="n">
        <v>25</v>
      </c>
      <c r="H941" s="57" t="n">
        <v>2</v>
      </c>
      <c r="I941" s="55" t="n">
        <v>15</v>
      </c>
      <c r="J941" s="56" t="n">
        <v>5</v>
      </c>
      <c r="K941" s="56" t="inlineStr">
        <is>
          <t>https://amazon.com/dp/B0CRRDVYKD</t>
        </is>
      </c>
      <c r="L941" s="70">
        <f>HYPERLINK(Table1410[[#This Row],[Column1]])</f>
        <v/>
      </c>
    </row>
    <row r="942" ht="45" customHeight="1" s="290">
      <c r="A942" s="30" t="inlineStr">
        <is>
          <t>Autel MaxiIM KM100 (X) OBD2 Scanner, 2026 Car Diagnostic Tool Lifetime Free Updates, Lite Ver. of IM508S PRO IM508, Wireless BT OBDII Scan Tool, 2GB &amp; 64GB Android 9.0</t>
        </is>
      </c>
      <c r="B942" s="30" t="inlineStr">
        <is>
          <t>B0FZB92WZL</t>
        </is>
      </c>
      <c r="C942" s="30" t="inlineStr">
        <is>
          <t>Handheld</t>
        </is>
      </c>
      <c r="D942" s="324" t="n">
        <v>491.265</v>
      </c>
      <c r="E942" s="324" t="n">
        <v>11865.93923076923</v>
      </c>
      <c r="F942" s="324" t="n">
        <v>982.53</v>
      </c>
      <c r="G942" s="55" t="n">
        <v>2</v>
      </c>
      <c r="H942" s="57" t="n">
        <v>2</v>
      </c>
      <c r="I942" s="55" t="n"/>
      <c r="J942" s="56" t="n"/>
      <c r="K942" s="56" t="inlineStr">
        <is>
          <t>https://amazon.com/dp/B0FZB92WZL</t>
        </is>
      </c>
      <c r="L942" s="70">
        <f>HYPERLINK(Table1410[[#This Row],[Column1]])</f>
        <v/>
      </c>
    </row>
    <row r="943" ht="30" customHeight="1" s="290">
      <c r="A943" s="30" t="inlineStr">
        <is>
          <t>Autel MaxiTPMS TS601 OBDII Car TPMS Reset Programming Diagnostic Scanner Tool, MOST POWERFUL TPMS DIAGNOSTIC &amp; SERVICE DIY TOOL, Wireless diagnosing TPMS Tool</t>
        </is>
      </c>
      <c r="B943" s="30" t="inlineStr">
        <is>
          <t>B0CFL5W685</t>
        </is>
      </c>
      <c r="C943" s="30" t="inlineStr">
        <is>
          <t>Handheld</t>
        </is>
      </c>
      <c r="D943" s="324" t="n">
        <v>317.44</v>
      </c>
      <c r="E943" s="324" t="n">
        <v>7340.92</v>
      </c>
      <c r="F943" s="324" t="n">
        <v>634.88</v>
      </c>
      <c r="G943" s="55" t="n">
        <v>21</v>
      </c>
      <c r="H943" s="57" t="n">
        <v>2</v>
      </c>
      <c r="I943" s="55" t="n"/>
      <c r="J943" s="56" t="n"/>
      <c r="K943" s="56" t="inlineStr">
        <is>
          <t>https://amazon.com/dp/B0CFL5W685</t>
        </is>
      </c>
      <c r="L943" s="70">
        <f>HYPERLINK(Table1410[[#This Row],[Column1]])</f>
        <v/>
      </c>
    </row>
    <row r="944" ht="45" customHeight="1" s="290">
      <c r="A944" s="30" t="inlineStr">
        <is>
          <t>Autel Scanner MaxiSYS Ultra, 2026 MSUltra Top Intelligent Scan Tool, Motor TruSpeed, Topology 2.0, [$2000] 5in1 VCMI, OE-Level J2534 Functions, Up of MS919 MS909 Ultra Lite Elite II PRO, 40+ Services</t>
        </is>
      </c>
      <c r="B944" s="30" t="inlineStr">
        <is>
          <t>B08P47HP15</t>
        </is>
      </c>
      <c r="C944" s="30" t="inlineStr">
        <is>
          <t>Tablet</t>
        </is>
      </c>
      <c r="D944" s="324" t="n">
        <v>3318.47</v>
      </c>
      <c r="E944" s="324" t="n">
        <v>179969.42</v>
      </c>
      <c r="F944" s="324" t="n">
        <v>6636.94</v>
      </c>
      <c r="G944" s="55" t="n">
        <v>49</v>
      </c>
      <c r="H944" s="57" t="n">
        <v>2</v>
      </c>
      <c r="I944" s="55" t="n">
        <v>70</v>
      </c>
      <c r="J944" s="56" t="n">
        <v>4.5</v>
      </c>
      <c r="K944" s="56" t="inlineStr">
        <is>
          <t>https://amazon.com/dp/B08P47HP15</t>
        </is>
      </c>
      <c r="L944" s="70">
        <f>HYPERLINK(Table1410[[#This Row],[Column1]])</f>
        <v/>
      </c>
    </row>
    <row r="945" ht="45" customHeight="1" s="290">
      <c r="A945" s="30" t="inlineStr">
        <is>
          <t>Autel MaxiCOM MK808Z-TS Scanner, TPMS Programming Tool with All System Diagnostic Scan, Same as MX808S-TS MK808S-TS, MX-Sensor Programmer, 28+ Services, 3000+ Active Tests, Android 11, FCA AutoAuth</t>
        </is>
      </c>
      <c r="B945" s="30" t="inlineStr">
        <is>
          <t>B0FKGN6W6S</t>
        </is>
      </c>
      <c r="C945" s="30" t="inlineStr">
        <is>
          <t>Tablet</t>
        </is>
      </c>
      <c r="D945" s="324" t="n">
        <v>705.775</v>
      </c>
      <c r="E945" s="324" t="n">
        <v>15451.04538461539</v>
      </c>
      <c r="F945" s="324" t="n">
        <v>1411.55</v>
      </c>
      <c r="G945" s="55" t="n">
        <v>11</v>
      </c>
      <c r="H945" s="57" t="n">
        <v>2</v>
      </c>
      <c r="I945" s="55" t="n">
        <v>2</v>
      </c>
      <c r="J945" s="56" t="n">
        <v>5</v>
      </c>
      <c r="K945" s="56" t="inlineStr">
        <is>
          <t>https://amazon.com/dp/B0FKGN6W6S</t>
        </is>
      </c>
      <c r="L945" s="70">
        <f>HYPERLINK(Table1410[[#This Row],[Column1]])</f>
        <v/>
      </c>
    </row>
    <row r="946" ht="45" customHeight="1" s="290">
      <c r="A946" s="30" t="inlineStr">
        <is>
          <t>Autel MaxiSys MS909 S2 Scanner 2026, Same as Ultra S2 Up of MS909, Top Intelligent Scan Tool with Topology 3.0, Enhanced PID Analysis, Motor TruSpeed Repair, ECU Programming, 48+ Services, CAN FD&amp;DOIP</t>
        </is>
      </c>
      <c r="B946" s="30" t="inlineStr">
        <is>
          <t>B0FSDM8LB5</t>
        </is>
      </c>
      <c r="C946" s="30" t="inlineStr">
        <is>
          <t>Tablet</t>
        </is>
      </c>
      <c r="D946" s="324" t="n">
        <v>3669.56</v>
      </c>
      <c r="E946" s="324" t="n">
        <v>85881.84307692306</v>
      </c>
      <c r="F946" s="324" t="n">
        <v>7339.12</v>
      </c>
      <c r="G946" s="55" t="n">
        <v>5</v>
      </c>
      <c r="H946" s="57" t="n">
        <v>2</v>
      </c>
      <c r="I946" s="55" t="n">
        <v>2</v>
      </c>
      <c r="J946" s="56" t="n">
        <v>5</v>
      </c>
      <c r="K946" s="56" t="inlineStr">
        <is>
          <t>https://amazon.com/dp/B0FSDM8LB5</t>
        </is>
      </c>
      <c r="L946" s="70">
        <f>HYPERLINK(Table1410[[#This Row],[Column1]])</f>
        <v/>
      </c>
    </row>
    <row r="947" ht="60" customHeight="1" s="290">
      <c r="A947" s="30" t="inlineStr">
        <is>
          <t>Autel AutoLINK AL529HD Heavy Duty, Red</t>
        </is>
      </c>
      <c r="B947" s="30" t="inlineStr">
        <is>
          <t>B073RFLQ85</t>
        </is>
      </c>
      <c r="C947" s="30" t="inlineStr">
        <is>
          <t>Handheld</t>
        </is>
      </c>
      <c r="D947" s="324" t="n">
        <v>119.365</v>
      </c>
      <c r="E947" s="324" t="n">
        <v>4832.57</v>
      </c>
      <c r="F947" s="324" t="n">
        <v>238.73</v>
      </c>
      <c r="G947" s="55" t="n">
        <v>45</v>
      </c>
      <c r="H947" s="57" t="n">
        <v>2</v>
      </c>
      <c r="I947" s="55" t="n">
        <v>51</v>
      </c>
      <c r="J947" s="56" t="n">
        <v>4.1</v>
      </c>
      <c r="K947" s="56" t="inlineStr">
        <is>
          <t>https://amazon.com/dp/B073RFLQ85</t>
        </is>
      </c>
      <c r="L947" s="70">
        <f>HYPERLINK(Table1410[[#This Row],[Column1]])</f>
        <v/>
      </c>
    </row>
    <row r="948" ht="45" customHeight="1" s="290">
      <c r="A948" s="30" t="inlineStr">
        <is>
          <t>Autel MaxiSys MS906 Pro-TS Scanner, 2026 Same as MS906 PRO2-TS Up of MP900TS MS-906MAX MS906PRO, Top TPMS Scan Tool W/OE C0d-ing, 3000+ Active Test, 36+ Service, CAN FD&amp;DoIP Auto Scan 2.0</t>
        </is>
      </c>
      <c r="B948" s="30" t="inlineStr">
        <is>
          <t>B071RLXN2W</t>
        </is>
      </c>
      <c r="C948" s="30" t="inlineStr">
        <is>
          <t>Tablet</t>
        </is>
      </c>
      <c r="D948" s="324" t="n">
        <v>1647.8</v>
      </c>
      <c r="E948" s="324" t="n">
        <v>92200.19</v>
      </c>
      <c r="F948" s="324" t="n">
        <v>3295.6</v>
      </c>
      <c r="G948" s="55" t="n">
        <v>58</v>
      </c>
      <c r="H948" s="57" t="n">
        <v>2</v>
      </c>
      <c r="I948" s="55" t="n">
        <v>25</v>
      </c>
      <c r="J948" s="56" t="n">
        <v>4.7</v>
      </c>
      <c r="K948" s="56" t="inlineStr">
        <is>
          <t>https://amazon.com/dp/B071RLXN2W</t>
        </is>
      </c>
      <c r="L948" s="70">
        <f>HYPERLINK(Table1410[[#This Row],[Column1]])</f>
        <v/>
      </c>
    </row>
    <row r="949" ht="45" customHeight="1" s="290">
      <c r="A949" s="30" t="inlineStr">
        <is>
          <t>Autel MaxiCheck MX900 Scanner: 2026 Bidirectional Scan Tool Same as MaxiCom MK900BT MK900, CANFD&amp; DoIP, 3K+ Active Tests 40+ Services Up of MX808S MK808S MK808BT, 8in All-System Diagnose, FCA 11OS</t>
        </is>
      </c>
      <c r="B949" s="30" t="inlineStr">
        <is>
          <t>B073QHVGX7</t>
        </is>
      </c>
      <c r="C949" s="30" t="inlineStr">
        <is>
          <t>Tablet</t>
        </is>
      </c>
      <c r="D949" s="324" t="n">
        <v>576.885</v>
      </c>
      <c r="E949" s="324" t="n">
        <v>78855.45</v>
      </c>
      <c r="F949" s="324" t="n">
        <v>1153.77</v>
      </c>
      <c r="G949" s="55" t="n">
        <v>141</v>
      </c>
      <c r="H949" s="57" t="n">
        <v>2</v>
      </c>
      <c r="I949" s="55" t="n">
        <v>125</v>
      </c>
      <c r="J949" s="56" t="n">
        <v>4.4</v>
      </c>
      <c r="K949" s="56" t="inlineStr">
        <is>
          <t>https://amazon.com/dp/B073QHVGX7</t>
        </is>
      </c>
      <c r="L949" s="70">
        <f>HYPERLINK(Table1410[[#This Row],[Column1]])</f>
        <v/>
      </c>
    </row>
    <row r="950" ht="45" customHeight="1" s="290">
      <c r="A950" s="30" t="inlineStr">
        <is>
          <t>2026 Autel MaxiPRO MP808S KIT Scanner, 2-Year Update of MP900Z-BT MP900-BT KIT, ECU C0ding, 31+ Reset, 3000+ Test, Alternative to MaxiSYS MS906 PRO, w/ $200 11PCS OBD Cables, Up of MK808S MX900 MK900</t>
        </is>
      </c>
      <c r="B950" s="30" t="inlineStr">
        <is>
          <t>B07R2N9K31</t>
        </is>
      </c>
      <c r="C950" s="30" t="inlineStr">
        <is>
          <t>Tablet</t>
        </is>
      </c>
      <c r="D950" s="324" t="n">
        <v>771.42</v>
      </c>
      <c r="E950" s="324" t="n">
        <v>27335.97</v>
      </c>
      <c r="F950" s="324" t="n">
        <v>1542.84</v>
      </c>
      <c r="G950" s="55" t="n">
        <v>38</v>
      </c>
      <c r="H950" s="57" t="n">
        <v>2</v>
      </c>
      <c r="I950" s="55" t="n">
        <v>314</v>
      </c>
      <c r="J950" s="56" t="n">
        <v>4.5</v>
      </c>
      <c r="K950" s="56" t="inlineStr">
        <is>
          <t>https://amazon.com/dp/B07R2N9K31</t>
        </is>
      </c>
      <c r="L950" s="70">
        <f>HYPERLINK(Table1410[[#This Row],[Column1]])</f>
        <v/>
      </c>
    </row>
    <row r="951" ht="45" customHeight="1" s="290">
      <c r="A951" s="30" t="inlineStr">
        <is>
          <t>Autel MS906BT1YRUPDATE 1Year Subscription, Total Care Program (TCP) Card, One Year Software Subscription &amp; Warranty</t>
        </is>
      </c>
      <c r="B951" s="30" t="inlineStr">
        <is>
          <t>B0G62Z5F3H</t>
        </is>
      </c>
      <c r="C951" s="30" t="inlineStr">
        <is>
          <t>Other</t>
        </is>
      </c>
      <c r="D951" s="324" t="n">
        <v>511.865</v>
      </c>
      <c r="E951" s="324" t="n">
        <v>11418.52692307692</v>
      </c>
      <c r="F951" s="324" t="n">
        <v>1023.73</v>
      </c>
      <c r="G951" s="55" t="n">
        <v>2</v>
      </c>
      <c r="H951" s="57" t="n">
        <v>2</v>
      </c>
      <c r="I951" s="55" t="n"/>
      <c r="J951" s="56" t="n"/>
      <c r="K951" s="56" t="inlineStr">
        <is>
          <t>https://amazon.com/dp/B0G62Z5F3H</t>
        </is>
      </c>
      <c r="L951" s="70">
        <f>HYPERLINK(Table1410[[#This Row],[Column1]])</f>
        <v/>
      </c>
    </row>
    <row r="952" ht="45" customHeight="1" s="290">
      <c r="A952" s="30" t="inlineStr">
        <is>
          <t>Autel Total Care Program 1-Year Warranty Update for MS909 — Model# MS9091YRUPDATE</t>
        </is>
      </c>
      <c r="B952" s="30" t="inlineStr">
        <is>
          <t>B09WW5CBNS</t>
        </is>
      </c>
      <c r="C952" s="30" t="inlineStr">
        <is>
          <t>Other</t>
        </is>
      </c>
      <c r="D952" s="324" t="n">
        <v>882.58</v>
      </c>
      <c r="E952" s="324" t="n">
        <v>24348.81</v>
      </c>
      <c r="F952" s="324" t="n">
        <v>1765.16</v>
      </c>
      <c r="G952" s="55" t="n">
        <v>28</v>
      </c>
      <c r="H952" s="57" t="n">
        <v>2</v>
      </c>
      <c r="I952" s="55" t="n">
        <v>2</v>
      </c>
      <c r="J952" s="56" t="n">
        <v>5</v>
      </c>
      <c r="K952" s="56" t="inlineStr">
        <is>
          <t>https://amazon.com/dp/B09WW5CBNS</t>
        </is>
      </c>
      <c r="L952" s="70">
        <f>HYPERLINK(Table1410[[#This Row],[Column1]])</f>
        <v/>
      </c>
    </row>
    <row r="953" ht="45" customHeight="1" s="290">
      <c r="A953" s="30" t="inlineStr">
        <is>
          <t>Autel MaxiFlash VCI Kit J2534 Reprogramming Tool J2534 PassThru ECU Programming Tool Support CAN FD 4 CAN Channels DoIP D-PDU Autel Bluetooth VCI Works with PC MS909 MS909EV MS909CV</t>
        </is>
      </c>
      <c r="B953" s="30" t="inlineStr">
        <is>
          <t>B0CXP123X6</t>
        </is>
      </c>
      <c r="C953" s="30" t="inlineStr">
        <is>
          <t>VCI</t>
        </is>
      </c>
      <c r="D953" s="324" t="n">
        <v>826.35</v>
      </c>
      <c r="E953" s="324" t="n">
        <v>17154.55</v>
      </c>
      <c r="F953" s="324" t="n">
        <v>1652.7</v>
      </c>
      <c r="G953" s="55" t="n">
        <v>18</v>
      </c>
      <c r="H953" s="57" t="n">
        <v>2</v>
      </c>
      <c r="I953" s="55" t="n"/>
      <c r="J953" s="56" t="n"/>
      <c r="K953" s="56" t="inlineStr">
        <is>
          <t>https://amazon.com/dp/B0CXP123X6</t>
        </is>
      </c>
      <c r="L953" s="70">
        <f>HYPERLINK(Table1410[[#This Row],[Column1]])</f>
        <v/>
      </c>
    </row>
    <row r="954" ht="45" customHeight="1" s="290">
      <c r="A954" s="30" t="inlineStr">
        <is>
          <t>Autel Scanner MaxiCheck MX900: 2026 Bidirectional Scan Tool Upgrade of MX808S MK808S MK808BT-Pro, US Ver. of Autel MK900BT MK900, CANFD &amp;DOIP, 40+Services, 3000+ Active Test, All-System Diagnose</t>
        </is>
      </c>
      <c r="B954" s="30" t="inlineStr">
        <is>
          <t>B0F5W6CZJ9</t>
        </is>
      </c>
      <c r="C954" s="30" t="inlineStr">
        <is>
          <t>Tablet</t>
        </is>
      </c>
      <c r="D954" s="324" t="n">
        <v>595.98</v>
      </c>
      <c r="E954" s="324" t="n">
        <v>23240.14230769231</v>
      </c>
      <c r="F954" s="324" t="n">
        <v>1191.96</v>
      </c>
      <c r="G954" s="55" t="n">
        <v>35</v>
      </c>
      <c r="H954" s="57" t="n">
        <v>2</v>
      </c>
      <c r="I954" s="55" t="n">
        <v>6</v>
      </c>
      <c r="J954" s="56" t="n">
        <v>3.8</v>
      </c>
      <c r="K954" s="56" t="inlineStr">
        <is>
          <t>https://amazon.com/dp/B0F5W6CZJ9</t>
        </is>
      </c>
      <c r="L954" s="70">
        <f>HYPERLINK(Table1410[[#This Row],[Column1]])</f>
        <v/>
      </c>
    </row>
    <row r="955" ht="60" customHeight="1" s="290">
      <c r="A955" s="30" t="inlineStr">
        <is>
          <t>Autel MaxiPRO MP900TS Scanner Up of MS906 PRO MS906TS MP900BT MK900-TS TPMS Programming Diagnostic Tool Same as MS906 Pro TS Bi-Directional Test CAN FD&amp;DOIP 40+ Service FCA SGW</t>
        </is>
      </c>
      <c r="B955" s="30" t="inlineStr">
        <is>
          <t>B0FJ1GZ12Z</t>
        </is>
      </c>
      <c r="C955" s="30" t="inlineStr">
        <is>
          <t>Tablet</t>
        </is>
      </c>
      <c r="D955" s="324" t="n">
        <v>1187.13</v>
      </c>
      <c r="E955" s="324" t="n">
        <v>30860.36769230769</v>
      </c>
      <c r="F955" s="324" t="n">
        <v>2374.26</v>
      </c>
      <c r="G955" s="55" t="n">
        <v>17</v>
      </c>
      <c r="H955" s="57" t="n">
        <v>2</v>
      </c>
      <c r="I955" s="55" t="n">
        <v>2</v>
      </c>
      <c r="J955" s="56" t="n">
        <v>5</v>
      </c>
      <c r="K955" s="56" t="inlineStr">
        <is>
          <t>https://amazon.com/dp/B0FJ1GZ12Z</t>
        </is>
      </c>
      <c r="L955" s="70">
        <f>HYPERLINK(Table1410[[#This Row],[Column1]])</f>
        <v/>
      </c>
    </row>
    <row r="956" ht="45" customHeight="1" s="290">
      <c r="A956" s="30" t="inlineStr">
        <is>
          <t>Autel MaxiTPMS TS508WF TPMS Service Tool — Wi-Fi Updates, Quick and Advance Modes, OBDII Cable, Model# 700010</t>
        </is>
      </c>
      <c r="B956" s="30" t="inlineStr">
        <is>
          <t>B07RHVSJNN</t>
        </is>
      </c>
      <c r="C956" s="30" t="inlineStr">
        <is>
          <t>Handheld</t>
        </is>
      </c>
      <c r="D956" s="324" t="n">
        <v>183.555</v>
      </c>
      <c r="E956" s="324" t="n">
        <v>1747.36</v>
      </c>
      <c r="F956" s="324" t="n">
        <v>367.11</v>
      </c>
      <c r="G956" s="55" t="n">
        <v>7</v>
      </c>
      <c r="H956" s="57" t="n">
        <v>2</v>
      </c>
      <c r="I956" s="55" t="n">
        <v>2</v>
      </c>
      <c r="J956" s="56" t="n">
        <v>3.6</v>
      </c>
      <c r="K956" s="56" t="inlineStr">
        <is>
          <t>https://amazon.com/dp/B07RHVSJNN</t>
        </is>
      </c>
      <c r="L956" s="70">
        <f>HYPERLINK(Table1410[[#This Row],[Column1]])</f>
        <v/>
      </c>
    </row>
    <row r="957" ht="45" customHeight="1" s="290">
      <c r="A957" s="30" t="inlineStr">
        <is>
          <t>Autel 1-Sensor - Bulk of (20), TPMS Sensor 2in 1 MX-Sensor 315Mhz/433Mhz, Tire Sensors Rubber Stem 100% Cloneable Press-in, OE-Level Universal Programmable by Autel TPMS Tool TS508 TS508WF MS906PRO-TS</t>
        </is>
      </c>
      <c r="B957" s="30" t="inlineStr">
        <is>
          <t>B0FNMSV56P</t>
        </is>
      </c>
      <c r="C957" s="30" t="inlineStr">
        <is>
          <t>Other</t>
        </is>
      </c>
      <c r="D957" s="324" t="n">
        <v>505.975</v>
      </c>
      <c r="E957" s="324" t="n">
        <v>10921.36384615385</v>
      </c>
      <c r="F957" s="324" t="n">
        <v>1011.95</v>
      </c>
      <c r="G957" s="55" t="n">
        <v>9</v>
      </c>
      <c r="H957" s="57" t="n">
        <v>2</v>
      </c>
      <c r="I957" s="55" t="n">
        <v>34</v>
      </c>
      <c r="J957" s="56" t="n">
        <v>5</v>
      </c>
      <c r="K957" s="56" t="inlineStr">
        <is>
          <t>https://amazon.com/dp/B0FNMSV56P</t>
        </is>
      </c>
      <c r="L957" s="70">
        <f>HYPERLINK(Table1410[[#This Row],[Column1]])</f>
        <v/>
      </c>
    </row>
    <row r="958" ht="45" customHeight="1" s="290">
      <c r="A958" s="30" t="inlineStr">
        <is>
          <t>Autel Main OBCII Replacement Cable, Model# AUTELMAIN-Cable</t>
        </is>
      </c>
      <c r="B958" s="30" t="inlineStr">
        <is>
          <t>B07V8L4NXR</t>
        </is>
      </c>
      <c r="C958" s="30" t="inlineStr">
        <is>
          <t>Cable/Adapter</t>
        </is>
      </c>
      <c r="D958" s="324" t="n">
        <v>31.99</v>
      </c>
      <c r="E958" s="324" t="n">
        <v>654.5646153846153</v>
      </c>
      <c r="F958" s="324" t="n">
        <v>63.98</v>
      </c>
      <c r="G958" s="55" t="n">
        <v>2</v>
      </c>
      <c r="H958" s="57" t="n">
        <v>2</v>
      </c>
      <c r="I958" s="55" t="n"/>
      <c r="J958" s="56" t="n"/>
      <c r="K958" s="56" t="inlineStr">
        <is>
          <t>https://amazon.com/dp/B07V8L4NXR</t>
        </is>
      </c>
      <c r="L958" s="70">
        <f>HYPERLINK(Table1410[[#This Row],[Column1]])</f>
        <v/>
      </c>
    </row>
    <row r="959" ht="45" customHeight="1" s="290">
      <c r="A959" s="30" t="inlineStr">
        <is>
          <t>Autel MaxiSYS Ultra S2 Diagnostic Scanner, 6-in-1 VCMI2, Topology 3.0, AI-Powered Inspection, EV/HV System Tests, WiFi 6, 48+ Services, Motor Truspeed Repair, Multi-Point DVI, ECU Programming, FCA SGW</t>
        </is>
      </c>
      <c r="B959" s="30" t="inlineStr">
        <is>
          <t>B0F3X8ZWBN</t>
        </is>
      </c>
      <c r="C959" s="30" t="inlineStr">
        <is>
          <t>Tablet</t>
        </is>
      </c>
      <c r="D959" s="324" t="n">
        <v>5980.1</v>
      </c>
      <c r="E959" s="324" t="n">
        <v>270495.77</v>
      </c>
      <c r="F959" s="324" t="n">
        <v>11960.2</v>
      </c>
      <c r="G959" s="55" t="n">
        <v>46</v>
      </c>
      <c r="H959" s="57" t="n">
        <v>2</v>
      </c>
      <c r="I959" s="55" t="n">
        <v>5</v>
      </c>
      <c r="J959" s="56" t="n">
        <v>4.4</v>
      </c>
      <c r="K959" s="56" t="inlineStr">
        <is>
          <t>https://amazon.com/dp/B0F3X8ZWBN</t>
        </is>
      </c>
      <c r="L959" s="70">
        <f>HYPERLINK(Table1410[[#This Row],[Column1]])</f>
        <v/>
      </c>
    </row>
    <row r="960" ht="45" customHeight="1" s="290">
      <c r="A960" s="30" t="inlineStr">
        <is>
          <t>MaxiTPMS TBE200</t>
        </is>
      </c>
      <c r="B960" s="30" t="inlineStr">
        <is>
          <t>B09WW44MH9</t>
        </is>
      </c>
      <c r="C960" s="30" t="inlineStr">
        <is>
          <t>Other</t>
        </is>
      </c>
      <c r="D960" s="324" t="n">
        <v>437.97</v>
      </c>
      <c r="E960" s="324" t="n">
        <v>4545.6</v>
      </c>
      <c r="F960" s="324" t="n">
        <v>875.9400000000001</v>
      </c>
      <c r="G960" s="55" t="n">
        <v>9</v>
      </c>
      <c r="H960" s="57" t="n">
        <v>2</v>
      </c>
      <c r="I960" s="55" t="n"/>
      <c r="J960" s="56" t="n"/>
      <c r="K960" s="56" t="inlineStr">
        <is>
          <t>https://amazon.com/dp/B09WW44MH9</t>
        </is>
      </c>
      <c r="L960" s="70">
        <f>HYPERLINK(Table1410[[#This Row],[Column1]])</f>
        <v/>
      </c>
    </row>
    <row r="961" ht="45" customHeight="1" s="290">
      <c r="A961" s="30" t="inlineStr">
        <is>
          <t>Autel MaxiDiag MD909 Pro OBD2 Scanner, 2026 BT Wireless All System Diagnostic Tool, MD909Pro Up of MD808Pro MD906Pro MD806 MD802, 11 Service Oil Reset ABS D-P-F etc, CAN FD, FCA SGW, Free Update</t>
        </is>
      </c>
      <c r="B961" s="30" t="inlineStr">
        <is>
          <t>B0FCRTGWCK</t>
        </is>
      </c>
      <c r="C961" s="30" t="inlineStr">
        <is>
          <t>Tablet</t>
        </is>
      </c>
      <c r="D961" s="324" t="n">
        <v>328.99</v>
      </c>
      <c r="E961" s="324" t="n">
        <v>11226.96461538462</v>
      </c>
      <c r="F961" s="324" t="n">
        <v>657.98</v>
      </c>
      <c r="G961" s="55" t="n">
        <v>26</v>
      </c>
      <c r="H961" s="57" t="n">
        <v>2</v>
      </c>
      <c r="I961" s="55" t="n">
        <v>4</v>
      </c>
      <c r="J961" s="56" t="n">
        <v>4.3</v>
      </c>
      <c r="K961" s="56" t="inlineStr">
        <is>
          <t>https://amazon.com/dp/B0FCRTGWCK</t>
        </is>
      </c>
      <c r="L961" s="70">
        <f>HYPERLINK(Table1410[[#This Row],[Column1]])</f>
        <v/>
      </c>
    </row>
    <row r="962" ht="45" customHeight="1" s="290">
      <c r="A962" s="30" t="inlineStr">
        <is>
          <t>Autel CAN FD Protocol Adapter, Compatible with Autel Scanner MX808 MK808 DS808 MP808 MS906 MK906 MS908 MK908 Maxisys Elite IM508 IM608 Ultra VCI100 VCI Mini, for GM Chevrolet Buick Vehicles</t>
        </is>
      </c>
      <c r="B962" s="30" t="inlineStr">
        <is>
          <t>B0BYRV181C</t>
        </is>
      </c>
      <c r="C962" s="30" t="inlineStr">
        <is>
          <t>Cable/Adapter</t>
        </is>
      </c>
      <c r="D962" s="324" t="n">
        <v>146.655</v>
      </c>
      <c r="E962" s="324" t="n">
        <v>5419.76</v>
      </c>
      <c r="F962" s="324" t="n">
        <v>293.31</v>
      </c>
      <c r="G962" s="55" t="n">
        <v>47</v>
      </c>
      <c r="H962" s="57" t="n">
        <v>2</v>
      </c>
      <c r="I962" s="55" t="n">
        <v>6</v>
      </c>
      <c r="J962" s="56" t="n">
        <v>3.8</v>
      </c>
      <c r="K962" s="56" t="inlineStr">
        <is>
          <t>https://amazon.com/dp/B0BYRV181C</t>
        </is>
      </c>
      <c r="L962" s="70">
        <f>HYPERLINK(Table1410[[#This Row],[Column1]])</f>
        <v/>
      </c>
    </row>
    <row r="963" ht="45" customHeight="1" s="290">
      <c r="A963" s="30" t="inlineStr">
        <is>
          <t>Autel MaxiSYS Ultra S2 OBD2 Scanner, New Diagnostic with AI, Upgraded MS Ultra, 6-in-1 VCMI2, Topology 3.0, EV Tests, WiFi 6, 48+ Services, Motor Truspeed Repair, Multi-Point DVI, ECU Programming</t>
        </is>
      </c>
      <c r="B963" s="30" t="inlineStr">
        <is>
          <t>B0F2M4JM9H</t>
        </is>
      </c>
      <c r="C963" s="30" t="inlineStr">
        <is>
          <t>Tablet</t>
        </is>
      </c>
      <c r="D963" s="324" t="n">
        <v>6447.125</v>
      </c>
      <c r="E963" s="324" t="n">
        <v>217331.33</v>
      </c>
      <c r="F963" s="324" t="n">
        <v>12894.25</v>
      </c>
      <c r="G963" s="55" t="n">
        <v>37</v>
      </c>
      <c r="H963" s="57" t="n">
        <v>2</v>
      </c>
      <c r="I963" s="55" t="n">
        <v>4</v>
      </c>
      <c r="J963" s="56" t="n">
        <v>5</v>
      </c>
      <c r="K963" s="56" t="inlineStr">
        <is>
          <t>https://amazon.com/dp/B0F2M4JM9H</t>
        </is>
      </c>
      <c r="L963" s="70">
        <f>HYPERLINK(Table1410[[#This Row],[Column1]])</f>
        <v/>
      </c>
    </row>
    <row r="964" ht="45" customHeight="1" s="290">
      <c r="A964" s="30" t="inlineStr">
        <is>
          <t>Autel OBD Adapter Kit with Blow-Molded Carrying Case, 11 Pcs OBD Connectors Compatible with All Autel Scanner Tablet Device</t>
        </is>
      </c>
      <c r="B964" s="30" t="inlineStr">
        <is>
          <t>B0BNL33MX2</t>
        </is>
      </c>
      <c r="C964" s="30" t="inlineStr">
        <is>
          <t>Cable/Adapter</t>
        </is>
      </c>
      <c r="D964" s="324" t="n">
        <v>147.755</v>
      </c>
      <c r="E964" s="324" t="n">
        <v>5598.818461538461</v>
      </c>
      <c r="F964" s="324" t="n">
        <v>295.51</v>
      </c>
      <c r="G964" s="55" t="n">
        <v>41</v>
      </c>
      <c r="H964" s="57" t="n">
        <v>2</v>
      </c>
      <c r="I964" s="55" t="n">
        <v>4</v>
      </c>
      <c r="J964" s="56" t="n">
        <v>4.5</v>
      </c>
      <c r="K964" s="56" t="inlineStr">
        <is>
          <t>https://amazon.com/dp/B0BNL33MX2</t>
        </is>
      </c>
      <c r="L964" s="70">
        <f>HYPERLINK(Table1410[[#This Row],[Column1]])</f>
        <v/>
      </c>
    </row>
    <row r="965" ht="45" customHeight="1" s="290">
      <c r="A965" s="30" t="inlineStr">
        <is>
          <t>Autel MaxiIM IM508S Pro OBD2 Diagnostic Scanner, 2026 All System Scan Tool w/Pro Accessory up of IM508S, Professional Automotive Tablet Work as IM608 Pro II w/ 40+ Reset Services, 3000+ Active Tests</t>
        </is>
      </c>
      <c r="B965" s="30" t="inlineStr">
        <is>
          <t>B0FSZDZ264</t>
        </is>
      </c>
      <c r="C965" s="30" t="inlineStr">
        <is>
          <t>Tablet</t>
        </is>
      </c>
      <c r="D965" s="324" t="n">
        <v>1637.7</v>
      </c>
      <c r="E965" s="324" t="n">
        <v>39556.75384615385</v>
      </c>
      <c r="F965" s="324" t="n">
        <v>3275.4</v>
      </c>
      <c r="G965" s="55" t="n">
        <v>2</v>
      </c>
      <c r="H965" s="57" t="n">
        <v>2</v>
      </c>
      <c r="I965" s="55" t="n">
        <v>1</v>
      </c>
      <c r="J965" s="56" t="n">
        <v>5</v>
      </c>
      <c r="K965" s="56" t="inlineStr">
        <is>
          <t>https://amazon.com/dp/B0FSZDZ264</t>
        </is>
      </c>
      <c r="L965" s="70">
        <f>HYPERLINK(Table1410[[#This Row],[Column1]])</f>
        <v/>
      </c>
    </row>
    <row r="966" ht="45" customHeight="1" s="290">
      <c r="A966" s="30" t="inlineStr">
        <is>
          <t>Autel MaxiDiag MD808 PRO OBD2 Scanner, Upgraded of MD806/MD805/MD802 Full System Diagnostic Scan Tool, 7 Services Read/Clear Codes DTC Lookup Oil Reset Battery Reset, Free Lifetime Update</t>
        </is>
      </c>
      <c r="B966" s="30" t="inlineStr">
        <is>
          <t>B0GCDS5CKB</t>
        </is>
      </c>
      <c r="C966" s="30" t="inlineStr">
        <is>
          <t>Handheld</t>
        </is>
      </c>
      <c r="D966" s="324" t="n">
        <v>224.44</v>
      </c>
      <c r="E966" s="324" t="n">
        <v>5006.738461538463</v>
      </c>
      <c r="F966" s="324" t="n">
        <v>448.88</v>
      </c>
      <c r="G966" s="55" t="n">
        <v>2</v>
      </c>
      <c r="H966" s="57" t="n">
        <v>2</v>
      </c>
      <c r="I966" s="55" t="n"/>
      <c r="J966" s="56" t="n"/>
      <c r="K966" s="56" t="inlineStr">
        <is>
          <t>https://amazon.com/dp/B0GCDS5CKB</t>
        </is>
      </c>
      <c r="L966" s="70">
        <f>HYPERLINK(Table1410[[#This Row],[Column1]])</f>
        <v/>
      </c>
    </row>
    <row r="967" ht="45" customHeight="1" s="290">
      <c r="A967" s="30" t="inlineStr">
        <is>
          <t>Autel MaxiCOM MK900TS Diagnostic Scanner - Upgraded from MS906TS/MK808S-TS/MX900, Bi-Directional Scan Tool with Full TPMS Programming, 40+ Services, CAN FD/DOIP, FCA SGW, Android 11</t>
        </is>
      </c>
      <c r="B967" s="30" t="inlineStr">
        <is>
          <t>B0FM83XBLV</t>
        </is>
      </c>
      <c r="C967" s="30" t="inlineStr">
        <is>
          <t>Tablet</t>
        </is>
      </c>
      <c r="D967" s="324" t="n">
        <v>1084.195</v>
      </c>
      <c r="E967" s="324" t="n">
        <v>18481.79538461539</v>
      </c>
      <c r="F967" s="324" t="n">
        <v>2168.39</v>
      </c>
      <c r="G967" s="55" t="n">
        <v>5</v>
      </c>
      <c r="H967" s="57" t="n">
        <v>2</v>
      </c>
      <c r="I967" s="55" t="n">
        <v>2</v>
      </c>
      <c r="J967" s="56" t="n">
        <v>5</v>
      </c>
      <c r="K967" s="56" t="inlineStr">
        <is>
          <t>https://amazon.com/dp/B0FM83XBLV</t>
        </is>
      </c>
      <c r="L967" s="70">
        <f>HYPERLINK(Table1410[[#This Row],[Column1]])</f>
        <v/>
      </c>
    </row>
    <row r="968" ht="60" customHeight="1" s="290">
      <c r="A968" s="30" t="inlineStr">
        <is>
          <t>Autel Scanner MaxiIM IM508S, 2026 Full Bidirectional OBD2 Diagnostic Tool, 3000+ Active Tests, 40+ Services, OE All Systems OBDII Scan for All Cars, Up of IM508 MaxiCOM MK900BT MK900 MK808S, FCA</t>
        </is>
      </c>
      <c r="B968" s="30" t="inlineStr">
        <is>
          <t>B0FR4T4L8L</t>
        </is>
      </c>
      <c r="C968" s="30" t="inlineStr">
        <is>
          <t>Tablet</t>
        </is>
      </c>
      <c r="D968" s="324" t="n">
        <v>1038.585</v>
      </c>
      <c r="E968" s="324" t="n">
        <v>40845.31615384614</v>
      </c>
      <c r="F968" s="324" t="n">
        <v>2077.17</v>
      </c>
      <c r="G968" s="55" t="n">
        <v>25</v>
      </c>
      <c r="H968" s="57" t="n">
        <v>2</v>
      </c>
      <c r="I968" s="55" t="n">
        <v>1</v>
      </c>
      <c r="J968" s="56" t="n">
        <v>5</v>
      </c>
      <c r="K968" s="56" t="inlineStr">
        <is>
          <t>https://amazon.com/dp/B0FR4T4L8L</t>
        </is>
      </c>
      <c r="L968" s="70">
        <f>HYPERLINK(Table1410[[#This Row],[Column1]])</f>
        <v/>
      </c>
    </row>
    <row r="969" ht="45" customHeight="1" s="290">
      <c r="A969" s="30" t="inlineStr">
        <is>
          <t>Autel CAN FD Adapter Support CAN FD Protocol for GM 2020+ for Ford for Chevrolet for Lincoln Compatible MaxiFlash Elite J2534-VCI VCI100 VCI Mini Maxisys Elite 908 Series 906 Series</t>
        </is>
      </c>
      <c r="B969" s="30" t="inlineStr">
        <is>
          <t>B0BX9J2KZJ</t>
        </is>
      </c>
      <c r="C969" s="30" t="inlineStr">
        <is>
          <t>Cable/Adapter</t>
        </is>
      </c>
      <c r="D969" s="324" t="n">
        <v>90.56999999999999</v>
      </c>
      <c r="E969" s="324" t="n">
        <v>5818.01</v>
      </c>
      <c r="F969" s="324" t="n">
        <v>181.14</v>
      </c>
      <c r="G969" s="55" t="n">
        <v>50</v>
      </c>
      <c r="H969" s="57" t="n">
        <v>2</v>
      </c>
      <c r="I969" s="55" t="n">
        <v>7</v>
      </c>
      <c r="J969" s="56" t="n">
        <v>4.5</v>
      </c>
      <c r="K969" s="56" t="inlineStr">
        <is>
          <t>https://amazon.com/dp/B0BX9J2KZJ</t>
        </is>
      </c>
      <c r="L969" s="70">
        <f>HYPERLINK(Table1410[[#This Row],[Column1]])</f>
        <v/>
      </c>
    </row>
    <row r="970" ht="45" customHeight="1" s="290">
      <c r="A970" s="30" t="inlineStr">
        <is>
          <t>Autel MaxiSys MS909S2 Diagnostic Scanner with AI, Up of MS909, Topology 3.0, Data-Driven PID Analysis, Multi-Point DVI, 40+ Services, Motor TruSpeed Repair, 15000+ Vehicles, OS 13.0</t>
        </is>
      </c>
      <c r="B970" s="30" t="inlineStr">
        <is>
          <t>B0G2WS8ZHP</t>
        </is>
      </c>
      <c r="C970" s="30" t="inlineStr">
        <is>
          <t>Tablet</t>
        </is>
      </c>
      <c r="D970" s="324" t="n">
        <v>3626.13</v>
      </c>
      <c r="E970" s="324" t="n">
        <v>92634.77076923079</v>
      </c>
      <c r="F970" s="324" t="n">
        <v>7252.26</v>
      </c>
      <c r="G970" s="55" t="n">
        <v>11</v>
      </c>
      <c r="H970" s="57" t="n">
        <v>2</v>
      </c>
      <c r="I970" s="55" t="n">
        <v>1</v>
      </c>
      <c r="J970" s="56" t="n">
        <v>5</v>
      </c>
      <c r="K970" s="56" t="inlineStr">
        <is>
          <t>https://amazon.com/dp/B0G2WS8ZHP</t>
        </is>
      </c>
      <c r="L970" s="70">
        <f>HYPERLINK(Table1410[[#This Row],[Column1]])</f>
        <v/>
      </c>
    </row>
    <row r="971" ht="45" customHeight="1" s="290">
      <c r="A971" s="30" t="inlineStr">
        <is>
          <t>Autel MaxiCOM MK808Z-BT Same As MK808BT Pro Upgraded of MK808BT MK808 MK808S MX808, Bi-Directional Control Scan Tool Bluetooth OBD2 Scanner Support BT506/MV108S &amp; FCA AutoAuth</t>
        </is>
      </c>
      <c r="B971" s="30" t="inlineStr">
        <is>
          <t>B0FHWG3PGS</t>
        </is>
      </c>
      <c r="C971" s="30" t="inlineStr">
        <is>
          <t>Tablet</t>
        </is>
      </c>
      <c r="D971" s="324" t="n">
        <v>446.835</v>
      </c>
      <c r="E971" s="324" t="n">
        <v>32882.11461538461</v>
      </c>
      <c r="F971" s="324" t="n">
        <v>893.67</v>
      </c>
      <c r="G971" s="55" t="n">
        <v>59</v>
      </c>
      <c r="H971" s="57" t="n">
        <v>2</v>
      </c>
      <c r="I971" s="55" t="n">
        <v>7</v>
      </c>
      <c r="J971" s="56" t="n">
        <v>4.8</v>
      </c>
      <c r="K971" s="56" t="inlineStr">
        <is>
          <t>https://amazon.com/dp/B0FHWG3PGS</t>
        </is>
      </c>
      <c r="L971" s="70">
        <f>HYPERLINK(Table1410[[#This Row],[Column1]])</f>
        <v/>
      </c>
    </row>
    <row r="972" ht="45" customHeight="1" s="290">
      <c r="A972" s="30" t="inlineStr">
        <is>
          <t>Autel MaxiSYS MS906pro TS Autel Scanner Upgrade of MS906 Pro/ MS906TS/ MK908 Top Car Scanner CAN FD/Do IP 36+ Services All System Diagnostic ECU Coding 3000+ Test FCA OS 10</t>
        </is>
      </c>
      <c r="B972" s="30" t="inlineStr">
        <is>
          <t>B0BG2M2ZFD</t>
        </is>
      </c>
      <c r="C972" s="30" t="inlineStr">
        <is>
          <t>Tablet</t>
        </is>
      </c>
      <c r="D972" s="324" t="n">
        <v>1483.285</v>
      </c>
      <c r="E972" s="324" t="n">
        <v>126004.1023076923</v>
      </c>
      <c r="F972" s="324" t="n">
        <v>2966.57</v>
      </c>
      <c r="G972" s="55" t="n">
        <v>81</v>
      </c>
      <c r="H972" s="57" t="n">
        <v>2</v>
      </c>
      <c r="I972" s="55" t="n">
        <v>20</v>
      </c>
      <c r="J972" s="56" t="n">
        <v>4.9</v>
      </c>
      <c r="K972" s="56" t="inlineStr">
        <is>
          <t>https://amazon.com/dp/B0BG2M2ZFD</t>
        </is>
      </c>
      <c r="L972" s="70">
        <f>HYPERLINK(Table1410[[#This Row],[Column1]])</f>
        <v/>
      </c>
    </row>
    <row r="973" ht="60" customHeight="1" s="290">
      <c r="A973" s="30" t="inlineStr">
        <is>
          <t>Autel MaxiSys Ultra Lite 2026 Top Autel Scanner 2 Year Free Update MaxiFlash VCI ECU C*ding/Pr*gr*mming Cloud Service Topology Mapping 40+ Services Advanced MS906 PRO MS908S PRO MS909 MS919</t>
        </is>
      </c>
      <c r="B973" s="30" t="inlineStr">
        <is>
          <t>B0GQ3VXNV4</t>
        </is>
      </c>
      <c r="C973" s="30" t="inlineStr">
        <is>
          <t>Tablet</t>
        </is>
      </c>
      <c r="D973" s="324" t="n">
        <v>3539.59</v>
      </c>
      <c r="E973" s="324" t="n">
        <v>85494.71230769233</v>
      </c>
      <c r="F973" s="324" t="n">
        <v>7079.18</v>
      </c>
      <c r="G973" s="55" t="n">
        <v>2</v>
      </c>
      <c r="H973" s="57" t="n">
        <v>2</v>
      </c>
      <c r="I973" s="55" t="n"/>
      <c r="J973" s="56" t="n"/>
      <c r="K973" s="56" t="inlineStr">
        <is>
          <t>https://amazon.com/dp/B0GQ3VXNV4</t>
        </is>
      </c>
      <c r="L973" s="70">
        <f>HYPERLINK(Table1410[[#This Row],[Column1]])</f>
        <v/>
      </c>
    </row>
    <row r="974" ht="45" customHeight="1" s="290">
      <c r="A974" s="30" t="inlineStr">
        <is>
          <t>Autel MaxiSys MS909 S2 Scanner, 2026 Same as Ultra S2 Up of MS Ultra MS909, Top Intelligen Scan Diagnostic with AI, Topology 3.0, Enhanced PID Analysis, Motor Truspeed, 48+ Service, ECU Program</t>
        </is>
      </c>
      <c r="B974" s="30" t="inlineStr">
        <is>
          <t>B0FKMK8YNR</t>
        </is>
      </c>
      <c r="C974" s="30" t="inlineStr">
        <is>
          <t>Tablet</t>
        </is>
      </c>
      <c r="D974" s="324" t="n">
        <v>3330.42</v>
      </c>
      <c r="E974" s="324" t="n">
        <v>90080.35846153846</v>
      </c>
      <c r="F974" s="324" t="n">
        <v>6660.84</v>
      </c>
      <c r="G974" s="55" t="n">
        <v>17</v>
      </c>
      <c r="H974" s="57" t="n">
        <v>2</v>
      </c>
      <c r="I974" s="55" t="n">
        <v>1</v>
      </c>
      <c r="J974" s="56" t="n">
        <v>5</v>
      </c>
      <c r="K974" s="56" t="inlineStr">
        <is>
          <t>https://amazon.com/dp/B0FKMK8YNR</t>
        </is>
      </c>
      <c r="L974" s="70">
        <f>HYPERLINK(Table1410[[#This Row],[Column1]])</f>
        <v/>
      </c>
    </row>
    <row r="975" ht="45" customHeight="1" s="290">
      <c r="A975" s="30" t="inlineStr">
        <is>
          <t>Autel Scanner MaxiCheck MX900, 2026 Bidirectional OBD2 Diagnostic Scan Tool with CAN FD DOIP, 8In US Ver. of MaxiCOM MK900 MK900BT V2.0 of MK808S MK808 MK808BT MX808S, 3000+ Active Test, 40+ Service</t>
        </is>
      </c>
      <c r="B975" s="30" t="inlineStr">
        <is>
          <t>B07PYSM27R</t>
        </is>
      </c>
      <c r="C975" s="30" t="inlineStr">
        <is>
          <t>Tablet</t>
        </is>
      </c>
      <c r="D975" s="324" t="n">
        <v>660.995</v>
      </c>
      <c r="E975" s="324" t="n">
        <v>40868.67999999999</v>
      </c>
      <c r="F975" s="324" t="n">
        <v>1321.99</v>
      </c>
      <c r="G975" s="55" t="n">
        <v>77</v>
      </c>
      <c r="H975" s="57" t="n">
        <v>2</v>
      </c>
      <c r="I975" s="55" t="n">
        <v>172</v>
      </c>
      <c r="J975" s="56" t="n">
        <v>4.4</v>
      </c>
      <c r="K975" s="56" t="inlineStr">
        <is>
          <t>https://amazon.com/dp/B07PYSM27R</t>
        </is>
      </c>
      <c r="L975" s="70">
        <f>HYPERLINK(Table1410[[#This Row],[Column1]])</f>
        <v/>
      </c>
    </row>
    <row r="976" ht="30" customHeight="1" s="290">
      <c r="A976" s="30" t="inlineStr">
        <is>
          <t>Autel MaxiSys MS909 Intelligent Scanner: 2026 MS909 Same as Ultra MS919, Up of MS908S PRO II Elite II PRO, Motor TruSpeed Repair as Ultra S2, Topology 2.0, ECU Programming, 40+ Resets, 3K+ Test</t>
        </is>
      </c>
      <c r="B976" s="30" t="inlineStr">
        <is>
          <t>B09FX53KGZ</t>
        </is>
      </c>
      <c r="C976" s="30" t="inlineStr">
        <is>
          <t>Tablet</t>
        </is>
      </c>
      <c r="D976" s="324" t="n">
        <v>3376.83</v>
      </c>
      <c r="E976" s="324" t="n">
        <v>117834.35</v>
      </c>
      <c r="F976" s="324" t="n">
        <v>6753.66</v>
      </c>
      <c r="G976" s="55" t="n">
        <v>39</v>
      </c>
      <c r="H976" s="57" t="n">
        <v>2</v>
      </c>
      <c r="I976" s="55" t="n">
        <v>5</v>
      </c>
      <c r="J976" s="56" t="n">
        <v>5</v>
      </c>
      <c r="K976" s="56" t="inlineStr">
        <is>
          <t>https://amazon.com/dp/B09FX53KGZ</t>
        </is>
      </c>
      <c r="L976" s="70">
        <f>HYPERLINK(Table1410[[#This Row],[Column1]])</f>
        <v/>
      </c>
    </row>
    <row r="977" ht="45" customHeight="1" s="290">
      <c r="A977" s="30" t="inlineStr">
        <is>
          <t>Autel MaxiSys MSOAK Oscilloscope Accessory Kit, Compatible with Autel Scanner Ultra S2/ Ultra/ MS919/ MP408, Includes 65/650A Current Clamps, Coil On Plug Probe, HT Extension Lead and Battery Clip</t>
        </is>
      </c>
      <c r="B977" s="30" t="inlineStr">
        <is>
          <t>B094VS5R58</t>
        </is>
      </c>
      <c r="C977" s="30" t="inlineStr">
        <is>
          <t>Other</t>
        </is>
      </c>
      <c r="D977" s="324" t="n">
        <v>480.635</v>
      </c>
      <c r="E977" s="324" t="n">
        <v>27075.2</v>
      </c>
      <c r="F977" s="324" t="n">
        <v>961.27</v>
      </c>
      <c r="G977" s="55" t="n">
        <v>68</v>
      </c>
      <c r="H977" s="57" t="n">
        <v>2</v>
      </c>
      <c r="I977" s="55" t="n">
        <v>11</v>
      </c>
      <c r="J977" s="56" t="n">
        <v>4.8</v>
      </c>
      <c r="K977" s="56" t="inlineStr">
        <is>
          <t>https://amazon.com/dp/B094VS5R58</t>
        </is>
      </c>
      <c r="L977" s="70">
        <f>HYPERLINK(Table1410[[#This Row],[Column1]])</f>
        <v/>
      </c>
    </row>
    <row r="978" ht="45" customHeight="1" s="290">
      <c r="A978" s="30" t="inlineStr">
        <is>
          <t>Autel OBD2 Scanner AutoLink AL329 Vehicle OBD2 Diagnostic Tool Car Code Reader with I/M Readiness Key Read/Erase Codes Turns Off MIL Plug and Play Retrieves VIN/CALID/CVN Free Lifetime Update</t>
        </is>
      </c>
      <c r="B978" s="30" t="inlineStr">
        <is>
          <t>B0B915579T</t>
        </is>
      </c>
      <c r="C978" s="30" t="inlineStr">
        <is>
          <t>Handheld</t>
        </is>
      </c>
      <c r="D978" s="324" t="n">
        <v>44.915</v>
      </c>
      <c r="E978" s="324" t="n">
        <v>6408.39</v>
      </c>
      <c r="F978" s="324" t="n">
        <v>89.83</v>
      </c>
      <c r="G978" s="55" t="n">
        <v>183</v>
      </c>
      <c r="H978" s="57" t="n">
        <v>2</v>
      </c>
      <c r="I978" s="55" t="n">
        <v>15</v>
      </c>
      <c r="J978" s="56" t="n">
        <v>4.6</v>
      </c>
      <c r="K978" s="56" t="inlineStr">
        <is>
          <t>https://amazon.com/dp/B0B915579T</t>
        </is>
      </c>
      <c r="L978" s="70">
        <f>HYPERLINK(Table1410[[#This Row],[Column1]])</f>
        <v/>
      </c>
    </row>
    <row r="979" ht="45" customHeight="1" s="290">
      <c r="A979" s="30" t="inlineStr">
        <is>
          <t>Autel MaxiSys MS906 PRO 1-Year Update Service, Total Care Program (TCP) Card, One Year Software Subscription &amp; Warranty</t>
        </is>
      </c>
      <c r="B979" s="30" t="inlineStr">
        <is>
          <t>B0FR954ZD5</t>
        </is>
      </c>
      <c r="C979" s="30" t="inlineStr">
        <is>
          <t>Other</t>
        </is>
      </c>
      <c r="D979" s="324" t="n">
        <v>367.26</v>
      </c>
      <c r="E979" s="324" t="n">
        <v>6016.87923076923</v>
      </c>
      <c r="F979" s="324" t="n">
        <v>734.52</v>
      </c>
      <c r="G979" s="55" t="n">
        <v>3</v>
      </c>
      <c r="H979" s="57" t="n">
        <v>2</v>
      </c>
      <c r="I979" s="55" t="n"/>
      <c r="J979" s="56" t="n"/>
      <c r="K979" s="56" t="inlineStr">
        <is>
          <t>https://amazon.com/dp/B0FR954ZD5</t>
        </is>
      </c>
      <c r="L979" s="70">
        <f>HYPERLINK(Table1410[[#This Row],[Column1]])</f>
        <v/>
      </c>
    </row>
    <row r="980" ht="30" customHeight="1" s="290">
      <c r="A980" s="30" t="inlineStr">
        <is>
          <t>Autel MaxiSys Elite II Pro Scanner J2534 Reprogramming Tool 2-Years Free Update Motor TruSpeed Repair CANFD &amp;DoIP 40+ Hot Services 3K+ Active Test as Ultra MS908S PRO II Up of MS908S Pro II MK908P</t>
        </is>
      </c>
      <c r="B980" s="30" t="inlineStr">
        <is>
          <t>B0FHVC9TMC</t>
        </is>
      </c>
      <c r="C980" s="30" t="inlineStr">
        <is>
          <t>Tablet</t>
        </is>
      </c>
      <c r="D980" s="324" t="n">
        <v>3367.26</v>
      </c>
      <c r="E980" s="324" t="n">
        <v>95356.52000000002</v>
      </c>
      <c r="F980" s="324" t="n">
        <v>3367.26</v>
      </c>
      <c r="G980" s="55" t="n">
        <v>35</v>
      </c>
      <c r="H980" s="57" t="n">
        <v>1</v>
      </c>
      <c r="I980" s="55" t="n">
        <v>4</v>
      </c>
      <c r="J980" s="56" t="n">
        <v>4.7</v>
      </c>
      <c r="K980" s="56" t="inlineStr">
        <is>
          <t>https://amazon.com/dp/B0FHVC9TMC</t>
        </is>
      </c>
      <c r="L980" s="70">
        <f>HYPERLINK(Table1410[[#This Row],[Column1]])</f>
        <v/>
      </c>
    </row>
    <row r="981" ht="45" customHeight="1" s="290">
      <c r="A981" s="30" t="inlineStr">
        <is>
          <t>Autel MaxiSYS Ultra S2 AI Scanner, 2026 UltraS2 Top Intelligent Scan Tool, 6-in-1 VCMI2, Up of MSUltra Ultra EV, Topology 3.0 &amp; Multi-Point DVI, EV Test, Motor Truspeed, 48+ Service, 3000+ Active Test</t>
        </is>
      </c>
      <c r="B981" s="30" t="inlineStr">
        <is>
          <t>B0F37T2WCZ</t>
        </is>
      </c>
      <c r="C981" s="30" t="inlineStr">
        <is>
          <t>Tablet</t>
        </is>
      </c>
      <c r="D981" s="324" t="n">
        <v>6380.38</v>
      </c>
      <c r="E981" s="324" t="n">
        <v>219695.8930769231</v>
      </c>
      <c r="F981" s="324" t="n">
        <v>6380.38</v>
      </c>
      <c r="G981" s="55" t="n">
        <v>36</v>
      </c>
      <c r="H981" s="57" t="n">
        <v>1</v>
      </c>
      <c r="I981" s="55" t="n">
        <v>8</v>
      </c>
      <c r="J981" s="56" t="n">
        <v>4.8</v>
      </c>
      <c r="K981" s="56" t="inlineStr">
        <is>
          <t>https://amazon.com/dp/B0F37T2WCZ</t>
        </is>
      </c>
      <c r="L981" s="70">
        <f>HYPERLINK(Table1410[[#This Row],[Column1]])</f>
        <v/>
      </c>
    </row>
    <row r="982" ht="60" customHeight="1" s="290">
      <c r="A982" s="30" t="inlineStr">
        <is>
          <t>Autel MaxiSys MS919 S2 AI Scanner, 2026 MS919S2 Same as Ultra S2 Up of MSUltra MS909 S2, Top Intelligent Scan Tool, Topology 3.0, 6-in-1 VCMI2 [$2000 Value], Multi-Point DVI, EV Test, 12+256GB, 13 OS</t>
        </is>
      </c>
      <c r="B982" s="30" t="inlineStr">
        <is>
          <t>B0FXMP177Q</t>
        </is>
      </c>
      <c r="C982" s="30" t="inlineStr">
        <is>
          <t>Tablet</t>
        </is>
      </c>
      <c r="D982" s="324" t="n">
        <v>6061.51</v>
      </c>
      <c r="E982" s="324" t="n">
        <v>72762.89999999999</v>
      </c>
      <c r="F982" s="324" t="n">
        <v>6061.51</v>
      </c>
      <c r="G982" s="55" t="n">
        <v>4</v>
      </c>
      <c r="H982" s="57" t="n">
        <v>1</v>
      </c>
      <c r="I982" s="55" t="n"/>
      <c r="J982" s="56" t="n"/>
      <c r="K982" s="56" t="inlineStr">
        <is>
          <t>https://amazon.com/dp/B0FXMP177Q</t>
        </is>
      </c>
      <c r="L982" s="70">
        <f>HYPERLINK(Table1410[[#This Row],[Column1]])</f>
        <v/>
      </c>
    </row>
    <row r="983" ht="45" customHeight="1" s="290">
      <c r="A983" s="30" t="inlineStr">
        <is>
          <t>Autel MaxiCOM Ultra Lite Scanner: 2026 Intelligent Tool as MaxiSys Ultra S2, Up of MS909 MS919 Elite II Pro, 2 Years Free Update, Motor TruSpeed, Topology 2.0, 40+ Service, 3000+ Active Test, FCA SGW</t>
        </is>
      </c>
      <c r="B983" s="30" t="inlineStr">
        <is>
          <t>B0172DD22U</t>
        </is>
      </c>
      <c r="C983" s="30" t="inlineStr">
        <is>
          <t>Tablet</t>
        </is>
      </c>
      <c r="D983" s="324" t="n">
        <v>4145.81</v>
      </c>
      <c r="E983" s="324" t="n">
        <v>81436.96000000001</v>
      </c>
      <c r="F983" s="324" t="n">
        <v>4145.81</v>
      </c>
      <c r="G983" s="55" t="n">
        <v>36</v>
      </c>
      <c r="H983" s="57" t="n">
        <v>1</v>
      </c>
      <c r="I983" s="55" t="n">
        <v>7</v>
      </c>
      <c r="J983" s="56" t="n">
        <v>5</v>
      </c>
      <c r="K983" s="56" t="inlineStr">
        <is>
          <t>https://amazon.com/dp/B0172DD22U</t>
        </is>
      </c>
      <c r="L983" s="70">
        <f>HYPERLINK(Table1410[[#This Row],[Column1]])</f>
        <v/>
      </c>
    </row>
    <row r="984" ht="60" customHeight="1" s="290">
      <c r="A984" s="30" t="inlineStr">
        <is>
          <t>Autel MaxiSys Ultra ADAS, 2026 Top Intelligent Scan Diagnostic Tool with ADAS System Calibration Software, Up of MSUltra Lite MS919 MS909 MS908 Pro, Topology 2.0, 40+ Services, J2534 Programming</t>
        </is>
      </c>
      <c r="B984" s="30" t="inlineStr">
        <is>
          <t>B0D8VMZL46</t>
        </is>
      </c>
      <c r="C984" s="30" t="inlineStr">
        <is>
          <t>Tablet</t>
        </is>
      </c>
      <c r="D984" s="324" t="n">
        <v>5063.38</v>
      </c>
      <c r="E984" s="324" t="n">
        <v>58061.82</v>
      </c>
      <c r="F984" s="324" t="n">
        <v>5063.38</v>
      </c>
      <c r="G984" s="55" t="n">
        <v>11</v>
      </c>
      <c r="H984" s="57" t="n">
        <v>1</v>
      </c>
      <c r="I984" s="55" t="n">
        <v>1</v>
      </c>
      <c r="J984" s="56" t="n">
        <v>5</v>
      </c>
      <c r="K984" s="56" t="inlineStr">
        <is>
          <t>https://amazon.com/dp/B0D8VMZL46</t>
        </is>
      </c>
      <c r="L984" s="70">
        <f>HYPERLINK(Table1410[[#This Row],[Column1]])</f>
        <v/>
      </c>
    </row>
    <row r="985" ht="60" customHeight="1" s="290">
      <c r="A985" s="30" t="inlineStr">
        <is>
          <t>Autel Scanner MaxiCOM MK808S: 2026 Upgraded of MK808/MX808, Bi-Directional Control Scan Tool, 28+ Services, All System Diagnostics, FCA Auto Auth, Auto VIN, with MV105S/MV108S</t>
        </is>
      </c>
      <c r="B985" s="30" t="inlineStr">
        <is>
          <t>B094QTNWYQ</t>
        </is>
      </c>
      <c r="C985" s="30" t="inlineStr">
        <is>
          <t>Tablet</t>
        </is>
      </c>
      <c r="D985" s="324" t="n">
        <v>305.42</v>
      </c>
      <c r="E985" s="324" t="n">
        <v>7487.870000000001</v>
      </c>
      <c r="F985" s="324" t="n">
        <v>305.42</v>
      </c>
      <c r="G985" s="55" t="n">
        <v>17</v>
      </c>
      <c r="H985" s="57" t="n">
        <v>1</v>
      </c>
      <c r="I985" s="55" t="n">
        <v>56</v>
      </c>
      <c r="J985" s="56" t="n">
        <v>4.2</v>
      </c>
      <c r="K985" s="56" t="inlineStr">
        <is>
          <t>https://amazon.com/dp/B094QTNWYQ</t>
        </is>
      </c>
      <c r="L985" s="70">
        <f>HYPERLINK(Table1410[[#This Row],[Column1]])</f>
        <v/>
      </c>
    </row>
    <row r="986" ht="30" customHeight="1" s="290">
      <c r="A986" s="30" t="inlineStr">
        <is>
          <t>Autel MaxiSYS Ultra EV 2026 Top EV Intelligent Diagnostic Scanner High-Voltage System &amp; Battery Pack Analysis 5-in-1 VCMI Topology 2.0 Motor TruSpeed Repair Up of MSUltra/ MS919</t>
        </is>
      </c>
      <c r="B986" s="30" t="inlineStr">
        <is>
          <t>B0BVV7PRXR</t>
        </is>
      </c>
      <c r="C986" s="30" t="inlineStr">
        <is>
          <t>Tablet</t>
        </is>
      </c>
      <c r="D986" s="324" t="n">
        <v>4994.88</v>
      </c>
      <c r="E986" s="324" t="n">
        <v>22347.77</v>
      </c>
      <c r="F986" s="324" t="n">
        <v>4994.88</v>
      </c>
      <c r="G986" s="55" t="n">
        <v>5</v>
      </c>
      <c r="H986" s="57" t="n">
        <v>1</v>
      </c>
      <c r="I986" s="55" t="n">
        <v>9</v>
      </c>
      <c r="J986" s="56" t="n">
        <v>4.8</v>
      </c>
      <c r="K986" s="56" t="inlineStr">
        <is>
          <t>https://amazon.com/dp/B0BVV7PRXR</t>
        </is>
      </c>
      <c r="L986" s="70">
        <f>HYPERLINK(Table1410[[#This Row],[Column1]])</f>
        <v/>
      </c>
    </row>
    <row r="987" ht="60" customHeight="1" s="290">
      <c r="A987" s="30" t="inlineStr">
        <is>
          <t>Autel IM508S Scanner Programmer Tool Full OBDII Diagnostics Code Readers Diagnostics Scan Tool Programming 3000+ Bidirectional Tests 40+ Resets Android 11 FCA AutoAuth 4/64G</t>
        </is>
      </c>
      <c r="B987" s="30" t="inlineStr">
        <is>
          <t>B0G5Y5Q7M3</t>
        </is>
      </c>
      <c r="C987" s="30" t="inlineStr">
        <is>
          <t>Tablet</t>
        </is>
      </c>
      <c r="D987" s="324" t="n">
        <v>1263.4</v>
      </c>
      <c r="E987" s="324" t="n">
        <v>14211.88384615385</v>
      </c>
      <c r="F987" s="324" t="n">
        <v>1263.4</v>
      </c>
      <c r="G987" s="55" t="n">
        <v>2</v>
      </c>
      <c r="H987" s="57" t="n">
        <v>1</v>
      </c>
      <c r="I987" s="55" t="n"/>
      <c r="J987" s="56" t="n"/>
      <c r="K987" s="56" t="inlineStr">
        <is>
          <t>https://amazon.com/dp/B0G5Y5Q7M3</t>
        </is>
      </c>
      <c r="L987" s="70">
        <f>HYPERLINK(Table1410[[#This Row],[Column1]])</f>
        <v/>
      </c>
    </row>
    <row r="988" ht="60" customHeight="1" s="290">
      <c r="A988" s="30" t="inlineStr">
        <is>
          <t>Autel MaxiSys MS908CV II Heavy Duty Truck Scanner, J2534 ECU Programming Tool, Upgraded from MS908CV, 64+ Services, All System Diagnostics, Class 1–9 Vehicles, Commercial &amp; Semi Truck Scan Tool</t>
        </is>
      </c>
      <c r="B988" s="30" t="inlineStr">
        <is>
          <t>B0D4Q5QPNK</t>
        </is>
      </c>
      <c r="C988" s="30" t="inlineStr">
        <is>
          <t>Tablet</t>
        </is>
      </c>
      <c r="D988" s="324" t="n">
        <v>3107.13</v>
      </c>
      <c r="E988" s="324" t="n">
        <v>3107.13</v>
      </c>
      <c r="F988" s="324" t="n">
        <v>3107.13</v>
      </c>
      <c r="G988" s="55" t="n">
        <v>1</v>
      </c>
      <c r="H988" s="57" t="n">
        <v>1</v>
      </c>
      <c r="I988" s="55" t="n">
        <v>1</v>
      </c>
      <c r="J988" s="56" t="n">
        <v>5</v>
      </c>
      <c r="K988" s="56" t="inlineStr">
        <is>
          <t>https://amazon.com/dp/B0D4Q5QPNK</t>
        </is>
      </c>
      <c r="L988" s="70">
        <f>HYPERLINK(Table1410[[#This Row],[Column1]])</f>
        <v/>
      </c>
    </row>
    <row r="989" ht="45" customHeight="1" s="290">
      <c r="A989" s="30" t="inlineStr">
        <is>
          <t>Autel Scanner MaxiSYS MS909, 2026 Top Intelligent Scan Tool Same as MSUltra MS919 Ultra Lite, Motor TruSpeed, Topology 2.0, OE J2534 Functions, Up of Elite 2 Pro, 40+ Service 3000+ Tests, CAN FD DOIP</t>
        </is>
      </c>
      <c r="B989" s="30" t="inlineStr">
        <is>
          <t>B0995SJKH1</t>
        </is>
      </c>
      <c r="C989" s="30" t="inlineStr">
        <is>
          <t>Tablet</t>
        </is>
      </c>
      <c r="D989" s="324" t="n">
        <v>3618.36</v>
      </c>
      <c r="E989" s="324" t="n">
        <v>77656.7</v>
      </c>
      <c r="F989" s="324" t="n">
        <v>3618.36</v>
      </c>
      <c r="G989" s="55" t="n">
        <v>26</v>
      </c>
      <c r="H989" s="57" t="n">
        <v>1</v>
      </c>
      <c r="I989" s="55" t="n">
        <v>17</v>
      </c>
      <c r="J989" s="56" t="n">
        <v>4.7</v>
      </c>
      <c r="K989" s="56" t="inlineStr">
        <is>
          <t>https://amazon.com/dp/B0995SJKH1</t>
        </is>
      </c>
      <c r="L989" s="70">
        <f>HYPERLINK(Table1410[[#This Row],[Column1]])</f>
        <v/>
      </c>
    </row>
    <row r="990" ht="30" customHeight="1" s="290">
      <c r="A990" s="30" t="inlineStr">
        <is>
          <t>Autel MaxiSys Ultra Full System Diagnostic OBD2 Scanner Tablet Autel Ultra Have 40+ Reset Services with 5in1 MaxiFlash VCMI Can ECU Programming and ECU Coding Better MS909 MS919 MS Elite MK908 MK909</t>
        </is>
      </c>
      <c r="B990" s="30" t="inlineStr">
        <is>
          <t>B094VFFP4L</t>
        </is>
      </c>
      <c r="C990" s="30" t="inlineStr">
        <is>
          <t>Tablet</t>
        </is>
      </c>
      <c r="D990" s="324" t="n">
        <v>2257.6</v>
      </c>
      <c r="E990" s="324" t="n">
        <v>74181.26999999999</v>
      </c>
      <c r="F990" s="324" t="n">
        <v>2257.6</v>
      </c>
      <c r="G990" s="55" t="n">
        <v>20</v>
      </c>
      <c r="H990" s="57" t="n">
        <v>1</v>
      </c>
      <c r="I990" s="55" t="n">
        <v>21</v>
      </c>
      <c r="J990" s="56" t="n">
        <v>4.4</v>
      </c>
      <c r="K990" s="56" t="inlineStr">
        <is>
          <t>https://amazon.com/dp/B094VFFP4L</t>
        </is>
      </c>
      <c r="L990" s="70">
        <f>HYPERLINK(Table1410[[#This Row],[Column1]])</f>
        <v/>
      </c>
    </row>
    <row r="991" ht="45" customHeight="1" s="290">
      <c r="A991" s="30" t="inlineStr">
        <is>
          <t>Autel Scanner MaxiCOM MK900 - New Ver.Work as MK900BT/ MX900, 40+ Service, OS 11, 3000+ Active Tests, DoIP CAN FD,All System Diagnose, FCA Autoauth&amp;SGW, Ver. of MK808BT PRO, MK808S, MX808S OBDII Tool</t>
        </is>
      </c>
      <c r="B991" s="30" t="inlineStr">
        <is>
          <t>B0D3HRRNRT</t>
        </is>
      </c>
      <c r="C991" s="30" t="inlineStr">
        <is>
          <t>Tablet</t>
        </is>
      </c>
      <c r="D991" s="324" t="n">
        <v>768.3200000000001</v>
      </c>
      <c r="E991" s="324" t="n">
        <v>14864.18</v>
      </c>
      <c r="F991" s="324" t="n">
        <v>768.3200000000001</v>
      </c>
      <c r="G991" s="55" t="n">
        <v>26</v>
      </c>
      <c r="H991" s="57" t="n">
        <v>1</v>
      </c>
      <c r="I991" s="55" t="n">
        <v>5</v>
      </c>
      <c r="J991" s="56" t="n">
        <v>3.4</v>
      </c>
      <c r="K991" s="56" t="inlineStr">
        <is>
          <t>https://amazon.com/dp/B0D3HRRNRT</t>
        </is>
      </c>
      <c r="L991" s="70">
        <f>HYPERLINK(Table1410[[#This Row],[Column1]])</f>
        <v/>
      </c>
    </row>
    <row r="992" ht="30" customHeight="1" s="290">
      <c r="A992" s="30" t="inlineStr">
        <is>
          <t>Autel MaxiFlash VCI Kit, Bluetooth Vehicle Communication Interface, ECU Programming, SAE J2534 D-PDU RP1210 CAN FD 4 CAN Channels ISO22900, Work with MaxiSYS MS909 MS909EV MS909CV MaxiCOM Ultra Lite</t>
        </is>
      </c>
      <c r="B992" s="30" t="inlineStr">
        <is>
          <t>B0BXP45P23</t>
        </is>
      </c>
      <c r="C992" s="30" t="inlineStr">
        <is>
          <t>VCI</t>
        </is>
      </c>
      <c r="D992" s="324" t="n">
        <v>540.79</v>
      </c>
      <c r="E992" s="324" t="n">
        <v>42050.28</v>
      </c>
      <c r="F992" s="324" t="n">
        <v>540.79</v>
      </c>
      <c r="G992" s="55" t="n">
        <v>42</v>
      </c>
      <c r="H992" s="57" t="n">
        <v>1</v>
      </c>
      <c r="I992" s="55" t="n">
        <v>4</v>
      </c>
      <c r="J992" s="56" t="n">
        <v>5</v>
      </c>
      <c r="K992" s="56" t="inlineStr">
        <is>
          <t>https://amazon.com/dp/B0BXP45P23</t>
        </is>
      </c>
      <c r="L992" s="70">
        <f>HYPERLINK(Table1410[[#This Row],[Column1]])</f>
        <v/>
      </c>
    </row>
    <row r="993" ht="30" customHeight="1" s="290">
      <c r="A993" s="30" t="inlineStr">
        <is>
          <t>Autel IKEY Razor Programmable Smart Key 2024 Key Fob for BMW Key Creation 4 Buttons Ultra-Long Range OE Quality 700+ Vehicles Car Key Replacement Programmed with Autel KM100 IM508 IM608</t>
        </is>
      </c>
      <c r="B993" s="30" t="inlineStr">
        <is>
          <t>B0B7SKNPGK</t>
        </is>
      </c>
      <c r="C993" s="30" t="inlineStr">
        <is>
          <t>Key</t>
        </is>
      </c>
      <c r="D993" s="324" t="n">
        <v>44.93</v>
      </c>
      <c r="E993" s="324" t="n">
        <v>686.3200000000001</v>
      </c>
      <c r="F993" s="324" t="n">
        <v>44.93</v>
      </c>
      <c r="G993" s="55" t="n">
        <v>18</v>
      </c>
      <c r="H993" s="57" t="n">
        <v>1</v>
      </c>
      <c r="I993" s="55" t="n">
        <v>7</v>
      </c>
      <c r="J993" s="56" t="n">
        <v>3.8</v>
      </c>
      <c r="K993" s="56" t="inlineStr">
        <is>
          <t>https://amazon.com/dp/B0B7SKNPGK</t>
        </is>
      </c>
      <c r="L993" s="70">
        <f>HYPERLINK(Table1410[[#This Row],[Column1]])</f>
        <v/>
      </c>
    </row>
    <row r="994" ht="30" customHeight="1" s="290">
      <c r="A994" s="30" t="inlineStr">
        <is>
          <t>Autel OBD2 Scanner MaxiCOM MK808Z Automotive Diagnostic Tool - Same as MK808S MX808S, Android 11, Bi-Directional Tests as MK900 MX900, 28 Services, Injector Coding, All-System Scan, FCA AutoAuth</t>
        </is>
      </c>
      <c r="B994" s="30" t="inlineStr">
        <is>
          <t>B0FHW3FT8L</t>
        </is>
      </c>
      <c r="C994" s="30" t="inlineStr">
        <is>
          <t>Tablet</t>
        </is>
      </c>
      <c r="D994" s="324" t="n">
        <v>487.92</v>
      </c>
      <c r="E994" s="324" t="n">
        <v>8780.060769230771</v>
      </c>
      <c r="F994" s="324" t="n">
        <v>487.92</v>
      </c>
      <c r="G994" s="55" t="n">
        <v>15</v>
      </c>
      <c r="H994" s="57" t="n">
        <v>1</v>
      </c>
      <c r="I994" s="55" t="n">
        <v>1</v>
      </c>
      <c r="J994" s="56" t="n">
        <v>5</v>
      </c>
      <c r="K994" s="56" t="inlineStr">
        <is>
          <t>https://amazon.com/dp/B0FHW3FT8L</t>
        </is>
      </c>
      <c r="L994" s="70">
        <f>HYPERLINK(Table1410[[#This Row],[Column1]])</f>
        <v/>
      </c>
    </row>
    <row r="995" ht="60" customHeight="1" s="290">
      <c r="A995" s="30" t="inlineStr">
        <is>
          <t>Autel IM508S PRO OBD2 Diagnostic Scanner, 2026 Full Bundle as 608 pro 2, Upgrade of IM508S IM508, 40+ Service, 3000+ Active Tests, All System Diagnostic, FCA, OS 11.0</t>
        </is>
      </c>
      <c r="B995" s="30" t="inlineStr">
        <is>
          <t>B0GQ8F5F23</t>
        </is>
      </c>
      <c r="C995" s="30" t="inlineStr">
        <is>
          <t>Tablet</t>
        </is>
      </c>
      <c r="D995" s="324" t="n">
        <v>1698.98</v>
      </c>
      <c r="E995" s="324" t="n">
        <v>20518.45076923077</v>
      </c>
      <c r="F995" s="324" t="n">
        <v>1698.98</v>
      </c>
      <c r="G995" s="55" t="n">
        <v>1</v>
      </c>
      <c r="H995" s="57" t="n">
        <v>1</v>
      </c>
      <c r="I995" s="55" t="n"/>
      <c r="J995" s="56" t="n"/>
      <c r="K995" s="56" t="inlineStr">
        <is>
          <t>https://amazon.com/dp/B0GQ8F5F23</t>
        </is>
      </c>
      <c r="L995" s="70">
        <f>HYPERLINK(Table1410[[#This Row],[Column1]])</f>
        <v/>
      </c>
    </row>
    <row r="996" ht="30" customHeight="1" s="290">
      <c r="A996" s="30" t="inlineStr">
        <is>
          <t>Autel Maxilink ML619 OBD2 Scanner, 2026 ABS SRS Diagnostic Scan Tool,Up of ML519 AL519 AL619,Code Reader Turn Off Check Engine Light Car Diagnostic Tool with 10 OBD2 Test Modes,DTCs Lookup,Graphs Data</t>
        </is>
      </c>
      <c r="B996" s="30" t="inlineStr">
        <is>
          <t>B0FJRNN7BM</t>
        </is>
      </c>
      <c r="C996" s="30" t="inlineStr">
        <is>
          <t>Handheld</t>
        </is>
      </c>
      <c r="D996" s="324" t="n">
        <v>69.95</v>
      </c>
      <c r="E996" s="324" t="n">
        <v>2348.316153846153</v>
      </c>
      <c r="F996" s="324" t="n">
        <v>69.95</v>
      </c>
      <c r="G996" s="55" t="n">
        <v>19</v>
      </c>
      <c r="H996" s="57" t="n">
        <v>1</v>
      </c>
      <c r="I996" s="55" t="n">
        <v>4</v>
      </c>
      <c r="J996" s="56" t="n">
        <v>4.4</v>
      </c>
      <c r="K996" s="56" t="inlineStr">
        <is>
          <t>https://amazon.com/dp/B0FJRNN7BM</t>
        </is>
      </c>
      <c r="L996" s="70">
        <f>HYPERLINK(Table1410[[#This Row],[Column1]])</f>
        <v/>
      </c>
    </row>
    <row r="997" ht="45" customHeight="1" s="290">
      <c r="A997" s="30" t="inlineStr">
        <is>
          <t>Autel Scanner MP900-BT KIT, Bidirectional Scan Tool with ECU Coding(Full OBD Kit), Same Function as MS906MAX MS906 PRO, Upgrade of MK808S MS906S MP900, 3000+ Active Tests, 40+ Services, CAN FD &amp; DoIP</t>
        </is>
      </c>
      <c r="B997" s="30" t="inlineStr">
        <is>
          <t>B07ZD8T8K9</t>
        </is>
      </c>
      <c r="C997" s="30" t="inlineStr">
        <is>
          <t>Tablet</t>
        </is>
      </c>
      <c r="D997" s="324" t="n">
        <v>1036.22</v>
      </c>
      <c r="E997" s="324" t="n">
        <v>23174.88076923077</v>
      </c>
      <c r="F997" s="324" t="n">
        <v>1036.22</v>
      </c>
      <c r="G997" s="55" t="n">
        <v>23</v>
      </c>
      <c r="H997" s="57" t="n">
        <v>1</v>
      </c>
      <c r="I997" s="55" t="n">
        <v>175</v>
      </c>
      <c r="J997" s="56" t="n">
        <v>4.4</v>
      </c>
      <c r="K997" s="56" t="inlineStr">
        <is>
          <t>https://amazon.com/dp/B07ZD8T8K9</t>
        </is>
      </c>
      <c r="L997" s="70">
        <f>HYPERLINK(Table1410[[#This Row],[Column1]])</f>
        <v/>
      </c>
    </row>
    <row r="998" ht="45" customHeight="1" s="290">
      <c r="A998" s="30" t="inlineStr">
        <is>
          <t>Autel MaxiSYS Ultra S2 AI Scanner: 2026 Top Intelligent Scan Tool, Up of Ultra EV MSUltra Elite II Pro MS909 MS919, 6-in-1 VCMI2, Topology 3.0, Motor Truspeed, 48+ Service, OE Programming, EV Tests</t>
        </is>
      </c>
      <c r="B998" s="30" t="inlineStr">
        <is>
          <t>B07JJD3NFL</t>
        </is>
      </c>
      <c r="C998" s="30" t="inlineStr">
        <is>
          <t>Tablet</t>
        </is>
      </c>
      <c r="D998" s="324" t="n">
        <v>5681</v>
      </c>
      <c r="E998" s="324" t="n">
        <v>75113.14</v>
      </c>
      <c r="F998" s="324" t="n">
        <v>5681</v>
      </c>
      <c r="G998" s="55" t="n">
        <v>10</v>
      </c>
      <c r="H998" s="57" t="n">
        <v>1</v>
      </c>
      <c r="I998" s="55" t="n">
        <v>28</v>
      </c>
      <c r="J998" s="56" t="n">
        <v>4</v>
      </c>
      <c r="K998" s="56" t="inlineStr">
        <is>
          <t>https://amazon.com/dp/B07JJD3NFL</t>
        </is>
      </c>
      <c r="L998" s="70">
        <f>HYPERLINK(Table1410[[#This Row],[Column1]])</f>
        <v/>
      </c>
    </row>
    <row r="999" ht="30" customHeight="1" s="290">
      <c r="A999" s="30" t="inlineStr">
        <is>
          <t>Autel MaxiI-M IM608 PRO 2 Scanner, 2026 Same as M608 II /IM608S PRO II /IM608S II, Advanced as Elite II Pro, 40+ Service, 3000+ Active Test, OE Full Diagnostic, CAN FD&amp; DOIP Up of IM608 PRO/IM508S</t>
        </is>
      </c>
      <c r="B999" s="30" t="inlineStr">
        <is>
          <t>B0DJ1DKRZQ</t>
        </is>
      </c>
      <c r="C999" s="30" t="inlineStr">
        <is>
          <t>Tablet</t>
        </is>
      </c>
      <c r="D999" s="324" t="n">
        <v>1964.95</v>
      </c>
      <c r="E999" s="324" t="n">
        <v>134336.66</v>
      </c>
      <c r="F999" s="324" t="n">
        <v>1964.95</v>
      </c>
      <c r="G999" s="55" t="n">
        <v>44</v>
      </c>
      <c r="H999" s="57" t="n">
        <v>1</v>
      </c>
      <c r="I999" s="55" t="n">
        <v>7</v>
      </c>
      <c r="J999" s="56" t="n">
        <v>4.1</v>
      </c>
      <c r="K999" s="56" t="inlineStr">
        <is>
          <t>https://amazon.com/dp/B0DJ1DKRZQ</t>
        </is>
      </c>
      <c r="L999" s="70">
        <f>HYPERLINK(Table1410[[#This Row],[Column1]])</f>
        <v/>
      </c>
    </row>
    <row r="1000" ht="45" customHeight="1" s="290">
      <c r="A1000" s="30" t="inlineStr">
        <is>
          <t>Autel MaxiSys MS919S2 Scanner, 2026 Top Intelligent &amp; AI Diagnostic, ECU J2534 Pr0gram C0ding, Same as Ultra S2 Up of MSUltra MS909 S2, Topology 3.0, 6-in-1 VCMI2, Multi-Point DVI, 48+ Service</t>
        </is>
      </c>
      <c r="B1000" s="30" t="inlineStr">
        <is>
          <t>B0GCZSL3X4</t>
        </is>
      </c>
      <c r="C1000" s="30" t="inlineStr">
        <is>
          <t>Tablet</t>
        </is>
      </c>
      <c r="D1000" s="324" t="n">
        <v>5299.98</v>
      </c>
      <c r="E1000" s="324" t="n">
        <v>58621.87230769231</v>
      </c>
      <c r="F1000" s="324" t="n">
        <v>5299.98</v>
      </c>
      <c r="G1000" s="55" t="n">
        <v>2</v>
      </c>
      <c r="H1000" s="57" t="n">
        <v>1</v>
      </c>
      <c r="I1000" s="55" t="n">
        <v>2</v>
      </c>
      <c r="J1000" s="56" t="n">
        <v>5</v>
      </c>
      <c r="K1000" s="56" t="inlineStr">
        <is>
          <t>https://amazon.com/dp/B0GCZSL3X4</t>
        </is>
      </c>
      <c r="L1000" s="70">
        <f>HYPERLINK(Table1410[[#This Row],[Column1]])</f>
        <v/>
      </c>
    </row>
    <row r="1001" ht="30" customHeight="1" s="290">
      <c r="A1001" s="30" t="inlineStr">
        <is>
          <t>Autel MS908P-1YRUPDATE Scan Tool</t>
        </is>
      </c>
      <c r="B1001" s="30" t="inlineStr">
        <is>
          <t>B00UF1K23Y</t>
        </is>
      </c>
      <c r="C1001" s="30" t="inlineStr">
        <is>
          <t>Other</t>
        </is>
      </c>
      <c r="D1001" s="324" t="n">
        <v>655.36</v>
      </c>
      <c r="E1001" s="324" t="n">
        <v>15678.69</v>
      </c>
      <c r="F1001" s="324" t="n">
        <v>655.36</v>
      </c>
      <c r="G1001" s="55" t="n">
        <v>21</v>
      </c>
      <c r="H1001" s="57" t="n">
        <v>1</v>
      </c>
      <c r="I1001" s="55" t="n">
        <v>24</v>
      </c>
      <c r="J1001" s="56" t="n">
        <v>4.7</v>
      </c>
      <c r="K1001" s="56" t="inlineStr">
        <is>
          <t>https://amazon.com/dp/B00UF1K23Y</t>
        </is>
      </c>
      <c r="L1001" s="70">
        <f>HYPERLINK(Table1410[[#This Row],[Column1]])</f>
        <v/>
      </c>
    </row>
    <row r="1002" ht="45" customHeight="1" s="290">
      <c r="A1002" s="30" t="inlineStr">
        <is>
          <t>2026 Autel MaxiSYS Ultra Scanner: Top Auto Tool with 40+ Service, 5-in-1 VCMI, Intelligent Scan, Topology Map, OE Programming &amp; Coding, Upgraded of MaxiCOM Ultra Lite Elite II Pro MS919 Ultra EV</t>
        </is>
      </c>
      <c r="B1002" s="30" t="inlineStr">
        <is>
          <t>B08SVXHWK9</t>
        </is>
      </c>
      <c r="C1002" s="30" t="inlineStr">
        <is>
          <t>Tablet</t>
        </is>
      </c>
      <c r="D1002" s="324" t="n">
        <v>4258.72</v>
      </c>
      <c r="E1002" s="324" t="n">
        <v>203772.1</v>
      </c>
      <c r="F1002" s="324" t="n">
        <v>4258.72</v>
      </c>
      <c r="G1002" s="55" t="n">
        <v>53</v>
      </c>
      <c r="H1002" s="57" t="n">
        <v>1</v>
      </c>
      <c r="I1002" s="55" t="n">
        <v>31</v>
      </c>
      <c r="J1002" s="56" t="n">
        <v>4.3</v>
      </c>
      <c r="K1002" s="56" t="inlineStr">
        <is>
          <t>https://amazon.com/dp/B08SVXHWK9</t>
        </is>
      </c>
      <c r="L1002" s="70">
        <f>HYPERLINK(Table1410[[#This Row],[Column1]])</f>
        <v/>
      </c>
    </row>
    <row r="1003" ht="45" customHeight="1" s="290">
      <c r="A1003" s="30" t="inlineStr">
        <is>
          <t>Autel J2534 Pass-Thru Programmer, 2026 MaxiFlash VCI OEM Programming &amp; Diagnostic Tool 2.0V of MaxiFlash Elite, SAE J-2534 CAN FD DoIP D-PDU RP1210, Work with OE Tools &amp; MaxiSYS Elite II PRO MS909</t>
        </is>
      </c>
      <c r="B1003" s="30" t="inlineStr">
        <is>
          <t>B09J4Y9JRP</t>
        </is>
      </c>
      <c r="C1003" s="30" t="inlineStr">
        <is>
          <t>VCI</t>
        </is>
      </c>
      <c r="D1003" s="324" t="n">
        <v>1238.23</v>
      </c>
      <c r="E1003" s="324" t="n">
        <v>47267.03153846154</v>
      </c>
      <c r="F1003" s="324" t="n">
        <v>1238.23</v>
      </c>
      <c r="G1003" s="55" t="n">
        <v>46</v>
      </c>
      <c r="H1003" s="57" t="n">
        <v>1</v>
      </c>
      <c r="I1003" s="55" t="n">
        <v>1</v>
      </c>
      <c r="J1003" s="56" t="n">
        <v>5</v>
      </c>
      <c r="K1003" s="56" t="inlineStr">
        <is>
          <t>https://amazon.com/dp/B09J4Y9JRP</t>
        </is>
      </c>
      <c r="L1003" s="70">
        <f>HYPERLINK(Table1410[[#This Row],[Column1]])</f>
        <v/>
      </c>
    </row>
    <row r="1004" ht="45" customHeight="1" s="290">
      <c r="A1004" s="30" t="inlineStr">
        <is>
          <t>Autel Automotive OBD Scan Tool, Lifetime Updates, Auto Scan, VCI V200, 2GB &amp; 64GB, Android 9.0</t>
        </is>
      </c>
      <c r="B1004" s="30" t="inlineStr">
        <is>
          <t>B0B3MQRPPZ</t>
        </is>
      </c>
      <c r="C1004" s="30" t="inlineStr">
        <is>
          <t>Key</t>
        </is>
      </c>
      <c r="D1004" s="324" t="n">
        <v>749.72</v>
      </c>
      <c r="E1004" s="324" t="n">
        <v>16315.99384615385</v>
      </c>
      <c r="F1004" s="324" t="n">
        <v>749.72</v>
      </c>
      <c r="G1004" s="55" t="n">
        <v>20</v>
      </c>
      <c r="H1004" s="57" t="n">
        <v>1</v>
      </c>
      <c r="I1004" s="55" t="n">
        <v>232</v>
      </c>
      <c r="J1004" s="56" t="n">
        <v>4.3</v>
      </c>
      <c r="K1004" s="56" t="inlineStr">
        <is>
          <t>https://amazon.com/dp/B0B3MQRPPZ</t>
        </is>
      </c>
      <c r="L1004" s="70">
        <f>HYPERLINK(Table1410[[#This Row],[Column1]])</f>
        <v/>
      </c>
    </row>
    <row r="1005" ht="45" customHeight="1" s="290">
      <c r="A1005" s="30" t="inlineStr">
        <is>
          <t>Autel MaxiDiag MD906 PRO Scanner, 2026 MD906PRO All System Diagnostic Scan Tool as MD909 PRO, 33ft BT Lite of MK808S MX808S, V2.0 CAN FD, 11 Reset Functions, Up of MD808 Pro MD806, FCA, Free Updates</t>
        </is>
      </c>
      <c r="B1005" s="30" t="inlineStr">
        <is>
          <t>B0FSSKB4S8</t>
        </is>
      </c>
      <c r="C1005" s="30" t="inlineStr">
        <is>
          <t>Tablet</t>
        </is>
      </c>
      <c r="D1005" s="324" t="n">
        <v>328.22</v>
      </c>
      <c r="E1005" s="324" t="n">
        <v>12679.19615384615</v>
      </c>
      <c r="F1005" s="324" t="n">
        <v>328.22</v>
      </c>
      <c r="G1005" s="55" t="n">
        <v>37</v>
      </c>
      <c r="H1005" s="57" t="n">
        <v>1</v>
      </c>
      <c r="I1005" s="55" t="n">
        <v>10</v>
      </c>
      <c r="J1005" s="56" t="n">
        <v>4.6</v>
      </c>
      <c r="K1005" s="56" t="inlineStr">
        <is>
          <t>https://amazon.com/dp/B0FSSKB4S8</t>
        </is>
      </c>
      <c r="L1005" s="70">
        <f>HYPERLINK(Table1410[[#This Row],[Column1]])</f>
        <v/>
      </c>
    </row>
    <row r="1006" ht="45" customHeight="1" s="290">
      <c r="A1006" s="30" t="inlineStr">
        <is>
          <t>Autel MaxiSys MaxiVCI VCI Mini Bluetooth Diagnostic Interface Work with All Systems Automotive OBD2 Scanner MS906S TS608 MP808TS MK808BT MK808TS MK900TS Oil Reset/EPB/BMS/SAS/TPMS and Immobilizer</t>
        </is>
      </c>
      <c r="B1006" s="30" t="inlineStr">
        <is>
          <t>B0B35X15LH</t>
        </is>
      </c>
      <c r="C1006" s="30" t="inlineStr">
        <is>
          <t>Dongle</t>
        </is>
      </c>
      <c r="D1006" s="324" t="n">
        <v>127.09</v>
      </c>
      <c r="E1006" s="324" t="n">
        <v>25026.78</v>
      </c>
      <c r="F1006" s="324" t="n">
        <v>127.09</v>
      </c>
      <c r="G1006" s="55" t="n">
        <v>230</v>
      </c>
      <c r="H1006" s="57" t="n">
        <v>1</v>
      </c>
      <c r="I1006" s="55" t="n">
        <v>29</v>
      </c>
      <c r="J1006" s="56" t="n">
        <v>4.6</v>
      </c>
      <c r="K1006" s="56" t="inlineStr">
        <is>
          <t>https://amazon.com/dp/B0B35X15LH</t>
        </is>
      </c>
      <c r="L1006" s="70">
        <f>HYPERLINK(Table1410[[#This Row],[Column1]])</f>
        <v/>
      </c>
    </row>
    <row r="1007" ht="45" customHeight="1" s="290">
      <c r="A1007" s="30" t="inlineStr">
        <is>
          <t>Autel MaxiSYS MS906 PRO-TS Scanner, Up of MS906MAX MS906Pro MP900TS MS906TS MP900BT, Full TPMS Diagnostic, Bidirectional Scan Tool, ECU Coding, 36+ Service, DOIP&amp;CAN FD, FCA, VAG</t>
        </is>
      </c>
      <c r="B1007" s="30" t="inlineStr">
        <is>
          <t>B0BS6GZC5J</t>
        </is>
      </c>
      <c r="C1007" s="30" t="inlineStr">
        <is>
          <t>Tablet</t>
        </is>
      </c>
      <c r="D1007" s="324" t="n">
        <v>1888.22</v>
      </c>
      <c r="E1007" s="324" t="n">
        <v>44856.11</v>
      </c>
      <c r="F1007" s="324" t="n">
        <v>1888.22</v>
      </c>
      <c r="G1007" s="55" t="n">
        <v>29</v>
      </c>
      <c r="H1007" s="57" t="n">
        <v>1</v>
      </c>
      <c r="I1007" s="55" t="n">
        <v>18</v>
      </c>
      <c r="J1007" s="56" t="n">
        <v>4.6</v>
      </c>
      <c r="K1007" s="56" t="inlineStr">
        <is>
          <t>https://amazon.com/dp/B0BS6GZC5J</t>
        </is>
      </c>
      <c r="L1007" s="70">
        <f>HYPERLINK(Table1410[[#This Row],[Column1]])</f>
        <v/>
      </c>
    </row>
    <row r="1008" ht="45" customHeight="1" s="290">
      <c r="A1008" s="30" t="inlineStr">
        <is>
          <t>Autel Scanner Diagnostic Scan Tool, 2026 OBD2 Car Scanner with 4 Useful Accessories Worth 2000Bucks, 40 Services, OE Full System, Full Bidirectional Tool, 3K+ Active Test, DOIP CANFD, OS10, 4G&amp;128G</t>
        </is>
      </c>
      <c r="B1008" s="30" t="inlineStr">
        <is>
          <t>B09ZPK3PBV</t>
        </is>
      </c>
      <c r="C1008" s="30" t="inlineStr">
        <is>
          <t>Tablet</t>
        </is>
      </c>
      <c r="D1008" s="324" t="n">
        <v>3384.2</v>
      </c>
      <c r="E1008" s="324" t="n">
        <v>66829.99692307692</v>
      </c>
      <c r="F1008" s="324" t="n">
        <v>3384.2</v>
      </c>
      <c r="G1008" s="55" t="n">
        <v>18</v>
      </c>
      <c r="H1008" s="57" t="n">
        <v>1</v>
      </c>
      <c r="I1008" s="55" t="n">
        <v>6</v>
      </c>
      <c r="J1008" s="56" t="n">
        <v>5</v>
      </c>
      <c r="K1008" s="56" t="inlineStr">
        <is>
          <t>https://amazon.com/dp/B09ZPK3PBV</t>
        </is>
      </c>
      <c r="L1008" s="70">
        <f>HYPERLINK(Table1410[[#This Row],[Column1]])</f>
        <v/>
      </c>
    </row>
    <row r="1009" ht="60" customHeight="1" s="290">
      <c r="A1009" s="30" t="inlineStr">
        <is>
          <t>Autel DIY OBDII Replacement Cable — Compatible with AutoLINK Tools, Model# DIY-Cable</t>
        </is>
      </c>
      <c r="B1009" s="30" t="inlineStr">
        <is>
          <t>B00FQ11LSI</t>
        </is>
      </c>
      <c r="C1009" s="30" t="inlineStr">
        <is>
          <t>Cable/Adapter</t>
        </is>
      </c>
      <c r="D1009" s="324" t="n">
        <v>45.3</v>
      </c>
      <c r="E1009" s="324" t="n">
        <v>212.9807692307692</v>
      </c>
      <c r="F1009" s="324" t="n">
        <v>45.3</v>
      </c>
      <c r="G1009" s="55" t="n">
        <v>3</v>
      </c>
      <c r="H1009" s="57" t="n">
        <v>1</v>
      </c>
      <c r="I1009" s="55" t="n"/>
      <c r="J1009" s="56" t="n"/>
      <c r="K1009" s="56" t="inlineStr">
        <is>
          <t>https://amazon.com/dp/B00FQ11LSI</t>
        </is>
      </c>
      <c r="L1009" s="70">
        <f>HYPERLINK(Table1410[[#This Row],[Column1]])</f>
        <v/>
      </c>
    </row>
    <row r="1010" ht="30" customHeight="1" s="290">
      <c r="A1010" s="30" t="inlineStr">
        <is>
          <t>Autel MaxiSys Ultra Pro 2026 Scanner with MSOAK MSOBD2KIT Upgraded of Ultra Lite MS919 MS909 OBD2 Scanner 5-in-1 MaxiFlash VCMI Topology ECU Programming 15000+ Vehicle 40+ Service</t>
        </is>
      </c>
      <c r="B1010" s="30" t="inlineStr">
        <is>
          <t>B0D6G96Y35</t>
        </is>
      </c>
      <c r="C1010" s="30" t="inlineStr">
        <is>
          <t>Tablet</t>
        </is>
      </c>
      <c r="D1010" s="324" t="n">
        <v>4399</v>
      </c>
      <c r="E1010" s="324" t="n">
        <v>35036.49</v>
      </c>
      <c r="F1010" s="324" t="n">
        <v>4399</v>
      </c>
      <c r="G1010" s="55" t="n">
        <v>8</v>
      </c>
      <c r="H1010" s="57" t="n">
        <v>1</v>
      </c>
      <c r="I1010" s="55" t="n"/>
      <c r="J1010" s="56" t="n"/>
      <c r="K1010" s="56" t="inlineStr">
        <is>
          <t>https://amazon.com/dp/B0D6G96Y35</t>
        </is>
      </c>
      <c r="L1010" s="70">
        <f>HYPERLINK(Table1410[[#This Row],[Column1]])</f>
        <v/>
      </c>
    </row>
    <row r="1011" ht="45" customHeight="1" s="290">
      <c r="A1011" s="30" t="inlineStr">
        <is>
          <t>Autel MaxiBAS BTMS OBDII Memory Saver, Battery Tester, Polarity-Protected, Attaches to 12 Volt Backup Battery, Provides Power to Vehicle's Computer, Maintains Data</t>
        </is>
      </c>
      <c r="B1011" s="30" t="inlineStr">
        <is>
          <t>B0CCJBCJTS</t>
        </is>
      </c>
      <c r="C1011" s="30" t="inlineStr">
        <is>
          <t>Other</t>
        </is>
      </c>
      <c r="D1011" s="324" t="n">
        <v>45.96</v>
      </c>
      <c r="E1011" s="324" t="n">
        <v>475.3099999999999</v>
      </c>
      <c r="F1011" s="324" t="n">
        <v>45.96</v>
      </c>
      <c r="G1011" s="55" t="n">
        <v>9</v>
      </c>
      <c r="H1011" s="57" t="n">
        <v>1</v>
      </c>
      <c r="I1011" s="55" t="n">
        <v>3</v>
      </c>
      <c r="J1011" s="56" t="n">
        <v>5</v>
      </c>
      <c r="K1011" s="56" t="inlineStr">
        <is>
          <t>https://amazon.com/dp/B0CCJBCJTS</t>
        </is>
      </c>
      <c r="L1011" s="70">
        <f>HYPERLINK(Table1410[[#This Row],[Column1]])</f>
        <v/>
      </c>
    </row>
    <row r="1012" ht="45" customHeight="1" s="290">
      <c r="A1012" s="30" t="inlineStr">
        <is>
          <t>Autel 1-Year Update Service for IM608/ IM608 PRO, Total Care Program (TCP) Card, One Year Software Subscription &amp; Warranty</t>
        </is>
      </c>
      <c r="B1012" s="30" t="inlineStr">
        <is>
          <t>B0GR45V5JZ</t>
        </is>
      </c>
      <c r="C1012" s="30" t="inlineStr">
        <is>
          <t>Tablet</t>
        </is>
      </c>
      <c r="D1012" s="324" t="n">
        <v>447.48</v>
      </c>
      <c r="E1012" s="324" t="n">
        <v>8941.573076923076</v>
      </c>
      <c r="F1012" s="324" t="n">
        <v>447.48</v>
      </c>
      <c r="G1012" s="55" t="n">
        <v>5</v>
      </c>
      <c r="H1012" s="57" t="n">
        <v>1</v>
      </c>
      <c r="I1012" s="55" t="n"/>
      <c r="J1012" s="56" t="n"/>
      <c r="K1012" s="56" t="inlineStr">
        <is>
          <t>https://amazon.com/dp/B0GR45V5JZ</t>
        </is>
      </c>
      <c r="L1012" s="70">
        <f>HYPERLINK(Table1410[[#This Row],[Column1]])</f>
        <v/>
      </c>
    </row>
    <row r="1013" ht="45" customHeight="1" s="290">
      <c r="A1013" s="30" t="inlineStr">
        <is>
          <t>Autel Original CV Haldex 4-Pin Adapter, 4pin Commercial Vehicle Connector for Haldex Trailer Braking Systems, Compatible w/Autel Heavy Duty Truck Scanner MaxiSYS MS909CV, MS908CV II, MS908CV, MS906CV</t>
        </is>
      </c>
      <c r="B1013" s="30" t="inlineStr">
        <is>
          <t>B0FF4XKXDT</t>
        </is>
      </c>
      <c r="C1013" s="30" t="inlineStr">
        <is>
          <t>Cable/Adapter</t>
        </is>
      </c>
      <c r="D1013" s="324" t="n">
        <v>20.85</v>
      </c>
      <c r="E1013" s="324" t="n">
        <v>399.8092307692308</v>
      </c>
      <c r="F1013" s="324" t="n">
        <v>20.85</v>
      </c>
      <c r="G1013" s="55" t="n">
        <v>11</v>
      </c>
      <c r="H1013" s="57" t="n">
        <v>1</v>
      </c>
      <c r="I1013" s="55" t="n">
        <v>3</v>
      </c>
      <c r="J1013" s="56" t="n">
        <v>4.7</v>
      </c>
      <c r="K1013" s="56" t="inlineStr">
        <is>
          <t>https://amazon.com/dp/B0FF4XKXDT</t>
        </is>
      </c>
      <c r="L1013" s="70">
        <f>HYPERLINK(Table1410[[#This Row],[Column1]])</f>
        <v/>
      </c>
    </row>
    <row r="1014" ht="45" customHeight="1" s="290">
      <c r="A1014" s="30" t="inlineStr">
        <is>
          <t>Autel MaxiSys Elite 2 Pro Scanner, 2026 Elite II Pro with 2 Years Update, J2534 Pr0gramming as MS Ultra MS909 MS919 Up of MS908S PRO II MK908P, Motor TruSpeed, 3000+ Tests, 40+ Service, CANFD, 10.0 OS</t>
        </is>
      </c>
      <c r="B1014" s="30" t="inlineStr">
        <is>
          <t>B0G6ZDHJPR</t>
        </is>
      </c>
      <c r="C1014" s="30" t="inlineStr">
        <is>
          <t>Tablet</t>
        </is>
      </c>
      <c r="D1014" s="324" t="n">
        <v>1579.32</v>
      </c>
      <c r="E1014" s="324" t="n">
        <v>28625.81076923078</v>
      </c>
      <c r="F1014" s="324" t="n">
        <v>1579.32</v>
      </c>
      <c r="G1014" s="55" t="n">
        <v>8</v>
      </c>
      <c r="H1014" s="57" t="n">
        <v>1</v>
      </c>
      <c r="I1014" s="55" t="n">
        <v>30</v>
      </c>
      <c r="J1014" s="56" t="n">
        <v>4.4</v>
      </c>
      <c r="K1014" s="56" t="inlineStr">
        <is>
          <t>https://amazon.com/dp/B0G6ZDHJPR</t>
        </is>
      </c>
      <c r="L1014" s="70">
        <f>HYPERLINK(Table1410[[#This Row],[Column1]])</f>
        <v/>
      </c>
    </row>
    <row r="1015" ht="45" customHeight="1" s="290">
      <c r="A1015" s="30" t="inlineStr">
        <is>
          <t>Autel Scanner MaxiCOM MK906 Pro: New Upgrade Version of MS906BT / MP900-BT, ECU Coding Same As MK908P, Bi-Directional Control, 40+ Services, Guided Functions, FCA AutoAuth</t>
        </is>
      </c>
      <c r="B1015" s="30" t="inlineStr">
        <is>
          <t>B09M45G1VH</t>
        </is>
      </c>
      <c r="C1015" s="30" t="inlineStr">
        <is>
          <t>Tablet</t>
        </is>
      </c>
      <c r="D1015" s="324" t="n">
        <v>836.29</v>
      </c>
      <c r="E1015" s="324" t="n">
        <v>14589.37</v>
      </c>
      <c r="F1015" s="324" t="n">
        <v>836.29</v>
      </c>
      <c r="G1015" s="55" t="n">
        <v>12</v>
      </c>
      <c r="H1015" s="57" t="n">
        <v>1</v>
      </c>
      <c r="I1015" s="55" t="n">
        <v>2</v>
      </c>
      <c r="J1015" s="56" t="n">
        <v>5</v>
      </c>
      <c r="K1015" s="56" t="inlineStr">
        <is>
          <t>https://amazon.com/dp/B09M45G1VH</t>
        </is>
      </c>
      <c r="L1015" s="70">
        <f>HYPERLINK(Table1410[[#This Row],[Column1]])</f>
        <v/>
      </c>
    </row>
    <row r="1016" ht="30" customHeight="1" s="290">
      <c r="A1016" s="30" t="inlineStr">
        <is>
          <t>Autel Ikey Programmable Smart Key for Chrysler- Dodge-Style Key Creation 5 Buttons IKEYCR5TPR Ultra-Long Range OE-Quality for 700+ Vehicle Key Replacement Programmed with Autel KM100 IM508 IM608</t>
        </is>
      </c>
      <c r="B1016" s="30" t="inlineStr">
        <is>
          <t>B0BRZB14WW</t>
        </is>
      </c>
      <c r="C1016" s="30" t="inlineStr">
        <is>
          <t>Key</t>
        </is>
      </c>
      <c r="D1016" s="324" t="n">
        <v>49.03</v>
      </c>
      <c r="E1016" s="324" t="n">
        <v>867.2900000000001</v>
      </c>
      <c r="F1016" s="324" t="n">
        <v>49.03</v>
      </c>
      <c r="G1016" s="55" t="n">
        <v>23</v>
      </c>
      <c r="H1016" s="57" t="n">
        <v>1</v>
      </c>
      <c r="I1016" s="55" t="n">
        <v>2</v>
      </c>
      <c r="J1016" s="56" t="n">
        <v>5</v>
      </c>
      <c r="K1016" s="56" t="inlineStr">
        <is>
          <t>https://amazon.com/dp/B0BRZB14WW</t>
        </is>
      </c>
      <c r="L1016" s="70">
        <f>HYPERLINK(Table1410[[#This Row],[Column1]])</f>
        <v/>
      </c>
    </row>
    <row r="1017" ht="45" customHeight="1" s="290">
      <c r="A1017" s="30" t="inlineStr">
        <is>
          <t>Autel OBD2 Scanner MaxiDiag MD906 PRO MD906PRO, All Systems Car Scanner Diagnostic Tool, Same as MD909 PRO BT Lite of MaxiCOM MK808S MX808S, 11+Resets, CAN FD, Up of MD808 PRO MD806, Free Update, FCA</t>
        </is>
      </c>
      <c r="B1017" s="30" t="inlineStr">
        <is>
          <t>B0090B7M2O</t>
        </is>
      </c>
      <c r="C1017" s="30" t="inlineStr">
        <is>
          <t>Handheld</t>
        </is>
      </c>
      <c r="D1017" s="324" t="n">
        <v>288.27</v>
      </c>
      <c r="E1017" s="324" t="n">
        <v>13520.78153846154</v>
      </c>
      <c r="F1017" s="324" t="n">
        <v>288.27</v>
      </c>
      <c r="G1017" s="55" t="n">
        <v>43</v>
      </c>
      <c r="H1017" s="57" t="n">
        <v>1</v>
      </c>
      <c r="I1017" s="55" t="n">
        <v>665</v>
      </c>
      <c r="J1017" s="56" t="n">
        <v>4.3</v>
      </c>
      <c r="K1017" s="56" t="inlineStr">
        <is>
          <t>https://amazon.com/dp/B0090B7M2O</t>
        </is>
      </c>
      <c r="L1017" s="70">
        <f>HYPERLINK(Table1410[[#This Row],[Column1]])</f>
        <v/>
      </c>
    </row>
    <row r="1018" ht="45" customHeight="1" s="290">
      <c r="A1018" s="30" t="inlineStr">
        <is>
          <t>Autel Scanner MaxiSys MS906 Pro, Upgrade Version of MS906BT / MaxiPRO MP900BT, ECU Coding Same As MK908P, Bi-Directional Control, Scan Tool with 40+ Services, Guided Functions, FCA AutoAuth</t>
        </is>
      </c>
      <c r="B1018" s="30" t="inlineStr">
        <is>
          <t>B09YHM6M18</t>
        </is>
      </c>
      <c r="C1018" s="30" t="inlineStr">
        <is>
          <t>Tablet</t>
        </is>
      </c>
      <c r="D1018" s="324" t="n">
        <v>817.35</v>
      </c>
      <c r="E1018" s="324" t="n">
        <v>37761.57</v>
      </c>
      <c r="F1018" s="324" t="n">
        <v>817.35</v>
      </c>
      <c r="G1018" s="55" t="n">
        <v>27</v>
      </c>
      <c r="H1018" s="57" t="n">
        <v>1</v>
      </c>
      <c r="I1018" s="55" t="n">
        <v>5</v>
      </c>
      <c r="J1018" s="56" t="n">
        <v>3.9</v>
      </c>
      <c r="K1018" s="56" t="inlineStr">
        <is>
          <t>https://amazon.com/dp/B09YHM6M18</t>
        </is>
      </c>
      <c r="L1018" s="70">
        <f>HYPERLINK(Table1410[[#This Row],[Column1]])</f>
        <v/>
      </c>
    </row>
    <row r="1019" ht="45" customHeight="1" s="290">
      <c r="A1019" s="30" t="inlineStr">
        <is>
          <t>Autel - Total Care Program for Msultra (ULTRA1YRUPD)</t>
        </is>
      </c>
      <c r="B1019" s="30" t="inlineStr">
        <is>
          <t>B09WW424ZL</t>
        </is>
      </c>
      <c r="C1019" s="30" t="inlineStr">
        <is>
          <t>Other</t>
        </is>
      </c>
      <c r="D1019" s="324" t="n">
        <v>1350.15</v>
      </c>
      <c r="E1019" s="324" t="n">
        <v>71078.14999999999</v>
      </c>
      <c r="F1019" s="324" t="n">
        <v>1350.15</v>
      </c>
      <c r="G1019" s="55" t="n">
        <v>75</v>
      </c>
      <c r="H1019" s="57" t="n">
        <v>1</v>
      </c>
      <c r="I1019" s="55" t="n">
        <v>5</v>
      </c>
      <c r="J1019" s="56" t="n">
        <v>5</v>
      </c>
      <c r="K1019" s="56" t="inlineStr">
        <is>
          <t>https://amazon.com/dp/B09WW424ZL</t>
        </is>
      </c>
      <c r="L1019" s="70">
        <f>HYPERLINK(Table1410[[#This Row],[Column1]])</f>
        <v/>
      </c>
    </row>
    <row r="1020" ht="45" customHeight="1" s="290">
      <c r="A1020" s="30" t="inlineStr">
        <is>
          <t>Autel MaxiSys Ultra 1-Year Update Service, Total Care Program (TCP) Card, One Year Software Subscription &amp; Warranty</t>
        </is>
      </c>
      <c r="B1020" s="30" t="inlineStr">
        <is>
          <t>B0G64B7R8V</t>
        </is>
      </c>
      <c r="C1020" s="30" t="inlineStr">
        <is>
          <t>Other</t>
        </is>
      </c>
      <c r="D1020" s="324" t="n">
        <v>1465.53</v>
      </c>
      <c r="E1020" s="324" t="n">
        <v>15133.39538461539</v>
      </c>
      <c r="F1020" s="324" t="n">
        <v>1465.53</v>
      </c>
      <c r="G1020" s="55" t="n">
        <v>3</v>
      </c>
      <c r="H1020" s="57" t="n">
        <v>1</v>
      </c>
      <c r="I1020" s="55" t="n"/>
      <c r="J1020" s="56" t="n"/>
      <c r="K1020" s="56" t="inlineStr">
        <is>
          <t>https://amazon.com/dp/B0G64B7R8V</t>
        </is>
      </c>
      <c r="L1020" s="70">
        <f>HYPERLINK(Table1410[[#This Row],[Column1]])</f>
        <v/>
      </c>
    </row>
    <row r="1021" ht="60" customHeight="1" s="290">
      <c r="A1021" s="30" t="inlineStr">
        <is>
          <t>Autel MaxiSys MS909CV Truck Scanner: 2026 Top MS909CV Up of MS908CV II, Topology 2.0, Intelligent Scanner for Commercial/Heavy Duty Truck, ECU Programmer Coding, 3K+ Test, 64 Service, Auto Scan 2.0</t>
        </is>
      </c>
      <c r="B1021" s="30" t="inlineStr">
        <is>
          <t>B075ZLBR63</t>
        </is>
      </c>
      <c r="C1021" s="30" t="inlineStr">
        <is>
          <t>Tablet</t>
        </is>
      </c>
      <c r="D1021" s="324" t="n">
        <v>5349.39</v>
      </c>
      <c r="E1021" s="324" t="n">
        <v>95835.78999999999</v>
      </c>
      <c r="F1021" s="324" t="n">
        <v>5349.39</v>
      </c>
      <c r="G1021" s="55" t="n">
        <v>21</v>
      </c>
      <c r="H1021" s="57" t="n">
        <v>1</v>
      </c>
      <c r="I1021" s="55" t="n">
        <v>6</v>
      </c>
      <c r="J1021" s="56" t="n">
        <v>5</v>
      </c>
      <c r="K1021" s="56" t="inlineStr">
        <is>
          <t>https://amazon.com/dp/B075ZLBR63</t>
        </is>
      </c>
      <c r="L1021" s="70">
        <f>HYPERLINK(Table1410[[#This Row],[Column1]])</f>
        <v/>
      </c>
    </row>
    <row r="1022" ht="60" customHeight="1" s="290">
      <c r="A1022" s="30" t="inlineStr">
        <is>
          <t>Autel MaxiSys MS906 1-Year Update Service, Total Care Program (TCP) Card, One Year Software Subscription &amp; Warranty for Diagnostic Scanner</t>
        </is>
      </c>
      <c r="B1022" s="30" t="inlineStr">
        <is>
          <t>B0FF9XRP4Z</t>
        </is>
      </c>
      <c r="C1022" s="30" t="inlineStr">
        <is>
          <t>Tablet</t>
        </is>
      </c>
      <c r="D1022" s="324" t="n">
        <v>314.19</v>
      </c>
      <c r="E1022" s="324" t="n">
        <v>3795.226923076923</v>
      </c>
      <c r="F1022" s="324" t="n">
        <v>314.19</v>
      </c>
      <c r="G1022" s="55" t="n">
        <v>2</v>
      </c>
      <c r="H1022" s="57" t="n">
        <v>1</v>
      </c>
      <c r="I1022" s="55" t="n"/>
      <c r="J1022" s="56" t="n"/>
      <c r="K1022" s="56" t="inlineStr">
        <is>
          <t>https://amazon.com/dp/B0FF9XRP4Z</t>
        </is>
      </c>
      <c r="L1022" s="70">
        <f>HYPERLINK(Table1410[[#This Row],[Column1]])</f>
        <v/>
      </c>
    </row>
    <row r="1023" ht="45" customHeight="1" s="290">
      <c r="A1023" s="30" t="inlineStr">
        <is>
          <t>Autel - Black Metal Press-in Valve for 1-Sensor (CV-001)</t>
        </is>
      </c>
      <c r="B1023" s="30" t="inlineStr">
        <is>
          <t>B07TV81B8C</t>
        </is>
      </c>
      <c r="C1023" s="30" t="inlineStr">
        <is>
          <t>Other</t>
        </is>
      </c>
      <c r="D1023" s="324" t="n">
        <v>8.91</v>
      </c>
      <c r="E1023" s="324" t="n">
        <v>8.67</v>
      </c>
      <c r="F1023" s="324" t="n">
        <v>0</v>
      </c>
      <c r="G1023" s="55" t="n">
        <v>1</v>
      </c>
      <c r="H1023" s="57" t="n">
        <v>0</v>
      </c>
      <c r="I1023" s="55" t="n"/>
      <c r="J1023" s="56" t="n"/>
      <c r="K1023" s="56" t="inlineStr">
        <is>
          <t>https://amazon.com/dp/B07TV81B8C</t>
        </is>
      </c>
      <c r="L1023" s="70">
        <f>HYPERLINK(Table1410[[#This Row],[Column1]])</f>
        <v/>
      </c>
    </row>
    <row r="1024" ht="45" customHeight="1" s="290">
      <c r="A1024" s="30" t="inlineStr">
        <is>
          <t>Autel MaxiSys Ultra Autel Scanner: 2026 Top Intelligent Diagnostic Tool with 5-in-1 VCMI, Motor TruSpeed, J2534 ECU Programming, 40+ Services, Topology Map 2.0, Up of MS908S Pro Elite/MS909/MS919</t>
        </is>
      </c>
      <c r="B1024" s="30" t="inlineStr">
        <is>
          <t>B09PNBLDM9</t>
        </is>
      </c>
      <c r="C1024" s="30" t="inlineStr">
        <is>
          <t>Tablet</t>
        </is>
      </c>
      <c r="D1024" s="324" t="n">
        <v>3999</v>
      </c>
      <c r="E1024" s="324" t="n">
        <v>43043.67</v>
      </c>
      <c r="F1024" s="324" t="n">
        <v>0</v>
      </c>
      <c r="G1024" s="55" t="n">
        <v>10</v>
      </c>
      <c r="H1024" s="57" t="n">
        <v>0</v>
      </c>
      <c r="I1024" s="55" t="n">
        <v>2</v>
      </c>
      <c r="J1024" s="56" t="n">
        <v>5</v>
      </c>
      <c r="K1024" s="56" t="inlineStr">
        <is>
          <t>https://amazon.com/dp/B09PNBLDM9</t>
        </is>
      </c>
      <c r="L1024" s="70">
        <f>HYPERLINK(Table1410[[#This Row],[Column1]])</f>
        <v/>
      </c>
    </row>
    <row r="1025" ht="60" customHeight="1" s="290">
      <c r="A1025" s="30" t="inlineStr">
        <is>
          <t>Autel MaxiVCI Mini Bluetooth, Vehicle Communication Wireless Interface, Diagnostic Connector Compatible for MK808BT MK808TS MX808TS MP808TS TS608</t>
        </is>
      </c>
      <c r="B1025" s="30" t="inlineStr">
        <is>
          <t>B0GCZ5939M</t>
        </is>
      </c>
      <c r="C1025" s="30" t="inlineStr">
        <is>
          <t>Dongle</t>
        </is>
      </c>
      <c r="D1025" s="324" t="n">
        <v>119</v>
      </c>
      <c r="E1025" s="324" t="n">
        <v>291.22</v>
      </c>
      <c r="F1025" s="324" t="n">
        <v>0</v>
      </c>
      <c r="G1025" s="55" t="n">
        <v>2</v>
      </c>
      <c r="H1025" s="57" t="n">
        <v>0</v>
      </c>
      <c r="I1025" s="55" t="n"/>
      <c r="J1025" s="56" t="n"/>
      <c r="K1025" s="56" t="inlineStr">
        <is>
          <t>https://amazon.com/dp/B0GCZ5939M</t>
        </is>
      </c>
      <c r="L1025" s="70">
        <f>HYPERLINK(Table1410[[#This Row],[Column1]])</f>
        <v/>
      </c>
    </row>
    <row r="1026" ht="30" customHeight="1" s="290">
      <c r="A1026" s="30" t="inlineStr">
        <is>
          <t>Autel ITS600Pro TPMS Tablet — 5.5in. Touchscreen, All Systems Diagnostics, Bluetooth, Model# 700150</t>
        </is>
      </c>
      <c r="B1026" s="30" t="inlineStr">
        <is>
          <t>B0B1JK6JGN</t>
        </is>
      </c>
      <c r="C1026" s="30" t="inlineStr">
        <is>
          <t>Handheld</t>
        </is>
      </c>
      <c r="D1026" s="324" t="n">
        <v>521.38</v>
      </c>
      <c r="E1026" s="324" t="n">
        <v>704.67</v>
      </c>
      <c r="F1026" s="324" t="n">
        <v>0</v>
      </c>
      <c r="G1026" s="55" t="n">
        <v>1</v>
      </c>
      <c r="H1026" s="57" t="n">
        <v>0</v>
      </c>
      <c r="I1026" s="55" t="n"/>
      <c r="J1026" s="56" t="n"/>
      <c r="K1026" s="56" t="inlineStr">
        <is>
          <t>https://amazon.com/dp/B0B1JK6JGN</t>
        </is>
      </c>
      <c r="L1026" s="70">
        <f>HYPERLINK(Table1410[[#This Row],[Column1]])</f>
        <v/>
      </c>
    </row>
    <row r="1027" ht="60" customHeight="1" s="290">
      <c r="A1027" s="30" t="inlineStr">
        <is>
          <t>Autel Scanner MaxiPro MP900Z-BT with 40+ Services, 2024 Upgraded of MP808S/MS906BT, ECU Coding Scanner, Bi-Directional Scan Tool Support CAN FD/DoIP, Full System OBD2 Scanner OE-Level System Coverage</t>
        </is>
      </c>
      <c r="B1027" s="30" t="inlineStr">
        <is>
          <t>B0D7Q65NSM</t>
        </is>
      </c>
      <c r="C1027" s="30" t="inlineStr">
        <is>
          <t>Tablet</t>
        </is>
      </c>
      <c r="D1027" s="324" t="n">
        <v>959</v>
      </c>
      <c r="E1027" s="324" t="n">
        <v>0</v>
      </c>
      <c r="F1027" s="324" t="n">
        <v>0</v>
      </c>
      <c r="G1027" s="55" t="n">
        <v>0</v>
      </c>
      <c r="H1027" s="57" t="n">
        <v>0</v>
      </c>
      <c r="I1027" s="55" t="n">
        <v>1</v>
      </c>
      <c r="J1027" s="56" t="n">
        <v>1</v>
      </c>
      <c r="K1027" s="56" t="inlineStr">
        <is>
          <t>https://amazon.com/dp/B0D7Q65NSM</t>
        </is>
      </c>
      <c r="L1027" s="70">
        <f>HYPERLINK(Table1410[[#This Row],[Column1]])</f>
        <v/>
      </c>
    </row>
    <row r="1028" ht="45" customHeight="1" s="290">
      <c r="A1028" s="30" t="inlineStr">
        <is>
          <t>Autel MaxiSYS MS909EV: 205 Same as MS908S PRO II OBD2 Car Diagnostic Scanner, 38+ Service, Active Test, All System Diagnose, Read abd Clear DTCS, FCA Autoauth OS 11</t>
        </is>
      </c>
      <c r="B1028" s="30" t="inlineStr">
        <is>
          <t>B099JZ9LPL</t>
        </is>
      </c>
      <c r="C1028" s="30" t="inlineStr">
        <is>
          <t>Tablet</t>
        </is>
      </c>
      <c r="D1028" s="324" t="n">
        <v>3799</v>
      </c>
      <c r="E1028" s="324" t="n">
        <v>0</v>
      </c>
      <c r="F1028" s="324" t="n">
        <v>0</v>
      </c>
      <c r="G1028" s="55" t="n">
        <v>0</v>
      </c>
      <c r="H1028" s="57" t="n">
        <v>0</v>
      </c>
      <c r="I1028" s="55" t="n">
        <v>2</v>
      </c>
      <c r="J1028" s="56" t="n">
        <v>5</v>
      </c>
      <c r="K1028" s="56" t="inlineStr">
        <is>
          <t>https://amazon.com/dp/B099JZ9LPL</t>
        </is>
      </c>
      <c r="L1028" s="70">
        <f>HYPERLINK(Table1410[[#This Row],[Column1]])</f>
        <v/>
      </c>
    </row>
    <row r="1029" ht="30" customHeight="1" s="290">
      <c r="A1029" s="30" t="inlineStr">
        <is>
          <t>Autel MaxiSYS MS906 PRO Scanner, Auto Scan 2.0 Same as MS906MAX, Up of MS906BT MS906BT MS908, MS906PRO Diagnostic Tool for car, 36+ Service, DoIP CAN FD, VAG Guided, FCA SGW, 4G/128G</t>
        </is>
      </c>
      <c r="B1029" s="30" t="inlineStr">
        <is>
          <t>B09ZPXKDMM</t>
        </is>
      </c>
      <c r="C1029" s="30" t="inlineStr">
        <is>
          <t>Tablet</t>
        </is>
      </c>
      <c r="D1029" s="324" t="n">
        <v>1369</v>
      </c>
      <c r="E1029" s="324" t="n">
        <v>2392.07</v>
      </c>
      <c r="F1029" s="324" t="n">
        <v>0</v>
      </c>
      <c r="G1029" s="55" t="n">
        <v>2</v>
      </c>
      <c r="H1029" s="57" t="n">
        <v>0</v>
      </c>
      <c r="I1029" s="55" t="n">
        <v>7</v>
      </c>
      <c r="J1029" s="56" t="n">
        <v>4</v>
      </c>
      <c r="K1029" s="56" t="inlineStr">
        <is>
          <t>https://amazon.com/dp/B09ZPXKDMM</t>
        </is>
      </c>
      <c r="L1029" s="70">
        <f>HYPERLINK(Table1410[[#This Row],[Column1]])</f>
        <v/>
      </c>
    </row>
    <row r="1030" ht="60" customHeight="1" s="290">
      <c r="A1030" s="30" t="inlineStr">
        <is>
          <t>Autel MaxiDiag MD600CV Handy Truck Diagnostics Tool, Handheld Wireless Android Touchscreen Tablet for Truck, Light Medium, Heavy Duty Truck Vehicle, 30+ Service</t>
        </is>
      </c>
      <c r="B1030" s="30" t="inlineStr">
        <is>
          <t>B0D97HH541</t>
        </is>
      </c>
      <c r="C1030" s="30" t="inlineStr">
        <is>
          <t>Handheld</t>
        </is>
      </c>
      <c r="D1030" s="324" t="n">
        <v>979</v>
      </c>
      <c r="E1030" s="324" t="n">
        <v>4455.29</v>
      </c>
      <c r="F1030" s="324" t="n">
        <v>0</v>
      </c>
      <c r="G1030" s="55" t="n">
        <v>4</v>
      </c>
      <c r="H1030" s="57" t="n">
        <v>0</v>
      </c>
      <c r="I1030" s="55" t="n">
        <v>3</v>
      </c>
      <c r="J1030" s="56" t="n">
        <v>5</v>
      </c>
      <c r="K1030" s="56" t="inlineStr">
        <is>
          <t>https://amazon.com/dp/B0D97HH541</t>
        </is>
      </c>
      <c r="L1030" s="70">
        <f>HYPERLINK(Table1410[[#This Row],[Column1]])</f>
        <v/>
      </c>
    </row>
    <row r="1031" ht="45" customHeight="1" s="290">
      <c r="A1031" s="30" t="inlineStr">
        <is>
          <t>Autel MaxiSys MS909CV Truck Scanner: 2026 Up of MS908CV II Cars Diagnostic Tool, Motor TruSpeed, Topology 2.0, J2534 Pass-Through, 64+ Reset 3K+ Active Test</t>
        </is>
      </c>
      <c r="B1031" s="30" t="inlineStr">
        <is>
          <t>B0F5VV46Y4</t>
        </is>
      </c>
      <c r="C1031" s="30" t="inlineStr">
        <is>
          <t>Tablet</t>
        </is>
      </c>
      <c r="D1031" s="324" t="n">
        <v>4495</v>
      </c>
      <c r="E1031" s="324" t="n">
        <v>15926.1</v>
      </c>
      <c r="F1031" s="324" t="n">
        <v>0</v>
      </c>
      <c r="G1031" s="55" t="n">
        <v>3</v>
      </c>
      <c r="H1031" s="57" t="n">
        <v>0</v>
      </c>
      <c r="I1031" s="55" t="n"/>
      <c r="J1031" s="56" t="n"/>
      <c r="K1031" s="56" t="inlineStr">
        <is>
          <t>https://amazon.com/dp/B0F5VV46Y4</t>
        </is>
      </c>
      <c r="L1031" s="70">
        <f>HYPERLINK(Table1410[[#This Row],[Column1]])</f>
        <v/>
      </c>
    </row>
    <row r="1032" ht="60" customHeight="1" s="290">
      <c r="A1032" s="30" t="inlineStr">
        <is>
          <t>Autel TS408 Maxitpms Handheld Tpms Scan And Diagnostic Tool</t>
        </is>
      </c>
      <c r="B1032" s="30" t="inlineStr">
        <is>
          <t>B073T6FRTY</t>
        </is>
      </c>
      <c r="C1032" s="30" t="inlineStr">
        <is>
          <t>Handheld</t>
        </is>
      </c>
      <c r="D1032" s="324" t="n">
        <v>155.03</v>
      </c>
      <c r="E1032" s="324" t="n">
        <v>0</v>
      </c>
      <c r="F1032" s="324" t="n">
        <v>0</v>
      </c>
      <c r="G1032" s="55" t="n">
        <v>0</v>
      </c>
      <c r="H1032" s="57" t="n">
        <v>0</v>
      </c>
      <c r="I1032" s="55" t="n">
        <v>2</v>
      </c>
      <c r="J1032" s="56" t="n">
        <v>5</v>
      </c>
      <c r="K1032" s="56" t="inlineStr">
        <is>
          <t>https://amazon.com/dp/B073T6FRTY</t>
        </is>
      </c>
      <c r="L1032" s="70">
        <f>HYPERLINK(Table1410[[#This Row],[Column1]])</f>
        <v/>
      </c>
    </row>
    <row r="1033" ht="45" customHeight="1" s="290">
      <c r="A1033" s="30" t="inlineStr">
        <is>
          <t>Autel MaxiPRO MP808Z-TS Diagnostic Scan Tool for Full TPMS Diagnostics, 2024 Upgraded Version of MP808TS, Bi-Directional Control OBD2 Scanner for All System Diagnose, 30+ Maintenance Functions</t>
        </is>
      </c>
      <c r="B1033" s="30" t="inlineStr">
        <is>
          <t>B0CZ9K86W2</t>
        </is>
      </c>
      <c r="C1033" s="30" t="inlineStr">
        <is>
          <t>Tablet</t>
        </is>
      </c>
      <c r="D1033" s="324" t="n">
        <v>899</v>
      </c>
      <c r="E1033" s="324" t="n">
        <v>472.72</v>
      </c>
      <c r="F1033" s="324" t="n">
        <v>0</v>
      </c>
      <c r="G1033" s="55" t="n">
        <v>1</v>
      </c>
      <c r="H1033" s="57" t="n">
        <v>0</v>
      </c>
      <c r="I1033" s="55" t="n"/>
      <c r="J1033" s="56" t="n"/>
      <c r="K1033" s="56" t="inlineStr">
        <is>
          <t>https://amazon.com/dp/B0CZ9K86W2</t>
        </is>
      </c>
      <c r="L1033" s="70">
        <f>HYPERLINK(Table1410[[#This Row],[Column1]])</f>
        <v/>
      </c>
    </row>
    <row r="1034" ht="45" customHeight="1" s="290">
      <c r="A1034" s="30" t="inlineStr">
        <is>
          <t>Autel MaxiSys Elite II PRO w/MV108S Scanner, 2-Year Update ($2590) Elite 2 Pro, Same as Ultra MS909 MS919 Up of MS908S PRO II MK908P, Motor TruSpeed, J2534 ECU Programming &amp; Coding, CAN FD DoIP</t>
        </is>
      </c>
      <c r="B1034" s="30" t="inlineStr">
        <is>
          <t>B0F1T9D5B3</t>
        </is>
      </c>
      <c r="C1034" s="30" t="inlineStr">
        <is>
          <t>Tablet</t>
        </is>
      </c>
      <c r="D1034" s="324" t="n">
        <v>2399</v>
      </c>
      <c r="E1034" s="324" t="n">
        <v>5014</v>
      </c>
      <c r="F1034" s="324" t="n">
        <v>0</v>
      </c>
      <c r="G1034" s="55" t="n">
        <v>2</v>
      </c>
      <c r="H1034" s="57" t="n">
        <v>0</v>
      </c>
      <c r="I1034" s="55" t="n">
        <v>1</v>
      </c>
      <c r="J1034" s="56" t="n">
        <v>5</v>
      </c>
      <c r="K1034" s="56" t="inlineStr">
        <is>
          <t>https://amazon.com/dp/B0F1T9D5B3</t>
        </is>
      </c>
      <c r="L1034" s="70">
        <f>HYPERLINK(Table1410[[#This Row],[Column1]])</f>
        <v/>
      </c>
    </row>
    <row r="1035" ht="45" customHeight="1" s="290">
      <c r="A1035" s="30" t="inlineStr">
        <is>
          <t>Autel MX900 Scanner, 2025 Bidirectional Scan Tool with 3000+ Active Test, Up of MK808BT MK808S MX808S, All System Diagnose, DoIP&amp;CAN FD, 40+ Service, Same as MK900 MK900BT</t>
        </is>
      </c>
      <c r="B1035" s="30" t="inlineStr">
        <is>
          <t>B07FKZJ86W</t>
        </is>
      </c>
      <c r="C1035" s="30" t="inlineStr">
        <is>
          <t>Tablet</t>
        </is>
      </c>
      <c r="D1035" s="324" t="n">
        <v>819</v>
      </c>
      <c r="E1035" s="324" t="n">
        <v>2117.9</v>
      </c>
      <c r="F1035" s="324" t="n">
        <v>0</v>
      </c>
      <c r="G1035" s="55" t="n">
        <v>5</v>
      </c>
      <c r="H1035" s="57" t="n">
        <v>0</v>
      </c>
      <c r="I1035" s="55" t="n">
        <v>141</v>
      </c>
      <c r="J1035" s="56" t="n">
        <v>4.4</v>
      </c>
      <c r="K1035" s="56" t="inlineStr">
        <is>
          <t>https://amazon.com/dp/B07FKZJ86W</t>
        </is>
      </c>
      <c r="L1035" s="70">
        <f>HYPERLINK(Table1410[[#This Row],[Column1]])</f>
        <v/>
      </c>
    </row>
    <row r="1036" ht="60" customHeight="1" s="290">
      <c r="A1036" s="30" t="inlineStr">
        <is>
          <t>Autel AL529 AutoLink (Upgraded AL519) OBD II Scan Tool EOBD CAN Code Reader</t>
        </is>
      </c>
      <c r="B1036" s="30" t="inlineStr">
        <is>
          <t>B073RF37K9</t>
        </is>
      </c>
      <c r="C1036" s="30" t="inlineStr">
        <is>
          <t>Handheld</t>
        </is>
      </c>
      <c r="D1036" s="324" t="n">
        <v>219.78</v>
      </c>
      <c r="E1036" s="324" t="n">
        <v>216.31</v>
      </c>
      <c r="F1036" s="324" t="n">
        <v>0</v>
      </c>
      <c r="G1036" s="55" t="n">
        <v>2</v>
      </c>
      <c r="H1036" s="57" t="n">
        <v>0</v>
      </c>
      <c r="I1036" s="55" t="n">
        <v>14</v>
      </c>
      <c r="J1036" s="56" t="n">
        <v>4.5</v>
      </c>
      <c r="K1036" s="56" t="inlineStr">
        <is>
          <t>https://amazon.com/dp/B073RF37K9</t>
        </is>
      </c>
      <c r="L1036" s="70">
        <f>HYPERLINK(Table1410[[#This Row],[Column1]])</f>
        <v/>
      </c>
    </row>
    <row r="1037" ht="60" customHeight="1" s="290">
      <c r="A1037" s="30" t="inlineStr">
        <is>
          <t>Autel MaxiPRO MP900-TS Scanner: 2026 TPMS Diagnostic Tool MP900TS Upgraded of MK808S-TS/MK900-TS, Android 10.0, 40+ Services, Advanced ECU Function as MS906PRO-TS, CANFD &amp; DOIP, Active Test GE</t>
        </is>
      </c>
      <c r="B1037" s="30" t="inlineStr">
        <is>
          <t>B08PD7WNNF</t>
        </is>
      </c>
      <c r="C1037" s="30" t="inlineStr">
        <is>
          <t>Tablet</t>
        </is>
      </c>
      <c r="D1037" s="324" t="n">
        <v>1099</v>
      </c>
      <c r="E1037" s="324" t="n">
        <v>2927.52</v>
      </c>
      <c r="F1037" s="324" t="n">
        <v>0</v>
      </c>
      <c r="G1037" s="55" t="n">
        <v>3</v>
      </c>
      <c r="H1037" s="57" t="n">
        <v>0</v>
      </c>
      <c r="I1037" s="55" t="n">
        <v>33</v>
      </c>
      <c r="J1037" s="56" t="n">
        <v>4.4</v>
      </c>
      <c r="K1037" s="56" t="inlineStr">
        <is>
          <t>https://amazon.com/dp/B08PD7WNNF</t>
        </is>
      </c>
      <c r="L1037" s="70">
        <f>HYPERLINK(Table1410[[#This Row],[Column1]])</f>
        <v/>
      </c>
    </row>
    <row r="1038" ht="45" customHeight="1" s="290">
      <c r="A1038" s="30" t="inlineStr">
        <is>
          <t>Autel MaxiSys MS909 Scanner, Motor TruSpeed Same as MS919 Ultra Diagnostic Tool, Up of MS908S PRO II, ECU Coding &amp; Programming, 40+ Services, Topology 2.0, 3K+ Active Tests, FCA AutoAuth</t>
        </is>
      </c>
      <c r="B1038" s="30" t="inlineStr">
        <is>
          <t>B0DGPV3KJM</t>
        </is>
      </c>
      <c r="C1038" s="30" t="inlineStr">
        <is>
          <t>Tablet</t>
        </is>
      </c>
      <c r="D1038" s="324" t="n">
        <v>2999</v>
      </c>
      <c r="E1038" s="324" t="n">
        <v>15724.57</v>
      </c>
      <c r="F1038" s="324" t="n">
        <v>0</v>
      </c>
      <c r="G1038" s="55" t="n">
        <v>5</v>
      </c>
      <c r="H1038" s="57" t="n">
        <v>0</v>
      </c>
      <c r="I1038" s="55" t="n">
        <v>2</v>
      </c>
      <c r="J1038" s="56" t="n">
        <v>5</v>
      </c>
      <c r="K1038" s="56" t="inlineStr">
        <is>
          <t>https://amazon.com/dp/B0DGPV3KJM</t>
        </is>
      </c>
      <c r="L1038" s="70">
        <f>HYPERLINK(Table1410[[#This Row],[Column1]])</f>
        <v/>
      </c>
    </row>
    <row r="1039" ht="30" customHeight="1" s="290">
      <c r="A1039" s="30" t="inlineStr">
        <is>
          <t>Autel MaxiSYS EV Box Upgrade Kit, 2026 Fit Ultra S2 MS919S2 UltraADAS MSUltra MS919 MS909, Same EV Adapters in UltraEV, Full Electric Vehicle Diagnostics, High-Voltage System &amp; Battery Pack Analysis</t>
        </is>
      </c>
      <c r="B1039" s="30" t="inlineStr">
        <is>
          <t>B0FG7JR9DW</t>
        </is>
      </c>
      <c r="C1039" s="30" t="inlineStr">
        <is>
          <t>Tablet</t>
        </is>
      </c>
      <c r="D1039" s="324" t="n">
        <v>899</v>
      </c>
      <c r="E1039" s="324" t="n">
        <v>4399.5</v>
      </c>
      <c r="F1039" s="324" t="n">
        <v>0</v>
      </c>
      <c r="G1039" s="55" t="n">
        <v>5</v>
      </c>
      <c r="H1039" s="57" t="n">
        <v>0</v>
      </c>
      <c r="I1039" s="55" t="n"/>
      <c r="J1039" s="56" t="n"/>
      <c r="K1039" s="56" t="inlineStr">
        <is>
          <t>https://amazon.com/dp/B0FG7JR9DW</t>
        </is>
      </c>
      <c r="L1039" s="70">
        <f>HYPERLINK(Table1410[[#This Row],[Column1]])</f>
        <v/>
      </c>
    </row>
    <row r="1040" ht="60" customHeight="1" s="290">
      <c r="A1040" s="30" t="inlineStr">
        <is>
          <t>Autel MaxiSys Ultra EV OBD2 Scanner, 2026 Top EV Lntelligent Diagnostic Scan Tool, Upgrade of Autel Ultra / MS919 / MS909, with EVDiag Kit, High-Voltage System &amp; Battery Pack Analysis, ECU Programming</t>
        </is>
      </c>
      <c r="B1040" s="30" t="inlineStr">
        <is>
          <t>B0BMFFT2D1</t>
        </is>
      </c>
      <c r="C1040" s="30" t="inlineStr">
        <is>
          <t>Tablet</t>
        </is>
      </c>
      <c r="D1040" s="324" t="n">
        <v>4995</v>
      </c>
      <c r="E1040" s="324" t="n">
        <v>10919.31</v>
      </c>
      <c r="F1040" s="324" t="n">
        <v>0</v>
      </c>
      <c r="G1040" s="55" t="n">
        <v>2</v>
      </c>
      <c r="H1040" s="57" t="n">
        <v>0</v>
      </c>
      <c r="I1040" s="55" t="n">
        <v>8</v>
      </c>
      <c r="J1040" s="56" t="n">
        <v>4.4</v>
      </c>
      <c r="K1040" s="56" t="inlineStr">
        <is>
          <t>https://amazon.com/dp/B0BMFFT2D1</t>
        </is>
      </c>
      <c r="L1040" s="70">
        <f>HYPERLINK(Table1410[[#This Row],[Column1]])</f>
        <v/>
      </c>
    </row>
    <row r="1041" ht="45" customHeight="1" s="290">
      <c r="A1041" s="30" t="inlineStr">
        <is>
          <t>Autel MaxiSys MS919 Scanner, Same as MS Ultra and Up of MS909/ Ultra Lite/Elite 2, Motor TruSpeed, Color Topology 2.0, ECU Programming Coding, 40+Reset, 3000+ Active Test, [$2000] 5in1 VCMI</t>
        </is>
      </c>
      <c r="B1041" s="30" t="inlineStr">
        <is>
          <t>B0F942MRQ5</t>
        </is>
      </c>
      <c r="C1041" s="30" t="inlineStr">
        <is>
          <t>Tablet</t>
        </is>
      </c>
      <c r="D1041" s="324" t="n">
        <v>3799</v>
      </c>
      <c r="E1041" s="324" t="n">
        <v>26890.6</v>
      </c>
      <c r="F1041" s="324" t="n">
        <v>0</v>
      </c>
      <c r="G1041" s="55" t="n">
        <v>7</v>
      </c>
      <c r="H1041" s="57" t="n">
        <v>0</v>
      </c>
      <c r="I1041" s="55" t="n"/>
      <c r="J1041" s="56" t="n"/>
      <c r="K1041" s="56" t="inlineStr">
        <is>
          <t>https://amazon.com/dp/B0F942MRQ5</t>
        </is>
      </c>
      <c r="L1041" s="70">
        <f>HYPERLINK(Table1410[[#This Row],[Column1]])</f>
        <v/>
      </c>
    </row>
    <row r="1042" ht="60" customHeight="1" s="290">
      <c r="A1042" s="30" t="inlineStr">
        <is>
          <t>Autel MaxiSys Ultra S2 AI Scanner, 2026 Top Ultra S2 Intelligent Scan Tool Up of Ultra MS909 MS919, 6-in-1 VCMI2, Topology 3.0, Motor Truspeed, Multi-Point DVI, EV Tests, 48+ Resets, ECU Programming</t>
        </is>
      </c>
      <c r="B1042" s="30" t="inlineStr">
        <is>
          <t>B0FG6T4B83</t>
        </is>
      </c>
      <c r="C1042" s="30" t="inlineStr">
        <is>
          <t>Tablet</t>
        </is>
      </c>
      <c r="D1042" s="324" t="n">
        <v>5681</v>
      </c>
      <c r="E1042" s="324" t="n">
        <v>18834.09</v>
      </c>
      <c r="F1042" s="324" t="n">
        <v>0</v>
      </c>
      <c r="G1042" s="55" t="n">
        <v>3</v>
      </c>
      <c r="H1042" s="57" t="n">
        <v>0</v>
      </c>
      <c r="I1042" s="55" t="n">
        <v>1</v>
      </c>
      <c r="J1042" s="56" t="n">
        <v>5</v>
      </c>
      <c r="K1042" s="56" t="inlineStr">
        <is>
          <t>https://amazon.com/dp/B0FG6T4B83</t>
        </is>
      </c>
      <c r="L1042" s="70">
        <f>HYPERLINK(Table1410[[#This Row],[Column1]])</f>
        <v/>
      </c>
    </row>
    <row r="1043" ht="45" customHeight="1" s="290">
      <c r="A1043" s="30" t="inlineStr">
        <is>
          <t>Autel MaxiTPMS TS508K-1</t>
        </is>
      </c>
      <c r="B1043" s="30" t="inlineStr">
        <is>
          <t>B07ST2ZX5C</t>
        </is>
      </c>
      <c r="C1043" s="30" t="inlineStr">
        <is>
          <t>Handheld</t>
        </is>
      </c>
      <c r="D1043" s="324" t="n">
        <v>360</v>
      </c>
      <c r="E1043" s="324" t="n">
        <v>1845.99</v>
      </c>
      <c r="F1043" s="324" t="n">
        <v>0</v>
      </c>
      <c r="G1043" s="55" t="n">
        <v>5</v>
      </c>
      <c r="H1043" s="57" t="n">
        <v>0</v>
      </c>
      <c r="I1043" s="55" t="n">
        <v>4</v>
      </c>
      <c r="J1043" s="56" t="n">
        <v>4.5</v>
      </c>
      <c r="K1043" s="56" t="inlineStr">
        <is>
          <t>https://amazon.com/dp/B07ST2ZX5C</t>
        </is>
      </c>
      <c r="L1043" s="70">
        <f>HYPERLINK(Table1410[[#This Row],[Column1]])</f>
        <v/>
      </c>
    </row>
    <row r="1044" ht="30" customHeight="1" s="290">
      <c r="A1044" s="30" t="inlineStr">
        <is>
          <t>Autel AL439 OBDII and Electrical Test Tool</t>
        </is>
      </c>
      <c r="B1044" s="30" t="inlineStr">
        <is>
          <t>B0091DJVK2</t>
        </is>
      </c>
      <c r="C1044" s="30" t="inlineStr">
        <is>
          <t>Handheld</t>
        </is>
      </c>
      <c r="D1044" s="324" t="n">
        <v>71.04000000000001</v>
      </c>
      <c r="E1044" s="324" t="n">
        <v>262.91</v>
      </c>
      <c r="F1044" s="324" t="n">
        <v>0</v>
      </c>
      <c r="G1044" s="55" t="n">
        <v>4</v>
      </c>
      <c r="H1044" s="57" t="n">
        <v>0</v>
      </c>
      <c r="I1044" s="55" t="n">
        <v>30</v>
      </c>
      <c r="J1044" s="56" t="n">
        <v>4.3</v>
      </c>
      <c r="K1044" s="56" t="inlineStr">
        <is>
          <t>https://amazon.com/dp/B0091DJVK2</t>
        </is>
      </c>
      <c r="L1044" s="70">
        <f>HYPERLINK(Table1410[[#This Row],[Column1]])</f>
        <v/>
      </c>
    </row>
    <row r="1045" ht="45" customHeight="1" s="290">
      <c r="A1045" s="30" t="inlineStr">
        <is>
          <t>Autel MaxiSys MS908CV II 2026: Upgrade of MS908CV Heavy Duty Truck Diagnostic Scanner, Diesel Scan Tool w/ J2534 Pass-Through, 3000+ Test, 64+ Service Same as MS909CV, Auto Scan 2.0 10 OS</t>
        </is>
      </c>
      <c r="B1045" s="30" t="inlineStr">
        <is>
          <t>B071Y2XY4W</t>
        </is>
      </c>
      <c r="C1045" s="30" t="inlineStr">
        <is>
          <t>Tablet</t>
        </is>
      </c>
      <c r="D1045" s="324" t="n">
        <v>2899</v>
      </c>
      <c r="E1045" s="324" t="n">
        <v>33895.18</v>
      </c>
      <c r="F1045" s="324" t="n">
        <v>0</v>
      </c>
      <c r="G1045" s="55" t="n">
        <v>11</v>
      </c>
      <c r="H1045" s="57" t="n">
        <v>0</v>
      </c>
      <c r="I1045" s="55" t="n">
        <v>6</v>
      </c>
      <c r="J1045" s="56" t="n">
        <v>5</v>
      </c>
      <c r="K1045" s="56" t="inlineStr">
        <is>
          <t>https://amazon.com/dp/B071Y2XY4W</t>
        </is>
      </c>
      <c r="L1045" s="70">
        <f>HYPERLINK(Table1410[[#This Row],[Column1]])</f>
        <v/>
      </c>
    </row>
    <row r="1046" ht="45" customHeight="1" s="290">
      <c r="A1046" s="30" t="inlineStr">
        <is>
          <t>Autel AI Scanner MaxiSYS Ultra S2 2026, Top1 Intelligent Scan Tool 13.7" Up of MSUltra Ultra EV, 6in1 VCMI2, 3.0 Topology, Multi-Point DVI, PID Diagnosis, 48+ Reset, Motor Truspeed, EV Test, 3K+ Tests</t>
        </is>
      </c>
      <c r="B1046" s="30" t="inlineStr">
        <is>
          <t>B0FNCR4PLQ</t>
        </is>
      </c>
      <c r="C1046" s="30" t="inlineStr">
        <is>
          <t>Tablet</t>
        </is>
      </c>
      <c r="D1046" s="324" t="n">
        <v>6249.1</v>
      </c>
      <c r="E1046" s="324" t="n">
        <v>56681.3</v>
      </c>
      <c r="F1046" s="324" t="n">
        <v>0</v>
      </c>
      <c r="G1046" s="55" t="n">
        <v>10</v>
      </c>
      <c r="H1046" s="57" t="n">
        <v>0</v>
      </c>
      <c r="I1046" s="55" t="n">
        <v>5</v>
      </c>
      <c r="J1046" s="56" t="n">
        <v>5</v>
      </c>
      <c r="K1046" s="56" t="inlineStr">
        <is>
          <t>https://amazon.com/dp/B0FNCR4PLQ</t>
        </is>
      </c>
      <c r="L1046" s="70">
        <f>HYPERLINK(Table1410[[#This Row],[Column1]])</f>
        <v/>
      </c>
    </row>
    <row r="1047" ht="60" customHeight="1" s="290">
      <c r="A1047" s="30" t="inlineStr">
        <is>
          <t>Autel CAN FD Adapter — Enables Diagnostics of Vehicles, Compatible with Multiple Models, Model# CANFD-Adapt</t>
        </is>
      </c>
      <c r="B1047" s="30" t="inlineStr">
        <is>
          <t>B09WW3SS61</t>
        </is>
      </c>
      <c r="C1047" s="30" t="inlineStr">
        <is>
          <t>Cable/Adapter</t>
        </is>
      </c>
      <c r="D1047" s="324" t="n">
        <v>99.98999999999999</v>
      </c>
      <c r="E1047" s="324" t="n">
        <v>353.33</v>
      </c>
      <c r="F1047" s="324" t="n">
        <v>0</v>
      </c>
      <c r="G1047" s="55" t="n">
        <v>4</v>
      </c>
      <c r="H1047" s="57" t="n">
        <v>0</v>
      </c>
      <c r="I1047" s="55" t="n"/>
      <c r="J1047" s="56" t="n"/>
      <c r="K1047" s="56" t="inlineStr">
        <is>
          <t>https://amazon.com/dp/B09WW3SS61</t>
        </is>
      </c>
      <c r="L1047" s="70">
        <f>HYPERLINK(Table1410[[#This Row],[Column1]])</f>
        <v/>
      </c>
    </row>
    <row r="1048" ht="45" customHeight="1" s="290">
      <c r="A1048" s="30" t="inlineStr">
        <is>
          <t>Autel MaxiSYS MS906 PRO Scanner, 2026 MS906PRO Same as MS906 MAX, Top Scan Tool 2.0 Up of MP900BT MS906BT MK908 MS908S, ECU Coding, Bidirectional 3000+ Active Test, 40+ Reset, All System, CAN FD DoIP</t>
        </is>
      </c>
      <c r="B1048" s="30" t="inlineStr">
        <is>
          <t>B0F6CJSGMY</t>
        </is>
      </c>
      <c r="C1048" s="30" t="inlineStr">
        <is>
          <t>Tablet</t>
        </is>
      </c>
      <c r="D1048" s="324" t="n">
        <v>1369</v>
      </c>
      <c r="E1048" s="324" t="n">
        <v>2854.91</v>
      </c>
      <c r="F1048" s="324" t="n">
        <v>0</v>
      </c>
      <c r="G1048" s="55" t="n">
        <v>2</v>
      </c>
      <c r="H1048" s="57" t="n">
        <v>0</v>
      </c>
      <c r="I1048" s="55" t="n">
        <v>4</v>
      </c>
      <c r="J1048" s="56" t="n">
        <v>5</v>
      </c>
      <c r="K1048" s="56" t="inlineStr">
        <is>
          <t>https://amazon.com/dp/B0F6CJSGMY</t>
        </is>
      </c>
      <c r="L1048" s="70">
        <f>HYPERLINK(Table1410[[#This Row],[Column1]])</f>
        <v/>
      </c>
    </row>
    <row r="1049" ht="60" customHeight="1" s="290">
      <c r="A1049" s="30" t="inlineStr">
        <is>
          <t>2026 Autel AI Scanner MaxiSYS MS909 S2, Same as Ultra S2, Intelligent Scan Tool Up of Ultra MS919 MS909, 3.0 Topology, VCI2 J2534, PID Analyze Multi-Point DVI, 48+ Reset, Motor, 3K+ Bidirectional Test</t>
        </is>
      </c>
      <c r="B1049" s="30" t="inlineStr">
        <is>
          <t>B0FXMQ6V92</t>
        </is>
      </c>
      <c r="C1049" s="30" t="inlineStr">
        <is>
          <t>Tablet</t>
        </is>
      </c>
      <c r="D1049" s="324" t="n">
        <v>3599</v>
      </c>
      <c r="E1049" s="324" t="n">
        <v>12826.68</v>
      </c>
      <c r="F1049" s="324" t="n">
        <v>0</v>
      </c>
      <c r="G1049" s="55" t="n">
        <v>3</v>
      </c>
      <c r="H1049" s="57" t="n">
        <v>0</v>
      </c>
      <c r="I1049" s="55" t="n">
        <v>1</v>
      </c>
      <c r="J1049" s="56" t="n">
        <v>5</v>
      </c>
      <c r="K1049" s="56" t="inlineStr">
        <is>
          <t>https://amazon.com/dp/B0FXMQ6V92</t>
        </is>
      </c>
      <c r="L1049" s="70">
        <f>HYPERLINK(Table1410[[#This Row],[Column1]])</f>
        <v/>
      </c>
    </row>
    <row r="1050" ht="60" customHeight="1" s="290">
      <c r="A1050" s="30" t="inlineStr">
        <is>
          <t>Autel MaxiSys Ultra EV OBD2 Scanner, Diagnostic Scan Tool, High Voltage Battery Pack Analysis, Motor TruSpeed Repair, Better Ultra MS919 MS909, w/EVDiag Box, ECU Programming, 5-in-1 VCMI, 40+ Reset</t>
        </is>
      </c>
      <c r="B1050" s="30" t="inlineStr">
        <is>
          <t>B0BLSLC8SR</t>
        </is>
      </c>
      <c r="C1050" s="30" t="inlineStr">
        <is>
          <t>Tablet</t>
        </is>
      </c>
      <c r="D1050" s="324" t="n">
        <v>4995</v>
      </c>
      <c r="E1050" s="324" t="n">
        <v>56145.25</v>
      </c>
      <c r="F1050" s="324" t="n">
        <v>0</v>
      </c>
      <c r="G1050" s="55" t="n">
        <v>11</v>
      </c>
      <c r="H1050" s="57" t="n">
        <v>0</v>
      </c>
      <c r="I1050" s="55" t="n">
        <v>7</v>
      </c>
      <c r="J1050" s="56" t="n">
        <v>5</v>
      </c>
      <c r="K1050" s="56" t="inlineStr">
        <is>
          <t>https://amazon.com/dp/B0BLSLC8SR</t>
        </is>
      </c>
      <c r="L1050" s="70">
        <f>HYPERLINK(Table1410[[#This Row],[Column1]])</f>
        <v/>
      </c>
    </row>
    <row r="1051" ht="30" customHeight="1" s="290">
      <c r="A1051" s="30" t="inlineStr">
        <is>
          <t>Autel MaxiSys MS908CV II Heavy Duty Truck Bidirectional Scanner, 39+ CV Services, All System,Guided Function,Level-up Ver. of MS906 CV,Same as MS909CV</t>
        </is>
      </c>
      <c r="B1051" s="30" t="inlineStr">
        <is>
          <t>B0F6LG1GPF</t>
        </is>
      </c>
      <c r="C1051" s="30" t="inlineStr">
        <is>
          <t>Tablet</t>
        </is>
      </c>
      <c r="D1051" s="324" t="n">
        <v>2899</v>
      </c>
      <c r="E1051" s="324" t="n">
        <v>36018.23</v>
      </c>
      <c r="F1051" s="324" t="n">
        <v>0</v>
      </c>
      <c r="G1051" s="55" t="n">
        <v>13</v>
      </c>
      <c r="H1051" s="57" t="n">
        <v>0</v>
      </c>
      <c r="I1051" s="55" t="n">
        <v>1</v>
      </c>
      <c r="J1051" s="56" t="n">
        <v>5</v>
      </c>
      <c r="K1051" s="56" t="inlineStr">
        <is>
          <t>https://amazon.com/dp/B0F6LG1GPF</t>
        </is>
      </c>
      <c r="L1051" s="70">
        <f>HYPERLINK(Table1410[[#This Row],[Column1]])</f>
        <v/>
      </c>
    </row>
    <row r="1052" ht="45" customHeight="1" s="290">
      <c r="A1052" s="30" t="inlineStr">
        <is>
          <t>Autel MaxiSYS MS906 Pro V2.0 2026 Professional Automotive Scanner, Same as MS906 MAX, Up of MS906BT MS908 MK908, Bidirectional 3K+ Tests,36+ Reset,CAN FD DoIP,Full System OBD2 Scan for 15000+ Vehicles</t>
        </is>
      </c>
      <c r="B1052" s="30" t="inlineStr">
        <is>
          <t>B0DCFZF95X</t>
        </is>
      </c>
      <c r="C1052" s="30" t="inlineStr">
        <is>
          <t>Tablet</t>
        </is>
      </c>
      <c r="D1052" s="324" t="n">
        <v>1369</v>
      </c>
      <c r="E1052" s="324" t="n">
        <v>0</v>
      </c>
      <c r="F1052" s="324" t="n">
        <v>0</v>
      </c>
      <c r="G1052" s="55" t="n">
        <v>0</v>
      </c>
      <c r="H1052" s="57" t="n">
        <v>0</v>
      </c>
      <c r="I1052" s="55" t="n">
        <v>4</v>
      </c>
      <c r="J1052" s="56" t="n">
        <v>5</v>
      </c>
      <c r="K1052" s="56" t="inlineStr">
        <is>
          <t>https://amazon.com/dp/B0DCFZF95X</t>
        </is>
      </c>
      <c r="L1052" s="70">
        <f>HYPERLINK(Table1410[[#This Row],[Column1]])</f>
        <v/>
      </c>
    </row>
    <row r="1053" ht="60" customHeight="1" s="290">
      <c r="A1053" s="30" t="inlineStr">
        <is>
          <t>Autel MaxiCOM MK808Z-TS Upgrade of MK808S MK808Z US Ver. of MaxiCOM MK808S-TS MX808S-TS TPMS Programming Tool 28+ Service 3000+ Test Bidirectional Tool All System Diagnoses FCA SGW</t>
        </is>
      </c>
      <c r="B1053" s="30" t="inlineStr">
        <is>
          <t>B0FKGSRQL9</t>
        </is>
      </c>
      <c r="C1053" s="30" t="inlineStr">
        <is>
          <t>Tablet</t>
        </is>
      </c>
      <c r="D1053" s="324" t="n">
        <v>649</v>
      </c>
      <c r="E1053" s="324" t="n">
        <v>386.45</v>
      </c>
      <c r="F1053" s="324" t="n">
        <v>0</v>
      </c>
      <c r="G1053" s="55" t="n">
        <v>1</v>
      </c>
      <c r="H1053" s="57" t="n">
        <v>0</v>
      </c>
      <c r="I1053" s="55" t="n"/>
      <c r="J1053" s="56" t="n"/>
      <c r="K1053" s="56" t="inlineStr">
        <is>
          <t>https://amazon.com/dp/B0FKGSRQL9</t>
        </is>
      </c>
      <c r="L1053" s="70">
        <f>HYPERLINK(Table1410[[#This Row],[Column1]])</f>
        <v/>
      </c>
    </row>
    <row r="1054" ht="30" customHeight="1" s="290">
      <c r="A1054" s="30" t="inlineStr">
        <is>
          <t>Autel - Mx-Sensor 1-Sensor Press-in Metal Valve Stem (1-SENSORM)</t>
        </is>
      </c>
      <c r="B1054" s="30" t="inlineStr">
        <is>
          <t>B075RG8G7Y</t>
        </is>
      </c>
      <c r="C1054" s="30" t="inlineStr">
        <is>
          <t>Other</t>
        </is>
      </c>
      <c r="D1054" s="324" t="n">
        <v>44.99</v>
      </c>
      <c r="E1054" s="324" t="n">
        <v>0</v>
      </c>
      <c r="F1054" s="324" t="n">
        <v>0</v>
      </c>
      <c r="G1054" s="55" t="n">
        <v>0</v>
      </c>
      <c r="H1054" s="57" t="n">
        <v>0</v>
      </c>
      <c r="I1054" s="55" t="n">
        <v>23</v>
      </c>
      <c r="J1054" s="56" t="n">
        <v>4.7</v>
      </c>
      <c r="K1054" s="56" t="inlineStr">
        <is>
          <t>https://amazon.com/dp/B075RG8G7Y</t>
        </is>
      </c>
      <c r="L1054" s="70">
        <f>HYPERLINK(Table1410[[#This Row],[Column1]])</f>
        <v/>
      </c>
    </row>
    <row r="1055" ht="30" customHeight="1" s="290">
      <c r="A1055" s="30" t="inlineStr">
        <is>
          <t>Autel - Maxisys Ultra Diagnostic Tablet with Advanced Vcmi (MSULTRA)</t>
        </is>
      </c>
      <c r="B1055" s="30" t="inlineStr">
        <is>
          <t>B09WW69LMX</t>
        </is>
      </c>
      <c r="C1055" s="30" t="inlineStr">
        <is>
          <t>Tablet</t>
        </is>
      </c>
      <c r="D1055" s="324" t="n">
        <v>5125</v>
      </c>
      <c r="E1055" s="324" t="n">
        <v>65780.75</v>
      </c>
      <c r="F1055" s="324" t="n">
        <v>0</v>
      </c>
      <c r="G1055" s="55" t="n">
        <v>16</v>
      </c>
      <c r="H1055" s="57" t="n">
        <v>0</v>
      </c>
      <c r="I1055" s="55" t="n"/>
      <c r="J1055" s="56" t="n"/>
      <c r="K1055" s="56" t="inlineStr">
        <is>
          <t>https://amazon.com/dp/B09WW69LMX</t>
        </is>
      </c>
      <c r="L1055" s="70">
        <f>HYPERLINK(Table1410[[#This Row],[Column1]])</f>
        <v/>
      </c>
    </row>
    <row r="1056" ht="45" customHeight="1" s="290">
      <c r="A1056" s="30" t="inlineStr">
        <is>
          <t>Autel Original BMW-20 Pin Diagnostic Adapter, 20 Pin OBD1 Male to 16 Pin OBD2 Female Connector for BMW 20 Pin, Work with OBD II Scanners OBD2 Diagnostic Tool</t>
        </is>
      </c>
      <c r="B1056" s="30" t="inlineStr">
        <is>
          <t>B0D632NLSM</t>
        </is>
      </c>
      <c r="C1056" s="30" t="inlineStr">
        <is>
          <t>Cable/Adapter</t>
        </is>
      </c>
      <c r="D1056" s="324" t="n">
        <v>19.61133333333333</v>
      </c>
      <c r="E1056" s="324" t="n">
        <v>5728.03</v>
      </c>
      <c r="F1056" s="324" t="n">
        <v>0</v>
      </c>
      <c r="G1056" s="55" t="n">
        <v>286</v>
      </c>
      <c r="H1056" s="57" t="n">
        <v>0</v>
      </c>
      <c r="I1056" s="55" t="n">
        <v>21</v>
      </c>
      <c r="J1056" s="56" t="n">
        <v>4.9</v>
      </c>
      <c r="K1056" s="56" t="inlineStr">
        <is>
          <t>https://amazon.com/dp/B0D632NLSM</t>
        </is>
      </c>
      <c r="L1056" s="70">
        <f>HYPERLINK(Table1410[[#This Row],[Column1]])</f>
        <v/>
      </c>
    </row>
    <row r="1057" ht="45" customHeight="1" s="290">
      <c r="A1057" s="30" t="inlineStr">
        <is>
          <t>Autel Original OBD1 to OBD2 Adapter Cable for VW and Audi, OBDI 2+2 Pin Male to OBDII 16 Pin Female Extension Cable, 2x2 Pin to 16Pin OBD II Connector</t>
        </is>
      </c>
      <c r="B1057" s="30" t="inlineStr">
        <is>
          <t>B0F4CKKVXF</t>
        </is>
      </c>
      <c r="C1057" s="30" t="inlineStr">
        <is>
          <t>Cable/Adapter</t>
        </is>
      </c>
      <c r="D1057" s="324" t="n">
        <v>16.594</v>
      </c>
      <c r="E1057" s="324" t="n">
        <v>1076.06</v>
      </c>
      <c r="F1057" s="324" t="n">
        <v>0</v>
      </c>
      <c r="G1057" s="55" t="n">
        <v>55</v>
      </c>
      <c r="H1057" s="57" t="n">
        <v>0</v>
      </c>
      <c r="I1057" s="55" t="n">
        <v>8</v>
      </c>
      <c r="J1057" s="56" t="n">
        <v>3.6</v>
      </c>
      <c r="K1057" s="56" t="inlineStr">
        <is>
          <t>https://amazon.com/dp/B0F4CKKVXF</t>
        </is>
      </c>
      <c r="L1057" s="70">
        <f>HYPERLINK(Table1410[[#This Row],[Column1]])</f>
        <v/>
      </c>
    </row>
    <row r="1058" ht="30" customHeight="1" s="290">
      <c r="A1058" s="30" t="inlineStr">
        <is>
          <t>Autel MaxiCheck MX900 with MV108 Bidirectional OBD2 Scanner Updated of MK900 MK808 MK808S MK808BT Android 11, 40+ Service Functions 8 inch All System Diagnostics Scan Tool</t>
        </is>
      </c>
      <c r="B1058" s="30" t="inlineStr">
        <is>
          <t>B0CZ314PLQ</t>
        </is>
      </c>
      <c r="C1058" s="30" t="inlineStr">
        <is>
          <t>Tablet</t>
        </is>
      </c>
      <c r="D1058" s="324" t="n">
        <v>589</v>
      </c>
      <c r="E1058" s="324" t="n">
        <v>4613.81</v>
      </c>
      <c r="F1058" s="324" t="n">
        <v>0</v>
      </c>
      <c r="G1058" s="55" t="n">
        <v>8</v>
      </c>
      <c r="H1058" s="57" t="n">
        <v>0</v>
      </c>
      <c r="I1058" s="55" t="n">
        <v>4</v>
      </c>
      <c r="J1058" s="56" t="n">
        <v>5</v>
      </c>
      <c r="K1058" s="56" t="inlineStr">
        <is>
          <t>https://amazon.com/dp/B0CZ314PLQ</t>
        </is>
      </c>
      <c r="L1058" s="70">
        <f>HYPERLINK(Table1410[[#This Row],[Column1]])</f>
        <v/>
      </c>
    </row>
    <row r="1059" ht="45" customHeight="1" s="290">
      <c r="A1059" s="30" t="inlineStr">
        <is>
          <t>Autel Original OBD2 12+8 Adapter for Chrysler, OBD II Bypass Cable Gateway Protocol, Security Bypass 12 8 Connector Universal for FCA SGW Car, Fit for All Scanner MK808S MX808S MX900 MS906 Pro MS908S</t>
        </is>
      </c>
      <c r="B1059" s="30" t="inlineStr">
        <is>
          <t>B0FR9FXLRR</t>
        </is>
      </c>
      <c r="C1059" s="30" t="inlineStr">
        <is>
          <t>Cable/Adapter</t>
        </is>
      </c>
      <c r="D1059" s="324" t="n">
        <v>25.48666666666666</v>
      </c>
      <c r="E1059" s="324" t="n">
        <v>756.6899999999999</v>
      </c>
      <c r="F1059" s="324" t="n">
        <v>0</v>
      </c>
      <c r="G1059" s="55" t="n">
        <v>29</v>
      </c>
      <c r="H1059" s="57" t="n">
        <v>0</v>
      </c>
      <c r="I1059" s="55" t="n">
        <v>10</v>
      </c>
      <c r="J1059" s="56" t="n">
        <v>4.2</v>
      </c>
      <c r="K1059" s="56" t="inlineStr">
        <is>
          <t>https://amazon.com/dp/B0FR9FXLRR</t>
        </is>
      </c>
      <c r="L1059" s="70">
        <f>HYPERLINK(Table1410[[#This Row],[Column1]])</f>
        <v/>
      </c>
    </row>
    <row r="1060" ht="45" customHeight="1" s="290">
      <c r="A1060" s="30" t="inlineStr">
        <is>
          <t>Autel MaxiIM KM100(E) Diagnostic Tool, 2026 Car OBD2 Scanner Lifetime Fre.e Updates, 2GB &amp; 64GB Android 9.0, for Home Mechanics &amp; DIYers</t>
        </is>
      </c>
      <c r="B1060" s="30" t="inlineStr">
        <is>
          <t>B09JW8T7WJ</t>
        </is>
      </c>
      <c r="C1060" s="30" t="inlineStr">
        <is>
          <t>Key</t>
        </is>
      </c>
      <c r="D1060" s="324" t="n">
        <v>535</v>
      </c>
      <c r="E1060" s="324" t="n">
        <v>0</v>
      </c>
      <c r="F1060" s="324" t="n">
        <v>0</v>
      </c>
      <c r="G1060" s="55" t="n">
        <v>0</v>
      </c>
      <c r="H1060" s="57" t="n">
        <v>0</v>
      </c>
      <c r="I1060" s="55" t="n">
        <v>15</v>
      </c>
      <c r="J1060" s="56" t="n">
        <v>5</v>
      </c>
      <c r="K1060" s="56" t="inlineStr">
        <is>
          <t>https://amazon.com/dp/B09JW8T7WJ</t>
        </is>
      </c>
      <c r="L1060" s="70">
        <f>HYPERLINK(Table1410[[#This Row],[Column1]])</f>
        <v/>
      </c>
    </row>
    <row r="1061" ht="45" customHeight="1" s="290">
      <c r="A1061" s="30" t="inlineStr">
        <is>
          <t>Autel MaxiSYS MS909CV Top Intelligent Diesel Truck CV Scanner, 2026 Up of MS908CV II Heavy Duty Diagnostic with OE-Level J2534 Functions, Motor TruSpeed, Topology 2.0, 64+ Service, 3000+ Active Tests</t>
        </is>
      </c>
      <c r="B1061" s="30" t="inlineStr">
        <is>
          <t>B0FWRNZBMX</t>
        </is>
      </c>
      <c r="C1061" s="30" t="inlineStr">
        <is>
          <t>Tablet</t>
        </is>
      </c>
      <c r="D1061" s="324" t="n">
        <v>5151.28</v>
      </c>
      <c r="E1061" s="324" t="n">
        <v>15453.84</v>
      </c>
      <c r="F1061" s="324" t="n">
        <v>0</v>
      </c>
      <c r="G1061" s="55" t="n">
        <v>3</v>
      </c>
      <c r="H1061" s="57" t="n">
        <v>0</v>
      </c>
      <c r="I1061" s="55" t="n">
        <v>5</v>
      </c>
      <c r="J1061" s="56" t="n">
        <v>5</v>
      </c>
      <c r="K1061" s="56" t="inlineStr">
        <is>
          <t>https://amazon.com/dp/B0FWRNZBMX</t>
        </is>
      </c>
      <c r="L1061" s="70">
        <f>HYPERLINK(Table1410[[#This Row],[Column1]])</f>
        <v/>
      </c>
    </row>
    <row r="1062" ht="45" customHeight="1" s="290">
      <c r="A1062" s="30" t="inlineStr">
        <is>
          <t>Autel MaxiPRO MP808S KIT Scanner - 2026 2-Year Update($490) Ver. of MaxiPRO MP900-BT MP900 KIT, PR0 ECU C0ciing, 3K+ Active Tests as MS906 PRO, 31+ Resets, Up of MP808BT PRO MK808S MK900 MX900</t>
        </is>
      </c>
      <c r="B1062" s="30" t="inlineStr">
        <is>
          <t>B07VJKM2HV</t>
        </is>
      </c>
      <c r="C1062" s="30" t="inlineStr">
        <is>
          <t>Tablet</t>
        </is>
      </c>
      <c r="D1062" s="324" t="n">
        <v>888.98</v>
      </c>
      <c r="E1062" s="324" t="n">
        <v>17153.18</v>
      </c>
      <c r="F1062" s="324" t="n">
        <v>0</v>
      </c>
      <c r="G1062" s="55" t="n">
        <v>23</v>
      </c>
      <c r="H1062" s="57" t="n">
        <v>0</v>
      </c>
      <c r="I1062" s="55" t="n">
        <v>272</v>
      </c>
      <c r="J1062" s="56" t="n">
        <v>4.5</v>
      </c>
      <c r="K1062" s="56" t="inlineStr">
        <is>
          <t>https://amazon.com/dp/B07VJKM2HV</t>
        </is>
      </c>
      <c r="L1062" s="70">
        <f>HYPERLINK(Table1410[[#This Row],[Column1]])</f>
        <v/>
      </c>
    </row>
    <row r="1063" ht="45" customHeight="1" s="290">
      <c r="A1063" s="30" t="inlineStr">
        <is>
          <t>Autel MaxiDiag MD906PRO OBD2 Scanner, 2025 MD906 PRO All Sys Diagnostic Tool Same as MD909 PRO, 11 Services, CAN FD, BT Lite of MX808S, 10 OBDII Test Modes, FCA, Free Update, Up of MD808Pro MD806</t>
        </is>
      </c>
      <c r="B1063" s="30" t="inlineStr">
        <is>
          <t>B072XH9GLW</t>
        </is>
      </c>
      <c r="C1063" s="30" t="inlineStr">
        <is>
          <t>Handheld</t>
        </is>
      </c>
      <c r="D1063" s="324" t="n">
        <v>299</v>
      </c>
      <c r="E1063" s="324" t="n">
        <v>2688.34</v>
      </c>
      <c r="F1063" s="324" t="n">
        <v>0</v>
      </c>
      <c r="G1063" s="55" t="n">
        <v>22</v>
      </c>
      <c r="H1063" s="57" t="n">
        <v>0</v>
      </c>
      <c r="I1063" s="55" t="n">
        <v>925</v>
      </c>
      <c r="J1063" s="56" t="n">
        <v>4.3</v>
      </c>
      <c r="K1063" s="56" t="inlineStr">
        <is>
          <t>https://amazon.com/dp/B072XH9GLW</t>
        </is>
      </c>
      <c r="L1063" s="70">
        <f>HYPERLINK(Table1410[[#This Row],[Column1]])</f>
        <v/>
      </c>
    </row>
    <row r="1064" ht="60" customHeight="1" s="290">
      <c r="A1064" s="30" t="inlineStr">
        <is>
          <t>Autel Scanner MaxiCOM MK900: 2026 MK900 Same as MK900BT MX900, 8" Bidirectional Diagnostic Tool Up of MK808S MK808BT PRO MX808S MK808Z, 40+ Reset, 3K+ Active Tests, CAN-FD&amp;DOIP, All Sys, FCA 11 OS</t>
        </is>
      </c>
      <c r="B1064" s="30" t="inlineStr">
        <is>
          <t>B0F5MK8RS4</t>
        </is>
      </c>
      <c r="C1064" s="30" t="inlineStr">
        <is>
          <t>Tablet</t>
        </is>
      </c>
      <c r="D1064" s="324" t="n">
        <v>559</v>
      </c>
      <c r="E1064" s="324" t="n">
        <v>27729.72</v>
      </c>
      <c r="F1064" s="324" t="n">
        <v>0</v>
      </c>
      <c r="G1064" s="55" t="n">
        <v>47</v>
      </c>
      <c r="H1064" s="57" t="n">
        <v>0</v>
      </c>
      <c r="I1064" s="55" t="n">
        <v>16</v>
      </c>
      <c r="J1064" s="56" t="n">
        <v>4.4</v>
      </c>
      <c r="K1064" s="56" t="inlineStr">
        <is>
          <t>https://amazon.com/dp/B0F5MK8RS4</t>
        </is>
      </c>
      <c r="L1064" s="70">
        <f>HYPERLINK(Table1410[[#This Row],[Column1]])</f>
        <v/>
      </c>
    </row>
    <row r="1065" ht="30" customHeight="1" s="290">
      <c r="A1065" s="30" t="inlineStr">
        <is>
          <t>Autel MaxiPRO MP808Z-TS Scanner (2-Year Free Updates) - New ECU Coding Scan Tool with TPMS Relearn Rest Programming, Upgraded of MP808BT PRO /MP808BT, Active Test, 36+Service, Full System Diagnose</t>
        </is>
      </c>
      <c r="B1065" s="30" t="inlineStr">
        <is>
          <t>B0C1S6P4RN</t>
        </is>
      </c>
      <c r="C1065" s="30" t="inlineStr">
        <is>
          <t>Tablet</t>
        </is>
      </c>
      <c r="D1065" s="324" t="n">
        <v>964.84</v>
      </c>
      <c r="E1065" s="324" t="n">
        <v>4429.12</v>
      </c>
      <c r="F1065" s="324" t="n">
        <v>0</v>
      </c>
      <c r="G1065" s="55" t="n">
        <v>5</v>
      </c>
      <c r="H1065" s="57" t="n">
        <v>0</v>
      </c>
      <c r="I1065" s="55" t="n">
        <v>4</v>
      </c>
      <c r="J1065" s="56" t="n">
        <v>4.6</v>
      </c>
      <c r="K1065" s="56" t="inlineStr">
        <is>
          <t>https://amazon.com/dp/B0C1S6P4RN</t>
        </is>
      </c>
      <c r="L1065" s="70">
        <f>HYPERLINK(Table1410[[#This Row],[Column1]])</f>
        <v/>
      </c>
    </row>
    <row r="1066" ht="45" customHeight="1" s="290">
      <c r="A1066" s="30" t="inlineStr">
        <is>
          <t>Autel MaxiSys Ultra Full System Intelligent Diagnostic Scan Tool, 2026 Upgraded of EliteII/MS909/MS919, Top Auto Diagnostic Tool with 5-in-1 VCMI[$2000], ECU Programming &amp; Coding, AutoAuth for FCA SGW</t>
        </is>
      </c>
      <c r="B1066" s="30" t="inlineStr">
        <is>
          <t>B0BNBBRZFY</t>
        </is>
      </c>
      <c r="C1066" s="30" t="inlineStr">
        <is>
          <t>Tablet</t>
        </is>
      </c>
      <c r="D1066" s="324" t="n">
        <v>4356.41</v>
      </c>
      <c r="E1066" s="324" t="n">
        <v>92568.48</v>
      </c>
      <c r="F1066" s="324" t="n">
        <v>0</v>
      </c>
      <c r="G1066" s="55" t="n">
        <v>31</v>
      </c>
      <c r="H1066" s="57" t="n">
        <v>0</v>
      </c>
      <c r="I1066" s="55" t="n">
        <v>2</v>
      </c>
      <c r="J1066" s="56" t="n">
        <v>5</v>
      </c>
      <c r="K1066" s="56" t="inlineStr">
        <is>
          <t>https://amazon.com/dp/B0BNBBRZFY</t>
        </is>
      </c>
      <c r="L1066" s="70">
        <f>HYPERLINK(Table1410[[#This Row],[Column1]])</f>
        <v/>
      </c>
    </row>
    <row r="1067" ht="30" customHeight="1" s="290">
      <c r="A1067" s="30" t="inlineStr">
        <is>
          <t>Autel Scanner MaxiPRO MP900TS: 2024 8IN MP900-TS Up of MaxiSys MS906TS/ MP808S-TS/ MX900TS/ MP900BT w/ 40+ Reset, Pro ECU Coding, Full TPMS as MS906 PRO-TS, 3000+ Bidirectional, DoIP CAN-FD, FCA SGW</t>
        </is>
      </c>
      <c r="B1067" s="30" t="inlineStr">
        <is>
          <t>B08LV75DXV</t>
        </is>
      </c>
      <c r="C1067" s="30" t="inlineStr">
        <is>
          <t>Tablet</t>
        </is>
      </c>
      <c r="D1067" s="324" t="n">
        <v>1379</v>
      </c>
      <c r="E1067" s="324" t="n">
        <v>8235.5</v>
      </c>
      <c r="F1067" s="324" t="n">
        <v>0</v>
      </c>
      <c r="G1067" s="55" t="n">
        <v>7</v>
      </c>
      <c r="H1067" s="57" t="n">
        <v>0</v>
      </c>
      <c r="I1067" s="55" t="n">
        <v>61</v>
      </c>
      <c r="J1067" s="56" t="n">
        <v>4.1</v>
      </c>
      <c r="K1067" s="56" t="inlineStr">
        <is>
          <t>https://amazon.com/dp/B08LV75DXV</t>
        </is>
      </c>
      <c r="L1067" s="70">
        <f>HYPERLINK(Table1410[[#This Row],[Column1]])</f>
        <v/>
      </c>
    </row>
    <row r="1068" ht="45" customHeight="1" s="290">
      <c r="A1068" s="30" t="inlineStr">
        <is>
          <t>Autel CAN FD Adapter for MY2020 GM Models, Compatible with Autel VCI Supported Autel Vehicle Communication Interface (VCI) to Communicate with Applicable Vehicles</t>
        </is>
      </c>
      <c r="B1068" s="30" t="inlineStr">
        <is>
          <t>B0D2NC4J51</t>
        </is>
      </c>
      <c r="C1068" s="30" t="inlineStr">
        <is>
          <t>Cable/Adapter</t>
        </is>
      </c>
      <c r="D1068" s="324" t="n">
        <v>128.4</v>
      </c>
      <c r="E1068" s="324" t="n">
        <v>1372.84</v>
      </c>
      <c r="F1068" s="324" t="n">
        <v>0</v>
      </c>
      <c r="G1068" s="55" t="n">
        <v>11</v>
      </c>
      <c r="H1068" s="57" t="n">
        <v>0</v>
      </c>
      <c r="I1068" s="55" t="n"/>
      <c r="J1068" s="56" t="n"/>
      <c r="K1068" s="56" t="inlineStr">
        <is>
          <t>https://amazon.com/dp/B0D2NC4J51</t>
        </is>
      </c>
      <c r="L1068" s="70">
        <f>HYPERLINK(Table1410[[#This Row],[Column1]])</f>
        <v/>
      </c>
    </row>
    <row r="1069" ht="30" customHeight="1" s="290">
      <c r="A1069" s="30" t="inlineStr">
        <is>
          <t>Autel Scanner MaxiCOM MK808Z-BT (Same As MK808BT Pro) with 60$ MV108: New Upgraded of MK808BT/MK808S, Android 11 Based Bi-Directional Control Scan Tool, 28+ Services, All System Diagnostics(Original)</t>
        </is>
      </c>
      <c r="B1069" s="30" t="inlineStr">
        <is>
          <t>B0BVYPY1MN</t>
        </is>
      </c>
      <c r="C1069" s="30" t="inlineStr">
        <is>
          <t>Tablet</t>
        </is>
      </c>
      <c r="D1069" s="324" t="n">
        <v>521.55</v>
      </c>
      <c r="E1069" s="324" t="n">
        <v>1391.58</v>
      </c>
      <c r="F1069" s="324" t="n">
        <v>0</v>
      </c>
      <c r="G1069" s="55" t="n">
        <v>3</v>
      </c>
      <c r="H1069" s="57" t="n">
        <v>0</v>
      </c>
      <c r="I1069" s="55" t="n">
        <v>9</v>
      </c>
      <c r="J1069" s="56" t="n">
        <v>5</v>
      </c>
      <c r="K1069" s="56" t="inlineStr">
        <is>
          <t>https://amazon.com/dp/B0BVYPY1MN</t>
        </is>
      </c>
      <c r="L1069" s="70">
        <f>HYPERLINK(Table1410[[#This Row],[Column1]])</f>
        <v/>
      </c>
    </row>
    <row r="1070" ht="30" customHeight="1" s="290">
      <c r="A1070" s="30" t="inlineStr">
        <is>
          <t>Autel S2</t>
        </is>
      </c>
      <c r="B1070" s="30" t="inlineStr">
        <is>
          <t>B09JJZS2LQ</t>
        </is>
      </c>
      <c r="C1070" s="30" t="inlineStr">
        <is>
          <t>Tablet</t>
        </is>
      </c>
      <c r="D1070" s="324" t="n">
        <v>4495</v>
      </c>
      <c r="E1070" s="324" t="n">
        <v>7238.77</v>
      </c>
      <c r="F1070" s="324" t="n">
        <v>0</v>
      </c>
      <c r="G1070" s="55" t="n">
        <v>2</v>
      </c>
      <c r="H1070" s="57" t="n">
        <v>0</v>
      </c>
      <c r="I1070" s="55" t="n">
        <v>8</v>
      </c>
      <c r="J1070" s="56" t="n">
        <v>3.9</v>
      </c>
      <c r="K1070" s="56" t="inlineStr">
        <is>
          <t>https://amazon.com/dp/B09JJZS2LQ</t>
        </is>
      </c>
      <c r="L1070" s="70">
        <f>HYPERLINK(Table1410[[#This Row],[Column1]])</f>
        <v/>
      </c>
    </row>
    <row r="1071" ht="60" customHeight="1" s="290">
      <c r="A1071" s="30" t="inlineStr">
        <is>
          <t>Autel Diagnostic DIY Tools, Autel AutoLink AL329, OBD II/EOBD Handheld Code Reader W/Patented One-Click I/M Readiness Key</t>
        </is>
      </c>
      <c r="B1071" s="30" t="inlineStr">
        <is>
          <t>B0CFRL8275</t>
        </is>
      </c>
      <c r="C1071" s="30" t="inlineStr">
        <is>
          <t>Handheld</t>
        </is>
      </c>
      <c r="D1071" s="324" t="n">
        <v>52.54</v>
      </c>
      <c r="E1071" s="324" t="n">
        <v>0</v>
      </c>
      <c r="F1071" s="324" t="n">
        <v>0</v>
      </c>
      <c r="G1071" s="55" t="n">
        <v>0</v>
      </c>
      <c r="H1071" s="57" t="n">
        <v>0</v>
      </c>
      <c r="I1071" s="55" t="n">
        <v>3</v>
      </c>
      <c r="J1071" s="56" t="n">
        <v>5</v>
      </c>
      <c r="K1071" s="56" t="inlineStr">
        <is>
          <t>https://amazon.com/dp/B0CFRL8275</t>
        </is>
      </c>
      <c r="L1071" s="70">
        <f>HYPERLINK(Table1410[[#This Row],[Column1]])</f>
        <v/>
      </c>
    </row>
    <row r="1072" ht="30" customHeight="1" s="290">
      <c r="A1072" s="30" t="inlineStr">
        <is>
          <t>Autel Scanner MaxiCOM MK808S-TS, TPMS Programming/Relearn Tool, 2023 New Ver. of MK808S / TS608, OBD2 Diagnostic Scan Tool with Complete TPMS Service, Bi-Directional Control, 28+ Service, FCA SGW</t>
        </is>
      </c>
      <c r="B1072" s="30" t="inlineStr">
        <is>
          <t>B094VP8FLB</t>
        </is>
      </c>
      <c r="C1072" s="30" t="inlineStr">
        <is>
          <t>Tablet</t>
        </is>
      </c>
      <c r="D1072" s="324" t="n">
        <v>649</v>
      </c>
      <c r="E1072" s="324" t="n">
        <v>2213.6</v>
      </c>
      <c r="F1072" s="324" t="n">
        <v>0</v>
      </c>
      <c r="G1072" s="55" t="n">
        <v>3</v>
      </c>
      <c r="H1072" s="57" t="n">
        <v>0</v>
      </c>
      <c r="I1072" s="55" t="n">
        <v>23</v>
      </c>
      <c r="J1072" s="56" t="n">
        <v>4.4</v>
      </c>
      <c r="K1072" s="56" t="inlineStr">
        <is>
          <t>https://amazon.com/dp/B094VP8FLB</t>
        </is>
      </c>
      <c r="L1072" s="70">
        <f>HYPERLINK(Table1410[[#This Row],[Column1]])</f>
        <v/>
      </c>
    </row>
    <row r="1073" ht="45" customHeight="1" s="290">
      <c r="A1073" s="30" t="inlineStr">
        <is>
          <t>Autel MaxiTPMS TS900 + MV108(Worth $49) TPMS Programming Tool 2025 TPMS &amp; Bidirectional Diagnostic Scan Tool, Up of MS906TS MK808S-TS MK900BT MK900TS MX900TS MS906TS MK808S-TS Top TPMS Program/Relearn</t>
        </is>
      </c>
      <c r="B1073" s="30" t="inlineStr">
        <is>
          <t>B0992NN7TK</t>
        </is>
      </c>
      <c r="C1073" s="30" t="inlineStr">
        <is>
          <t>Tablet</t>
        </is>
      </c>
      <c r="D1073" s="324" t="n">
        <v>879</v>
      </c>
      <c r="E1073" s="324" t="n">
        <v>1779.53</v>
      </c>
      <c r="F1073" s="324" t="n">
        <v>0</v>
      </c>
      <c r="G1073" s="55" t="n">
        <v>2</v>
      </c>
      <c r="H1073" s="57" t="n">
        <v>0</v>
      </c>
      <c r="I1073" s="55" t="n">
        <v>25</v>
      </c>
      <c r="J1073" s="56" t="n">
        <v>4.5</v>
      </c>
      <c r="K1073" s="56" t="inlineStr">
        <is>
          <t>https://amazon.com/dp/B0992NN7TK</t>
        </is>
      </c>
      <c r="L1073" s="70">
        <f>HYPERLINK(Table1410[[#This Row],[Column1]])</f>
        <v/>
      </c>
    </row>
    <row r="1074" ht="45" customHeight="1" s="290">
      <c r="A1074" s="30" t="inlineStr">
        <is>
          <t>Autel MaxiSys Ultra EV: 2026 UltraEV Intelligent Scanner Level up of MS909EV, Upgrade of MS Ultra/MS919/Elite II with EVDiag Kit, High-Voltage System &amp; Battery Analysis, MaxiFlash VCMI, Topology 2.0</t>
        </is>
      </c>
      <c r="B1074" s="30" t="inlineStr">
        <is>
          <t>B0BR5K27H4</t>
        </is>
      </c>
      <c r="C1074" s="30" t="inlineStr">
        <is>
          <t>Tablet</t>
        </is>
      </c>
      <c r="D1074" s="324" t="n">
        <v>4995</v>
      </c>
      <c r="E1074" s="324" t="n">
        <v>0</v>
      </c>
      <c r="F1074" s="324" t="n">
        <v>0</v>
      </c>
      <c r="G1074" s="55" t="n">
        <v>0</v>
      </c>
      <c r="H1074" s="57" t="n">
        <v>0</v>
      </c>
      <c r="I1074" s="55" t="n">
        <v>1</v>
      </c>
      <c r="J1074" s="56" t="n">
        <v>5</v>
      </c>
      <c r="K1074" s="56" t="inlineStr">
        <is>
          <t>https://amazon.com/dp/B0BR5K27H4</t>
        </is>
      </c>
      <c r="L1074" s="70">
        <f>HYPERLINK(Table1410[[#This Row],[Column1]])</f>
        <v/>
      </c>
    </row>
    <row r="1075" ht="45" customHeight="1" s="290">
      <c r="A1075" s="30" t="inlineStr">
        <is>
          <t>Autel MaxiSys MS919 Scanner: 2025 MS919 Same as Ultra Up of MS909 Ultra Lite Elite II Pro, 5 in 1 VCMI, Motor Speed, Topology Map 2.0, J2534, All System Diagnosis, Active Test, 40 Service</t>
        </is>
      </c>
      <c r="B1075" s="30" t="inlineStr">
        <is>
          <t>B071R1TND2</t>
        </is>
      </c>
      <c r="C1075" s="30" t="inlineStr">
        <is>
          <t>Tablet</t>
        </is>
      </c>
      <c r="D1075" s="324" t="n">
        <v>3799</v>
      </c>
      <c r="E1075" s="324" t="n">
        <v>6382.28</v>
      </c>
      <c r="F1075" s="324" t="n">
        <v>0</v>
      </c>
      <c r="G1075" s="55" t="n">
        <v>2</v>
      </c>
      <c r="H1075" s="57" t="n">
        <v>0</v>
      </c>
      <c r="I1075" s="55" t="n">
        <v>3</v>
      </c>
      <c r="J1075" s="56" t="n">
        <v>5</v>
      </c>
      <c r="K1075" s="56" t="inlineStr">
        <is>
          <t>https://amazon.com/dp/B071R1TND2</t>
        </is>
      </c>
      <c r="L1075" s="70">
        <f>HYPERLINK(Table1410[[#This Row],[Column1]])</f>
        <v/>
      </c>
    </row>
    <row r="1076" ht="45" customHeight="1" s="290">
      <c r="A1076" s="30" t="inlineStr">
        <is>
          <t>Autel MaxiSys Elite Battery, Replacement Battery for Autel MaxiSys Elite Scanner</t>
        </is>
      </c>
      <c r="B1076" s="30" t="inlineStr">
        <is>
          <t>B09D86Z1SM</t>
        </is>
      </c>
      <c r="C1076" s="30" t="inlineStr">
        <is>
          <t>Other</t>
        </is>
      </c>
      <c r="D1076" s="324" t="n">
        <v>141.0978571428571</v>
      </c>
      <c r="E1076" s="324" t="n">
        <v>64054.78999999999</v>
      </c>
      <c r="F1076" s="324" t="n">
        <v>0</v>
      </c>
      <c r="G1076" s="55" t="n">
        <v>461</v>
      </c>
      <c r="H1076" s="57" t="n">
        <v>0</v>
      </c>
      <c r="I1076" s="55" t="n">
        <v>78</v>
      </c>
      <c r="J1076" s="56" t="n">
        <v>4.6</v>
      </c>
      <c r="K1076" s="56" t="inlineStr">
        <is>
          <t>https://amazon.com/dp/B09D86Z1SM</t>
        </is>
      </c>
      <c r="L1076" s="70">
        <f>HYPERLINK(Table1410[[#This Row],[Column1]])</f>
        <v/>
      </c>
    </row>
    <row r="1077" ht="45" customHeight="1" s="290">
      <c r="A1077" s="30" t="inlineStr">
        <is>
          <t>Autel MaxiVCI V200 VCI200 OBD2 Adapter Connector, 2026 VCI 200 Car Wireless Communication Interface, Work w/Autel Scanner MaxiSys MS906PRO MS906 PRO-TS KM100 BT608 BT609 ITS600 MK906 PRO MK906 PRO TS</t>
        </is>
      </c>
      <c r="B1077" s="30" t="inlineStr">
        <is>
          <t>B0F26G74N2</t>
        </is>
      </c>
      <c r="C1077" s="30" t="inlineStr">
        <is>
          <t>Dongle</t>
        </is>
      </c>
      <c r="D1077" s="324" t="n">
        <v>223.7890909090909</v>
      </c>
      <c r="E1077" s="324" t="n">
        <v>48058.18000000001</v>
      </c>
      <c r="F1077" s="324" t="n">
        <v>0</v>
      </c>
      <c r="G1077" s="55" t="n">
        <v>228</v>
      </c>
      <c r="H1077" s="57" t="n">
        <v>0</v>
      </c>
      <c r="I1077" s="55" t="n">
        <v>5</v>
      </c>
      <c r="J1077" s="56" t="n">
        <v>4.7</v>
      </c>
      <c r="K1077" s="56" t="inlineStr">
        <is>
          <t>https://amazon.com/dp/B0F26G74N2</t>
        </is>
      </c>
      <c r="L1077" s="70">
        <f>HYPERLINK(Table1410[[#This Row],[Column1]])</f>
        <v/>
      </c>
    </row>
    <row r="1078" ht="45" customHeight="1" s="290">
      <c r="A1078" s="30" t="inlineStr">
        <is>
          <t>Autel TS6081YRUPDATE MaxiSYS TS608 1 Year Total Care Program Card</t>
        </is>
      </c>
      <c r="B1078" s="30" t="inlineStr">
        <is>
          <t>B07JKD7S96</t>
        </is>
      </c>
      <c r="C1078" s="30" t="inlineStr">
        <is>
          <t>Other</t>
        </is>
      </c>
      <c r="D1078" s="324" t="n">
        <v>255</v>
      </c>
      <c r="E1078" s="324" t="n">
        <v>0</v>
      </c>
      <c r="F1078" s="324" t="n">
        <v>0</v>
      </c>
      <c r="G1078" s="55" t="n">
        <v>0</v>
      </c>
      <c r="H1078" s="57" t="n">
        <v>0</v>
      </c>
      <c r="I1078" s="55" t="n"/>
      <c r="J1078" s="56" t="n"/>
      <c r="K1078" s="56" t="inlineStr">
        <is>
          <t>https://amazon.com/dp/B07JKD7S96</t>
        </is>
      </c>
      <c r="L1078" s="70">
        <f>HYPERLINK(Table1410[[#This Row],[Column1]])</f>
        <v/>
      </c>
    </row>
    <row r="1079" ht="45" customHeight="1" s="290">
      <c r="A1079" s="30" t="inlineStr">
        <is>
          <t>Autel Scanner MaxiiM KM100E OBD2 Diagnostic Tool, 2026 KM100 OBDII Scan Tool with Lifetime Fre.e Update, OBD-Learn on 95% Car for Home Mechanics &amp; DIY Vehicle Service, Lite Ver.of IM508S IM608 PRO II</t>
        </is>
      </c>
      <c r="B1079" s="30" t="inlineStr">
        <is>
          <t>B09DGPBJNT</t>
        </is>
      </c>
      <c r="C1079" s="30" t="inlineStr">
        <is>
          <t>Tablet</t>
        </is>
      </c>
      <c r="D1079" s="324" t="n">
        <v>524.0421052631579</v>
      </c>
      <c r="E1079" s="324" t="n">
        <v>15025.07</v>
      </c>
      <c r="F1079" s="324" t="n">
        <v>0</v>
      </c>
      <c r="G1079" s="55" t="n">
        <v>29</v>
      </c>
      <c r="H1079" s="57" t="n">
        <v>0</v>
      </c>
      <c r="I1079" s="55" t="n">
        <v>30</v>
      </c>
      <c r="J1079" s="56" t="n">
        <v>4.4</v>
      </c>
      <c r="K1079" s="56" t="inlineStr">
        <is>
          <t>https://amazon.com/dp/B09DGPBJNT</t>
        </is>
      </c>
      <c r="L1079" s="70">
        <f>HYPERLINK(Table1410[[#This Row],[Column1]])</f>
        <v/>
      </c>
    </row>
    <row r="1080" ht="45" customHeight="1" s="290">
      <c r="A1080" s="30" t="inlineStr">
        <is>
          <t>MaxiIM IM608PROIIKPA Key Programming Tablet Bundle</t>
        </is>
      </c>
      <c r="B1080" s="30" t="inlineStr">
        <is>
          <t>B0C6CSB7SJ</t>
        </is>
      </c>
      <c r="C1080" s="30" t="inlineStr">
        <is>
          <t>Key</t>
        </is>
      </c>
      <c r="D1080" s="324" t="n">
        <v>4184.64</v>
      </c>
      <c r="E1080" s="324" t="n">
        <v>0</v>
      </c>
      <c r="F1080" s="324" t="n">
        <v>0</v>
      </c>
      <c r="G1080" s="55" t="n">
        <v>0</v>
      </c>
      <c r="H1080" s="57" t="n">
        <v>0</v>
      </c>
      <c r="I1080" s="55" t="n"/>
      <c r="J1080" s="56" t="n"/>
      <c r="K1080" s="56" t="inlineStr">
        <is>
          <t>https://amazon.com/dp/B0C6CSB7SJ</t>
        </is>
      </c>
      <c r="L1080" s="70">
        <f>HYPERLINK(Table1410[[#This Row],[Column1]])</f>
        <v/>
      </c>
    </row>
    <row r="1081" ht="45" customHeight="1" s="290">
      <c r="A1081" s="30" t="inlineStr">
        <is>
          <t>Autel AL609P Pro Service Tool, 1 Pack</t>
        </is>
      </c>
      <c r="B1081" s="30" t="inlineStr">
        <is>
          <t>B075LFYTYQ</t>
        </is>
      </c>
      <c r="C1081" s="30" t="inlineStr">
        <is>
          <t>Handheld</t>
        </is>
      </c>
      <c r="D1081" s="324" t="n">
        <v>129.94</v>
      </c>
      <c r="E1081" s="324" t="n">
        <v>163.11</v>
      </c>
      <c r="F1081" s="324" t="n">
        <v>0</v>
      </c>
      <c r="G1081" s="55" t="n">
        <v>1</v>
      </c>
      <c r="H1081" s="57" t="n">
        <v>0</v>
      </c>
      <c r="I1081" s="55" t="n">
        <v>8</v>
      </c>
      <c r="J1081" s="56" t="n">
        <v>3.2</v>
      </c>
      <c r="K1081" s="56" t="inlineStr">
        <is>
          <t>https://amazon.com/dp/B075LFYTYQ</t>
        </is>
      </c>
      <c r="L1081" s="70">
        <f>HYPERLINK(Table1410[[#This Row],[Column1]])</f>
        <v/>
      </c>
    </row>
    <row r="1082" ht="45" customHeight="1" s="290">
      <c r="A1082" s="30" t="inlineStr">
        <is>
          <t>Autel MaxiTPMS TS900 Kit(4PCS MX Sensors Valued $120) TPMS Programming Tool Scanner All System Diagnosis Full TPMS 40+Services CAN FD/DoIP Compatible 315/433/434MHz Autel Sensors</t>
        </is>
      </c>
      <c r="B1082" s="30" t="inlineStr">
        <is>
          <t>B0CP25139M</t>
        </is>
      </c>
      <c r="C1082" s="30" t="inlineStr">
        <is>
          <t>Tablet</t>
        </is>
      </c>
      <c r="D1082" s="324" t="n">
        <v>920</v>
      </c>
      <c r="E1082" s="324" t="n">
        <v>0</v>
      </c>
      <c r="F1082" s="324" t="n">
        <v>0</v>
      </c>
      <c r="G1082" s="55" t="n">
        <v>0</v>
      </c>
      <c r="H1082" s="57" t="n">
        <v>0</v>
      </c>
      <c r="I1082" s="55" t="n">
        <v>3</v>
      </c>
      <c r="J1082" s="56" t="n">
        <v>5</v>
      </c>
      <c r="K1082" s="56" t="inlineStr">
        <is>
          <t>https://amazon.com/dp/B0CP25139M</t>
        </is>
      </c>
      <c r="L1082" s="70">
        <f>HYPERLINK(Table1410[[#This Row],[Column1]])</f>
        <v/>
      </c>
    </row>
    <row r="1083" ht="30" customHeight="1" s="290">
      <c r="A1083" s="30" t="inlineStr">
        <is>
          <t>Autel MaxiIM KM100E Programmer Diagnostic Programming Tool Free Lifetime Update Lite of IM508S IM608 PRO II Built in APB112 OBD Learning On 95% Car Auto VIN &amp; Scan VIN/License WiFi Connection</t>
        </is>
      </c>
      <c r="B1083" s="30" t="inlineStr">
        <is>
          <t>B0F74NKX46</t>
        </is>
      </c>
      <c r="C1083" s="30" t="inlineStr">
        <is>
          <t>Tablet</t>
        </is>
      </c>
      <c r="D1083" s="324" t="n">
        <v>533.511797752809</v>
      </c>
      <c r="E1083" s="324" t="n">
        <v>93598.24000000001</v>
      </c>
      <c r="F1083" s="324" t="n">
        <v>0</v>
      </c>
      <c r="G1083" s="55" t="n">
        <v>174</v>
      </c>
      <c r="H1083" s="57" t="n">
        <v>0</v>
      </c>
      <c r="I1083" s="55" t="n">
        <v>9</v>
      </c>
      <c r="J1083" s="56" t="n">
        <v>4.7</v>
      </c>
      <c r="K1083" s="56" t="inlineStr">
        <is>
          <t>https://amazon.com/dp/B0F74NKX46</t>
        </is>
      </c>
      <c r="L1083" s="70">
        <f>HYPERLINK(Table1410[[#This Row],[Column1]])</f>
        <v/>
      </c>
    </row>
    <row r="1084" ht="45" customHeight="1" s="290">
      <c r="A1084" s="30" t="inlineStr">
        <is>
          <t>Autel 20 Pin to 16 Pin OBD2 Cable for BMW, OBD1 to OBD2 Diagnostic Adapter Extension Convert Connector, OE-Quality, Work w/OBDII Scanners</t>
        </is>
      </c>
      <c r="B1084" s="30" t="inlineStr">
        <is>
          <t>B0DBZLD6SZ</t>
        </is>
      </c>
      <c r="C1084" s="30" t="inlineStr">
        <is>
          <t>Cable/Adapter</t>
        </is>
      </c>
      <c r="D1084" s="324" t="n">
        <v>20.07581395348837</v>
      </c>
      <c r="E1084" s="324" t="n">
        <v>16781.03</v>
      </c>
      <c r="F1084" s="324" t="n">
        <v>0</v>
      </c>
      <c r="G1084" s="55" t="n">
        <v>840</v>
      </c>
      <c r="H1084" s="57" t="n">
        <v>0</v>
      </c>
      <c r="I1084" s="55" t="n">
        <v>31</v>
      </c>
      <c r="J1084" s="56" t="n">
        <v>4.4</v>
      </c>
      <c r="K1084" s="56" t="inlineStr">
        <is>
          <t>https://amazon.com/dp/B0DBZLD6SZ</t>
        </is>
      </c>
      <c r="L1084" s="70">
        <f>HYPERLINK(Table1410[[#This Row],[Column1]])</f>
        <v/>
      </c>
    </row>
    <row r="1085" ht="45" customHeight="1" s="290">
      <c r="A1085" s="30" t="inlineStr">
        <is>
          <t>Autel MaxiSYS VCI100 Compact Bluetooth, Maxivci V100 Wireless Diagnostic Interface, Vehicle Communication Interface, OBD2 Connector Adapter Dongle, Compatible for MS906BT MK906BT</t>
        </is>
      </c>
      <c r="B1085" s="30" t="inlineStr">
        <is>
          <t>B09D3SHFKS</t>
        </is>
      </c>
      <c r="C1085" s="30" t="inlineStr">
        <is>
          <t>Dongle</t>
        </is>
      </c>
      <c r="D1085" s="324" t="n">
        <v>202.8508695652174</v>
      </c>
      <c r="E1085" s="324" t="n">
        <v>53741.56</v>
      </c>
      <c r="F1085" s="324" t="n">
        <v>0</v>
      </c>
      <c r="G1085" s="55" t="n">
        <v>275</v>
      </c>
      <c r="H1085" s="57" t="n">
        <v>0</v>
      </c>
      <c r="I1085" s="55" t="n">
        <v>55</v>
      </c>
      <c r="J1085" s="56" t="n">
        <v>4.6</v>
      </c>
      <c r="K1085" s="56" t="inlineStr">
        <is>
          <t>https://amazon.com/dp/B09D3SHFKS</t>
        </is>
      </c>
      <c r="L1085" s="70">
        <f>HYPERLINK(Table1410[[#This Row],[Column1]])</f>
        <v/>
      </c>
    </row>
    <row r="1086" ht="60" customHeight="1" s="290">
      <c r="A1086" s="30" t="inlineStr">
        <is>
          <t>Autel Maxi-IM KM100(E) Diagnostic Scan Tool, 2026 OBDII Scanner for 90% Vehicles, Lifetime Fre.e Update, 10X Faster Hardware Android 9.0 for Home Mechanics &amp; DIYers</t>
        </is>
      </c>
      <c r="B1086" s="30" t="inlineStr">
        <is>
          <t>B0F7M7XGJF</t>
        </is>
      </c>
      <c r="C1086" s="30" t="inlineStr">
        <is>
          <t>Handheld</t>
        </is>
      </c>
      <c r="D1086" s="324" t="n">
        <v>511.8345454545455</v>
      </c>
      <c r="E1086" s="324" t="n">
        <v>54773.57</v>
      </c>
      <c r="F1086" s="324" t="n">
        <v>0</v>
      </c>
      <c r="G1086" s="55" t="n">
        <v>104</v>
      </c>
      <c r="H1086" s="57" t="n">
        <v>0</v>
      </c>
      <c r="I1086" s="55" t="n">
        <v>12</v>
      </c>
      <c r="J1086" s="56" t="n">
        <v>4.4</v>
      </c>
      <c r="K1086" s="56" t="inlineStr">
        <is>
          <t>https://amazon.com/dp/B0F7M7XGJF</t>
        </is>
      </c>
      <c r="L1086" s="70">
        <f>HYPERLINK(Table1410[[#This Row],[Column1]])</f>
        <v/>
      </c>
    </row>
    <row r="1087" ht="30" customHeight="1" s="290">
      <c r="A1087" s="30" t="inlineStr">
        <is>
          <t>Autel OBD2 Scanner MaxiScan MS309 Car Check Engine Code Reader, Check Emission Monitor Status, Newer CAN Diagnostic Scan Tool for All OBD II Protocol Vehicles After 1996</t>
        </is>
      </c>
      <c r="B1087" s="30" t="inlineStr">
        <is>
          <t>B07VDKGK4T</t>
        </is>
      </c>
      <c r="C1087" s="30" t="inlineStr">
        <is>
          <t>Handheld</t>
        </is>
      </c>
      <c r="D1087" s="324" t="n">
        <v>23.0515</v>
      </c>
      <c r="E1087" s="324" t="n">
        <v>6464.540000000001</v>
      </c>
      <c r="F1087" s="324" t="n">
        <v>0</v>
      </c>
      <c r="G1087" s="55" t="n">
        <v>283</v>
      </c>
      <c r="H1087" s="57" t="n">
        <v>0</v>
      </c>
      <c r="I1087" s="55" t="n">
        <v>713</v>
      </c>
      <c r="J1087" s="56" t="n">
        <v>4.6</v>
      </c>
      <c r="K1087" s="56" t="inlineStr">
        <is>
          <t>https://amazon.com/dp/B07VDKGK4T</t>
        </is>
      </c>
      <c r="L1087" s="70">
        <f>HYPERLINK(Table1410[[#This Row],[Column1]])</f>
        <v/>
      </c>
    </row>
    <row r="1088" ht="45" customHeight="1" s="290">
      <c r="A1088" s="30" t="inlineStr">
        <is>
          <t>Autel MaxiScan MS300 Car OBD2 Scanner Code Reader Engine Fault Code Reader Scanner CAN Diagnostic Scan Tool for All OBD II Protocol Cars Since 1996, Red</t>
        </is>
      </c>
      <c r="B1088" s="30" t="inlineStr">
        <is>
          <t>B01LTI9EZ8</t>
        </is>
      </c>
      <c r="C1088" s="30" t="inlineStr">
        <is>
          <t>Handheld</t>
        </is>
      </c>
      <c r="D1088" s="324" t="n">
        <v>20.42333333333333</v>
      </c>
      <c r="E1088" s="324" t="n">
        <v>3195.63</v>
      </c>
      <c r="F1088" s="324" t="n">
        <v>0</v>
      </c>
      <c r="G1088" s="55" t="n">
        <v>159</v>
      </c>
      <c r="H1088" s="57" t="n">
        <v>0</v>
      </c>
      <c r="I1088" s="55" t="n">
        <v>246</v>
      </c>
      <c r="J1088" s="56" t="n">
        <v>4.3</v>
      </c>
      <c r="K1088" s="56" t="inlineStr">
        <is>
          <t>https://amazon.com/dp/B01LTI9EZ8</t>
        </is>
      </c>
      <c r="L1088" s="70">
        <f>HYPERLINK(Table1410[[#This Row],[Column1]])</f>
        <v/>
      </c>
    </row>
    <row r="1089" ht="30" customHeight="1" s="290">
      <c r="A1089" s="30" t="inlineStr">
        <is>
          <t>Autel Scanner MaxiIM KM100 OBD2 Diagnostic Scan Tool, Lifetime Free Update 2026 OBD Learning for 95% Vehicles Covered, 10+ Service, 2+64G, 10X Fast Hardware, No IP Limit</t>
        </is>
      </c>
      <c r="B1089" s="30" t="inlineStr">
        <is>
          <t>B0FXDM2MHW</t>
        </is>
      </c>
      <c r="C1089" s="30" t="inlineStr">
        <is>
          <t>Tablet</t>
        </is>
      </c>
      <c r="D1089" s="324" t="n">
        <v>544.7123076923077</v>
      </c>
      <c r="E1089" s="324" t="n">
        <v>14518.85</v>
      </c>
      <c r="F1089" s="324" t="n">
        <v>0</v>
      </c>
      <c r="G1089" s="55" t="n">
        <v>27</v>
      </c>
      <c r="H1089" s="57" t="n">
        <v>0</v>
      </c>
      <c r="I1089" s="55" t="n">
        <v>5</v>
      </c>
      <c r="J1089" s="56" t="n">
        <v>5</v>
      </c>
      <c r="K1089" s="56" t="inlineStr">
        <is>
          <t>https://amazon.com/dp/B0FXDM2MHW</t>
        </is>
      </c>
      <c r="L1089" s="70">
        <f>HYPERLINK(Table1410[[#This Row],[Column1]])</f>
        <v/>
      </c>
    </row>
    <row r="1090" ht="45" customHeight="1" s="290">
      <c r="A1090" s="30" t="inlineStr">
        <is>
          <t>Autel Scanner MaxiiM KM100 OBD2 Diagnostic Tool, 2026 KM100E OBDII Scan Tool with Lifetime Free Updates, OBD-Learn on 95% Car, 2GB &amp; 64GB Android 9.0, for Home Mechanics &amp; DIYers</t>
        </is>
      </c>
      <c r="B1090" s="30" t="inlineStr">
        <is>
          <t>B0FX9QY4JQ</t>
        </is>
      </c>
      <c r="C1090" s="30" t="inlineStr">
        <is>
          <t>Tablet</t>
        </is>
      </c>
      <c r="D1090" s="324" t="n">
        <v>516.24</v>
      </c>
      <c r="E1090" s="324" t="n">
        <v>11964.59</v>
      </c>
      <c r="F1090" s="324" t="n">
        <v>0</v>
      </c>
      <c r="G1090" s="55" t="n">
        <v>23</v>
      </c>
      <c r="H1090" s="57" t="n">
        <v>0</v>
      </c>
      <c r="I1090" s="55" t="n">
        <v>3</v>
      </c>
      <c r="J1090" s="56" t="n">
        <v>5</v>
      </c>
      <c r="K1090" s="56" t="inlineStr">
        <is>
          <t>https://amazon.com/dp/B0FX9QY4JQ</t>
        </is>
      </c>
      <c r="L1090" s="70">
        <f>HYPERLINK(Table1410[[#This Row],[Column1]])</f>
        <v/>
      </c>
    </row>
    <row r="1091" ht="45" customHeight="1" s="290">
      <c r="A1091" s="30" t="inlineStr">
        <is>
          <t>Autel AutoLink AL329 OBD2 Scanner, Upgrade of AL319 &amp; MS309 Code Reader, OBDII Reader with Auto VIN, Live Data, DTC Lookup, Emission Monitor Test, I/M Readiness Smog Check CAN Diagnostic Scan Tool</t>
        </is>
      </c>
      <c r="B1091" s="30" t="inlineStr">
        <is>
          <t>B0C3BZSPT9</t>
        </is>
      </c>
      <c r="C1091" s="30" t="inlineStr">
        <is>
          <t>Handheld</t>
        </is>
      </c>
      <c r="D1091" s="324" t="n">
        <v>48.95692307692308</v>
      </c>
      <c r="E1091" s="324" t="n">
        <v>17426.06</v>
      </c>
      <c r="F1091" s="324" t="n">
        <v>0</v>
      </c>
      <c r="G1091" s="55" t="n">
        <v>394</v>
      </c>
      <c r="H1091" s="57" t="n">
        <v>0</v>
      </c>
      <c r="I1091" s="55" t="n">
        <v>321</v>
      </c>
      <c r="J1091" s="56" t="n">
        <v>4.5</v>
      </c>
      <c r="K1091" s="56" t="inlineStr">
        <is>
          <t>https://amazon.com/dp/B0C3BZSPT9</t>
        </is>
      </c>
      <c r="L1091" s="70">
        <f>HYPERLINK(Table1410[[#This Row],[Column1]])</f>
        <v/>
      </c>
    </row>
    <row r="1092" ht="45" customHeight="1" s="290">
      <c r="A1092" s="30" t="inlineStr">
        <is>
          <t>Autel OBD2 12+8 Adapter for Chrysler: OBD II Bypa3s FCA SGW Cable for 2018+ Chrysler, Dodge, Je*p, Fiat, or Alfa R0meo SGW Cars, Work w/All Scanners MK808S MK900BT MX900 MS906 Pro Elite II Pro KM100</t>
        </is>
      </c>
      <c r="B1092" s="30" t="inlineStr">
        <is>
          <t>B0FQPHDQSH</t>
        </is>
      </c>
      <c r="C1092" s="30" t="inlineStr">
        <is>
          <t>Cable/Adapter</t>
        </is>
      </c>
      <c r="D1092" s="324" t="n">
        <v>26.170625</v>
      </c>
      <c r="E1092" s="324" t="n">
        <v>1385.7</v>
      </c>
      <c r="F1092" s="324" t="n">
        <v>0</v>
      </c>
      <c r="G1092" s="55" t="n">
        <v>53</v>
      </c>
      <c r="H1092" s="57" t="n">
        <v>0</v>
      </c>
      <c r="I1092" s="55" t="n">
        <v>12</v>
      </c>
      <c r="J1092" s="56" t="n">
        <v>4.5</v>
      </c>
      <c r="K1092" s="56" t="inlineStr">
        <is>
          <t>https://amazon.com/dp/B0FQPHDQSH</t>
        </is>
      </c>
      <c r="L1092" s="70">
        <f>HYPERLINK(Table1410[[#This Row],[Column1]])</f>
        <v/>
      </c>
    </row>
    <row r="1093" ht="30" customHeight="1" s="290">
      <c r="A1093" s="30" t="inlineStr">
        <is>
          <t>Autel OBD2 Scanner MaxiDiag MD909 PRO, 2026 MD909PRO Full Systems Diagnostic Scan Tool, 2.0 of MD906Pro MD808 Pro MD806, BT Lite of MK808S MX808S MX900 MK900, CAN FD, 11 Service, FCA, SFD, Free Update</t>
        </is>
      </c>
      <c r="B1093" s="30" t="inlineStr">
        <is>
          <t>B0FMRZ89PL</t>
        </is>
      </c>
      <c r="C1093" s="30" t="inlineStr">
        <is>
          <t>Tablet</t>
        </is>
      </c>
      <c r="D1093" s="324" t="n">
        <v>325.7222222222222</v>
      </c>
      <c r="E1093" s="324" t="n">
        <v>9714.030000000001</v>
      </c>
      <c r="F1093" s="324" t="n">
        <v>0</v>
      </c>
      <c r="G1093" s="55" t="n">
        <v>29</v>
      </c>
      <c r="H1093" s="57" t="n">
        <v>0</v>
      </c>
      <c r="I1093" s="55" t="n">
        <v>1</v>
      </c>
      <c r="J1093" s="56" t="n">
        <v>5</v>
      </c>
      <c r="K1093" s="56" t="inlineStr">
        <is>
          <t>https://amazon.com/dp/B0FMRZ89PL</t>
        </is>
      </c>
      <c r="L1093" s="70">
        <f>HYPERLINK(Table1410[[#This Row],[Column1]])</f>
        <v/>
      </c>
    </row>
    <row r="1094" ht="45" customHeight="1" s="290">
      <c r="A1094" s="30" t="inlineStr">
        <is>
          <t>Autel Maxi-IM KM100(E) Diagnostic Tool, 2026 Car Scanner lite Ver.of IM508S IM608 PRO 2, Lifetime Free Updates,V200 Wireless BT Connection, 10X Faster Hardware, for Home Mechanics &amp; DIYers</t>
        </is>
      </c>
      <c r="B1094" s="30" t="inlineStr">
        <is>
          <t>B0FMK83KGN</t>
        </is>
      </c>
      <c r="C1094" s="30" t="inlineStr">
        <is>
          <t>Dongle</t>
        </is>
      </c>
      <c r="D1094" s="324" t="n">
        <v>533.9461290322581</v>
      </c>
      <c r="E1094" s="324" t="n">
        <v>51146.79</v>
      </c>
      <c r="F1094" s="324" t="n">
        <v>0</v>
      </c>
      <c r="G1094" s="55" t="n">
        <v>95</v>
      </c>
      <c r="H1094" s="57" t="n">
        <v>0</v>
      </c>
      <c r="I1094" s="55" t="n">
        <v>10</v>
      </c>
      <c r="J1094" s="56" t="n">
        <v>4.4</v>
      </c>
      <c r="K1094" s="56" t="inlineStr">
        <is>
          <t>https://amazon.com/dp/B0FMK83KGN</t>
        </is>
      </c>
      <c r="L1094" s="70">
        <f>HYPERLINK(Table1410[[#This Row],[Column1]])</f>
        <v/>
      </c>
    </row>
    <row r="1095" ht="45" customHeight="1" s="290">
      <c r="A1095" s="30" t="inlineStr">
        <is>
          <t>2026 Autel MaxiDiag MD909 PRO OBD2 Scanner, MD909PRO Full Systems OBDII Diagnostic Tool, Wireless CAN FD Up of MaxiCOM MK808S MK808 MX808S, V2.0 of MD906PRO, 11 Services, Lifetime Free Updates, FCA</t>
        </is>
      </c>
      <c r="B1095" s="30" t="inlineStr">
        <is>
          <t>B0FMRMXB7F</t>
        </is>
      </c>
      <c r="C1095" s="30" t="inlineStr">
        <is>
          <t>Tablet</t>
        </is>
      </c>
      <c r="D1095" s="324" t="n">
        <v>326.485</v>
      </c>
      <c r="E1095" s="324" t="n">
        <v>14828.12</v>
      </c>
      <c r="F1095" s="324" t="n">
        <v>0</v>
      </c>
      <c r="G1095" s="55" t="n">
        <v>45</v>
      </c>
      <c r="H1095" s="57" t="n">
        <v>0</v>
      </c>
      <c r="I1095" s="55" t="n">
        <v>3</v>
      </c>
      <c r="J1095" s="56" t="n">
        <v>3.8</v>
      </c>
      <c r="K1095" s="56" t="inlineStr">
        <is>
          <t>https://amazon.com/dp/B0FMRMXB7F</t>
        </is>
      </c>
      <c r="L1095" s="70">
        <f>HYPERLINK(Table1410[[#This Row],[Column1]])</f>
        <v/>
      </c>
    </row>
    <row r="1096" ht="30" customHeight="1" s="290">
      <c r="A1096" s="30" t="inlineStr">
        <is>
          <t>Autel Original OBD2 Diagnostic Adapter Compatible with BMW Motorcycles Year 1996 to 2016, 10Pin Connector to 16 Pin OBD II Female Cable, Work with Scan Tool and Code Reader</t>
        </is>
      </c>
      <c r="B1096" s="30" t="inlineStr">
        <is>
          <t>B0DC6526D8</t>
        </is>
      </c>
      <c r="C1096" s="30" t="inlineStr">
        <is>
          <t>Cable/Adapter</t>
        </is>
      </c>
      <c r="D1096" s="324" t="n">
        <v>20.14473684210526</v>
      </c>
      <c r="E1096" s="324" t="n">
        <v>4733.320000000001</v>
      </c>
      <c r="F1096" s="324" t="n">
        <v>0</v>
      </c>
      <c r="G1096" s="55" t="n">
        <v>236</v>
      </c>
      <c r="H1096" s="57" t="n">
        <v>0</v>
      </c>
      <c r="I1096" s="55" t="n">
        <v>19</v>
      </c>
      <c r="J1096" s="56" t="n">
        <v>4.7</v>
      </c>
      <c r="K1096" s="56" t="inlineStr">
        <is>
          <t>https://amazon.com/dp/B0DC6526D8</t>
        </is>
      </c>
      <c r="L1096" s="70">
        <f>HYPERLINK(Table1410[[#This Row],[Column1]])</f>
        <v/>
      </c>
    </row>
    <row r="1097" ht="30" customHeight="1" s="290">
      <c r="A1097" s="30" t="inlineStr">
        <is>
          <t>Autel MaxiVCI V200 VCI200 Wireless OBD2 Connector Adapter, VCI 200 OBD2 Diagnostic Dongle, Work w/MaxiSys Scanner MS906 PRO MS906MAX MS906 PRO-TS KM100 BT608 BT609 ITS600 MK906 PRO TS</t>
        </is>
      </c>
      <c r="B1097" s="30" t="inlineStr">
        <is>
          <t>B0FHLVKQ7J</t>
        </is>
      </c>
      <c r="C1097" s="30" t="inlineStr">
        <is>
          <t>Dongle</t>
        </is>
      </c>
      <c r="D1097" s="324" t="n">
        <v>231.245</v>
      </c>
      <c r="E1097" s="324" t="n">
        <v>9377.84</v>
      </c>
      <c r="F1097" s="324" t="n">
        <v>0</v>
      </c>
      <c r="G1097" s="55" t="n">
        <v>42</v>
      </c>
      <c r="H1097" s="57" t="n">
        <v>0</v>
      </c>
      <c r="I1097" s="55" t="n">
        <v>8</v>
      </c>
      <c r="J1097" s="56" t="n">
        <v>4.8</v>
      </c>
      <c r="K1097" s="56" t="inlineStr">
        <is>
          <t>https://amazon.com/dp/B0FHLVKQ7J</t>
        </is>
      </c>
      <c r="L1097" s="70">
        <f>HYPERLINK(Table1410[[#This Row],[Column1]])</f>
        <v/>
      </c>
    </row>
    <row r="1098" ht="45" customHeight="1" s="290">
      <c r="A1098" s="30" t="inlineStr">
        <is>
          <t>2026 Autel Scanner MaxiIM KM100(X), Lifetime Fre.e Update, OBD-Learn for 95% Car, Wireless OBD2 Diagnostic Scan Tool, Lite of IM508S IM608 PRO 2, 2GB &amp; 64GB Android 9.0, for Home Mechanics &amp; DIYers</t>
        </is>
      </c>
      <c r="B1098" s="30" t="inlineStr">
        <is>
          <t>B01N59FST0</t>
        </is>
      </c>
      <c r="C1098" s="30" t="inlineStr">
        <is>
          <t>Tablet</t>
        </is>
      </c>
      <c r="D1098" s="324" t="n">
        <v>534.2557692307693</v>
      </c>
      <c r="E1098" s="324" t="n">
        <v>34559.61</v>
      </c>
      <c r="F1098" s="324" t="n">
        <v>0</v>
      </c>
      <c r="G1098" s="55" t="n">
        <v>65</v>
      </c>
      <c r="H1098" s="57" t="n">
        <v>0</v>
      </c>
      <c r="I1098" s="55" t="n">
        <v>83</v>
      </c>
      <c r="J1098" s="56" t="n">
        <v>4.6</v>
      </c>
      <c r="K1098" s="56" t="inlineStr">
        <is>
          <t>https://amazon.com/dp/B01N59FST0</t>
        </is>
      </c>
      <c r="L1098" s="70">
        <f>HYPERLINK(Table1410[[#This Row],[Column1]])</f>
        <v/>
      </c>
    </row>
    <row r="1099" ht="30" customHeight="1" s="290">
      <c r="A1099" s="30" t="inlineStr">
        <is>
          <t>Autel MaxiCOM MK906 PRO 2026 Scanner, Same as MS906PRO Diagnostic Scan Tool, Upgade of MS906BT / MP900-BT, 3000+ Test, 40+ Services, FCA AutoAuth, AutoVIN, Guided Functions</t>
        </is>
      </c>
      <c r="B1099" s="30" t="inlineStr">
        <is>
          <t>B09M48KH2B</t>
        </is>
      </c>
      <c r="C1099" s="30" t="inlineStr">
        <is>
          <t>Tablet</t>
        </is>
      </c>
      <c r="D1099" s="324" t="n">
        <v>1369</v>
      </c>
      <c r="E1099" s="324" t="n">
        <v>7253.49</v>
      </c>
      <c r="F1099" s="324" t="n">
        <v>0</v>
      </c>
      <c r="G1099" s="55" t="n">
        <v>7</v>
      </c>
      <c r="H1099" s="57" t="n">
        <v>0</v>
      </c>
      <c r="I1099" s="55" t="n">
        <v>15</v>
      </c>
      <c r="J1099" s="56" t="n">
        <v>4.5</v>
      </c>
      <c r="K1099" s="56" t="inlineStr">
        <is>
          <t>https://amazon.com/dp/B09M48KH2B</t>
        </is>
      </c>
      <c r="L1099" s="70">
        <f>HYPERLINK(Table1410[[#This Row],[Column1]])</f>
        <v/>
      </c>
    </row>
    <row r="1100" ht="30" customHeight="1" s="290">
      <c r="A1100" s="30" t="inlineStr">
        <is>
          <t>Autel VCI MaxiFlash Xlink J2534 Reprogramming Tool Expert-Driven Remote Diagnostic Tool Supports DoIP/CAN/CAN FD/D-PDU/J2534/RP1210 Work with Autel MaxiSYS Ultra MS919 MS909 PC and Mobile Phone</t>
        </is>
      </c>
      <c r="B1100" s="30" t="inlineStr">
        <is>
          <t>B0C6LFN1PN</t>
        </is>
      </c>
      <c r="C1100" s="30" t="inlineStr">
        <is>
          <t>VCI</t>
        </is>
      </c>
      <c r="D1100" s="324" t="n">
        <v>1295</v>
      </c>
      <c r="E1100" s="324" t="n">
        <v>21934.04</v>
      </c>
      <c r="F1100" s="324" t="n">
        <v>0</v>
      </c>
      <c r="G1100" s="55" t="n">
        <v>18</v>
      </c>
      <c r="H1100" s="57" t="n">
        <v>0</v>
      </c>
      <c r="I1100" s="55" t="n">
        <v>7</v>
      </c>
      <c r="J1100" s="56" t="n">
        <v>2.9</v>
      </c>
      <c r="K1100" s="56" t="inlineStr">
        <is>
          <t>https://amazon.com/dp/B0C6LFN1PN</t>
        </is>
      </c>
      <c r="L1100" s="70">
        <f>HYPERLINK(Table1410[[#This Row],[Column1]])</f>
        <v/>
      </c>
    </row>
    <row r="1101" ht="45" customHeight="1" s="290">
      <c r="A1101" s="30" t="inlineStr">
        <is>
          <t>Autel MaxiTPMS TS508WFK-4 TS508WF with 4pcs MX Sensor + 4pcs Metal Valves Upgrade of TS508K TS508 Read Activate Relearn All Known Sensors Detect &amp; Display TPMS System Faults Perform OBDII Relearns</t>
        </is>
      </c>
      <c r="B1101" s="30" t="inlineStr">
        <is>
          <t>B0DB188CHQ</t>
        </is>
      </c>
      <c r="C1101" s="30" t="inlineStr">
        <is>
          <t>Handheld</t>
        </is>
      </c>
      <c r="D1101" s="324" t="n">
        <v>348</v>
      </c>
      <c r="E1101" s="324" t="n">
        <v>164.06</v>
      </c>
      <c r="F1101" s="324" t="n">
        <v>0</v>
      </c>
      <c r="G1101" s="55" t="n">
        <v>1</v>
      </c>
      <c r="H1101" s="57" t="n">
        <v>0</v>
      </c>
      <c r="I1101" s="55" t="n">
        <v>3</v>
      </c>
      <c r="J1101" s="56" t="n">
        <v>5</v>
      </c>
      <c r="K1101" s="56" t="inlineStr">
        <is>
          <t>https://amazon.com/dp/B0DB188CHQ</t>
        </is>
      </c>
      <c r="L1101" s="70">
        <f>HYPERLINK(Table1410[[#This Row],[Column1]])</f>
        <v/>
      </c>
    </row>
    <row r="1102" ht="45" customHeight="1" s="290">
      <c r="A1102" s="30" t="inlineStr">
        <is>
          <t>Autel MaxiSys MS906 Pro-TS Diagnostic Scanner, 2026 Top Bidirectional Scan Tool with Full TPMS Function, Up of MP900TS MS906PRO MS906 MK900, ECU Coding, 3000+ Active Test, 36+ Service, CAN FD&amp;DoIP</t>
        </is>
      </c>
      <c r="B1102" s="30" t="inlineStr">
        <is>
          <t>B0B9S3WPRZ</t>
        </is>
      </c>
      <c r="C1102" s="30" t="inlineStr">
        <is>
          <t>Tablet</t>
        </is>
      </c>
      <c r="D1102" s="324" t="n">
        <v>1569</v>
      </c>
      <c r="E1102" s="324" t="n">
        <v>30123.56</v>
      </c>
      <c r="F1102" s="324" t="n">
        <v>0</v>
      </c>
      <c r="G1102" s="55" t="n">
        <v>19</v>
      </c>
      <c r="H1102" s="57" t="n">
        <v>0</v>
      </c>
      <c r="I1102" s="55" t="n">
        <v>13</v>
      </c>
      <c r="J1102" s="56" t="n">
        <v>4.5</v>
      </c>
      <c r="K1102" s="56" t="inlineStr">
        <is>
          <t>https://amazon.com/dp/B0B9S3WPRZ</t>
        </is>
      </c>
      <c r="L1102" s="70">
        <f>HYPERLINK(Table1410[[#This Row],[Column1]])</f>
        <v/>
      </c>
    </row>
    <row r="1103" ht="60" customHeight="1" s="290">
      <c r="A1103" s="30" t="inlineStr">
        <is>
          <t>Autel MaxiSys MS906 Pro TS Professional OBD2 Scanner with TPMS Programming ECU Coding 36+ Service Functions, Full System Diagnostic Tool for 80+ Vehicle Brands, Android 10, 8" Touchscreen</t>
        </is>
      </c>
      <c r="B1103" s="30" t="inlineStr">
        <is>
          <t>B0D1QRKDYD</t>
        </is>
      </c>
      <c r="C1103" s="30" t="inlineStr">
        <is>
          <t>Tablet</t>
        </is>
      </c>
      <c r="D1103" s="324" t="n">
        <v>1569</v>
      </c>
      <c r="E1103" s="324" t="n">
        <v>150830.38</v>
      </c>
      <c r="F1103" s="324" t="n">
        <v>0</v>
      </c>
      <c r="G1103" s="55" t="n">
        <v>96</v>
      </c>
      <c r="H1103" s="57" t="n">
        <v>0</v>
      </c>
      <c r="I1103" s="55" t="n">
        <v>11</v>
      </c>
      <c r="J1103" s="56" t="n">
        <v>5</v>
      </c>
      <c r="K1103" s="56" t="inlineStr">
        <is>
          <t>https://amazon.com/dp/B0D1QRKDYD</t>
        </is>
      </c>
      <c r="L1103" s="70">
        <f>HYPERLINK(Table1410[[#This Row],[Column1]])</f>
        <v/>
      </c>
    </row>
    <row r="1104" ht="45" customHeight="1" s="290">
      <c r="A1104" s="30" t="inlineStr">
        <is>
          <t>Autel Scanner MaxiDiag MD906 PRO, 2026 MD906PRO OBD2 Automotive Diagnostic Tool for Full System Same as MD909 PRO, Lite Ver. of MaxiCOM MK808S MK808S, CAN FD OBDII Scanner for All Car, 11 Services FCA</t>
        </is>
      </c>
      <c r="B1104" s="30" t="inlineStr">
        <is>
          <t>B0FG78RPS2</t>
        </is>
      </c>
      <c r="C1104" s="30" t="inlineStr">
        <is>
          <t>Tablet</t>
        </is>
      </c>
      <c r="D1104" s="324" t="n">
        <v>279</v>
      </c>
      <c r="E1104" s="324" t="n">
        <v>31067.09</v>
      </c>
      <c r="F1104" s="324" t="n">
        <v>0</v>
      </c>
      <c r="G1104" s="55" t="n">
        <v>106</v>
      </c>
      <c r="H1104" s="57" t="n">
        <v>0</v>
      </c>
      <c r="I1104" s="55" t="n">
        <v>32</v>
      </c>
      <c r="J1104" s="56" t="n">
        <v>4.6</v>
      </c>
      <c r="K1104" s="56" t="inlineStr">
        <is>
          <t>https://amazon.com/dp/B0FG78RPS2</t>
        </is>
      </c>
      <c r="L1104" s="70">
        <f>HYPERLINK(Table1410[[#This Row],[Column1]])</f>
        <v/>
      </c>
    </row>
    <row r="1105" ht="45" customHeight="1" s="290">
      <c r="A1105" s="30" t="inlineStr">
        <is>
          <t>Autel MaxiCheck MX900 Scanner w/ MV108S - Up of MK808BT MX808S MX900 MK900 All System Diagnostic Scan Tool, 40+ Services, 3000+ Active Test, DoIP&amp;CAN FD, Auto VIN, Cloud Report</t>
        </is>
      </c>
      <c r="B1105" s="30" t="inlineStr">
        <is>
          <t>B0CRQY8QBY</t>
        </is>
      </c>
      <c r="C1105" s="30" t="inlineStr">
        <is>
          <t>Tablet</t>
        </is>
      </c>
      <c r="D1105" s="324" t="n">
        <v>589</v>
      </c>
      <c r="E1105" s="324" t="n">
        <v>20301.56</v>
      </c>
      <c r="F1105" s="324" t="n">
        <v>0</v>
      </c>
      <c r="G1105" s="55" t="n">
        <v>35</v>
      </c>
      <c r="H1105" s="57" t="n">
        <v>0</v>
      </c>
      <c r="I1105" s="55" t="n">
        <v>18</v>
      </c>
      <c r="J1105" s="56" t="n">
        <v>4.4</v>
      </c>
      <c r="K1105" s="56" t="inlineStr">
        <is>
          <t>https://amazon.com/dp/B0CRQY8QBY</t>
        </is>
      </c>
      <c r="L1105" s="70">
        <f>HYPERLINK(Table1410[[#This Row],[Column1]])</f>
        <v/>
      </c>
    </row>
    <row r="1106" ht="45" customHeight="1" s="290">
      <c r="A1106" s="30" t="inlineStr">
        <is>
          <t>Autel Scan Tool MX900 MK900 OBD2 All System Diagnostic Scanner, Same as MK900BT, Upgraded MK808S MK808BT MX808 MX808S MK808Z, Bi Directional, 40+ Service, DoIP/CAN FD, 3000+ Active Tests, FCA SGW</t>
        </is>
      </c>
      <c r="B1106" s="30" t="inlineStr">
        <is>
          <t>B0C4H7PJBN</t>
        </is>
      </c>
      <c r="C1106" s="30" t="inlineStr">
        <is>
          <t>Tablet</t>
        </is>
      </c>
      <c r="D1106" s="324" t="n">
        <v>559</v>
      </c>
      <c r="E1106" s="324" t="n">
        <v>33308.56999999999</v>
      </c>
      <c r="F1106" s="324" t="n">
        <v>0</v>
      </c>
      <c r="G1106" s="55" t="n">
        <v>62</v>
      </c>
      <c r="H1106" s="57" t="n">
        <v>0</v>
      </c>
      <c r="I1106" s="55" t="n">
        <v>33</v>
      </c>
      <c r="J1106" s="56" t="n">
        <v>4.3</v>
      </c>
      <c r="K1106" s="56" t="inlineStr">
        <is>
          <t>https://amazon.com/dp/B0C4H7PJBN</t>
        </is>
      </c>
      <c r="L1106" s="70">
        <f>HYPERLINK(Table1410[[#This Row],[Column1]])</f>
        <v/>
      </c>
    </row>
    <row r="1107" ht="60" customHeight="1" s="290">
      <c r="A1107" s="30" t="inlineStr">
        <is>
          <t>Autel Scanner MaxiCheck MX900TS, 2026 Same as MK900TS Up of MK808S-TS MX808S-TS MK900BT MK900 MX900, Top TPMS Function as MS906 PRO-TS MP900TS, Bidirectional All-Sys Diagnostic, 40+ Service, FCA SGW</t>
        </is>
      </c>
      <c r="B1107" s="30" t="inlineStr">
        <is>
          <t>B08VRZWM26</t>
        </is>
      </c>
      <c r="C1107" s="30" t="inlineStr">
        <is>
          <t>Tablet</t>
        </is>
      </c>
      <c r="D1107" s="324" t="n">
        <v>879</v>
      </c>
      <c r="E1107" s="324" t="n">
        <v>40813.54</v>
      </c>
      <c r="F1107" s="324" t="n">
        <v>0</v>
      </c>
      <c r="G1107" s="55" t="n">
        <v>47</v>
      </c>
      <c r="H1107" s="57" t="n">
        <v>0</v>
      </c>
      <c r="I1107" s="55" t="n">
        <v>38</v>
      </c>
      <c r="J1107" s="56" t="n">
        <v>4.4</v>
      </c>
      <c r="K1107" s="56" t="inlineStr">
        <is>
          <t>https://amazon.com/dp/B08VRZWM26</t>
        </is>
      </c>
      <c r="L1107" s="70">
        <f>HYPERLINK(Table1410[[#This Row],[Column1]])</f>
        <v/>
      </c>
    </row>
    <row r="1108" ht="60" customHeight="1" s="290">
      <c r="A1108" s="30" t="inlineStr">
        <is>
          <t>Autel MaxiSYS Pro OBDII Replacement Cable</t>
        </is>
      </c>
      <c r="B1108" s="30" t="inlineStr">
        <is>
          <t>B07V8L3W1S</t>
        </is>
      </c>
      <c r="C1108" s="30" t="inlineStr">
        <is>
          <t>Cable/Adapter</t>
        </is>
      </c>
      <c r="D1108" s="324" t="n">
        <v>47.98</v>
      </c>
      <c r="E1108" s="324" t="n">
        <v>2144.26</v>
      </c>
      <c r="F1108" s="324" t="n">
        <v>0</v>
      </c>
      <c r="G1108" s="55" t="n">
        <v>40</v>
      </c>
      <c r="H1108" s="57" t="n">
        <v>0</v>
      </c>
      <c r="I1108" s="55" t="n">
        <v>1</v>
      </c>
      <c r="J1108" s="56" t="n">
        <v>4</v>
      </c>
      <c r="K1108" s="56" t="inlineStr">
        <is>
          <t>https://amazon.com/dp/B07V8L3W1S</t>
        </is>
      </c>
      <c r="L1108" s="70">
        <f>HYPERLINK(Table1410[[#This Row],[Column1]])</f>
        <v/>
      </c>
    </row>
    <row r="1109" ht="45" customHeight="1" s="290">
      <c r="A1109" s="30" t="inlineStr">
        <is>
          <t>Autel Scanner MaxiSYS MS908S PRO II w/ $60 MV108S | 2026 Same as MS Ultra Elite II Pro, J2534 ECU Pr0gramming Scan Tool Up of MaxiCOM MK908 Pro II Elite MS906 PRO/MAX, 4K+ Tests, 38+ Resets, 4/128G</t>
        </is>
      </c>
      <c r="B1109" s="30" t="inlineStr">
        <is>
          <t>B0894F6H61</t>
        </is>
      </c>
      <c r="C1109" s="30" t="inlineStr">
        <is>
          <t>Tablet</t>
        </is>
      </c>
      <c r="D1109" s="324" t="n">
        <v>1999</v>
      </c>
      <c r="E1109" s="324" t="n">
        <v>61550.99</v>
      </c>
      <c r="F1109" s="324" t="n">
        <v>0</v>
      </c>
      <c r="G1109" s="55" t="n">
        <v>31</v>
      </c>
      <c r="H1109" s="57" t="n">
        <v>0</v>
      </c>
      <c r="I1109" s="55" t="n">
        <v>37</v>
      </c>
      <c r="J1109" s="56" t="n">
        <v>4.6</v>
      </c>
      <c r="K1109" s="56" t="inlineStr">
        <is>
          <t>https://amazon.com/dp/B0894F6H61</t>
        </is>
      </c>
      <c r="L1109" s="70">
        <f>HYPERLINK(Table1410[[#This Row],[Column1]])</f>
        <v/>
      </c>
    </row>
    <row r="1110" ht="45" customHeight="1" s="290">
      <c r="A1110" s="30" t="inlineStr">
        <is>
          <t>Autel MaxiCOM MK808Z, Autel Scanner, 2025 Bi-Directional Tool, OBD2 Scanner for All Vehicles All System Diagnostic Tool Bi-Directional Control Same as MaxiCOM MK808 Lite MX900</t>
        </is>
      </c>
      <c r="B1110" s="30" t="inlineStr">
        <is>
          <t>B0B8RDH4C7</t>
        </is>
      </c>
      <c r="C1110" s="30" t="inlineStr">
        <is>
          <t>Tablet</t>
        </is>
      </c>
      <c r="D1110" s="324" t="n">
        <v>449</v>
      </c>
      <c r="E1110" s="324" t="n">
        <v>1056.01</v>
      </c>
      <c r="F1110" s="324" t="n">
        <v>0</v>
      </c>
      <c r="G1110" s="55" t="n">
        <v>2</v>
      </c>
      <c r="H1110" s="57" t="n">
        <v>0</v>
      </c>
      <c r="I1110" s="55" t="n">
        <v>22</v>
      </c>
      <c r="J1110" s="56" t="n">
        <v>4.8</v>
      </c>
      <c r="K1110" s="56" t="inlineStr">
        <is>
          <t>https://amazon.com/dp/B0B8RDH4C7</t>
        </is>
      </c>
      <c r="L1110" s="70">
        <f>HYPERLINK(Table1410[[#This Row],[Column1]])</f>
        <v/>
      </c>
    </row>
    <row r="1111" ht="45" customHeight="1" s="290">
      <c r="A1111" s="30" t="inlineStr">
        <is>
          <t>Autel MaxiCOM MK808Z-BT OBD2 Scanner, 2026 Bidirectional Diagnostic Tool, Up of MK808S MX808S MK808Z MK808BT, 28+ Service, OE All System Diagnostic, 3000+ Active Test, FCA, Alternative of MK900 MX900</t>
        </is>
      </c>
      <c r="B1111" s="30" t="inlineStr">
        <is>
          <t>B0D1QVSF5F</t>
        </is>
      </c>
      <c r="C1111" s="30" t="inlineStr">
        <is>
          <t>Tablet</t>
        </is>
      </c>
      <c r="D1111" s="324" t="n">
        <v>549</v>
      </c>
      <c r="E1111" s="324" t="n">
        <v>5036.24</v>
      </c>
      <c r="F1111" s="324" t="n">
        <v>0</v>
      </c>
      <c r="G1111" s="55" t="n">
        <v>9</v>
      </c>
      <c r="H1111" s="57" t="n">
        <v>0</v>
      </c>
      <c r="I1111" s="55" t="n">
        <v>3</v>
      </c>
      <c r="J1111" s="56" t="n">
        <v>5</v>
      </c>
      <c r="K1111" s="56" t="inlineStr">
        <is>
          <t>https://amazon.com/dp/B0D1QVSF5F</t>
        </is>
      </c>
      <c r="L1111" s="70">
        <f>HYPERLINK(Table1410[[#This Row],[Column1]])</f>
        <v/>
      </c>
    </row>
    <row r="1112" ht="45" customHeight="1" s="290">
      <c r="A1112" s="30" t="inlineStr">
        <is>
          <t>Autel MaxiIM IM608S II 2026 Automotive Diagnostic Scan Tool | Global Ver. of IM608 PRO 2 w/ XP400 PRO GBOX3 APB112 [$1300], OE Full Sys ECU Function as Elite II Pro 4K+ Test 40+ Reset OS10 DoIP CAN FD</t>
        </is>
      </c>
      <c r="B1112" s="30" t="inlineStr">
        <is>
          <t>B08DLGD6FD</t>
        </is>
      </c>
      <c r="C1112" s="30" t="inlineStr">
        <is>
          <t>Tablet</t>
        </is>
      </c>
      <c r="D1112" s="324" t="n">
        <v>3199</v>
      </c>
      <c r="E1112" s="324" t="n">
        <v>156925.11</v>
      </c>
      <c r="F1112" s="324" t="n">
        <v>0</v>
      </c>
      <c r="G1112" s="55" t="n">
        <v>49</v>
      </c>
      <c r="H1112" s="57" t="n">
        <v>0</v>
      </c>
      <c r="I1112" s="55" t="n">
        <v>36</v>
      </c>
      <c r="J1112" s="56" t="n">
        <v>4.3</v>
      </c>
      <c r="K1112" s="56" t="inlineStr">
        <is>
          <t>https://amazon.com/dp/B08DLGD6FD</t>
        </is>
      </c>
      <c r="L1112" s="70">
        <f>HYPERLINK(Table1410[[#This Row],[Column1]])</f>
        <v/>
      </c>
    </row>
    <row r="1113" ht="45" customHeight="1" s="290">
      <c r="A1113" s="30" t="inlineStr">
        <is>
          <t>Autel TS508WFK-1 TPMS Tool Kit — Includes TS508WF Tool, 8 Programmable 1-Sensors, Model# 700020</t>
        </is>
      </c>
      <c r="B1113" s="30" t="inlineStr">
        <is>
          <t>B07RZHCBH5</t>
        </is>
      </c>
      <c r="C1113" s="30" t="inlineStr">
        <is>
          <t>Handheld</t>
        </is>
      </c>
      <c r="D1113" s="324" t="n">
        <v>419.95</v>
      </c>
      <c r="E1113" s="324" t="n">
        <v>16714.56</v>
      </c>
      <c r="F1113" s="324" t="n">
        <v>0</v>
      </c>
      <c r="G1113" s="55" t="n">
        <v>46</v>
      </c>
      <c r="H1113" s="57" t="n">
        <v>0</v>
      </c>
      <c r="I1113" s="55" t="n">
        <v>3</v>
      </c>
      <c r="J1113" s="56" t="n">
        <v>4.6</v>
      </c>
      <c r="K1113" s="56" t="inlineStr">
        <is>
          <t>https://amazon.com/dp/B07RZHCBH5</t>
        </is>
      </c>
      <c r="L1113" s="70">
        <f>HYPERLINK(Table1410[[#This Row],[Column1]])</f>
        <v/>
      </c>
    </row>
    <row r="1114" ht="60" customHeight="1" s="290">
      <c r="A1114" s="30" t="inlineStr">
        <is>
          <t>Autel MS908-1YRUPDATE Scan Tool</t>
        </is>
      </c>
      <c r="B1114" s="30" t="inlineStr">
        <is>
          <t>B00S8R7ZZ0</t>
        </is>
      </c>
      <c r="C1114" s="30" t="inlineStr">
        <is>
          <t>Other</t>
        </is>
      </c>
      <c r="D1114" s="324" t="n">
        <v>650</v>
      </c>
      <c r="E1114" s="324" t="n">
        <v>16418.37</v>
      </c>
      <c r="F1114" s="324" t="n">
        <v>0</v>
      </c>
      <c r="G1114" s="55" t="n">
        <v>32</v>
      </c>
      <c r="H1114" s="57" t="n">
        <v>0</v>
      </c>
      <c r="I1114" s="55" t="n">
        <v>25</v>
      </c>
      <c r="J1114" s="56" t="n">
        <v>4.7</v>
      </c>
      <c r="K1114" s="56" t="inlineStr">
        <is>
          <t>https://amazon.com/dp/B00S8R7ZZ0</t>
        </is>
      </c>
      <c r="L1114" s="70">
        <f>HYPERLINK(Table1410[[#This Row],[Column1]])</f>
        <v/>
      </c>
    </row>
    <row r="1115" ht="45" customHeight="1" s="290">
      <c r="A1115" s="30" t="inlineStr">
        <is>
          <t>Autel Scan Tool MS906 PRO-TS, Better MaxiSYS MS906TS MS906Pro MS906BT MK906Pro MP900TS, All System Diagnostic, Full TPMS, ECU Coding, CAN FD&amp;DoIP, 3000+ Active Test, 36+ Service, Auto Scan, WiFi Print</t>
        </is>
      </c>
      <c r="B1115" s="30" t="inlineStr">
        <is>
          <t>B0BHNTBHLV</t>
        </is>
      </c>
      <c r="C1115" s="30" t="inlineStr">
        <is>
          <t>Tablet</t>
        </is>
      </c>
      <c r="D1115" s="324" t="n">
        <v>1569</v>
      </c>
      <c r="E1115" s="324" t="n">
        <v>29133.22</v>
      </c>
      <c r="F1115" s="324" t="n">
        <v>0</v>
      </c>
      <c r="G1115" s="55" t="n">
        <v>19</v>
      </c>
      <c r="H1115" s="57" t="n">
        <v>0</v>
      </c>
      <c r="I1115" s="55" t="n">
        <v>8</v>
      </c>
      <c r="J1115" s="56" t="n">
        <v>4.6</v>
      </c>
      <c r="K1115" s="56" t="inlineStr">
        <is>
          <t>https://amazon.com/dp/B0BHNTBHLV</t>
        </is>
      </c>
      <c r="L1115" s="70">
        <f>HYPERLINK(Table1410[[#This Row],[Column1]])</f>
        <v/>
      </c>
    </row>
    <row r="1116" ht="45" customHeight="1" s="290">
      <c r="A1116" s="30" t="inlineStr">
        <is>
          <t>Autel TPMS Programming Tool TS508WF KIT, with $180 4PCS 315+433Mhz MX Sensors &amp; 4PCS Metal Valves, Upgrade of MaxiTPMS TS601/ TS508 Tire Sensor Programmer, TPMS Diagnostic/Activate/Relearn Tool</t>
        </is>
      </c>
      <c r="B1116" s="30" t="inlineStr">
        <is>
          <t>B0DB1TGM5F</t>
        </is>
      </c>
      <c r="C1116" s="30" t="inlineStr">
        <is>
          <t>Handheld</t>
        </is>
      </c>
      <c r="D1116" s="324" t="n">
        <v>318</v>
      </c>
      <c r="E1116" s="324" t="n">
        <v>13163.68</v>
      </c>
      <c r="F1116" s="324" t="n">
        <v>0</v>
      </c>
      <c r="G1116" s="55" t="n">
        <v>41</v>
      </c>
      <c r="H1116" s="57" t="n">
        <v>0</v>
      </c>
      <c r="I1116" s="55" t="n">
        <v>7</v>
      </c>
      <c r="J1116" s="56" t="n">
        <v>5</v>
      </c>
      <c r="K1116" s="56" t="inlineStr">
        <is>
          <t>https://amazon.com/dp/B0DB1TGM5F</t>
        </is>
      </c>
      <c r="L1116" s="70">
        <f>HYPERLINK(Table1410[[#This Row],[Column1]])</f>
        <v/>
      </c>
    </row>
    <row r="1117" ht="45" customHeight="1" s="290">
      <c r="A1117" s="30" t="inlineStr">
        <is>
          <t>Autel AL529HD Heavy Duty Vehicle Code Reader</t>
        </is>
      </c>
      <c r="B1117" s="30" t="inlineStr">
        <is>
          <t>B073FJ9SY5</t>
        </is>
      </c>
      <c r="C1117" s="30" t="inlineStr">
        <is>
          <t>Handheld</t>
        </is>
      </c>
      <c r="D1117" s="324" t="n">
        <v>110.81</v>
      </c>
      <c r="E1117" s="324" t="n">
        <v>1603.88</v>
      </c>
      <c r="F1117" s="324" t="n">
        <v>0</v>
      </c>
      <c r="G1117" s="55" t="n">
        <v>17</v>
      </c>
      <c r="H1117" s="57" t="n">
        <v>0</v>
      </c>
      <c r="I1117" s="55" t="n">
        <v>42</v>
      </c>
      <c r="J1117" s="56" t="n">
        <v>4</v>
      </c>
      <c r="K1117" s="56" t="inlineStr">
        <is>
          <t>https://amazon.com/dp/B073FJ9SY5</t>
        </is>
      </c>
      <c r="L1117" s="70">
        <f>HYPERLINK(Table1410[[#This Row],[Column1]])</f>
        <v/>
      </c>
    </row>
    <row r="1118" ht="45" customHeight="1" s="290">
      <c r="A1118" s="30" t="inlineStr">
        <is>
          <t>Autel MS906-1YRUpdate MS906 One Year Total Care Program Card</t>
        </is>
      </c>
      <c r="B1118" s="30" t="inlineStr">
        <is>
          <t>B0756XN3C5</t>
        </is>
      </c>
      <c r="C1118" s="30" t="inlineStr">
        <is>
          <t>Other</t>
        </is>
      </c>
      <c r="D1118" s="324" t="n">
        <v>290.81</v>
      </c>
      <c r="E1118" s="324" t="n">
        <v>17150.44</v>
      </c>
      <c r="F1118" s="324" t="n">
        <v>0</v>
      </c>
      <c r="G1118" s="55" t="n">
        <v>63</v>
      </c>
      <c r="H1118" s="57" t="n">
        <v>0</v>
      </c>
      <c r="I1118" s="55" t="n">
        <v>8</v>
      </c>
      <c r="J1118" s="56" t="n">
        <v>3.9</v>
      </c>
      <c r="K1118" s="56" t="inlineStr">
        <is>
          <t>https://amazon.com/dp/B0756XN3C5</t>
        </is>
      </c>
      <c r="L1118" s="70">
        <f>HYPERLINK(Table1410[[#This Row],[Column1]])</f>
        <v/>
      </c>
    </row>
    <row r="1119" ht="45" customHeight="1" s="290">
      <c r="A1119" s="30" t="inlineStr">
        <is>
          <t>Autel MaxiSYS Ultra Scanner, 2026 MSUltra Top Intelligent Scan Tool, Topology, 5IN1 VCMI, ECU Function, 3K+ Bidirectional Diagnostic, 40+ Reset Up of Ultra Lite MS919 MS909 Elite 2 Pro, Motor TruSpeed</t>
        </is>
      </c>
      <c r="B1119" s="30" t="inlineStr">
        <is>
          <t>B0971ZJ32Q</t>
        </is>
      </c>
      <c r="C1119" s="30" t="inlineStr">
        <is>
          <t>Tablet</t>
        </is>
      </c>
      <c r="D1119" s="324" t="n">
        <v>3999</v>
      </c>
      <c r="E1119" s="324" t="n">
        <v>116167.2</v>
      </c>
      <c r="F1119" s="324" t="n">
        <v>0</v>
      </c>
      <c r="G1119" s="55" t="n">
        <v>28</v>
      </c>
      <c r="H1119" s="57" t="n">
        <v>0</v>
      </c>
      <c r="I1119" s="55" t="n">
        <v>30</v>
      </c>
      <c r="J1119" s="56" t="n">
        <v>4.7</v>
      </c>
      <c r="K1119" s="56" t="inlineStr">
        <is>
          <t>https://amazon.com/dp/B0971ZJ32Q</t>
        </is>
      </c>
      <c r="L1119" s="70">
        <f>HYPERLINK(Table1410[[#This Row],[Column1]])</f>
        <v/>
      </c>
    </row>
    <row r="1120" ht="45" customHeight="1" s="290">
      <c r="A1120" s="30" t="inlineStr">
        <is>
          <t>Autel Memory Saver for Car Battery, MaxiBAS BTMS OBDII Battery Tester, Preserves Vehicle Codes, Electronic Presets, Provides Power, Maintain Data Surge Protection, Attaches to 12 Volt Backup Battery</t>
        </is>
      </c>
      <c r="B1120" s="30" t="inlineStr">
        <is>
          <t>B0BWDLM32C</t>
        </is>
      </c>
      <c r="C1120" s="30" t="inlineStr">
        <is>
          <t>Other</t>
        </is>
      </c>
      <c r="D1120" s="324" t="n">
        <v>45.99</v>
      </c>
      <c r="E1120" s="324" t="n">
        <v>3363.42</v>
      </c>
      <c r="F1120" s="324" t="n">
        <v>0</v>
      </c>
      <c r="G1120" s="55" t="n">
        <v>75</v>
      </c>
      <c r="H1120" s="57" t="n">
        <v>0</v>
      </c>
      <c r="I1120" s="55" t="n">
        <v>32</v>
      </c>
      <c r="J1120" s="56" t="n">
        <v>4.6</v>
      </c>
      <c r="K1120" s="56" t="inlineStr">
        <is>
          <t>https://amazon.com/dp/B0BWDLM32C</t>
        </is>
      </c>
      <c r="L1120" s="70">
        <f>HYPERLINK(Table1410[[#This Row],[Column1]])</f>
        <v/>
      </c>
    </row>
    <row r="1121" ht="45" customHeight="1" s="290">
      <c r="A1121" s="30" t="inlineStr">
        <is>
          <t>Autel Scanner MaxiPro MP808Z-TS with 2 Year Updates: Upgrade Version of MK900BT &amp; MP808BT Bidirectional Scan Tool, ECU Coding Same As MP900BT &amp; MP900-TS, Full System Diagnostic Tool with 31+ Services</t>
        </is>
      </c>
      <c r="B1121" s="30" t="inlineStr">
        <is>
          <t>B0BLNM89HH</t>
        </is>
      </c>
      <c r="C1121" s="30" t="inlineStr">
        <is>
          <t>Tablet</t>
        </is>
      </c>
      <c r="D1121" s="324" t="n">
        <v>899</v>
      </c>
      <c r="E1121" s="324" t="n">
        <v>18299.74</v>
      </c>
      <c r="F1121" s="324" t="n">
        <v>0</v>
      </c>
      <c r="G1121" s="55" t="n">
        <v>21</v>
      </c>
      <c r="H1121" s="57" t="n">
        <v>0</v>
      </c>
      <c r="I1121" s="55" t="n">
        <v>34</v>
      </c>
      <c r="J1121" s="56" t="n">
        <v>4.4</v>
      </c>
      <c r="K1121" s="56" t="inlineStr">
        <is>
          <t>https://amazon.com/dp/B0BLNM89HH</t>
        </is>
      </c>
      <c r="L1121" s="70">
        <f>HYPERLINK(Table1410[[#This Row],[Column1]])</f>
        <v/>
      </c>
    </row>
    <row r="1122" ht="60" customHeight="1" s="290">
      <c r="A1122" s="30" t="inlineStr">
        <is>
          <t>Autel MaxiTPMS TS608 1-Year Update Service, Total Care Program (TCP) Card, One Year Software Subscription &amp; Warranty for Complete TPMS &amp; All System Service Tablet Tool</t>
        </is>
      </c>
      <c r="B1122" s="30" t="inlineStr">
        <is>
          <t>B0CZ36BSQZ</t>
        </is>
      </c>
      <c r="C1122" s="30" t="inlineStr">
        <is>
          <t>Other</t>
        </is>
      </c>
      <c r="D1122" s="324" t="n">
        <v>219</v>
      </c>
      <c r="E1122" s="324" t="n">
        <v>1865.79</v>
      </c>
      <c r="F1122" s="324" t="n">
        <v>0</v>
      </c>
      <c r="G1122" s="55" t="n">
        <v>9</v>
      </c>
      <c r="H1122" s="57" t="n">
        <v>0</v>
      </c>
      <c r="I1122" s="55" t="n"/>
      <c r="J1122" s="56" t="n"/>
      <c r="K1122" s="56" t="inlineStr">
        <is>
          <t>https://amazon.com/dp/B0CZ36BSQZ</t>
        </is>
      </c>
      <c r="L1122" s="70">
        <f>HYPERLINK(Table1410[[#This Row],[Column1]])</f>
        <v/>
      </c>
    </row>
    <row r="1123" ht="45" customHeight="1" s="290">
      <c r="A1123" s="30" t="inlineStr">
        <is>
          <t>Autel Scanner MaxiPro MP900-TS, TPMS Version of MP900 &amp; MP900BT Bidirectional Scan Tool, ECU Coding Tool Same As MaxiSYS MS906BT MS906 Pro,40+ Services, All System OBD2 Scanner, CAN FD/DoIP</t>
        </is>
      </c>
      <c r="B1123" s="30" t="inlineStr">
        <is>
          <t>B0CCJN81JY</t>
        </is>
      </c>
      <c r="C1123" s="30" t="inlineStr">
        <is>
          <t>Tablet</t>
        </is>
      </c>
      <c r="D1123" s="324" t="n">
        <v>1099</v>
      </c>
      <c r="E1123" s="324" t="n">
        <v>10826.95</v>
      </c>
      <c r="F1123" s="324" t="n">
        <v>0</v>
      </c>
      <c r="G1123" s="55" t="n">
        <v>11</v>
      </c>
      <c r="H1123" s="57" t="n">
        <v>0</v>
      </c>
      <c r="I1123" s="55" t="n">
        <v>34</v>
      </c>
      <c r="J1123" s="56" t="n">
        <v>4.4</v>
      </c>
      <c r="K1123" s="56" t="inlineStr">
        <is>
          <t>https://amazon.com/dp/B0CCJN81JY</t>
        </is>
      </c>
      <c r="L1123" s="70">
        <f>HYPERLINK(Table1410[[#This Row],[Column1]])</f>
        <v/>
      </c>
    </row>
    <row r="1124" ht="60" customHeight="1" s="290">
      <c r="A1124" s="30" t="inlineStr">
        <is>
          <t>Autel MaxiCOM MK906Pro OBD2 Scanner Up of MS906BT MP900BT MS908S Bidirectional Control 36+ Services OE-Level Full System Diagnosis 8" in CAN FD DoIP FCA Autoauth Support</t>
        </is>
      </c>
      <c r="B1124" s="30" t="inlineStr">
        <is>
          <t>B0GFJ65MTR</t>
        </is>
      </c>
      <c r="C1124" s="30" t="inlineStr">
        <is>
          <t>Tablet</t>
        </is>
      </c>
      <c r="D1124" s="324" t="n">
        <v>1369</v>
      </c>
      <c r="E1124" s="324" t="n">
        <v>0</v>
      </c>
      <c r="F1124" s="324" t="n">
        <v>0</v>
      </c>
      <c r="G1124" s="55" t="n">
        <v>0</v>
      </c>
      <c r="H1124" s="57" t="n">
        <v>0</v>
      </c>
      <c r="I1124" s="55" t="n"/>
      <c r="J1124" s="56" t="n"/>
      <c r="K1124" s="56" t="inlineStr">
        <is>
          <t>https://amazon.com/dp/B0GFJ65MTR</t>
        </is>
      </c>
      <c r="L1124" s="70">
        <f>HYPERLINK(Table1410[[#This Row],[Column1]])</f>
        <v/>
      </c>
    </row>
    <row r="1125" ht="45" customHeight="1" s="290">
      <c r="A1125" s="30" t="inlineStr">
        <is>
          <t>Autel MaxiCheck MX900 Scanner Function as MK900 MK900BT Better Than MX808 MX808S MK808 MK808S MK808BT MS906 for 10000+ Vehicles 40+ Services as MP900 All System Diagnostic Scan Tool</t>
        </is>
      </c>
      <c r="B1125" s="30" t="inlineStr">
        <is>
          <t>B0C65JVRQM</t>
        </is>
      </c>
      <c r="C1125" s="30" t="inlineStr">
        <is>
          <t>Tablet</t>
        </is>
      </c>
      <c r="D1125" s="324" t="n">
        <v>559</v>
      </c>
      <c r="E1125" s="324" t="n">
        <v>19710.85</v>
      </c>
      <c r="F1125" s="324" t="n">
        <v>0</v>
      </c>
      <c r="G1125" s="55" t="n">
        <v>39</v>
      </c>
      <c r="H1125" s="57" t="n">
        <v>0</v>
      </c>
      <c r="I1125" s="55" t="n">
        <v>14</v>
      </c>
      <c r="J1125" s="56" t="n">
        <v>5</v>
      </c>
      <c r="K1125" s="56" t="inlineStr">
        <is>
          <t>https://amazon.com/dp/B0C65JVRQM</t>
        </is>
      </c>
      <c r="L1125" s="70">
        <f>HYPERLINK(Table1410[[#This Row],[Column1]])</f>
        <v/>
      </c>
    </row>
    <row r="1126" ht="45" customHeight="1" s="290">
      <c r="A1126" s="30" t="inlineStr">
        <is>
          <t>Autel Scanner MaxiCheck MX900, 2026 Bidirectional Scan Tool Same as MK900 MK900BT, All System Diagnostic, Updated of MK808S MK808BT Pro MX808S, 3000+ Active Test, 40+ Service, CAN-FD&amp;DoIP, FCA SGW</t>
        </is>
      </c>
      <c r="B1126" s="30" t="inlineStr">
        <is>
          <t>B0C65N1BG4</t>
        </is>
      </c>
      <c r="C1126" s="30" t="inlineStr">
        <is>
          <t>Tablet</t>
        </is>
      </c>
      <c r="D1126" s="324" t="n">
        <v>559</v>
      </c>
      <c r="E1126" s="324" t="n">
        <v>24423.14</v>
      </c>
      <c r="F1126" s="324" t="n">
        <v>0</v>
      </c>
      <c r="G1126" s="55" t="n">
        <v>48</v>
      </c>
      <c r="H1126" s="57" t="n">
        <v>0</v>
      </c>
      <c r="I1126" s="55" t="n">
        <v>27</v>
      </c>
      <c r="J1126" s="56" t="n">
        <v>4.7</v>
      </c>
      <c r="K1126" s="56" t="inlineStr">
        <is>
          <t>https://amazon.com/dp/B0C65N1BG4</t>
        </is>
      </c>
      <c r="L1126" s="70">
        <f>HYPERLINK(Table1410[[#This Row],[Column1]])</f>
        <v/>
      </c>
    </row>
    <row r="1127" ht="45" customHeight="1" s="290">
      <c r="A1127" s="30" t="inlineStr">
        <is>
          <t>Autel MaxiBAS BT608 12v Car Bettery Tester Automotive Electrical System Tester Adaptive Conductance All System Diagnostic AutoScan VIN scan Read/Clear Code Upgraded BT508 BT506</t>
        </is>
      </c>
      <c r="B1127" s="30" t="inlineStr">
        <is>
          <t>B08T84XL2N</t>
        </is>
      </c>
      <c r="C1127" s="30" t="inlineStr">
        <is>
          <t>Handheld</t>
        </is>
      </c>
      <c r="D1127" s="324" t="n">
        <v>449</v>
      </c>
      <c r="E1127" s="324" t="n">
        <v>3474.97</v>
      </c>
      <c r="F1127" s="324" t="n">
        <v>0</v>
      </c>
      <c r="G1127" s="55" t="n">
        <v>8</v>
      </c>
      <c r="H1127" s="57" t="n">
        <v>0</v>
      </c>
      <c r="I1127" s="55" t="n">
        <v>11</v>
      </c>
      <c r="J1127" s="56" t="n">
        <v>5</v>
      </c>
      <c r="K1127" s="56" t="inlineStr">
        <is>
          <t>https://amazon.com/dp/B08T84XL2N</t>
        </is>
      </c>
      <c r="L1127" s="70">
        <f>HYPERLINK(Table1410[[#This Row],[Column1]])</f>
        <v/>
      </c>
    </row>
    <row r="1128" ht="45" customHeight="1" s="290">
      <c r="A1128" s="30" t="inlineStr">
        <is>
          <t>Autel MaxiCOM MK808Z-BT Diagnostic Scanner - Bidirectional Scan Tool Work as MK900BT, Up of MK808S MX808S MK808Z, 28+ Services, Works w/ BT506/MV108S, Android 11, 150+ Brands, FCA</t>
        </is>
      </c>
      <c r="B1128" s="30" t="inlineStr">
        <is>
          <t>B0FJXY9426</t>
        </is>
      </c>
      <c r="C1128" s="30" t="inlineStr">
        <is>
          <t>Tablet</t>
        </is>
      </c>
      <c r="D1128" s="324" t="n">
        <v>519</v>
      </c>
      <c r="E1128" s="324" t="n">
        <v>4293.14</v>
      </c>
      <c r="F1128" s="324" t="n">
        <v>0</v>
      </c>
      <c r="G1128" s="55" t="n">
        <v>9</v>
      </c>
      <c r="H1128" s="57" t="n">
        <v>0</v>
      </c>
      <c r="I1128" s="55" t="n">
        <v>1</v>
      </c>
      <c r="J1128" s="56" t="n">
        <v>5</v>
      </c>
      <c r="K1128" s="56" t="inlineStr">
        <is>
          <t>https://amazon.com/dp/B0FJXY9426</t>
        </is>
      </c>
      <c r="L1128" s="70">
        <f>HYPERLINK(Table1410[[#This Row],[Column1]])</f>
        <v/>
      </c>
    </row>
    <row r="1129" ht="45" customHeight="1" s="290">
      <c r="A1129" s="30" t="inlineStr">
        <is>
          <t>Autel MaxiSys MS906MAX Scan Tool, Upgraded MS906 PRO/ MK906 PRO/ MS906BT/ MK906BT/ MK908/ MP900BT Scanner, ECU Coding, 40+ Services, 3000+ Active Tests, All System Diagnostic Tool, VAG Guided, FCA SGW</t>
        </is>
      </c>
      <c r="B1129" s="30" t="inlineStr">
        <is>
          <t>B0DLN9QCNX</t>
        </is>
      </c>
      <c r="C1129" s="30" t="inlineStr">
        <is>
          <t>Tablet</t>
        </is>
      </c>
      <c r="D1129" s="324" t="n">
        <v>1569</v>
      </c>
      <c r="E1129" s="324" t="n">
        <v>71590.2</v>
      </c>
      <c r="F1129" s="324" t="n">
        <v>0</v>
      </c>
      <c r="G1129" s="55" t="n">
        <v>47</v>
      </c>
      <c r="H1129" s="57" t="n">
        <v>0</v>
      </c>
      <c r="I1129" s="55" t="n">
        <v>6</v>
      </c>
      <c r="J1129" s="56" t="n">
        <v>5</v>
      </c>
      <c r="K1129" s="56" t="inlineStr">
        <is>
          <t>https://amazon.com/dp/B0DLN9QCNX</t>
        </is>
      </c>
      <c r="L1129" s="70">
        <f>HYPERLINK(Table1410[[#This Row],[Column1]])</f>
        <v/>
      </c>
    </row>
    <row r="1130" ht="30" customHeight="1" s="290">
      <c r="A1130" s="30" t="inlineStr">
        <is>
          <t>Autel MaxiSys Elite 2 PRO Scanner: 2026 Elite II Pro Top Car Diagnostic Scan Tool as MSUltra, 2-Year Free Update [$2590], Newer of MS919 MS909 MK908P, Motor TruSpeed, 40+ Service, 3K+ Test, CANFD DoIP</t>
        </is>
      </c>
      <c r="B1130" s="30" t="inlineStr">
        <is>
          <t>B0BZS4PQ3P</t>
        </is>
      </c>
      <c r="C1130" s="30" t="inlineStr">
        <is>
          <t>Tablet</t>
        </is>
      </c>
      <c r="D1130" s="324" t="n">
        <v>2369</v>
      </c>
      <c r="E1130" s="324" t="n">
        <v>0</v>
      </c>
      <c r="F1130" s="324" t="n">
        <v>0</v>
      </c>
      <c r="G1130" s="55" t="n">
        <v>0</v>
      </c>
      <c r="H1130" s="57" t="n">
        <v>0</v>
      </c>
      <c r="I1130" s="55" t="n">
        <v>4</v>
      </c>
      <c r="J1130" s="56" t="n">
        <v>5</v>
      </c>
      <c r="K1130" s="56" t="inlineStr">
        <is>
          <t>https://amazon.com/dp/B0BZS4PQ3P</t>
        </is>
      </c>
      <c r="L1130" s="70">
        <f>HYPERLINK(Table1410[[#This Row],[Column1]])</f>
        <v/>
      </c>
    </row>
    <row r="1131" ht="60" customHeight="1" s="290">
      <c r="A1131" s="30" t="inlineStr">
        <is>
          <t>Autel MaxiSys Ultra EV Scanner, 2026 Top EV Intelligent Scan Diagnostic Tool, with 5-in-1 VCMI &amp; EVDiag KIT, High-Voltage System &amp; Battery Pack Analysis, Up of Ultra/ MS919/ MS909 EV, E-C*U Program</t>
        </is>
      </c>
      <c r="B1131" s="30" t="inlineStr">
        <is>
          <t>B0BM3D2K2J</t>
        </is>
      </c>
      <c r="C1131" s="30" t="inlineStr">
        <is>
          <t>Tablet</t>
        </is>
      </c>
      <c r="D1131" s="324" t="n">
        <v>4995</v>
      </c>
      <c r="E1131" s="324" t="n">
        <v>122981.44</v>
      </c>
      <c r="F1131" s="324" t="n">
        <v>0</v>
      </c>
      <c r="G1131" s="55" t="n">
        <v>25</v>
      </c>
      <c r="H1131" s="57" t="n">
        <v>0</v>
      </c>
      <c r="I1131" s="55" t="n">
        <v>9</v>
      </c>
      <c r="J1131" s="56" t="n">
        <v>3.4</v>
      </c>
      <c r="K1131" s="56" t="inlineStr">
        <is>
          <t>https://amazon.com/dp/B0BM3D2K2J</t>
        </is>
      </c>
      <c r="L1131" s="70">
        <f>HYPERLINK(Table1410[[#This Row],[Column1]])</f>
        <v/>
      </c>
    </row>
    <row r="1132" ht="45" customHeight="1" s="290">
      <c r="A1132" s="30" t="inlineStr">
        <is>
          <t>Autel Scanner MaxiTPMS TS900 TPMS Programming Tool, 2025 Level-Up of MK808S-TS MK900 MX900 MK808S Same as MX900TS MK900TS, Full TPMS Function, 3000+ Active Test, 40+ Service, All System Diagnostic</t>
        </is>
      </c>
      <c r="B1132" s="30" t="inlineStr">
        <is>
          <t>B07H172WBS</t>
        </is>
      </c>
      <c r="C1132" s="30" t="inlineStr">
        <is>
          <t>Tablet</t>
        </is>
      </c>
      <c r="D1132" s="324" t="n">
        <v>799</v>
      </c>
      <c r="E1132" s="324" t="n">
        <v>5820.75</v>
      </c>
      <c r="F1132" s="324" t="n">
        <v>0</v>
      </c>
      <c r="G1132" s="55" t="n">
        <v>7</v>
      </c>
      <c r="H1132" s="57" t="n">
        <v>0</v>
      </c>
      <c r="I1132" s="55" t="n">
        <v>18</v>
      </c>
      <c r="J1132" s="56" t="n">
        <v>3.7</v>
      </c>
      <c r="K1132" s="56" t="inlineStr">
        <is>
          <t>https://amazon.com/dp/B07H172WBS</t>
        </is>
      </c>
      <c r="L1132" s="70">
        <f>HYPERLINK(Table1410[[#This Row],[Column1]])</f>
        <v/>
      </c>
    </row>
    <row r="1133" ht="60" customHeight="1" s="290">
      <c r="A1133" s="30" t="inlineStr">
        <is>
          <t>Autel MaxiSys MS919 J2534 Prog,ram, D-PDU RP1210, ECU C0.ding, 40+ Hot Services, Topology, AutoScan 2.0, Intelligent All System Autel Scanner, 99% Coverage, CANFD DOIP, Same as MS Ultra</t>
        </is>
      </c>
      <c r="B1133" s="30" t="inlineStr">
        <is>
          <t>B0FFZ94MYM</t>
        </is>
      </c>
      <c r="C1133" s="30" t="inlineStr">
        <is>
          <t>Tablet</t>
        </is>
      </c>
      <c r="D1133" s="324" t="n">
        <v>3799</v>
      </c>
      <c r="E1133" s="324" t="n">
        <v>16140.73</v>
      </c>
      <c r="F1133" s="324" t="n">
        <v>0</v>
      </c>
      <c r="G1133" s="55" t="n">
        <v>4</v>
      </c>
      <c r="H1133" s="57" t="n">
        <v>0</v>
      </c>
      <c r="I1133" s="55" t="n">
        <v>3</v>
      </c>
      <c r="J1133" s="56" t="n">
        <v>4.3</v>
      </c>
      <c r="K1133" s="56" t="inlineStr">
        <is>
          <t>https://amazon.com/dp/B0FFZ94MYM</t>
        </is>
      </c>
      <c r="L1133" s="70">
        <f>HYPERLINK(Table1410[[#This Row],[Column1]])</f>
        <v/>
      </c>
    </row>
    <row r="1134" ht="60" customHeight="1" s="290">
      <c r="A1134" s="30" t="inlineStr">
        <is>
          <t>Autel XLink J2534 Pass-Thru Programmer, Expert-Driven Remote Car Diagnostic Tool, Enhanced VCI, Supports DoIP/CAN/CAN FD/D-PDU/J2534/RP1210, Work with PC/Autel MS909 MS919 Ultra/Smart Phone</t>
        </is>
      </c>
      <c r="B1134" s="30" t="inlineStr">
        <is>
          <t>B0F2MJJPHS</t>
        </is>
      </c>
      <c r="C1134" s="30" t="inlineStr">
        <is>
          <t>VCI</t>
        </is>
      </c>
      <c r="D1134" s="324" t="n">
        <v>1295</v>
      </c>
      <c r="E1134" s="324" t="n">
        <v>27537.07</v>
      </c>
      <c r="F1134" s="324" t="n">
        <v>0</v>
      </c>
      <c r="G1134" s="55" t="n">
        <v>22</v>
      </c>
      <c r="H1134" s="57" t="n">
        <v>0</v>
      </c>
      <c r="I1134" s="55" t="n">
        <v>1</v>
      </c>
      <c r="J1134" s="56" t="n">
        <v>5</v>
      </c>
      <c r="K1134" s="56" t="inlineStr">
        <is>
          <t>https://amazon.com/dp/B0F2MJJPHS</t>
        </is>
      </c>
      <c r="L1134" s="70">
        <f>HYPERLINK(Table1410[[#This Row],[Column1]])</f>
        <v/>
      </c>
    </row>
    <row r="1135" ht="60" customHeight="1" s="290">
      <c r="A1135" s="30" t="inlineStr">
        <is>
          <t>Autel MS906BT1YRUPDATE 1 Year Software Subscription &amp; Warranty</t>
        </is>
      </c>
      <c r="B1135" s="30" t="inlineStr">
        <is>
          <t>B07CZRRRWV</t>
        </is>
      </c>
      <c r="C1135" s="30" t="inlineStr">
        <is>
          <t>Other</t>
        </is>
      </c>
      <c r="D1135" s="324" t="n">
        <v>533.1799999999999</v>
      </c>
      <c r="E1135" s="324" t="n">
        <v>13673.322</v>
      </c>
      <c r="F1135" s="324" t="n">
        <v>0</v>
      </c>
      <c r="G1135" s="55" t="n">
        <v>27</v>
      </c>
      <c r="H1135" s="57" t="n">
        <v>0</v>
      </c>
      <c r="I1135" s="55" t="n">
        <v>32</v>
      </c>
      <c r="J1135" s="56" t="n">
        <v>4.6</v>
      </c>
      <c r="K1135" s="56" t="inlineStr">
        <is>
          <t>https://amazon.com/dp/B07CZRRRWV</t>
        </is>
      </c>
      <c r="L1135" s="70">
        <f>HYPERLINK(Table1410[[#This Row],[Column1]])</f>
        <v/>
      </c>
    </row>
    <row r="1136" ht="60" customHeight="1" s="290">
      <c r="A1136" s="30" t="inlineStr">
        <is>
          <t>2026 Autel Scanner MaxiDiag MD909 PRO, MD909PRO Full Systems OBDII Car Diagnostic Tool, Wireless CAN FD Up of MaxiCOM MK808S MK808 MX808S, V2.0 of MD906PRO, 11 Services, Lifetime Free Updates, FCA</t>
        </is>
      </c>
      <c r="B1136" s="30" t="inlineStr">
        <is>
          <t>B0GTKPN1VG</t>
        </is>
      </c>
      <c r="C1136" s="30" t="inlineStr">
        <is>
          <t>Tablet</t>
        </is>
      </c>
      <c r="D1136" s="324" t="n">
        <v>329</v>
      </c>
      <c r="E1136" s="324" t="n">
        <v>0</v>
      </c>
      <c r="F1136" s="324" t="n">
        <v>0</v>
      </c>
      <c r="G1136" s="55" t="n">
        <v>0</v>
      </c>
      <c r="H1136" s="57" t="n">
        <v>0</v>
      </c>
      <c r="I1136" s="55" t="n"/>
      <c r="J1136" s="56" t="n"/>
      <c r="K1136" s="56" t="inlineStr">
        <is>
          <t>https://amazon.com/dp/B0GTKPN1VG</t>
        </is>
      </c>
      <c r="L1136" s="70">
        <f>HYPERLINK(Table1410[[#This Row],[Column1]])</f>
        <v/>
      </c>
    </row>
    <row r="1137" ht="60" customHeight="1" s="290">
      <c r="A1137" s="30" t="inlineStr">
        <is>
          <t>Autel MaxiCOM MK808S Bidirectional Scanner: 2026 Same as MaxiCheck MX808S MX900 MK900BT MK808BT Pro, 3000+ Active Test, 28+ Service for 200+ Brands, OBD2 All System Diagnose, FCA Autoauth &amp; SGW, OS 11</t>
        </is>
      </c>
      <c r="B1137" s="30" t="inlineStr">
        <is>
          <t>B0GX1WPD31</t>
        </is>
      </c>
      <c r="C1137" s="30" t="inlineStr">
        <is>
          <t>Tablet</t>
        </is>
      </c>
      <c r="D1137" s="324" t="n">
        <v>479</v>
      </c>
      <c r="E1137" s="324" t="n">
        <v>0</v>
      </c>
      <c r="F1137" s="324" t="n">
        <v>0</v>
      </c>
      <c r="G1137" s="55" t="n">
        <v>0</v>
      </c>
      <c r="H1137" s="57" t="n">
        <v>0</v>
      </c>
      <c r="I1137" s="55" t="n"/>
      <c r="J1137" s="56" t="n"/>
      <c r="K1137" s="56" t="inlineStr">
        <is>
          <t>https://amazon.com/dp/B0GX1WPD31</t>
        </is>
      </c>
      <c r="L1137" s="70">
        <f>HYPERLINK(Table1410[[#This Row],[Column1]])</f>
        <v/>
      </c>
    </row>
    <row r="1138" ht="60" customHeight="1" s="290">
      <c r="A1138" s="30" t="inlineStr">
        <is>
          <t>Autel PS100 Powerscan Automotive Circuit Tester</t>
        </is>
      </c>
      <c r="B1138" s="30" t="inlineStr">
        <is>
          <t>B00G9076ES</t>
        </is>
      </c>
      <c r="C1138" s="30" t="inlineStr">
        <is>
          <t>Probe</t>
        </is>
      </c>
      <c r="D1138" s="324" t="n">
        <v>99.98999999999999</v>
      </c>
      <c r="E1138" s="324" t="n">
        <v>864.05</v>
      </c>
      <c r="F1138" s="324" t="n">
        <v>0</v>
      </c>
      <c r="G1138" s="55" t="n">
        <v>9</v>
      </c>
      <c r="H1138" s="57" t="n">
        <v>0</v>
      </c>
      <c r="I1138" s="55" t="n">
        <v>1</v>
      </c>
      <c r="J1138" s="56" t="n">
        <v>5</v>
      </c>
      <c r="K1138" s="56" t="inlineStr">
        <is>
          <t>https://amazon.com/dp/B00G9076ES</t>
        </is>
      </c>
      <c r="L1138" s="70">
        <f>HYPERLINK(Table1410[[#This Row],[Column1]])</f>
        <v/>
      </c>
    </row>
    <row r="1139" ht="45" customHeight="1" s="290">
      <c r="A1139" s="30" t="inlineStr">
        <is>
          <t>Autel Original Tesla Diagnostic Cables Set for Tesla S &amp; Tesla X, Tesla OBD2 Diagnostic Tools Adapter for Autel MaxiSYS 909/919/908SPro/Elite/Elite II/Ultra Tablets</t>
        </is>
      </c>
      <c r="B1139" s="30" t="inlineStr">
        <is>
          <t>B09XQMLWTY</t>
        </is>
      </c>
      <c r="C1139" s="30" t="inlineStr">
        <is>
          <t>Cable/Adapter</t>
        </is>
      </c>
      <c r="D1139" s="324" t="n">
        <v>54.56</v>
      </c>
      <c r="E1139" s="324" t="n">
        <v>3479.639999999999</v>
      </c>
      <c r="F1139" s="324" t="n">
        <v>0</v>
      </c>
      <c r="G1139" s="55" t="n">
        <v>63</v>
      </c>
      <c r="H1139" s="57" t="n">
        <v>0</v>
      </c>
      <c r="I1139" s="55" t="n">
        <v>20</v>
      </c>
      <c r="J1139" s="56" t="n">
        <v>4</v>
      </c>
      <c r="K1139" s="56" t="inlineStr">
        <is>
          <t>https://amazon.com/dp/B09XQMLWTY</t>
        </is>
      </c>
      <c r="L1139" s="70">
        <f>HYPERLINK(Table1410[[#This Row],[Column1]])</f>
        <v/>
      </c>
    </row>
    <row r="1140" ht="60" customHeight="1" s="290">
      <c r="A1140" s="30" t="inlineStr">
        <is>
          <t>Autel VCI V100 MaxiSYS VCI100 Compact Bluetooth-Compatible Vehicle Communication Interface Wireless Interface Vehicle Diagnostic Connector for MS906BT MS906TS Bluetooth Adapter</t>
        </is>
      </c>
      <c r="B1140" s="30" t="inlineStr">
        <is>
          <t>B0B878SZZP</t>
        </is>
      </c>
      <c r="C1140" s="30" t="inlineStr">
        <is>
          <t>Dongle</t>
        </is>
      </c>
      <c r="D1140" s="324" t="n">
        <v>199</v>
      </c>
      <c r="E1140" s="324" t="n">
        <v>4136.539999999999</v>
      </c>
      <c r="F1140" s="324" t="n">
        <v>0</v>
      </c>
      <c r="G1140" s="55" t="n">
        <v>20</v>
      </c>
      <c r="H1140" s="57" t="n">
        <v>0</v>
      </c>
      <c r="I1140" s="55" t="n">
        <v>8</v>
      </c>
      <c r="J1140" s="56" t="n">
        <v>5</v>
      </c>
      <c r="K1140" s="56" t="inlineStr">
        <is>
          <t>https://amazon.com/dp/B0B878SZZP</t>
        </is>
      </c>
      <c r="L1140" s="70">
        <f>HYPERLINK(Table1410[[#This Row],[Column1]])</f>
        <v/>
      </c>
    </row>
    <row r="1141" ht="30" customHeight="1" s="290">
      <c r="A1141" s="30" t="inlineStr">
        <is>
          <t>Autel MaxiTPMS ITS600Pro TPMS Programming Tool with Full TPMS, Upgraded Version of TS508 TS608 MK808TS ITS600 Complete TPMS Functions, 36+ Services, All System Diagnostics Free Lifetime TPMS Updates</t>
        </is>
      </c>
      <c r="B1141" s="30" t="inlineStr">
        <is>
          <t>B0BTSXJ61Y</t>
        </is>
      </c>
      <c r="C1141" s="30" t="inlineStr">
        <is>
          <t>Handheld</t>
        </is>
      </c>
      <c r="D1141" s="324" t="n">
        <v>663</v>
      </c>
      <c r="E1141" s="324" t="n">
        <v>12613.89</v>
      </c>
      <c r="F1141" s="324" t="n">
        <v>0</v>
      </c>
      <c r="G1141" s="55" t="n">
        <v>20</v>
      </c>
      <c r="H1141" s="57" t="n">
        <v>0</v>
      </c>
      <c r="I1141" s="55" t="n">
        <v>12</v>
      </c>
      <c r="J1141" s="56" t="n">
        <v>4.4</v>
      </c>
      <c r="K1141" s="56" t="inlineStr">
        <is>
          <t>https://amazon.com/dp/B0BTSXJ61Y</t>
        </is>
      </c>
      <c r="L1141" s="70">
        <f>HYPERLINK(Table1410[[#This Row],[Column1]])</f>
        <v/>
      </c>
    </row>
    <row r="1142" ht="45" customHeight="1" s="290">
      <c r="A1142" s="30" t="inlineStr">
        <is>
          <t>Autel OBD2 Scanner Maxilink ML529, 2026 Code Reader Full OBD2 Functions for Turning Off Engine Light O2 Sensor Test AutoVin DTC Lookup Free Online Update</t>
        </is>
      </c>
      <c r="B1142" s="30" t="inlineStr">
        <is>
          <t>B07PR3BNX3</t>
        </is>
      </c>
      <c r="C1142" s="30" t="inlineStr">
        <is>
          <t>Handheld</t>
        </is>
      </c>
      <c r="D1142" s="324" t="n">
        <v>59</v>
      </c>
      <c r="E1142" s="324" t="n">
        <v>1757.15</v>
      </c>
      <c r="F1142" s="324" t="n">
        <v>0</v>
      </c>
      <c r="G1142" s="55" t="n">
        <v>30</v>
      </c>
      <c r="H1142" s="57" t="n">
        <v>0</v>
      </c>
      <c r="I1142" s="55" t="n">
        <v>243</v>
      </c>
      <c r="J1142" s="56" t="n">
        <v>4.6</v>
      </c>
      <c r="K1142" s="56" t="inlineStr">
        <is>
          <t>https://amazon.com/dp/B07PR3BNX3</t>
        </is>
      </c>
      <c r="L1142" s="70">
        <f>HYPERLINK(Table1410[[#This Row],[Column1]])</f>
        <v/>
      </c>
    </row>
    <row r="1143" ht="60" customHeight="1" s="290">
      <c r="A1143" s="30" t="inlineStr">
        <is>
          <t>Autel MaxiSys MS908CV II: 2026 Heavy Duty Truck Scanner Upgrade of MS908CV, Same as MS909CV, Semi Truck Tool with J2534 Tool, C0ding, Active Test, 64 Service, Diesel Diagnostic Tool</t>
        </is>
      </c>
      <c r="B1143" s="30" t="inlineStr">
        <is>
          <t>B00E5YQZR4</t>
        </is>
      </c>
      <c r="C1143" s="30" t="inlineStr">
        <is>
          <t>Tablet</t>
        </is>
      </c>
      <c r="D1143" s="324" t="n">
        <v>2899</v>
      </c>
      <c r="E1143" s="324" t="n">
        <v>12954.62</v>
      </c>
      <c r="F1143" s="324" t="n">
        <v>0</v>
      </c>
      <c r="G1143" s="55" t="n">
        <v>4</v>
      </c>
      <c r="H1143" s="57" t="n">
        <v>0</v>
      </c>
      <c r="I1143" s="55" t="n">
        <v>13</v>
      </c>
      <c r="J1143" s="56" t="n">
        <v>4.2</v>
      </c>
      <c r="K1143" s="56" t="inlineStr">
        <is>
          <t>https://amazon.com/dp/B00E5YQZR4</t>
        </is>
      </c>
      <c r="L1143" s="70">
        <f>HYPERLINK(Table1410[[#This Row],[Column1]])</f>
        <v/>
      </c>
    </row>
    <row r="1144" ht="30" customHeight="1" s="290">
      <c r="A1144" s="30" t="inlineStr">
        <is>
          <t>Autel MS906BT1YRUPDATE, XNR-SS278</t>
        </is>
      </c>
      <c r="B1144" s="30" t="inlineStr">
        <is>
          <t>B0CRCXZ7XJ</t>
        </is>
      </c>
      <c r="C1144" s="30" t="inlineStr">
        <is>
          <t>Other</t>
        </is>
      </c>
      <c r="D1144" s="324" t="n">
        <v>409</v>
      </c>
      <c r="E1144" s="324" t="n">
        <v>10504.19</v>
      </c>
      <c r="F1144" s="324" t="n">
        <v>0</v>
      </c>
      <c r="G1144" s="55" t="n">
        <v>27</v>
      </c>
      <c r="H1144" s="57" t="n">
        <v>0</v>
      </c>
      <c r="I1144" s="55" t="n">
        <v>2</v>
      </c>
      <c r="J1144" s="56" t="n">
        <v>4.5</v>
      </c>
      <c r="K1144" s="56" t="inlineStr">
        <is>
          <t>https://amazon.com/dp/B0CRCXZ7XJ</t>
        </is>
      </c>
      <c r="L1144" s="70">
        <f>HYPERLINK(Table1410[[#This Row],[Column1]])</f>
        <v/>
      </c>
    </row>
    <row r="1145" ht="45" customHeight="1" s="290">
      <c r="A1145" s="30" t="inlineStr">
        <is>
          <t>OBDII Main Test Cable OBD2 Main Diagnostic Cable for Autel MaxiSys MS908</t>
        </is>
      </c>
      <c r="B1145" s="30" t="inlineStr">
        <is>
          <t>B01F8RIFEM</t>
        </is>
      </c>
      <c r="C1145" s="30" t="inlineStr">
        <is>
          <t>Cable/Adapter</t>
        </is>
      </c>
      <c r="D1145" s="324" t="n">
        <v>9.99</v>
      </c>
      <c r="E1145" s="324" t="n">
        <v>37.4</v>
      </c>
      <c r="F1145" s="324" t="n">
        <v>0</v>
      </c>
      <c r="G1145" s="55" t="n">
        <v>4</v>
      </c>
      <c r="H1145" s="57" t="n">
        <v>0</v>
      </c>
      <c r="I1145" s="55" t="n">
        <v>90</v>
      </c>
      <c r="J1145" s="56" t="n">
        <v>4.7</v>
      </c>
      <c r="K1145" s="56" t="inlineStr">
        <is>
          <t>https://amazon.com/dp/B01F8RIFEM</t>
        </is>
      </c>
      <c r="L1145" s="70">
        <f>HYPERLINK(Table1410[[#This Row],[Column1]])</f>
        <v/>
      </c>
    </row>
    <row r="1146" ht="60" customHeight="1" s="290">
      <c r="A1146" s="30" t="inlineStr">
        <is>
          <t>Autel MaxiSys Ultra EV 2025 UltraEV: Updated of MS Ultra Elite II Pro w/EVDiag Kit, High-Voltage System &amp; Battery Analysis, MaxiFlash VCMI, J2534 Programming, Motor TruSpeed Repair, Topology Map 2.0</t>
        </is>
      </c>
      <c r="B1146" s="30" t="inlineStr">
        <is>
          <t>B077MJR54G</t>
        </is>
      </c>
      <c r="C1146" s="30" t="inlineStr">
        <is>
          <t>Tablet</t>
        </is>
      </c>
      <c r="D1146" s="324" t="n">
        <v>4995</v>
      </c>
      <c r="E1146" s="324" t="n">
        <v>6684.02</v>
      </c>
      <c r="F1146" s="324" t="n">
        <v>0</v>
      </c>
      <c r="G1146" s="55" t="n">
        <v>1</v>
      </c>
      <c r="H1146" s="57" t="n">
        <v>0</v>
      </c>
      <c r="I1146" s="55" t="n">
        <v>12</v>
      </c>
      <c r="J1146" s="56" t="n">
        <v>4.4</v>
      </c>
      <c r="K1146" s="56" t="inlineStr">
        <is>
          <t>https://amazon.com/dp/B077MJR54G</t>
        </is>
      </c>
      <c r="L1146" s="70">
        <f>HYPERLINK(Table1410[[#This Row],[Column1]])</f>
        <v/>
      </c>
    </row>
    <row r="1147" ht="60" customHeight="1" s="290">
      <c r="A1147" s="30" t="inlineStr">
        <is>
          <t>Autel MaxiTPMS ITS600 2026 Handy TPMS Tool, Wireless TPMS Tablet with Bluetooth VCI, Free Lifetime Oil Light Reset, Electronic Brake Service, Battery Registration, Steering Angle Reset 4 Service</t>
        </is>
      </c>
      <c r="B1147" s="30" t="inlineStr">
        <is>
          <t>B094863K26</t>
        </is>
      </c>
      <c r="C1147" s="30" t="inlineStr">
        <is>
          <t>Handheld</t>
        </is>
      </c>
      <c r="D1147" s="324" t="n">
        <v>499</v>
      </c>
      <c r="E1147" s="324" t="n">
        <v>3908.07</v>
      </c>
      <c r="F1147" s="324" t="n">
        <v>0</v>
      </c>
      <c r="G1147" s="55" t="n">
        <v>8</v>
      </c>
      <c r="H1147" s="57" t="n">
        <v>0</v>
      </c>
      <c r="I1147" s="55" t="n">
        <v>5</v>
      </c>
      <c r="J1147" s="56" t="n">
        <v>3.6</v>
      </c>
      <c r="K1147" s="56" t="inlineStr">
        <is>
          <t>https://amazon.com/dp/B094863K26</t>
        </is>
      </c>
      <c r="L1147" s="70">
        <f>HYPERLINK(Table1410[[#This Row],[Column1]])</f>
        <v/>
      </c>
    </row>
    <row r="1148" ht="45" customHeight="1" s="290">
      <c r="A1148" s="30" t="inlineStr">
        <is>
          <t>Autel MaxiSYS Ultra EV Intelligent Scanner, 2026 EV Ver.of Ultra S2 MS909S2, Up of Ultra MS909 MS909EV MS919, with EVDiag Kit, High-Voltage System &amp; Battery Pack Analysis, 5-in-1 VCMI, Motor Truspeed</t>
        </is>
      </c>
      <c r="B1148" s="30" t="inlineStr">
        <is>
          <t>B0BGSJYCTY</t>
        </is>
      </c>
      <c r="C1148" s="30" t="inlineStr">
        <is>
          <t>Tablet</t>
        </is>
      </c>
      <c r="D1148" s="324" t="n">
        <v>4995</v>
      </c>
      <c r="E1148" s="324" t="n">
        <v>43952.92000000001</v>
      </c>
      <c r="F1148" s="324" t="n">
        <v>0</v>
      </c>
      <c r="G1148" s="55" t="n">
        <v>11</v>
      </c>
      <c r="H1148" s="57" t="n">
        <v>0</v>
      </c>
      <c r="I1148" s="55" t="n">
        <v>2</v>
      </c>
      <c r="J1148" s="56" t="n">
        <v>5</v>
      </c>
      <c r="K1148" s="56" t="inlineStr">
        <is>
          <t>https://amazon.com/dp/B0BGSJYCTY</t>
        </is>
      </c>
      <c r="L1148" s="70">
        <f>HYPERLINK(Table1410[[#This Row],[Column1]])</f>
        <v/>
      </c>
    </row>
    <row r="1149" ht="60" customHeight="1" s="290">
      <c r="A1149" s="30" t="inlineStr">
        <is>
          <t>Autel MaxiCheck MX900 Same MK900 OBD2 Scan Tool Updated of MK808 MK808S MK808BT Android 11 40+ Service Functions 8 inch All System Diagnostics Scanner</t>
        </is>
      </c>
      <c r="B1149" s="30" t="inlineStr">
        <is>
          <t>B0CY28XF7G</t>
        </is>
      </c>
      <c r="C1149" s="30" t="inlineStr">
        <is>
          <t>Tablet</t>
        </is>
      </c>
      <c r="D1149" s="324" t="n">
        <v>559</v>
      </c>
      <c r="E1149" s="324" t="n">
        <v>5357.84</v>
      </c>
      <c r="F1149" s="324" t="n">
        <v>0</v>
      </c>
      <c r="G1149" s="55" t="n">
        <v>10</v>
      </c>
      <c r="H1149" s="57" t="n">
        <v>0</v>
      </c>
      <c r="I1149" s="55" t="n">
        <v>8</v>
      </c>
      <c r="J1149" s="56" t="n">
        <v>4.5</v>
      </c>
      <c r="K1149" s="56" t="inlineStr">
        <is>
          <t>https://amazon.com/dp/B0CY28XF7G</t>
        </is>
      </c>
      <c r="L1149" s="70">
        <f>HYPERLINK(Table1410[[#This Row],[Column1]])</f>
        <v/>
      </c>
    </row>
    <row r="1150" ht="30" customHeight="1" s="290">
      <c r="A1150" s="30" t="inlineStr">
        <is>
          <t>Autel MaxiSys Ultra 1-Year Update Service, Total Care Program (TCP) Card, One Year Software Subscription &amp; Warranty for OBD2/CAN Bi-Directional Dual Wi-Fi Diagnostic Scanner and VCMI</t>
        </is>
      </c>
      <c r="B1150" s="30" t="inlineStr">
        <is>
          <t>B0CZ3QNHXQ</t>
        </is>
      </c>
      <c r="C1150" s="30" t="inlineStr">
        <is>
          <t>Other</t>
        </is>
      </c>
      <c r="D1150" s="324" t="n">
        <v>1299</v>
      </c>
      <c r="E1150" s="324" t="n">
        <v>21223.1</v>
      </c>
      <c r="F1150" s="324" t="n">
        <v>0</v>
      </c>
      <c r="G1150" s="55" t="n">
        <v>16</v>
      </c>
      <c r="H1150" s="57" t="n">
        <v>0</v>
      </c>
      <c r="I1150" s="55" t="n"/>
      <c r="J1150" s="56" t="n"/>
      <c r="K1150" s="56" t="inlineStr">
        <is>
          <t>https://amazon.com/dp/B0CZ3QNHXQ</t>
        </is>
      </c>
      <c r="L1150" s="70">
        <f>HYPERLINK(Table1410[[#This Row],[Column1]])</f>
        <v/>
      </c>
    </row>
    <row r="1151" ht="45" customHeight="1" s="290">
      <c r="A1151" s="30" t="inlineStr">
        <is>
          <t>Autel MaxiCheck MX900 Include MV108S Function as MK900 MK900BT Upgrade of MX808 MK808S MD808 MS906 OBD2 Scanner All System Diagnostic Scan Tool</t>
        </is>
      </c>
      <c r="B1151" s="30" t="inlineStr">
        <is>
          <t>B09MRZH3SY</t>
        </is>
      </c>
      <c r="C1151" s="30" t="inlineStr">
        <is>
          <t>Tablet</t>
        </is>
      </c>
      <c r="D1151" s="324" t="n">
        <v>589</v>
      </c>
      <c r="E1151" s="324" t="n">
        <v>2627.05</v>
      </c>
      <c r="F1151" s="324" t="n">
        <v>0</v>
      </c>
      <c r="G1151" s="55" t="n">
        <v>4</v>
      </c>
      <c r="H1151" s="57" t="n">
        <v>0</v>
      </c>
      <c r="I1151" s="55" t="n">
        <v>4</v>
      </c>
      <c r="J1151" s="56" t="n">
        <v>5</v>
      </c>
      <c r="K1151" s="56" t="inlineStr">
        <is>
          <t>https://amazon.com/dp/B09MRZH3SY</t>
        </is>
      </c>
      <c r="L1151" s="70">
        <f>HYPERLINK(Table1410[[#This Row],[Column1]])</f>
        <v/>
      </c>
    </row>
    <row r="1152" ht="30" customHeight="1" s="290">
      <c r="A1152" s="30" t="inlineStr">
        <is>
          <t>Autel J2534 MaxiFlash VCI Kit, 2025 Bluetooth Vehicle Communication Interface J2534, ECU Programming, DoIP/CAN FD/ J2534/ D-PDU 4 Channels, Work with MaxiSYS MS909 MS909EV MS909CV MaxiCOM Ultra Lite</t>
        </is>
      </c>
      <c r="B1152" s="30" t="inlineStr">
        <is>
          <t>B0B1TCK59R</t>
        </is>
      </c>
      <c r="C1152" s="30" t="inlineStr">
        <is>
          <t>VCI</t>
        </is>
      </c>
      <c r="D1152" s="324" t="n">
        <v>999</v>
      </c>
      <c r="E1152" s="324" t="n">
        <v>13554.92</v>
      </c>
      <c r="F1152" s="324" t="n">
        <v>0</v>
      </c>
      <c r="G1152" s="55" t="n">
        <v>14</v>
      </c>
      <c r="H1152" s="57" t="n">
        <v>0</v>
      </c>
      <c r="I1152" s="55" t="n">
        <v>10</v>
      </c>
      <c r="J1152" s="56" t="n">
        <v>4.4</v>
      </c>
      <c r="K1152" s="56" t="inlineStr">
        <is>
          <t>https://amazon.com/dp/B0B1TCK59R</t>
        </is>
      </c>
      <c r="L1152" s="70">
        <f>HYPERLINK(Table1410[[#This Row],[Column1]])</f>
        <v/>
      </c>
    </row>
    <row r="1153" ht="45" customHeight="1" s="290">
      <c r="A1153" s="30" t="inlineStr">
        <is>
          <t>Autel MaxiTPMS TBE200 with Screen Wiper Autel Tire Brake Examiner Tire Tread Depth &amp; Brake Disc Wear Examiner Touchscreen Real-time Tire Health Tire ID Scan Reports &amp; Repair Tips On ITS600</t>
        </is>
      </c>
      <c r="B1153" s="30" t="inlineStr">
        <is>
          <t>B0BDRDXPBT</t>
        </is>
      </c>
      <c r="C1153" s="30" t="inlineStr">
        <is>
          <t>Other</t>
        </is>
      </c>
      <c r="D1153" s="324" t="n">
        <v>569.5</v>
      </c>
      <c r="E1153" s="324" t="n">
        <v>3088.88</v>
      </c>
      <c r="F1153" s="324" t="n">
        <v>0</v>
      </c>
      <c r="G1153" s="55" t="n">
        <v>7</v>
      </c>
      <c r="H1153" s="57" t="n">
        <v>0</v>
      </c>
      <c r="I1153" s="55" t="n">
        <v>2</v>
      </c>
      <c r="J1153" s="56" t="n">
        <v>3.9</v>
      </c>
      <c r="K1153" s="56" t="inlineStr">
        <is>
          <t>https://amazon.com/dp/B0BDRDXPBT</t>
        </is>
      </c>
      <c r="L1153" s="70">
        <f>HYPERLINK(Table1410[[#This Row],[Column1]])</f>
        <v/>
      </c>
    </row>
    <row r="1154" ht="60" customHeight="1" s="290">
      <c r="A1154" s="30" t="inlineStr">
        <is>
          <t>Autel MaxiSys MS909 S2 Scanner: 2026 Top AI Intelligen Scan Diagnostic as Ultra S2 MS919S2, Up of Ultra MS919 MS909, 3.0 Topology, Enhanced PID Analysis, Motor Truspeed, 48+ Service, JVCI2 Pr0gramming</t>
        </is>
      </c>
      <c r="B1154" s="30" t="inlineStr">
        <is>
          <t>B0FXMRS5FR</t>
        </is>
      </c>
      <c r="C1154" s="30" t="inlineStr">
        <is>
          <t>Tablet</t>
        </is>
      </c>
      <c r="D1154" s="324" t="n">
        <v>3599</v>
      </c>
      <c r="E1154" s="324" t="n">
        <v>18149.52</v>
      </c>
      <c r="F1154" s="324" t="n">
        <v>0</v>
      </c>
      <c r="G1154" s="55" t="n">
        <v>5</v>
      </c>
      <c r="H1154" s="57" t="n">
        <v>0</v>
      </c>
      <c r="I1154" s="55" t="n">
        <v>1</v>
      </c>
      <c r="J1154" s="56" t="n">
        <v>5</v>
      </c>
      <c r="K1154" s="56" t="inlineStr">
        <is>
          <t>https://amazon.com/dp/B0FXMRS5FR</t>
        </is>
      </c>
      <c r="L1154" s="70">
        <f>HYPERLINK(Table1410[[#This Row],[Column1]])</f>
        <v/>
      </c>
    </row>
    <row r="1155" ht="45" customHeight="1" s="290">
      <c r="A1155" s="30" t="inlineStr">
        <is>
          <t>Autel MaxiSys Ultra EV 1-Year Update Service, Total Care Program (TCP) Card, One Year Software Subscription &amp; Warranty</t>
        </is>
      </c>
      <c r="B1155" s="30" t="inlineStr">
        <is>
          <t>B0FR8VJPF6</t>
        </is>
      </c>
      <c r="C1155" s="30" t="inlineStr">
        <is>
          <t>Tablet</t>
        </is>
      </c>
      <c r="D1155" s="324" t="n">
        <v>1299</v>
      </c>
      <c r="E1155" s="324" t="n">
        <v>0</v>
      </c>
      <c r="F1155" s="324" t="n">
        <v>0</v>
      </c>
      <c r="G1155" s="55" t="n">
        <v>0</v>
      </c>
      <c r="H1155" s="57" t="n">
        <v>0</v>
      </c>
      <c r="I1155" s="55" t="n"/>
      <c r="J1155" s="56" t="n"/>
      <c r="K1155" s="56" t="inlineStr">
        <is>
          <t>https://amazon.com/dp/B0FR8VJPF6</t>
        </is>
      </c>
      <c r="L1155" s="70">
        <f>HYPERLINK(Table1410[[#This Row],[Column1]])</f>
        <v/>
      </c>
    </row>
    <row r="1156" ht="60" customHeight="1" s="290">
      <c r="A1156" s="30" t="inlineStr">
        <is>
          <t>Autel MaxiSys MS909 Scanner: 2026 MS909 Scan Tool Same as MS919 Ultra, Up of MS908S PRO II Elite II, Intelligent Diagnostics, Topology 2.0, 40+ Services, Active Test</t>
        </is>
      </c>
      <c r="B1156" s="30" t="inlineStr">
        <is>
          <t>B07NYQL1WV</t>
        </is>
      </c>
      <c r="C1156" s="30" t="inlineStr">
        <is>
          <t>Tablet</t>
        </is>
      </c>
      <c r="D1156" s="324" t="n">
        <v>2999</v>
      </c>
      <c r="E1156" s="324" t="n">
        <v>24534.84</v>
      </c>
      <c r="F1156" s="324" t="n">
        <v>0</v>
      </c>
      <c r="G1156" s="55" t="n">
        <v>7</v>
      </c>
      <c r="H1156" s="57" t="n">
        <v>0</v>
      </c>
      <c r="I1156" s="55" t="n">
        <v>9</v>
      </c>
      <c r="J1156" s="56" t="n">
        <v>4.6</v>
      </c>
      <c r="K1156" s="56" t="inlineStr">
        <is>
          <t>https://amazon.com/dp/B07NYQL1WV</t>
        </is>
      </c>
      <c r="L1156" s="70">
        <f>HYPERLINK(Table1410[[#This Row],[Column1]])</f>
        <v/>
      </c>
    </row>
    <row r="1157" ht="60" customHeight="1" s="290">
      <c r="A1157" s="30" t="inlineStr">
        <is>
          <t>Autel MaxiTPMS ITS600CV Commercial Vehicle TPMS Tool, for Trucks Trailers Buses, Activate/Read/Program CVS-A01 Sensors, Bluetooth VCI, Bendix/WABCO Support, Includes 6/9-Pin UNI-4 DLC Adapters</t>
        </is>
      </c>
      <c r="B1157" s="30" t="inlineStr">
        <is>
          <t>B0FN75BVGG</t>
        </is>
      </c>
      <c r="C1157" s="30" t="inlineStr">
        <is>
          <t>Handheld</t>
        </is>
      </c>
      <c r="D1157" s="324" t="n">
        <v>699</v>
      </c>
      <c r="E1157" s="324" t="n">
        <v>3572.35</v>
      </c>
      <c r="F1157" s="324" t="n">
        <v>0</v>
      </c>
      <c r="G1157" s="55" t="n">
        <v>5</v>
      </c>
      <c r="H1157" s="57" t="n">
        <v>0</v>
      </c>
      <c r="I1157" s="55" t="n">
        <v>1</v>
      </c>
      <c r="J1157" s="56" t="n">
        <v>5</v>
      </c>
      <c r="K1157" s="56" t="inlineStr">
        <is>
          <t>https://amazon.com/dp/B0FN75BVGG</t>
        </is>
      </c>
      <c r="L1157" s="70">
        <f>HYPERLINK(Table1410[[#This Row],[Column1]])</f>
        <v/>
      </c>
    </row>
    <row r="1158" ht="45" customHeight="1" s="290">
      <c r="A1158" s="30" t="inlineStr">
        <is>
          <t>Autel MaxiTPMS TS900 TPMS Tool Programming Same as MX900TS Upgrade of MS906TS TS608 MK808 MK808S Programming Relearn Reset Full TPMS Functions DoIP&amp;CAN FD</t>
        </is>
      </c>
      <c r="B1158" s="30" t="inlineStr">
        <is>
          <t>B0CZN1DQWC</t>
        </is>
      </c>
      <c r="C1158" s="30" t="inlineStr">
        <is>
          <t>Tablet</t>
        </is>
      </c>
      <c r="D1158" s="324" t="n">
        <v>849</v>
      </c>
      <c r="E1158" s="324" t="n">
        <v>8703.23</v>
      </c>
      <c r="F1158" s="324" t="n">
        <v>0</v>
      </c>
      <c r="G1158" s="55" t="n">
        <v>11</v>
      </c>
      <c r="H1158" s="57" t="n">
        <v>0</v>
      </c>
      <c r="I1158" s="55" t="n">
        <v>7</v>
      </c>
      <c r="J1158" s="56" t="n">
        <v>5</v>
      </c>
      <c r="K1158" s="56" t="inlineStr">
        <is>
          <t>https://amazon.com/dp/B0CZN1DQWC</t>
        </is>
      </c>
      <c r="L1158" s="70">
        <f>HYPERLINK(Table1410[[#This Row],[Column1]])</f>
        <v/>
      </c>
    </row>
    <row r="1159" ht="60" customHeight="1" s="290">
      <c r="A1159" s="30" t="inlineStr">
        <is>
          <t>Autel MaxiCom Ultra Lite Scanner 2026: 2-Year Update Same as Maxisys Ultra Motor TruSpeed Repair, New Topology 2.0, 3000+ Test, 40+ Service, Level Up of MS919/Elite II Pro</t>
        </is>
      </c>
      <c r="B1159" s="30" t="inlineStr">
        <is>
          <t>B0DK3J7LD8</t>
        </is>
      </c>
      <c r="C1159" s="30" t="inlineStr">
        <is>
          <t>Tablet</t>
        </is>
      </c>
      <c r="D1159" s="324" t="n">
        <v>2969</v>
      </c>
      <c r="E1159" s="324" t="n">
        <v>27067.18</v>
      </c>
      <c r="F1159" s="324" t="n">
        <v>0</v>
      </c>
      <c r="G1159" s="55" t="n">
        <v>9</v>
      </c>
      <c r="H1159" s="57" t="n">
        <v>0</v>
      </c>
      <c r="I1159" s="55" t="n">
        <v>3</v>
      </c>
      <c r="J1159" s="56" t="n">
        <v>5</v>
      </c>
      <c r="K1159" s="56" t="inlineStr">
        <is>
          <t>https://amazon.com/dp/B0DK3J7LD8</t>
        </is>
      </c>
      <c r="L1159" s="70">
        <f>HYPERLINK(Table1410[[#This Row],[Column1]])</f>
        <v/>
      </c>
    </row>
    <row r="1160" ht="45" customHeight="1" s="290">
      <c r="A1160" s="30" t="inlineStr">
        <is>
          <t>Autel MaxiSys MS909CV Truck Scanner: 2026 Top Intelligent Heavy Duty Truck Diagnostic, Motor TruSpeed, Topology 2.0, Up of MS908CV II MS908CV, 64+ Resets 3K+ Bidirectional Tool</t>
        </is>
      </c>
      <c r="B1160" s="30" t="inlineStr">
        <is>
          <t>B0G577RSP1</t>
        </is>
      </c>
      <c r="C1160" s="30" t="inlineStr">
        <is>
          <t>Tablet</t>
        </is>
      </c>
      <c r="D1160" s="324" t="n">
        <v>4495</v>
      </c>
      <c r="E1160" s="324" t="n">
        <v>14947.1</v>
      </c>
      <c r="F1160" s="324" t="n">
        <v>0</v>
      </c>
      <c r="G1160" s="55" t="n">
        <v>3</v>
      </c>
      <c r="H1160" s="57" t="n">
        <v>0</v>
      </c>
      <c r="I1160" s="55" t="n">
        <v>4</v>
      </c>
      <c r="J1160" s="56" t="n">
        <v>4.7</v>
      </c>
      <c r="K1160" s="56" t="inlineStr">
        <is>
          <t>https://amazon.com/dp/B0G577RSP1</t>
        </is>
      </c>
      <c r="L1160" s="70">
        <f>HYPERLINK(Table1410[[#This Row],[Column1]])</f>
        <v/>
      </c>
    </row>
    <row r="1161" ht="45" customHeight="1" s="290">
      <c r="A1161" s="30" t="inlineStr">
        <is>
          <t>Autel MaxiIM IM608 II Tool, Same as IM608 PRO II with XP400 PRO GBOX3 APB112 IMKPA[Valued $1316], Upgrade of IM608 PRO/IM608/IM508, ECU Coding, 40+ Service, Full Bidirectional Tool, CAN FD&amp; DOIP</t>
        </is>
      </c>
      <c r="B1161" s="30" t="inlineStr">
        <is>
          <t>B0BQDT2KWF</t>
        </is>
      </c>
      <c r="C1161" s="30" t="inlineStr">
        <is>
          <t>Tablet</t>
        </is>
      </c>
      <c r="D1161" s="324" t="n">
        <v>3299</v>
      </c>
      <c r="E1161" s="324" t="n">
        <v>25050.71</v>
      </c>
      <c r="F1161" s="324" t="n">
        <v>0</v>
      </c>
      <c r="G1161" s="55" t="n">
        <v>7</v>
      </c>
      <c r="H1161" s="57" t="n">
        <v>0</v>
      </c>
      <c r="I1161" s="55" t="n">
        <v>3</v>
      </c>
      <c r="J1161" s="56" t="n">
        <v>2.6</v>
      </c>
      <c r="K1161" s="56" t="inlineStr">
        <is>
          <t>https://amazon.com/dp/B0BQDT2KWF</t>
        </is>
      </c>
      <c r="L1161" s="70">
        <f>HYPERLINK(Table1410[[#This Row],[Column1]])</f>
        <v/>
      </c>
    </row>
    <row r="1162" ht="60" customHeight="1" s="290">
      <c r="A1162" s="30" t="inlineStr">
        <is>
          <t>Autel Total Care Program — 1-Year Warranty Update for MS908CV, Model# MS908CV1YRUpdate</t>
        </is>
      </c>
      <c r="B1162" s="30" t="inlineStr">
        <is>
          <t>B077TYVN8C</t>
        </is>
      </c>
      <c r="C1162" s="30" t="inlineStr">
        <is>
          <t>Other</t>
        </is>
      </c>
      <c r="D1162" s="324" t="n">
        <v>795.99</v>
      </c>
      <c r="E1162" s="324" t="n">
        <v>23137.26</v>
      </c>
      <c r="F1162" s="324" t="n">
        <v>0</v>
      </c>
      <c r="G1162" s="55" t="n">
        <v>26</v>
      </c>
      <c r="H1162" s="57" t="n">
        <v>0</v>
      </c>
      <c r="I1162" s="55" t="n">
        <v>0</v>
      </c>
      <c r="J1162" s="56" t="n"/>
      <c r="K1162" s="56" t="inlineStr">
        <is>
          <t>https://amazon.com/dp/B077TYVN8C</t>
        </is>
      </c>
      <c r="L1162" s="70">
        <f>HYPERLINK(Table1410[[#This Row],[Column1]])</f>
        <v/>
      </c>
    </row>
    <row r="1163" ht="45" customHeight="1" s="290">
      <c r="A1163" s="30" t="inlineStr">
        <is>
          <t>Autel MaxiSYS Ultra EV Scanner: 2026 Top EV Ver. of Ultra S2 MSUltra MS909 S2 Intelligen Scan Diagnostic, High-Voltage System Battery Pack Analyze, EVDiag KIT, 40 Service, Motor TruSpeed, Topology 2.0</t>
        </is>
      </c>
      <c r="B1163" s="30" t="inlineStr">
        <is>
          <t>B0BPMJ41PY</t>
        </is>
      </c>
      <c r="C1163" s="30" t="inlineStr">
        <is>
          <t>Tablet</t>
        </is>
      </c>
      <c r="D1163" s="324" t="n">
        <v>4995</v>
      </c>
      <c r="E1163" s="324" t="n">
        <v>68231.7</v>
      </c>
      <c r="F1163" s="324" t="n">
        <v>0</v>
      </c>
      <c r="G1163" s="55" t="n">
        <v>14</v>
      </c>
      <c r="H1163" s="57" t="n">
        <v>0</v>
      </c>
      <c r="I1163" s="55" t="n">
        <v>7</v>
      </c>
      <c r="J1163" s="56" t="n">
        <v>4.3</v>
      </c>
      <c r="K1163" s="56" t="inlineStr">
        <is>
          <t>https://amazon.com/dp/B0BPMJ41PY</t>
        </is>
      </c>
      <c r="L1163" s="70">
        <f>HYPERLINK(Table1410[[#This Row],[Column1]])</f>
        <v/>
      </c>
    </row>
    <row r="1164" ht="45" customHeight="1" s="290">
      <c r="A1164" s="30" t="inlineStr">
        <is>
          <t>Autel PowerScan PS100 Automotive Relay Tester Circuit Probe Tool 12V 24V Car System Diagnostic Scan Tool with 20ft Extension Cable Read AC DC Resistance Short/Open Circuit Test</t>
        </is>
      </c>
      <c r="B1164" s="30" t="inlineStr">
        <is>
          <t>B0FH4S3KF4</t>
        </is>
      </c>
      <c r="C1164" s="30" t="inlineStr">
        <is>
          <t>Probe</t>
        </is>
      </c>
      <c r="D1164" s="324" t="n">
        <v>89.98999999999999</v>
      </c>
      <c r="E1164" s="324" t="n">
        <v>1715.97</v>
      </c>
      <c r="F1164" s="324" t="n">
        <v>0</v>
      </c>
      <c r="G1164" s="55" t="n">
        <v>20</v>
      </c>
      <c r="H1164" s="57" t="n">
        <v>0</v>
      </c>
      <c r="I1164" s="55" t="n"/>
      <c r="J1164" s="56" t="n"/>
      <c r="K1164" s="56" t="inlineStr">
        <is>
          <t>https://amazon.com/dp/B0FH4S3KF4</t>
        </is>
      </c>
      <c r="L1164" s="70">
        <f>HYPERLINK(Table1410[[#This Row],[Column1]])</f>
        <v/>
      </c>
    </row>
    <row r="1165" ht="60" customHeight="1" s="290">
      <c r="A1165" s="30" t="inlineStr">
        <is>
          <t>Autel Scanner MaxiSYS Ultra S2, 2026 UltraS2 AI Intelligent Scan Tool Up of MS919 S2 MS909S2 Ultra EV MSUltra, 6IN1 VCMI2, Topology 3.0 PID Analysis Multi-Point DVI, Motor TruSpeed EV Test 48 Reset</t>
        </is>
      </c>
      <c r="B1165" s="30" t="inlineStr">
        <is>
          <t>B0F37T6R92</t>
        </is>
      </c>
      <c r="C1165" s="30" t="inlineStr">
        <is>
          <t>Tablet</t>
        </is>
      </c>
      <c r="D1165" s="324" t="n">
        <v>5681</v>
      </c>
      <c r="E1165" s="324" t="n">
        <v>170632.22</v>
      </c>
      <c r="F1165" s="324" t="n">
        <v>0</v>
      </c>
      <c r="G1165" s="55" t="n">
        <v>29</v>
      </c>
      <c r="H1165" s="57" t="n">
        <v>0</v>
      </c>
      <c r="I1165" s="55" t="n">
        <v>2</v>
      </c>
      <c r="J1165" s="56" t="n">
        <v>5</v>
      </c>
      <c r="K1165" s="56" t="inlineStr">
        <is>
          <t>https://amazon.com/dp/B0F37T6R92</t>
        </is>
      </c>
      <c r="L1165" s="70">
        <f>HYPERLINK(Table1410[[#This Row],[Column1]])</f>
        <v/>
      </c>
    </row>
    <row r="1166" ht="45" customHeight="1" s="290">
      <c r="A1166" s="30" t="inlineStr">
        <is>
          <t>Autel AutoLink AL419 Vehicle OBDII/CAN Code Reader TFT Color Display Clears Codes and resets Monitors Views Freeze Frame Data DTC Definitions VIN</t>
        </is>
      </c>
      <c r="B1166" s="30" t="inlineStr">
        <is>
          <t>B01M8N4YYX</t>
        </is>
      </c>
      <c r="C1166" s="30" t="inlineStr">
        <is>
          <t>Handheld</t>
        </is>
      </c>
      <c r="D1166" s="324" t="n">
        <v>59</v>
      </c>
      <c r="E1166" s="324" t="n">
        <v>464</v>
      </c>
      <c r="F1166" s="324" t="n">
        <v>0</v>
      </c>
      <c r="G1166" s="55" t="n">
        <v>6</v>
      </c>
      <c r="H1166" s="57" t="n">
        <v>0</v>
      </c>
      <c r="I1166" s="55" t="n"/>
      <c r="J1166" s="56" t="n"/>
      <c r="K1166" s="56" t="inlineStr">
        <is>
          <t>https://amazon.com/dp/B01M8N4YYX</t>
        </is>
      </c>
      <c r="L1166" s="70">
        <f>HYPERLINK(Table1410[[#This Row],[Column1]])</f>
        <v/>
      </c>
    </row>
    <row r="1167" ht="60" customHeight="1" s="290">
      <c r="A1167" s="30" t="inlineStr">
        <is>
          <t>Autel MaxiSys MS906Pro-TS 1-Year Update Service, Total Care Program (TCP) Card, One Year Software Subscription &amp; Warranty for MS906 Pro-TS Diagnostic Scanner Bi Directional Tool</t>
        </is>
      </c>
      <c r="B1167" s="30" t="inlineStr">
        <is>
          <t>B0FFB26CYT</t>
        </is>
      </c>
      <c r="C1167" s="30" t="inlineStr">
        <is>
          <t>Tablet</t>
        </is>
      </c>
      <c r="D1167" s="324" t="n">
        <v>589</v>
      </c>
      <c r="E1167" s="324" t="n">
        <v>1406.98</v>
      </c>
      <c r="F1167" s="324" t="n">
        <v>0</v>
      </c>
      <c r="G1167" s="55" t="n">
        <v>2</v>
      </c>
      <c r="H1167" s="57" t="n">
        <v>0</v>
      </c>
      <c r="I1167" s="55" t="n">
        <v>1</v>
      </c>
      <c r="J1167" s="56" t="n">
        <v>5</v>
      </c>
      <c r="K1167" s="56" t="inlineStr">
        <is>
          <t>https://amazon.com/dp/B0FFB26CYT</t>
        </is>
      </c>
      <c r="L1167" s="70">
        <f>HYPERLINK(Table1410[[#This Row],[Column1]])</f>
        <v/>
      </c>
    </row>
    <row r="1168" ht="60" customHeight="1" s="290">
      <c r="A1168" s="30" t="inlineStr">
        <is>
          <t>Autel MaxiDiag MD808 Pro OBD2 Scanner Code Reader Level-up of MD808 MD806 MD802 Lifetime Upgrade All System Auto SCAN DTCs Detection Codes All 10 OBDII Test Modes OLS/EPB/SBC/SAS/BMS/DPF</t>
        </is>
      </c>
      <c r="B1168" s="30" t="inlineStr">
        <is>
          <t>B0DBHJSSXG</t>
        </is>
      </c>
      <c r="C1168" s="30" t="inlineStr">
        <is>
          <t>Handheld</t>
        </is>
      </c>
      <c r="D1168" s="324" t="n">
        <v>259</v>
      </c>
      <c r="E1168" s="324" t="n">
        <v>3955.5</v>
      </c>
      <c r="F1168" s="324" t="n">
        <v>0</v>
      </c>
      <c r="G1168" s="55" t="n">
        <v>15</v>
      </c>
      <c r="H1168" s="57" t="n">
        <v>0</v>
      </c>
      <c r="I1168" s="55" t="n">
        <v>6</v>
      </c>
      <c r="J1168" s="56" t="n">
        <v>4.1</v>
      </c>
      <c r="K1168" s="56" t="inlineStr">
        <is>
          <t>https://amazon.com/dp/B0DBHJSSXG</t>
        </is>
      </c>
      <c r="L1168" s="70">
        <f>HYPERLINK(Table1410[[#This Row],[Column1]])</f>
        <v/>
      </c>
    </row>
    <row r="1169" ht="60" customHeight="1" s="290">
      <c r="A1169" s="30" t="inlineStr">
        <is>
          <t>2026 Autel Scanner MaxiCOM Ultra Lite, 2-Year Update, Same as MaxiSys Ultra Up of MS919 MS909 Elite 2 Pro, Intelligent Topology 2.0, Motor TruSpeed, 40+ Reset, 3K+ Bidirectional Diagnostic Scan Tool</t>
        </is>
      </c>
      <c r="B1169" s="30" t="inlineStr">
        <is>
          <t>B09XGQJV13</t>
        </is>
      </c>
      <c r="C1169" s="30" t="inlineStr">
        <is>
          <t>Tablet</t>
        </is>
      </c>
      <c r="D1169" s="324" t="n">
        <v>2969</v>
      </c>
      <c r="E1169" s="324" t="n">
        <v>45509.32</v>
      </c>
      <c r="F1169" s="324" t="n">
        <v>0</v>
      </c>
      <c r="G1169" s="55" t="n">
        <v>16</v>
      </c>
      <c r="H1169" s="57" t="n">
        <v>0</v>
      </c>
      <c r="I1169" s="55" t="n">
        <v>11</v>
      </c>
      <c r="J1169" s="56" t="n">
        <v>4.8</v>
      </c>
      <c r="K1169" s="56" t="inlineStr">
        <is>
          <t>https://amazon.com/dp/B09XGQJV13</t>
        </is>
      </c>
      <c r="L1169" s="70">
        <f>HYPERLINK(Table1410[[#This Row],[Column1]])</f>
        <v/>
      </c>
    </row>
    <row r="1170" ht="45" customHeight="1" s="290">
      <c r="A1170" s="30" t="inlineStr">
        <is>
          <t>Autel MaxiFlash VCI Kit, J2534 Pass-Thru Programming Device, Compatible with MS909/MS909EV/MS909CV/Ultra Lite/Elite II Pro, Supports CAN FD, DoIP, RP1210, ECU Coding &amp; BMW Benz Programming</t>
        </is>
      </c>
      <c r="B1170" s="30" t="inlineStr">
        <is>
          <t>B0BS2LXT6X</t>
        </is>
      </c>
      <c r="C1170" s="30" t="inlineStr">
        <is>
          <t>VCI</t>
        </is>
      </c>
      <c r="D1170" s="324" t="n">
        <v>899</v>
      </c>
      <c r="E1170" s="324" t="n">
        <v>5257.73</v>
      </c>
      <c r="F1170" s="324" t="n">
        <v>0</v>
      </c>
      <c r="G1170" s="55" t="n">
        <v>6</v>
      </c>
      <c r="H1170" s="57" t="n">
        <v>0</v>
      </c>
      <c r="I1170" s="55" t="n">
        <v>5</v>
      </c>
      <c r="J1170" s="56" t="n">
        <v>4.7</v>
      </c>
      <c r="K1170" s="56" t="inlineStr">
        <is>
          <t>https://amazon.com/dp/B0BS2LXT6X</t>
        </is>
      </c>
      <c r="L1170" s="70">
        <f>HYPERLINK(Table1410[[#This Row],[Column1]])</f>
        <v/>
      </c>
    </row>
    <row r="1171" ht="45" customHeight="1" s="290">
      <c r="A1171" s="30" t="inlineStr">
        <is>
          <t>Autel TESKIT3Y Tesla 3 and Y Model Vehicles Compatible Diagnostic Cable Adapter Compatible with Autel Ultra MS919 MS909 Elite II Ultra Enables to Read and Erase Codes 26Pin OBD1 to 16 Pin OBD2</t>
        </is>
      </c>
      <c r="B1171" s="30" t="inlineStr">
        <is>
          <t>B0DDT7J8VH</t>
        </is>
      </c>
      <c r="C1171" s="30" t="inlineStr">
        <is>
          <t>Cable/Adapter</t>
        </is>
      </c>
      <c r="D1171" s="324" t="n">
        <v>49.99</v>
      </c>
      <c r="E1171" s="324" t="n">
        <v>1616.15</v>
      </c>
      <c r="F1171" s="324" t="n">
        <v>0</v>
      </c>
      <c r="G1171" s="55" t="n">
        <v>34</v>
      </c>
      <c r="H1171" s="57" t="n">
        <v>0</v>
      </c>
      <c r="I1171" s="55" t="n"/>
      <c r="J1171" s="56" t="n"/>
      <c r="K1171" s="56" t="inlineStr">
        <is>
          <t>https://amazon.com/dp/B0DDT7J8VH</t>
        </is>
      </c>
      <c r="L1171" s="70">
        <f>HYPERLINK(Table1410[[#This Row],[Column1]])</f>
        <v/>
      </c>
    </row>
    <row r="1172" ht="45" customHeight="1" s="290">
      <c r="A1172" s="30" t="inlineStr">
        <is>
          <t>Autel MaxiPRO MP900 Scanner, 2025 DoIP/CAN-FD MP900, Same as MP900BT, Upgraded of MP808BT PRO MS906BT MP808S DS808 MX900, Pro ECU Coding, 3000+Bidirectional, 40+ Services, Auto VIN, OS 11,FCA SGW</t>
        </is>
      </c>
      <c r="B1172" s="30" t="inlineStr">
        <is>
          <t>B09LD27XKV</t>
        </is>
      </c>
      <c r="C1172" s="30" t="inlineStr">
        <is>
          <t>Tablet</t>
        </is>
      </c>
      <c r="D1172" s="324" t="n">
        <v>799</v>
      </c>
      <c r="E1172" s="324" t="n">
        <v>3274.13</v>
      </c>
      <c r="F1172" s="324" t="n">
        <v>0</v>
      </c>
      <c r="G1172" s="55" t="n">
        <v>5</v>
      </c>
      <c r="H1172" s="57" t="n">
        <v>0</v>
      </c>
      <c r="I1172" s="55" t="n">
        <v>29</v>
      </c>
      <c r="J1172" s="56" t="n">
        <v>4.1</v>
      </c>
      <c r="K1172" s="56" t="inlineStr">
        <is>
          <t>https://amazon.com/dp/B09LD27XKV</t>
        </is>
      </c>
      <c r="L1172" s="70">
        <f>HYPERLINK(Table1410[[#This Row],[Column1]])</f>
        <v/>
      </c>
    </row>
    <row r="1173" ht="45" customHeight="1" s="290">
      <c r="A1173" s="30" t="inlineStr">
        <is>
          <t>Autel Ultra EV Scanner, High Voltage Battery Pack Analysis, Diagnostic Scanner, with EVDiag Kit MaxiFlash VCMI, Bi Directional Control, ECU Coding, Programming Advanced Autel Ultra MS919 MS909</t>
        </is>
      </c>
      <c r="B1173" s="30" t="inlineStr">
        <is>
          <t>B0BHYJZB2P</t>
        </is>
      </c>
      <c r="C1173" s="30" t="inlineStr">
        <is>
          <t>Tablet</t>
        </is>
      </c>
      <c r="D1173" s="324" t="n">
        <v>4995</v>
      </c>
      <c r="E1173" s="324" t="n">
        <v>71821.13</v>
      </c>
      <c r="F1173" s="324" t="n">
        <v>0</v>
      </c>
      <c r="G1173" s="55" t="n">
        <v>14</v>
      </c>
      <c r="H1173" s="57" t="n">
        <v>0</v>
      </c>
      <c r="I1173" s="55" t="n">
        <v>14</v>
      </c>
      <c r="J1173" s="56" t="n">
        <v>4.7</v>
      </c>
      <c r="K1173" s="56" t="inlineStr">
        <is>
          <t>https://amazon.com/dp/B0BHYJZB2P</t>
        </is>
      </c>
      <c r="L1173" s="70">
        <f>HYPERLINK(Table1410[[#This Row],[Column1]])</f>
        <v/>
      </c>
    </row>
    <row r="1174" ht="45" customHeight="1" s="290">
      <c r="A1174" s="30" t="inlineStr">
        <is>
          <t>Autel MaxiVCI VCI Mini Wireless Bluetooth Diagnostic Vehicle Communication Interface Connector Compact Auto OBD2 Scanner for MK808BT MK808TS MX808TS MP808TS TS608 MS906S Oil Reset EPB BMS SAS TPMS</t>
        </is>
      </c>
      <c r="B1174" s="30" t="inlineStr">
        <is>
          <t>B0B87BDVZP</t>
        </is>
      </c>
      <c r="C1174" s="30" t="inlineStr">
        <is>
          <t>Dongle</t>
        </is>
      </c>
      <c r="D1174" s="324" t="n">
        <v>119</v>
      </c>
      <c r="E1174" s="324" t="n">
        <v>2323.35</v>
      </c>
      <c r="F1174" s="324" t="n">
        <v>0</v>
      </c>
      <c r="G1174" s="55" t="n">
        <v>19</v>
      </c>
      <c r="H1174" s="57" t="n">
        <v>0</v>
      </c>
      <c r="I1174" s="55" t="n">
        <v>3</v>
      </c>
      <c r="J1174" s="56" t="n">
        <v>5</v>
      </c>
      <c r="K1174" s="56" t="inlineStr">
        <is>
          <t>https://amazon.com/dp/B0B87BDVZP</t>
        </is>
      </c>
      <c r="L1174" s="70">
        <f>HYPERLINK(Table1410[[#This Row],[Column1]])</f>
        <v/>
      </c>
    </row>
    <row r="1175" ht="45" customHeight="1" s="290">
      <c r="A1175" s="30" t="inlineStr">
        <is>
          <t>2025 Autel Scanner MaxilM IM508S PRO OBD II Diagnostic Scan Tool, 2026 Same as IM608 PRO 2/ IM608S II, Enhanced of IM508S IM508</t>
        </is>
      </c>
      <c r="B1175" s="30" t="inlineStr">
        <is>
          <t>B07PQ878S5</t>
        </is>
      </c>
      <c r="C1175" s="30" t="inlineStr">
        <is>
          <t>Tablet</t>
        </is>
      </c>
      <c r="D1175" s="324" t="n">
        <v>1599</v>
      </c>
      <c r="E1175" s="324" t="n">
        <v>51729.57000000001</v>
      </c>
      <c r="F1175" s="324" t="n">
        <v>0</v>
      </c>
      <c r="G1175" s="55" t="n">
        <v>32</v>
      </c>
      <c r="H1175" s="57" t="n">
        <v>0</v>
      </c>
      <c r="I1175" s="55" t="n">
        <v>13</v>
      </c>
      <c r="J1175" s="56" t="n">
        <v>4.3</v>
      </c>
      <c r="K1175" s="56" t="inlineStr">
        <is>
          <t>https://amazon.com/dp/B07PQ878S5</t>
        </is>
      </c>
      <c r="L1175" s="70">
        <f>HYPERLINK(Table1410[[#This Row],[Column1]])</f>
        <v/>
      </c>
    </row>
    <row r="1176" ht="45" customHeight="1" s="290">
      <c r="A1176" s="30" t="inlineStr">
        <is>
          <t>Autel MaxiSYS MS908S Pro II: J2534 Reprogramming Tool, 2026 Upgrade of MK908 Pro ECU Coding Tool, Bidirectional Scanner with 38+ Services, AutoScan 2.0, FCA AutoAuth, Alternative to MaxiSYS Elite II</t>
        </is>
      </c>
      <c r="B1176" s="30" t="inlineStr">
        <is>
          <t>B00Y21BPCU</t>
        </is>
      </c>
      <c r="C1176" s="30" t="inlineStr">
        <is>
          <t>Tablet</t>
        </is>
      </c>
      <c r="D1176" s="324" t="n">
        <v>1969</v>
      </c>
      <c r="E1176" s="324" t="n">
        <v>31750.38</v>
      </c>
      <c r="F1176" s="324" t="n">
        <v>0</v>
      </c>
      <c r="G1176" s="55" t="n">
        <v>16</v>
      </c>
      <c r="H1176" s="57" t="n">
        <v>0</v>
      </c>
      <c r="I1176" s="55" t="n">
        <v>3</v>
      </c>
      <c r="J1176" s="56" t="n">
        <v>4.6</v>
      </c>
      <c r="K1176" s="56" t="inlineStr">
        <is>
          <t>https://amazon.com/dp/B00Y21BPCU</t>
        </is>
      </c>
      <c r="L1176" s="70">
        <f>HYPERLINK(Table1410[[#This Row],[Column1]])</f>
        <v/>
      </c>
    </row>
    <row r="1177" ht="45" customHeight="1" s="290">
      <c r="A1177" s="30" t="inlineStr">
        <is>
          <t>2026 Autel Scanner MaxiPRO MP900E KIT: Work as MP900-BT kit MS906 Pro MP808BT Pro w/ 11 Non-OBDII Adapter Kit, DoIP CAN-FD, 40+ Service, OE ECU Function, Bi-Directional Test, All System Scan, FCA SGWG</t>
        </is>
      </c>
      <c r="B1177" s="30" t="inlineStr">
        <is>
          <t>B0924G1RDR</t>
        </is>
      </c>
      <c r="C1177" s="30" t="inlineStr">
        <is>
          <t>Tablet</t>
        </is>
      </c>
      <c r="D1177" s="324" t="n">
        <v>849</v>
      </c>
      <c r="E1177" s="324" t="n">
        <v>14846.86</v>
      </c>
      <c r="F1177" s="324" t="n">
        <v>0</v>
      </c>
      <c r="G1177" s="55" t="n">
        <v>16</v>
      </c>
      <c r="H1177" s="57" t="n">
        <v>0</v>
      </c>
      <c r="I1177" s="55" t="n">
        <v>26</v>
      </c>
      <c r="J1177" s="56" t="n">
        <v>4.5</v>
      </c>
      <c r="K1177" s="56" t="inlineStr">
        <is>
          <t>https://amazon.com/dp/B0924G1RDR</t>
        </is>
      </c>
      <c r="L1177" s="70">
        <f>HYPERLINK(Table1410[[#This Row],[Column1]])</f>
        <v/>
      </c>
    </row>
    <row r="1178" ht="45" customHeight="1" s="290">
      <c r="A1178" s="30" t="inlineStr">
        <is>
          <t>Autel MaxiSys MS906 Pro OBD2 Diagnostic Scanner, ECU Coding, 3000+ Active Test, 40+ Service, Bidirectional Scan Tool with CAN FD DoIP, Auto Scan 2.0, Upgrade of MS906S MX900 MK900 MP900BT, FCA SGW</t>
        </is>
      </c>
      <c r="B1178" s="30" t="inlineStr">
        <is>
          <t>B0D93H3CZK</t>
        </is>
      </c>
      <c r="C1178" s="30" t="inlineStr">
        <is>
          <t>Tablet</t>
        </is>
      </c>
      <c r="D1178" s="324" t="n">
        <v>1369</v>
      </c>
      <c r="E1178" s="324" t="n">
        <v>20663.95</v>
      </c>
      <c r="F1178" s="324" t="n">
        <v>0</v>
      </c>
      <c r="G1178" s="55" t="n">
        <v>15</v>
      </c>
      <c r="H1178" s="57" t="n">
        <v>0</v>
      </c>
      <c r="I1178" s="55" t="n">
        <v>3</v>
      </c>
      <c r="J1178" s="56" t="n">
        <v>3.2</v>
      </c>
      <c r="K1178" s="56" t="inlineStr">
        <is>
          <t>https://amazon.com/dp/B0D93H3CZK</t>
        </is>
      </c>
      <c r="L1178" s="70">
        <f>HYPERLINK(Table1410[[#This Row],[Column1]])</f>
        <v/>
      </c>
    </row>
    <row r="1179" ht="45" customHeight="1" s="290">
      <c r="A1179" s="30" t="inlineStr">
        <is>
          <t>Autel MaxiLink ML529HD, OBD II/EOBD Code Reader, Latest Diagnostic DIY tools, Scan Tools For Heavy Duty Truck Diagnostic Verhicle J1939 J1708</t>
        </is>
      </c>
      <c r="B1179" s="30" t="inlineStr">
        <is>
          <t>B0CC6H1C2K</t>
        </is>
      </c>
      <c r="C1179" s="30" t="inlineStr">
        <is>
          <t>Handheld</t>
        </is>
      </c>
      <c r="D1179" s="324" t="n">
        <v>125</v>
      </c>
      <c r="E1179" s="324" t="n">
        <v>615.22</v>
      </c>
      <c r="F1179" s="324" t="n">
        <v>0</v>
      </c>
      <c r="G1179" s="55" t="n">
        <v>5</v>
      </c>
      <c r="H1179" s="57" t="n">
        <v>0</v>
      </c>
      <c r="I1179" s="55" t="n"/>
      <c r="J1179" s="56" t="n"/>
      <c r="K1179" s="56" t="inlineStr">
        <is>
          <t>https://amazon.com/dp/B0CC6H1C2K</t>
        </is>
      </c>
      <c r="L1179" s="70">
        <f>HYPERLINK(Table1410[[#This Row],[Column1]])</f>
        <v/>
      </c>
    </row>
    <row r="1180" ht="45" customHeight="1" s="290">
      <c r="A1180" s="30" t="inlineStr">
        <is>
          <t>Autel MaxiTPMS TS900, Scanner &amp; TPMS Programming Tool 2-in-1, Upgrade of MK900BT, MK900TS, MS906TS, MX900, MK900, All System Diagnosis, 40+Services CAN FD/DoIP Program Autel MX Sensors</t>
        </is>
      </c>
      <c r="B1180" s="30" t="inlineStr">
        <is>
          <t>B0CB6D1644</t>
        </is>
      </c>
      <c r="C1180" s="30" t="inlineStr">
        <is>
          <t>Tablet</t>
        </is>
      </c>
      <c r="D1180" s="324" t="n">
        <v>799</v>
      </c>
      <c r="E1180" s="324" t="n">
        <v>16082.98</v>
      </c>
      <c r="F1180" s="324" t="n">
        <v>0</v>
      </c>
      <c r="G1180" s="55" t="n">
        <v>20</v>
      </c>
      <c r="H1180" s="57" t="n">
        <v>0</v>
      </c>
      <c r="I1180" s="55" t="n">
        <v>17</v>
      </c>
      <c r="J1180" s="56" t="n">
        <v>4.6</v>
      </c>
      <c r="K1180" s="56" t="inlineStr">
        <is>
          <t>https://amazon.com/dp/B0CB6D1644</t>
        </is>
      </c>
      <c r="L1180" s="70">
        <f>HYPERLINK(Table1410[[#This Row],[Column1]])</f>
        <v/>
      </c>
    </row>
    <row r="1181" ht="30" customHeight="1" s="290">
      <c r="A1181" s="30" t="inlineStr">
        <is>
          <t>Autel MaxiBAS BT506 Battery Tester: New Version Multifunctional Car Battery Analyzer (6V 12V 100-2000 CCA), Adaptive Conductance Testing 12V-24V Cranking/Charging Systems, Work with Autel Scanner</t>
        </is>
      </c>
      <c r="B1181" s="30" t="inlineStr">
        <is>
          <t>B0BLNTBY98</t>
        </is>
      </c>
      <c r="C1181" s="30" t="inlineStr">
        <is>
          <t>Other</t>
        </is>
      </c>
      <c r="D1181" s="324" t="n">
        <v>175</v>
      </c>
      <c r="E1181" s="324" t="n">
        <v>981.63</v>
      </c>
      <c r="F1181" s="324" t="n">
        <v>0</v>
      </c>
      <c r="G1181" s="55" t="n">
        <v>5</v>
      </c>
      <c r="H1181" s="57" t="n">
        <v>0</v>
      </c>
      <c r="I1181" s="55" t="n">
        <v>6</v>
      </c>
      <c r="J1181" s="56" t="n">
        <v>5</v>
      </c>
      <c r="K1181" s="56" t="inlineStr">
        <is>
          <t>https://amazon.com/dp/B0BLNTBY98</t>
        </is>
      </c>
      <c r="L1181" s="70">
        <f>HYPERLINK(Table1410[[#This Row],[Column1]])</f>
        <v/>
      </c>
    </row>
    <row r="1182" ht="30" customHeight="1" s="290">
      <c r="A1182" s="30" t="inlineStr">
        <is>
          <t>Autel MaxiCOM MK908 Pro II: 205 Same as MS908S PRO II OBD2 Car Diagnostic Scanner, 38+ Service, Active Test, All System Diagnose, Injector Coding, FCA Autoauth OS 11</t>
        </is>
      </c>
      <c r="B1182" s="30" t="inlineStr">
        <is>
          <t>B07MX3BCFZ</t>
        </is>
      </c>
      <c r="C1182" s="30" t="inlineStr">
        <is>
          <t>Tablet</t>
        </is>
      </c>
      <c r="D1182" s="324" t="n">
        <v>1969</v>
      </c>
      <c r="E1182" s="324" t="n">
        <v>5214.28</v>
      </c>
      <c r="F1182" s="324" t="n">
        <v>0</v>
      </c>
      <c r="G1182" s="55" t="n">
        <v>2</v>
      </c>
      <c r="H1182" s="57" t="n">
        <v>0</v>
      </c>
      <c r="I1182" s="55" t="n">
        <v>19</v>
      </c>
      <c r="J1182" s="56" t="n">
        <v>4.2</v>
      </c>
      <c r="K1182" s="56" t="inlineStr">
        <is>
          <t>https://amazon.com/dp/B07MX3BCFZ</t>
        </is>
      </c>
      <c r="L1182" s="70">
        <f>HYPERLINK(Table1410[[#This Row],[Column1]])</f>
        <v/>
      </c>
    </row>
    <row r="1183" ht="45" customHeight="1" s="290">
      <c r="A1183" s="30" t="n"/>
      <c r="B1183" s="30" t="n"/>
      <c r="C1183" s="30" t="n"/>
      <c r="D1183" s="324" t="n"/>
      <c r="E1183" s="324" t="n"/>
      <c r="F1183" s="324" t="n"/>
      <c r="G1183" s="55" t="n"/>
      <c r="H1183" s="57" t="n"/>
      <c r="I1183" s="55" t="n"/>
      <c r="J1183" s="56" t="n"/>
      <c r="K1183" s="56" t="n"/>
      <c r="L1183" s="70">
        <f>HYPERLINK(Table1410[[#This Row],[Column1]])</f>
        <v/>
      </c>
    </row>
    <row r="1184" ht="45" customHeight="1" s="290">
      <c r="A1184" s="30" t="n"/>
      <c r="B1184" s="30" t="n"/>
      <c r="C1184" s="30" t="n"/>
      <c r="D1184" s="324" t="n"/>
      <c r="E1184" s="324" t="n"/>
      <c r="F1184" s="324" t="n"/>
      <c r="G1184" s="55" t="n"/>
      <c r="H1184" s="57" t="n"/>
      <c r="I1184" s="55" t="n"/>
      <c r="J1184" s="56" t="n"/>
      <c r="K1184" s="56" t="n"/>
      <c r="L1184" s="70">
        <f>HYPERLINK(Table1410[[#This Row],[Column1]])</f>
        <v/>
      </c>
    </row>
    <row r="1185" ht="45" customHeight="1" s="290">
      <c r="A1185" s="30" t="n"/>
      <c r="B1185" s="30" t="n"/>
      <c r="C1185" s="30" t="n"/>
      <c r="D1185" s="324" t="n"/>
      <c r="E1185" s="324" t="n"/>
      <c r="F1185" s="324" t="n"/>
      <c r="G1185" s="55" t="n"/>
      <c r="H1185" s="57" t="n"/>
      <c r="I1185" s="55" t="n"/>
      <c r="J1185" s="56" t="n"/>
      <c r="K1185" s="56" t="n"/>
      <c r="L1185" s="70">
        <f>HYPERLINK(Table1410[[#This Row],[Column1]])</f>
        <v/>
      </c>
    </row>
    <row r="1186" ht="60" customHeight="1" s="290">
      <c r="A1186" s="30" t="n"/>
      <c r="B1186" s="30" t="n"/>
      <c r="C1186" s="30" t="n"/>
      <c r="D1186" s="324" t="n"/>
      <c r="E1186" s="324" t="n"/>
      <c r="F1186" s="324" t="n"/>
      <c r="G1186" s="55" t="n"/>
      <c r="H1186" s="57" t="n"/>
      <c r="I1186" s="55" t="n"/>
      <c r="J1186" s="56" t="n"/>
      <c r="K1186" s="56" t="n"/>
      <c r="L1186" s="70">
        <f>HYPERLINK(Table1410[[#This Row],[Column1]])</f>
        <v/>
      </c>
    </row>
    <row r="1187" ht="60" customHeight="1" s="290">
      <c r="A1187" s="30" t="n"/>
      <c r="B1187" s="30" t="n"/>
      <c r="C1187" s="30" t="n"/>
      <c r="D1187" s="324" t="n"/>
      <c r="E1187" s="324" t="n"/>
      <c r="F1187" s="324" t="n"/>
      <c r="G1187" s="55" t="n"/>
      <c r="H1187" s="57" t="n"/>
      <c r="I1187" s="55" t="n"/>
      <c r="J1187" s="56" t="n"/>
      <c r="K1187" s="56" t="n"/>
      <c r="L1187" s="70">
        <f>HYPERLINK(Table1410[[#This Row],[Column1]])</f>
        <v/>
      </c>
    </row>
    <row r="1188" ht="45" customHeight="1" s="290">
      <c r="A1188" s="30" t="n"/>
      <c r="B1188" s="30" t="n"/>
      <c r="C1188" s="30" t="n"/>
      <c r="D1188" s="324" t="n"/>
      <c r="E1188" s="324" t="n"/>
      <c r="F1188" s="324" t="n"/>
      <c r="G1188" s="55" t="n"/>
      <c r="H1188" s="57" t="n"/>
      <c r="I1188" s="55" t="n"/>
      <c r="J1188" s="56" t="n"/>
      <c r="K1188" s="56" t="n"/>
      <c r="L1188" s="70">
        <f>HYPERLINK(Table1410[[#This Row],[Column1]])</f>
        <v/>
      </c>
    </row>
    <row r="1189" ht="60" customHeight="1" s="290">
      <c r="A1189" s="30" t="n"/>
      <c r="B1189" s="30" t="n"/>
      <c r="C1189" s="30" t="n"/>
      <c r="D1189" s="324" t="n"/>
      <c r="E1189" s="324" t="n"/>
      <c r="F1189" s="324" t="n"/>
      <c r="G1189" s="55" t="n"/>
      <c r="H1189" s="57" t="n"/>
      <c r="I1189" s="55" t="n"/>
      <c r="J1189" s="56" t="n"/>
      <c r="K1189" s="56" t="n"/>
      <c r="L1189" s="70">
        <f>HYPERLINK(Table1410[[#This Row],[Column1]])</f>
        <v/>
      </c>
    </row>
    <row r="1190" ht="45" customHeight="1" s="290">
      <c r="A1190" s="30" t="n"/>
      <c r="B1190" s="30" t="n"/>
      <c r="C1190" s="30" t="n"/>
      <c r="D1190" s="324" t="n"/>
      <c r="E1190" s="324" t="n"/>
      <c r="F1190" s="324" t="n"/>
      <c r="G1190" s="55" t="n"/>
      <c r="H1190" s="57" t="n"/>
      <c r="I1190" s="55" t="n"/>
      <c r="J1190" s="56" t="n"/>
      <c r="K1190" s="56" t="n"/>
      <c r="L1190" s="70">
        <f>HYPERLINK(Table1410[[#This Row],[Column1]])</f>
        <v/>
      </c>
    </row>
    <row r="1191" ht="30" customHeight="1" s="290">
      <c r="A1191" s="30" t="n"/>
      <c r="B1191" s="30" t="n"/>
      <c r="C1191" s="30" t="n"/>
      <c r="D1191" s="324" t="n"/>
      <c r="E1191" s="324" t="n"/>
      <c r="F1191" s="324" t="n"/>
      <c r="G1191" s="55" t="n"/>
      <c r="H1191" s="57" t="n"/>
      <c r="I1191" s="55" t="n"/>
      <c r="J1191" s="56" t="n"/>
      <c r="K1191" s="56" t="n"/>
      <c r="L1191" s="70">
        <f>HYPERLINK(Table1410[[#This Row],[Column1]])</f>
        <v/>
      </c>
    </row>
    <row r="1192" ht="17" customHeight="1" s="290">
      <c r="A1192" s="33" t="inlineStr">
        <is>
          <t>Total</t>
        </is>
      </c>
      <c r="B1192" s="32" t="n"/>
      <c r="C1192" s="325" t="n"/>
      <c r="D1192" s="325" t="n"/>
      <c r="E1192" s="325" t="n"/>
      <c r="F1192" s="325" t="n"/>
      <c r="G1192" s="36">
        <f>SUM(G625:G1191)</f>
        <v/>
      </c>
      <c r="H1192" s="36">
        <f>SUM(H625:H1191)</f>
        <v/>
      </c>
      <c r="I1192" s="286" t="n"/>
      <c r="J1192" s="287" t="n"/>
      <c r="K1192" s="70" t="n"/>
    </row>
    <row r="1193">
      <c r="D1193" s="320" t="n"/>
      <c r="E1193" s="320" t="n"/>
      <c r="J1193" s="288" t="n"/>
    </row>
  </sheetData>
  <mergeCells count="3">
    <mergeCell ref="A623:L623"/>
    <mergeCell ref="A1:M5"/>
    <mergeCell ref="A51:L51"/>
  </mergeCells>
  <conditionalFormatting sqref="C8:J17 L8:M17">
    <cfRule type="expression" priority="1" dxfId="30">
      <formula>C8&lt;0</formula>
    </cfRule>
  </conditionalFormatting>
  <pageMargins left="0.7" right="0.7" top="0.75" bottom="0.75" header="0.3" footer="0.3"/>
  <drawing xmlns:r="http://schemas.openxmlformats.org/officeDocument/2006/relationships" r:id="rId1"/>
  <tableParts count="2">
    <tablePart xmlns:r="http://schemas.openxmlformats.org/officeDocument/2006/relationships" r:id="rId2"/>
    <tablePart xmlns:r="http://schemas.openxmlformats.org/officeDocument/2006/relationships" r:id="rId3"/>
  </tableParts>
</worksheet>
</file>

<file path=xl/worksheets/sheet14.xml><?xml version="1.0" encoding="utf-8"?>
<worksheet xmlns="http://schemas.openxmlformats.org/spreadsheetml/2006/main">
  <sheetPr>
    <outlinePr summaryBelow="1" summaryRight="1"/>
    <pageSetUpPr/>
  </sheetPr>
  <dimension ref="A1:Q150"/>
  <sheetViews>
    <sheetView zoomScaleNormal="100" workbookViewId="0">
      <selection activeCell="L46" sqref="L46"/>
    </sheetView>
  </sheetViews>
  <sheetFormatPr baseColWidth="10" defaultColWidth="10.83203125" defaultRowHeight="16"/>
  <cols>
    <col width="50.6640625" customWidth="1" style="284" min="1" max="1"/>
    <col width="12.6640625" customWidth="1" style="284" min="2" max="2"/>
    <col width="12.6640625" customWidth="1" style="320" min="3" max="3"/>
    <col width="11.1640625" customWidth="1" style="296" min="4" max="4"/>
    <col width="24.83203125" bestFit="1" customWidth="1" style="284" min="5" max="5"/>
    <col width="17.6640625" bestFit="1" customWidth="1" style="286" min="6" max="6"/>
    <col width="21.6640625" bestFit="1" customWidth="1" style="286" min="7" max="7"/>
    <col width="19.1640625" bestFit="1" customWidth="1" style="286" min="8" max="8"/>
    <col width="13.5" bestFit="1" customWidth="1" style="287" min="9" max="9"/>
    <col width="12.6640625" bestFit="1" customWidth="1" style="284" min="10" max="10"/>
    <col hidden="1" width="18.1640625" customWidth="1" style="284" min="11" max="11"/>
    <col width="35.6640625" customWidth="1" style="284" min="12" max="12"/>
    <col width="15.6640625" customWidth="1" style="284" min="13" max="13"/>
    <col width="10.83203125" customWidth="1" style="284" min="14" max="16384"/>
  </cols>
  <sheetData>
    <row r="1">
      <c r="A1" s="282" t="inlineStr">
        <is>
          <t>Foxwell Monthly Summary</t>
        </is>
      </c>
    </row>
    <row r="2"/>
    <row r="3"/>
    <row r="4"/>
    <row r="5"/>
    <row r="6">
      <c r="A6" s="29" t="n"/>
      <c r="B6" s="29" t="n"/>
      <c r="C6" s="321" t="n"/>
      <c r="D6" s="47" t="n"/>
      <c r="E6" s="48" t="n"/>
      <c r="F6" s="48" t="n"/>
      <c r="G6" s="48" t="n"/>
      <c r="H6" s="48" t="n"/>
      <c r="I6" s="49" t="n"/>
      <c r="J6" s="50" t="n"/>
    </row>
    <row r="7" ht="32" customHeight="1" s="290">
      <c r="A7" s="80" t="n"/>
      <c r="B7" s="81" t="inlineStr">
        <is>
          <t>Avg Price</t>
        </is>
      </c>
      <c r="C7" s="81" t="inlineStr">
        <is>
          <t>Avg Price MoM</t>
        </is>
      </c>
      <c r="D7" s="82" t="inlineStr">
        <is>
          <t>Avg Price YoY</t>
        </is>
      </c>
      <c r="E7" s="81" t="inlineStr">
        <is>
          <t>Quantity/Mo</t>
        </is>
      </c>
      <c r="F7" s="84" t="inlineStr">
        <is>
          <t>Qty by %</t>
        </is>
      </c>
      <c r="G7" s="84" t="inlineStr">
        <is>
          <t>Qty MoM</t>
        </is>
      </c>
      <c r="H7" s="82" t="inlineStr">
        <is>
          <t>Qty YoY</t>
        </is>
      </c>
      <c r="I7" s="309" t="inlineStr">
        <is>
          <t>Revenue/Mo</t>
        </is>
      </c>
      <c r="J7" s="126" t="inlineStr">
        <is>
          <t>Revenue by %</t>
        </is>
      </c>
      <c r="K7" s="173" t="n"/>
      <c r="L7" s="126" t="inlineStr">
        <is>
          <t>Revenue MoM</t>
        </is>
      </c>
      <c r="M7" s="310" t="inlineStr">
        <is>
          <t>Revenue YoY</t>
        </is>
      </c>
      <c r="N7" s="286" t="n"/>
      <c r="O7" s="286" t="n"/>
      <c r="P7" s="49" t="n"/>
      <c r="Q7" s="50" t="n"/>
    </row>
    <row r="8">
      <c r="A8" s="93" t="inlineStr">
        <is>
          <t>Tablet $800+</t>
        </is>
      </c>
      <c r="B8" s="298" t="n">
        <v>882.1508333333333</v>
      </c>
      <c r="C8" s="270" t="n">
        <v>-0.008369023696373268</v>
      </c>
      <c r="D8" s="271" t="n">
        <v>-0.04986613876116697</v>
      </c>
      <c r="E8" s="269" t="n">
        <v>12</v>
      </c>
      <c r="F8" s="270" t="n">
        <v>0.0008331019161344071</v>
      </c>
      <c r="G8" s="270" t="n">
        <v>-0.6470588235294117</v>
      </c>
      <c r="H8" s="271" t="n">
        <v>0.2</v>
      </c>
      <c r="I8" s="95" t="n">
        <v>10585.81</v>
      </c>
      <c r="J8" s="128" t="n">
        <v>0.005462037651317566</v>
      </c>
      <c r="K8" s="169" t="n"/>
      <c r="L8" s="169" t="n">
        <v>-0.65001259659872</v>
      </c>
      <c r="M8" s="169" t="n">
        <v>0.1401606334865997</v>
      </c>
      <c r="N8" s="286" t="n"/>
      <c r="O8" s="286" t="n"/>
      <c r="P8" s="49" t="n"/>
      <c r="Q8" s="50" t="n"/>
    </row>
    <row r="9">
      <c r="A9" s="93" t="inlineStr">
        <is>
          <t>Tablet $400-$800</t>
        </is>
      </c>
      <c r="B9" s="298" t="n">
        <v>530.8517777777778</v>
      </c>
      <c r="C9" s="270" t="n">
        <v>-0.003821244494639275</v>
      </c>
      <c r="D9" s="271" t="n">
        <v>0.03850929123384539</v>
      </c>
      <c r="E9" s="269" t="n">
        <v>315</v>
      </c>
      <c r="F9" s="270" t="n">
        <v>0.02186892529852819</v>
      </c>
      <c r="G9" s="270" t="n">
        <v>-0.03669724770642202</v>
      </c>
      <c r="H9" s="271" t="n">
        <v>0.5</v>
      </c>
      <c r="I9" s="95" t="n">
        <v>167218.31</v>
      </c>
      <c r="J9" s="128" t="n">
        <v>0.08628085193383338</v>
      </c>
      <c r="K9" s="169" t="n"/>
      <c r="L9" s="169" t="n">
        <v>-0.04037826304529479</v>
      </c>
      <c r="M9" s="169" t="n">
        <v>0.5577639368507679</v>
      </c>
      <c r="N9" s="286" t="n"/>
      <c r="O9" s="286" t="n"/>
      <c r="P9" s="49" t="n"/>
      <c r="Q9" s="50" t="n"/>
    </row>
    <row r="10">
      <c r="A10" s="96" t="inlineStr">
        <is>
          <t>Tablet $400-</t>
        </is>
      </c>
      <c r="B10" s="299" t="n">
        <v>187.334550804237</v>
      </c>
      <c r="C10" s="274" t="n">
        <v>-0.02818593854485396</v>
      </c>
      <c r="D10" s="275" t="n">
        <v>-0.0187959960534585</v>
      </c>
      <c r="E10" s="273" t="n">
        <v>5098</v>
      </c>
      <c r="F10" s="274" t="n">
        <v>0.3539294640377673</v>
      </c>
      <c r="G10" s="274" t="n">
        <v>0.0153355905198167</v>
      </c>
      <c r="H10" s="275" t="n">
        <v>0.3526134253117539</v>
      </c>
      <c r="I10" s="98" t="n">
        <v>955031.54</v>
      </c>
      <c r="J10" s="127" t="n">
        <v>0.4927745944500986</v>
      </c>
      <c r="K10" s="171" t="n"/>
      <c r="L10" s="171" t="n">
        <v>-0.01328259603697779</v>
      </c>
      <c r="M10" s="171" t="n">
        <v>0.3271897087077391</v>
      </c>
      <c r="N10" s="286" t="n"/>
      <c r="O10" s="286" t="n"/>
      <c r="P10" s="49" t="n"/>
      <c r="Q10" s="50" t="n"/>
    </row>
    <row r="11">
      <c r="A11" s="101" t="inlineStr">
        <is>
          <t>Total Tablet</t>
        </is>
      </c>
      <c r="B11" s="300" t="n">
        <v>208.8176331797235</v>
      </c>
      <c r="C11" s="112" t="n">
        <v>-0.04139563648200306</v>
      </c>
      <c r="D11" s="104" t="n">
        <v>-0.01555434399193878</v>
      </c>
      <c r="E11" s="116" t="n">
        <v>5425</v>
      </c>
      <c r="F11" s="112" t="n">
        <v>0.3766314912524299</v>
      </c>
      <c r="G11" s="112" t="n">
        <v>0.007989594946116618</v>
      </c>
      <c r="H11" s="104" t="n">
        <v>0.3535429141716566</v>
      </c>
      <c r="I11" s="103" t="n">
        <v>1132835.66</v>
      </c>
      <c r="J11" s="129" t="n">
        <v>0.5845174840352495</v>
      </c>
      <c r="K11" s="170" t="n"/>
      <c r="L11" s="170" t="n">
        <v>-0.03373677590391433</v>
      </c>
      <c r="M11" s="170" t="n">
        <v>0.3324894420767794</v>
      </c>
      <c r="N11" s="286" t="n"/>
      <c r="O11" s="286" t="n"/>
      <c r="P11" s="49" t="n"/>
      <c r="Q11" s="50" t="n"/>
    </row>
    <row r="12">
      <c r="A12" s="93" t="inlineStr">
        <is>
          <t>Handheld $75+</t>
        </is>
      </c>
      <c r="B12" s="298" t="n">
        <v>152.1235509611897</v>
      </c>
      <c r="C12" s="270" t="n">
        <v>-0.004340231566043018</v>
      </c>
      <c r="D12" s="271" t="n">
        <v>0.2895091105582002</v>
      </c>
      <c r="E12" s="269" t="n">
        <v>2757</v>
      </c>
      <c r="F12" s="270" t="n">
        <v>0.19140516523188</v>
      </c>
      <c r="G12" s="270" t="n">
        <v>-0.1806835066864785</v>
      </c>
      <c r="H12" s="271" t="n">
        <v>0.1116935483870967</v>
      </c>
      <c r="I12" s="95" t="n">
        <v>419404.63</v>
      </c>
      <c r="J12" s="128" t="n">
        <v>0.2164032681671892</v>
      </c>
      <c r="K12" s="169" t="n"/>
      <c r="L12" s="169" t="n">
        <v>-0.1842395299933375</v>
      </c>
      <c r="M12" s="169" t="n">
        <v>0.4335389587939349</v>
      </c>
      <c r="N12" s="286" t="n"/>
      <c r="O12" s="286" t="n"/>
      <c r="P12" s="49" t="n"/>
      <c r="Q12" s="50" t="n"/>
    </row>
    <row r="13">
      <c r="A13" s="96" t="inlineStr">
        <is>
          <t>Handheld $75-</t>
        </is>
      </c>
      <c r="B13" s="299" t="n">
        <v>63.75368938510248</v>
      </c>
      <c r="C13" s="274" t="n">
        <v>-0.01249128692337065</v>
      </c>
      <c r="D13" s="275" t="n">
        <v>0.04737152897780472</v>
      </c>
      <c r="E13" s="273" t="n">
        <v>6001</v>
      </c>
      <c r="F13" s="274" t="n">
        <v>0.4166203832268814</v>
      </c>
      <c r="G13" s="274" t="n">
        <v>-0.1619885490853232</v>
      </c>
      <c r="H13" s="275" t="n">
        <v>-0.1934139784946236</v>
      </c>
      <c r="I13" s="98" t="n">
        <v>382585.89</v>
      </c>
      <c r="J13" s="127" t="n">
        <v>0.197405634150135</v>
      </c>
      <c r="K13" s="171" t="n"/>
      <c r="L13" s="171" t="n">
        <v>-0.1724563905637686</v>
      </c>
      <c r="M13" s="171" t="n">
        <v>-0.1552047654037896</v>
      </c>
      <c r="N13" s="286" t="n"/>
      <c r="O13" s="286" t="n"/>
      <c r="P13" s="49" t="n"/>
      <c r="Q13" s="50" t="n"/>
    </row>
    <row r="14">
      <c r="A14" s="101" t="inlineStr">
        <is>
          <t>Total Handheld</t>
        </is>
      </c>
      <c r="B14" s="300" t="n">
        <v>91.57233614980589</v>
      </c>
      <c r="C14" s="112" t="n">
        <v>-0.01285467682148778</v>
      </c>
      <c r="D14" s="104" t="n">
        <v>0.2186058572574012</v>
      </c>
      <c r="E14" s="116" t="n">
        <v>8758</v>
      </c>
      <c r="F14" s="112" t="n">
        <v>0.6080255484587614</v>
      </c>
      <c r="G14" s="112" t="n">
        <v>-0.1679650389511685</v>
      </c>
      <c r="H14" s="104" t="n">
        <v>-0.1171370967741936</v>
      </c>
      <c r="I14" s="103" t="n">
        <v>801990.52</v>
      </c>
      <c r="J14" s="129" t="n">
        <v>0.4138089023173243</v>
      </c>
      <c r="K14" s="170" t="n"/>
      <c r="L14" s="170" t="n">
        <v>-0.1786605794796304</v>
      </c>
      <c r="M14" s="170" t="n">
        <v>0.07586190502624213</v>
      </c>
      <c r="N14" s="286" t="n"/>
      <c r="O14" s="286" t="n"/>
      <c r="P14" s="49" t="n"/>
      <c r="Q14" s="50" t="n"/>
    </row>
    <row r="15" customFormat="1" s="191">
      <c r="A15" s="78" t="inlineStr">
        <is>
          <t>Total Other Tools</t>
        </is>
      </c>
      <c r="B15" s="301" t="n">
        <v>14.67683257918552</v>
      </c>
      <c r="C15" s="113" t="n">
        <v>-0.0596302071451944</v>
      </c>
      <c r="D15" s="107" t="n">
        <v>-0.04429438017872922</v>
      </c>
      <c r="E15" s="99" t="n">
        <v>221</v>
      </c>
      <c r="F15" s="113" t="n">
        <v>0.01534296028880866</v>
      </c>
      <c r="G15" s="113" t="n">
        <v>0.03755868544600949</v>
      </c>
      <c r="H15" s="107" t="n">
        <v>0.01376146788990829</v>
      </c>
      <c r="I15" s="76" t="n">
        <v>3243.58</v>
      </c>
      <c r="J15" s="130" t="n">
        <v>0.00167361364742619</v>
      </c>
      <c r="K15" s="174" t="n"/>
      <c r="L15" s="174" t="n">
        <v>-0.02431115389243177</v>
      </c>
      <c r="M15" s="174" t="n">
        <v>-0.03114246797935394</v>
      </c>
      <c r="N15" s="188" t="n"/>
      <c r="O15" s="188" t="n"/>
      <c r="P15" s="189" t="n"/>
      <c r="Q15" s="190" t="n"/>
    </row>
    <row r="16">
      <c r="A16" s="86" t="inlineStr">
        <is>
          <t>Total</t>
        </is>
      </c>
      <c r="B16" s="302" t="n">
        <v>134.5508025548459</v>
      </c>
      <c r="C16" s="109" t="n">
        <v>0.007870515188874272</v>
      </c>
      <c r="D16" s="108" t="n">
        <v>0.1930928824585836</v>
      </c>
      <c r="E16" s="100" t="n">
        <v>14404</v>
      </c>
      <c r="F16" s="109" t="n">
        <v>1</v>
      </c>
      <c r="G16" s="109" t="n">
        <v>-0.1065070405061721</v>
      </c>
      <c r="H16" s="108" t="n">
        <v>0.01536726349922457</v>
      </c>
      <c r="I16" s="85" t="n">
        <v>1938069.76</v>
      </c>
      <c r="J16" s="109" t="n">
        <v>1</v>
      </c>
      <c r="K16" s="172" t="n"/>
      <c r="L16" s="172" t="n">
        <v>-0.09947479059732367</v>
      </c>
      <c r="M16" s="172" t="n">
        <v>0.2114274551623738</v>
      </c>
      <c r="N16" s="286" t="n"/>
      <c r="O16" s="286" t="n"/>
      <c r="P16" s="49" t="n"/>
      <c r="Q16" s="50" t="n"/>
    </row>
    <row r="17">
      <c r="A17" s="29" t="n"/>
      <c r="B17" s="29" t="n"/>
      <c r="C17" s="321" t="n"/>
      <c r="D17" s="47" t="n"/>
      <c r="E17" s="48" t="n"/>
      <c r="F17" s="48" t="n"/>
      <c r="G17" s="48" t="n"/>
      <c r="H17" s="48" t="n"/>
      <c r="I17" s="49" t="n"/>
      <c r="J17" s="50" t="n"/>
    </row>
    <row r="18">
      <c r="A18" s="29" t="n"/>
      <c r="B18" s="29" t="n"/>
      <c r="C18" s="321" t="n"/>
      <c r="D18" s="47" t="n"/>
      <c r="E18" s="48" t="n"/>
      <c r="F18" s="48" t="n"/>
      <c r="G18" s="48" t="n"/>
      <c r="H18" s="48" t="n"/>
      <c r="I18" s="49" t="n"/>
      <c r="J18" s="50" t="n"/>
    </row>
    <row r="19">
      <c r="A19" s="29" t="n"/>
      <c r="B19" s="29" t="n"/>
      <c r="C19" s="321" t="n"/>
      <c r="D19" s="47" t="n"/>
      <c r="E19" s="48" t="n"/>
      <c r="F19" s="48" t="n"/>
      <c r="G19" s="48" t="n"/>
      <c r="H19" s="48" t="n"/>
      <c r="I19" s="49" t="n"/>
      <c r="J19" s="50" t="n"/>
    </row>
    <row r="20">
      <c r="A20" s="29" t="n"/>
      <c r="B20" s="29" t="n"/>
      <c r="C20" s="321" t="n"/>
      <c r="D20" s="47" t="n"/>
      <c r="E20" s="48" t="n"/>
      <c r="F20" s="48" t="n"/>
      <c r="G20" s="48" t="n"/>
      <c r="H20" s="48" t="n"/>
      <c r="I20" s="49" t="n"/>
      <c r="J20" s="50" t="n"/>
    </row>
    <row r="21">
      <c r="A21" s="29" t="n"/>
      <c r="B21" s="29" t="n"/>
      <c r="C21" s="321" t="n"/>
      <c r="D21" s="47" t="n"/>
      <c r="E21" s="48" t="n"/>
      <c r="F21" s="48" t="n"/>
      <c r="G21" s="48" t="n"/>
      <c r="H21" s="48" t="n"/>
      <c r="I21" s="49" t="n"/>
      <c r="J21" s="50" t="n"/>
    </row>
    <row r="22">
      <c r="A22" s="29" t="n"/>
      <c r="B22" s="29" t="n"/>
      <c r="C22" s="321" t="n"/>
      <c r="D22" s="47" t="n"/>
      <c r="E22" s="48" t="n"/>
      <c r="F22" s="48" t="n"/>
      <c r="G22" s="48" t="n"/>
      <c r="H22" s="48" t="n"/>
      <c r="I22" s="49" t="n"/>
      <c r="J22" s="50" t="n"/>
    </row>
    <row r="23">
      <c r="A23" s="29" t="n"/>
      <c r="B23" s="29" t="n"/>
      <c r="C23" s="321" t="n"/>
      <c r="D23" s="47" t="n"/>
      <c r="E23" s="48" t="n"/>
      <c r="F23" s="48" t="n"/>
      <c r="G23" s="48" t="n"/>
      <c r="H23" s="48" t="n"/>
      <c r="I23" s="49" t="n"/>
      <c r="J23" s="50" t="n"/>
    </row>
    <row r="24">
      <c r="A24" s="29" t="n"/>
      <c r="B24" s="29" t="n"/>
      <c r="C24" s="321" t="n"/>
      <c r="D24" s="47" t="n"/>
      <c r="E24" s="48" t="n"/>
      <c r="F24" s="48" t="n"/>
      <c r="G24" s="48" t="n"/>
      <c r="H24" s="48" t="n"/>
      <c r="I24" s="49" t="n"/>
      <c r="J24" s="50" t="n"/>
    </row>
    <row r="25">
      <c r="A25" s="29" t="n"/>
      <c r="B25" s="29" t="n"/>
      <c r="C25" s="321" t="n"/>
      <c r="D25" s="47" t="n"/>
      <c r="E25" s="48" t="n"/>
      <c r="F25" s="48" t="n"/>
      <c r="G25" s="48" t="n"/>
      <c r="H25" s="48" t="n"/>
      <c r="I25" s="49" t="n"/>
      <c r="J25" s="50" t="n"/>
    </row>
    <row r="26">
      <c r="A26" s="29" t="n"/>
      <c r="B26" s="29" t="n"/>
      <c r="C26" s="321" t="n"/>
      <c r="D26" s="47" t="n"/>
      <c r="E26" s="48" t="n"/>
      <c r="F26" s="48" t="n"/>
      <c r="G26" s="48" t="n"/>
      <c r="H26" s="48" t="n"/>
      <c r="I26" s="49" t="n"/>
      <c r="J26" s="50" t="n"/>
    </row>
    <row r="27">
      <c r="A27" s="29" t="n"/>
      <c r="B27" s="29" t="n"/>
      <c r="C27" s="321" t="n"/>
      <c r="D27" s="47" t="n"/>
      <c r="E27" s="48" t="n"/>
      <c r="F27" s="48" t="n"/>
      <c r="G27" s="48" t="n"/>
      <c r="H27" s="48" t="n"/>
      <c r="I27" s="49" t="n"/>
      <c r="J27" s="50" t="n"/>
    </row>
    <row r="28">
      <c r="A28" s="29" t="n"/>
      <c r="B28" s="29" t="n"/>
      <c r="C28" s="321" t="n"/>
      <c r="D28" s="47" t="n"/>
      <c r="E28" s="48" t="n"/>
      <c r="F28" s="48" t="n"/>
      <c r="G28" s="48" t="n"/>
      <c r="H28" s="48" t="n"/>
      <c r="I28" s="49" t="n"/>
      <c r="J28" s="50" t="n"/>
    </row>
    <row r="29">
      <c r="A29" s="29" t="n"/>
      <c r="B29" s="29" t="n"/>
      <c r="C29" s="321" t="n"/>
      <c r="D29" s="47" t="n"/>
      <c r="E29" s="48" t="n"/>
      <c r="F29" s="48" t="n"/>
      <c r="G29" s="48" t="n"/>
      <c r="H29" s="48" t="n"/>
      <c r="I29" s="49" t="n"/>
      <c r="J29" s="50" t="n"/>
    </row>
    <row r="30">
      <c r="A30" s="29" t="n"/>
      <c r="B30" s="29" t="n"/>
      <c r="C30" s="321" t="n"/>
      <c r="D30" s="47" t="n"/>
      <c r="E30" s="48" t="n"/>
      <c r="F30" s="48" t="n"/>
      <c r="G30" s="48" t="n"/>
      <c r="H30" s="48" t="n"/>
      <c r="I30" s="49" t="n"/>
      <c r="J30" s="50" t="n"/>
    </row>
    <row r="31">
      <c r="A31" s="29" t="n"/>
      <c r="B31" s="29" t="n"/>
      <c r="C31" s="321" t="n"/>
      <c r="D31" s="47" t="n"/>
      <c r="E31" s="48" t="n"/>
      <c r="F31" s="48" t="n"/>
      <c r="G31" s="48" t="n"/>
      <c r="H31" s="48" t="n"/>
      <c r="I31" s="49" t="n"/>
      <c r="J31" s="50" t="n"/>
    </row>
    <row r="32">
      <c r="A32" s="29" t="n"/>
      <c r="B32" s="29" t="n"/>
      <c r="C32" s="321" t="n"/>
      <c r="D32" s="47" t="n"/>
      <c r="E32" s="48" t="n"/>
      <c r="F32" s="48" t="n"/>
      <c r="G32" s="48" t="n"/>
      <c r="H32" s="48" t="n"/>
      <c r="I32" s="49" t="n"/>
      <c r="J32" s="50" t="n"/>
    </row>
    <row r="48">
      <c r="A48" s="283" t="inlineStr">
        <is>
          <t>Rank by Revenue</t>
        </is>
      </c>
    </row>
    <row r="49" ht="17" customHeight="1" s="290">
      <c r="A49" s="38" t="inlineStr">
        <is>
          <t>Product Name</t>
        </is>
      </c>
      <c r="B49" s="39" t="inlineStr">
        <is>
          <t>ASIN</t>
        </is>
      </c>
      <c r="C49" s="39" t="inlineStr">
        <is>
          <t>Type</t>
        </is>
      </c>
      <c r="D49" s="322" t="inlineStr">
        <is>
          <t>Avg Price</t>
        </is>
      </c>
      <c r="E49" s="41" t="inlineStr">
        <is>
          <t>Estimated 12mo Revenue</t>
        </is>
      </c>
      <c r="F49" s="39" t="inlineStr">
        <is>
          <t>Monthly Rev</t>
        </is>
      </c>
      <c r="G49" s="42" t="inlineStr">
        <is>
          <t>Estimated 12mo Units</t>
        </is>
      </c>
      <c r="H49" s="45" t="inlineStr">
        <is>
          <t>Monthly Units</t>
        </is>
      </c>
      <c r="I49" s="42" t="inlineStr">
        <is>
          <t># of Reviews</t>
        </is>
      </c>
      <c r="J49" s="43" t="inlineStr">
        <is>
          <t xml:space="preserve">Tool Rating </t>
        </is>
      </c>
      <c r="K49" s="43" t="inlineStr">
        <is>
          <t>Column1</t>
        </is>
      </c>
      <c r="L49" s="323" t="inlineStr">
        <is>
          <t>Link</t>
        </is>
      </c>
    </row>
    <row r="50" ht="30" customHeight="1" s="290">
      <c r="A50" s="30" t="inlineStr">
        <is>
          <t>FOXWELL Car Scanner NT604 Elite OBD2 Scanner ABS SRS Transmission, Check Engine Code Reader for Cars and Trucks, Diagnostic Scan Tool with SRS Airbag, Automotive Diagnostic Tool with Live Data</t>
        </is>
      </c>
      <c r="B50" s="30" t="inlineStr">
        <is>
          <t>B08PFJMTY3</t>
        </is>
      </c>
      <c r="C50" s="30" t="inlineStr">
        <is>
          <t>Tablet</t>
        </is>
      </c>
      <c r="D50" s="324" t="n">
        <v>151.7840725806452</v>
      </c>
      <c r="E50" s="53" t="n">
        <v>3376363.49</v>
      </c>
      <c r="F50" s="54" t="n">
        <v>414066.95</v>
      </c>
      <c r="G50" s="55" t="n">
        <v>21312</v>
      </c>
      <c r="H50" s="55" t="n">
        <v>2728</v>
      </c>
      <c r="I50" s="55" t="n">
        <v>4855</v>
      </c>
      <c r="J50" s="56" t="n">
        <v>4.4</v>
      </c>
      <c r="K50" s="56" t="inlineStr">
        <is>
          <t>https://amazon.com/dp/B08PFJMTY3</t>
        </is>
      </c>
      <c r="L50" s="70">
        <f>HYPERLINK(Table2720[[#This Row],[Column1]])</f>
        <v/>
      </c>
    </row>
    <row r="51" ht="45" customHeight="1" s="290">
      <c r="A51" s="30" t="inlineStr">
        <is>
          <t>FOXWELL NT301 OBD2 Scanner Live Data Professional Mechanic OBDII Diagnostic Code Reader Tool for Check Engine Light</t>
        </is>
      </c>
      <c r="B51" s="30" t="inlineStr">
        <is>
          <t>B00UJV3E12</t>
        </is>
      </c>
      <c r="C51" s="30" t="inlineStr">
        <is>
          <t>Handheld</t>
        </is>
      </c>
      <c r="D51" s="324" t="n">
        <v>65.66388878793386</v>
      </c>
      <c r="E51" s="53" t="n">
        <v>5143363.48</v>
      </c>
      <c r="F51" s="54" t="n">
        <v>361348.38</v>
      </c>
      <c r="G51" s="55" t="n">
        <v>78442</v>
      </c>
      <c r="H51" s="55" t="n">
        <v>5503</v>
      </c>
      <c r="I51" s="55" t="n">
        <v>29739</v>
      </c>
      <c r="J51" s="56" t="n">
        <v>4.5</v>
      </c>
      <c r="K51" s="56" t="inlineStr">
        <is>
          <t>https://amazon.com/dp/B00UJV3E12</t>
        </is>
      </c>
      <c r="L51" s="70">
        <f>HYPERLINK(Table2720[[#This Row],[Column1]])</f>
        <v/>
      </c>
    </row>
    <row r="52" ht="45" customHeight="1" s="290">
      <c r="A52" s="30" t="inlineStr">
        <is>
          <t>2026 FOXWELL NT614 Elite OBD2 Scanner with 5 Resets ABS Bleeding, SAS Calibration, Oil, EPB, Throttle, Upgrade of NT604 Code Reader Scan Tools, ABS SRS Engine Transmission Battery Test Car Scanner</t>
        </is>
      </c>
      <c r="B52" s="30" t="inlineStr">
        <is>
          <t>B08DCNDFVK</t>
        </is>
      </c>
      <c r="C52" s="30" t="inlineStr">
        <is>
          <t>Tablet</t>
        </is>
      </c>
      <c r="D52" s="324" t="n">
        <v>172.0034824667473</v>
      </c>
      <c r="E52" s="53" t="n">
        <v>1364440.86</v>
      </c>
      <c r="F52" s="54" t="n">
        <v>142246.88</v>
      </c>
      <c r="G52" s="55" t="n">
        <v>7671</v>
      </c>
      <c r="H52" s="55" t="n">
        <v>827</v>
      </c>
      <c r="I52" s="55" t="n">
        <v>714</v>
      </c>
      <c r="J52" s="56" t="n">
        <v>4.3</v>
      </c>
      <c r="K52" s="56" t="inlineStr">
        <is>
          <t>https://amazon.com/dp/B08DCNDFVK</t>
        </is>
      </c>
      <c r="L52" s="70">
        <f>HYPERLINK(Table2720[[#This Row],[Column1]])</f>
        <v/>
      </c>
    </row>
    <row r="53" ht="60" customHeight="1" s="290">
      <c r="A53" s="30" t="inlineStr">
        <is>
          <t>FOXWELL NT510 Elite Scan Tool fit for BMW Scanner Full Diagnostic Tool OBD2 Scanner, All System Bi-Directional Control Code Reader with All Reset Services, Battery Registration Tool fit for BMW Mini</t>
        </is>
      </c>
      <c r="B53" s="30" t="inlineStr">
        <is>
          <t>B019QCG5RE</t>
        </is>
      </c>
      <c r="C53" s="30" t="inlineStr">
        <is>
          <t>Handheld</t>
        </is>
      </c>
      <c r="D53" s="324" t="n">
        <v>177.8542630744849</v>
      </c>
      <c r="E53" s="53" t="n">
        <v>1336750.4</v>
      </c>
      <c r="F53" s="54" t="n">
        <v>112226.04</v>
      </c>
      <c r="G53" s="55" t="n">
        <v>7277</v>
      </c>
      <c r="H53" s="55" t="n">
        <v>631</v>
      </c>
      <c r="I53" s="55" t="n">
        <v>3143</v>
      </c>
      <c r="J53" s="56" t="n">
        <v>4.3</v>
      </c>
      <c r="K53" s="56" t="inlineStr">
        <is>
          <t>https://amazon.com/dp/B019QCG5RE</t>
        </is>
      </c>
      <c r="L53" s="70">
        <f>HYPERLINK(Table2720[[#This Row],[Column1]])</f>
        <v/>
      </c>
    </row>
    <row r="54" ht="45" customHeight="1" s="290">
      <c r="A54" s="30" t="inlineStr">
        <is>
          <t>FOXWELL Heavy Duty Truck Scanner - HD500 Diesel Scaner Diagnostic Tool with DPF Regeneration/Injector Cutoff, fit for Cummins, Detroit, Caterpillar, Paccar, Hino, Lifetime Free Update, Orange</t>
        </is>
      </c>
      <c r="B54" s="30" t="inlineStr">
        <is>
          <t>B01FDKGEOC</t>
        </is>
      </c>
      <c r="C54" s="30" t="inlineStr">
        <is>
          <t>Tablet</t>
        </is>
      </c>
      <c r="D54" s="324" t="n">
        <v>573.2038410596026</v>
      </c>
      <c r="E54" s="53" t="n">
        <v>530364.4038461539</v>
      </c>
      <c r="F54" s="54" t="n">
        <v>86553.78</v>
      </c>
      <c r="G54" s="55" t="n">
        <v>649</v>
      </c>
      <c r="H54" s="55" t="n">
        <v>151</v>
      </c>
      <c r="I54" s="55" t="n">
        <v>381</v>
      </c>
      <c r="J54" s="56" t="n">
        <v>4</v>
      </c>
      <c r="K54" s="56" t="inlineStr">
        <is>
          <t>https://amazon.com/dp/B01FDKGEOC</t>
        </is>
      </c>
      <c r="L54" s="70">
        <f>HYPERLINK(Table2720[[#This Row],[Column1]])</f>
        <v/>
      </c>
    </row>
    <row r="55" ht="45" customHeight="1" s="290">
      <c r="A55" s="30" t="inlineStr">
        <is>
          <t>2026 FOXWELL NT624 Elite OBD2 Scanner Upgraded from NT614Elite &amp; NT604Elite Code Reader, All-System OBD2 Scan Tool, 8 Advanced Reset Functions, AutoVIN, Live Data, Lifetime WiFi Free Updates</t>
        </is>
      </c>
      <c r="B55" s="30" t="inlineStr">
        <is>
          <t>B07X9JQSGZ</t>
        </is>
      </c>
      <c r="C55" s="30" t="inlineStr">
        <is>
          <t>Tablet</t>
        </is>
      </c>
      <c r="D55" s="324" t="n">
        <v>257.5856466876971</v>
      </c>
      <c r="E55" s="53" t="n">
        <v>927387.97</v>
      </c>
      <c r="F55" s="54" t="n">
        <v>81654.64999999999</v>
      </c>
      <c r="G55" s="55" t="n">
        <v>3628</v>
      </c>
      <c r="H55" s="55" t="n">
        <v>317</v>
      </c>
      <c r="I55" s="55" t="n">
        <v>2332</v>
      </c>
      <c r="J55" s="56" t="n">
        <v>4.2</v>
      </c>
      <c r="K55" s="56" t="inlineStr">
        <is>
          <t>https://amazon.com/dp/B07X9JQSGZ</t>
        </is>
      </c>
      <c r="L55" s="70">
        <f>HYPERLINK(Table2720[[#This Row],[Column1]])</f>
        <v/>
      </c>
    </row>
    <row r="56" ht="45" customHeight="1" s="290">
      <c r="A56" s="30" t="inlineStr">
        <is>
          <t>FOXWELL NT301 Plus 2-in-1 OBD2 Scanner Car Battery Tester, Professional Code Reader Check Engine Diagnostic Tool, 12V Automotive Cranking Charging Analyzer for 1996+ Vehicle, Upgrade from NT301</t>
        </is>
      </c>
      <c r="B56" s="30" t="inlineStr">
        <is>
          <t>B08JGK8PPM</t>
        </is>
      </c>
      <c r="C56" s="30" t="inlineStr">
        <is>
          <t>Handheld</t>
        </is>
      </c>
      <c r="D56" s="324" t="n">
        <v>88.99382252559728</v>
      </c>
      <c r="E56" s="53" t="n">
        <v>1303004.95</v>
      </c>
      <c r="F56" s="54" t="n">
        <v>78225.57000000001</v>
      </c>
      <c r="G56" s="55" t="n">
        <v>13776</v>
      </c>
      <c r="H56" s="55" t="n">
        <v>879</v>
      </c>
      <c r="I56" s="55" t="n">
        <v>2623</v>
      </c>
      <c r="J56" s="56" t="n">
        <v>4.5</v>
      </c>
      <c r="K56" s="56" t="inlineStr">
        <is>
          <t>https://amazon.com/dp/B08JGK8PPM</t>
        </is>
      </c>
      <c r="L56" s="70">
        <f>HYPERLINK(Table2720[[#This Row],[Column1]])</f>
        <v/>
      </c>
    </row>
    <row r="57" ht="45" customHeight="1" s="290">
      <c r="A57" s="30" t="inlineStr">
        <is>
          <t>2026 FOXWELL NT630 Plus OBD2 Scanner with ABS and SRS, ABS Code Reader Auto Bleed Scan Tool Brake SRS Scanner, Car Scanner Diagnostic Tool Bidirectional Live Data with SAS Oil Check Engine Light Reset</t>
        </is>
      </c>
      <c r="B57" s="30" t="inlineStr">
        <is>
          <t>B07CSMJJK9</t>
        </is>
      </c>
      <c r="C57" s="30" t="inlineStr">
        <is>
          <t>Handheld</t>
        </is>
      </c>
      <c r="D57" s="324" t="n">
        <v>147.1595465393795</v>
      </c>
      <c r="E57" s="53" t="n">
        <v>668336.6800000001</v>
      </c>
      <c r="F57" s="54" t="n">
        <v>61659.85</v>
      </c>
      <c r="G57" s="55" t="n">
        <v>4967</v>
      </c>
      <c r="H57" s="55" t="n">
        <v>419</v>
      </c>
      <c r="I57" s="55" t="n">
        <v>3950</v>
      </c>
      <c r="J57" s="56" t="n">
        <v>4.2</v>
      </c>
      <c r="K57" s="56" t="inlineStr">
        <is>
          <t>https://amazon.com/dp/B07CSMJJK9</t>
        </is>
      </c>
      <c r="L57" s="70">
        <f>HYPERLINK(Table2720[[#This Row],[Column1]])</f>
        <v/>
      </c>
    </row>
    <row r="58" ht="60" customHeight="1" s="290">
      <c r="A58" s="30" t="inlineStr">
        <is>
          <t>2026 FOXWELL NT716 Bidirectional OBD2 Scanner, 4-System Diagnostic Tool for ABS, SRS, Transmission &amp; Engine, 9 Reset, ABS Bleeding, AutoVIN, Live Data, Upgraded from NT6X4, Lifetime Free Updates,Black</t>
        </is>
      </c>
      <c r="B58" s="30" t="inlineStr">
        <is>
          <t>B015COS1EK</t>
        </is>
      </c>
      <c r="C58" s="30" t="inlineStr">
        <is>
          <t>Tablet</t>
        </is>
      </c>
      <c r="D58" s="324" t="n">
        <v>281.5308878504673</v>
      </c>
      <c r="E58" s="53" t="n">
        <v>621237.66</v>
      </c>
      <c r="F58" s="54" t="n">
        <v>60247.61</v>
      </c>
      <c r="G58" s="55" t="n">
        <v>2215</v>
      </c>
      <c r="H58" s="55" t="n">
        <v>214</v>
      </c>
      <c r="I58" s="55" t="n">
        <v>244</v>
      </c>
      <c r="J58" s="56" t="n">
        <v>4.4</v>
      </c>
      <c r="K58" s="56" t="inlineStr">
        <is>
          <t>https://amazon.com/dp/B015COS1EK</t>
        </is>
      </c>
      <c r="L58" s="70">
        <f>HYPERLINK(Table2720[[#This Row],[Column1]])</f>
        <v/>
      </c>
    </row>
    <row r="59" ht="45" customHeight="1" s="290">
      <c r="A59" s="30" t="inlineStr">
        <is>
          <t>2026 FOXWELL NT726 OBD2 Scanner Diagnostic Tool, All System Bidirectional Scan Tool with TOP 12 Resets, Precise Car Diagnostic Scanner for All Vehicles, CAN-FD, FCA Autoauth, Lifetime Update, AutoVIN</t>
        </is>
      </c>
      <c r="B59" s="30" t="inlineStr">
        <is>
          <t>B0F3XRK4P9</t>
        </is>
      </c>
      <c r="C59" s="30" t="inlineStr">
        <is>
          <t>Tablet</t>
        </is>
      </c>
      <c r="D59" s="324" t="n">
        <v>347.2091764705882</v>
      </c>
      <c r="E59" s="53" t="n">
        <v>683590.4446153846</v>
      </c>
      <c r="F59" s="54" t="n">
        <v>59025.56</v>
      </c>
      <c r="G59" s="55" t="n">
        <v>1630</v>
      </c>
      <c r="H59" s="55" t="n">
        <v>170</v>
      </c>
      <c r="I59" s="55" t="n">
        <v>244</v>
      </c>
      <c r="J59" s="56" t="n">
        <v>4.4</v>
      </c>
      <c r="K59" s="56" t="inlineStr">
        <is>
          <t>https://amazon.com/dp/B0F3XRK4P9</t>
        </is>
      </c>
      <c r="L59" s="70">
        <f>HYPERLINK(Table2720[[#This Row],[Column1]])</f>
        <v/>
      </c>
    </row>
    <row r="60" ht="45" customHeight="1" s="290">
      <c r="A60" s="30" t="inlineStr">
        <is>
          <t>2026 FOXWELL Scanner NT809BT OBD2 Scanner Diagnostic Tool with 30+Resets, All System Bidirectional Scan Tool for All Vehicles, CAN-FD, FCA Autoauth, 3-Yr Free Update, AutoVIN, Wireless 65-Foot, Black</t>
        </is>
      </c>
      <c r="B60" s="30" t="inlineStr">
        <is>
          <t>B0D2D5MMP5</t>
        </is>
      </c>
      <c r="C60" s="30" t="inlineStr">
        <is>
          <t>Tablet</t>
        </is>
      </c>
      <c r="D60" s="324" t="n">
        <v>462.7160784313726</v>
      </c>
      <c r="E60" s="53" t="n">
        <v>347417.2884615385</v>
      </c>
      <c r="F60" s="54" t="n">
        <v>47197.04</v>
      </c>
      <c r="G60" s="55" t="n">
        <v>655</v>
      </c>
      <c r="H60" s="55" t="n">
        <v>102</v>
      </c>
      <c r="I60" s="55" t="n">
        <v>260</v>
      </c>
      <c r="J60" s="56" t="n">
        <v>4.2</v>
      </c>
      <c r="K60" s="56" t="inlineStr">
        <is>
          <t>https://amazon.com/dp/B0D2D5MMP5</t>
        </is>
      </c>
      <c r="L60" s="70">
        <f>HYPERLINK(Table2720[[#This Row],[Column1]])</f>
        <v/>
      </c>
    </row>
    <row r="61" ht="45" customHeight="1" s="290">
      <c r="A61" s="30" t="inlineStr">
        <is>
          <t>2026 FOXWELL NT604 OBD2 Scanner, Engine/ABS/SRS/Transmission Comprehensive Car Diagnostic Tool, Code Reader for Cars and Trucks, Precise Scan Tool for All Vehicles, EN/ES, Lifetime Free Upd.,Live Data</t>
        </is>
      </c>
      <c r="B61" s="30" t="inlineStr">
        <is>
          <t>B096Y2B8LP</t>
        </is>
      </c>
      <c r="C61" s="30" t="inlineStr">
        <is>
          <t>Tablet</t>
        </is>
      </c>
      <c r="D61" s="324" t="n">
        <v>157.5356401384083</v>
      </c>
      <c r="E61" s="53" t="n">
        <v>584430.23</v>
      </c>
      <c r="F61" s="54" t="n">
        <v>45527.8</v>
      </c>
      <c r="G61" s="55" t="n">
        <v>3640</v>
      </c>
      <c r="H61" s="55" t="n">
        <v>289</v>
      </c>
      <c r="I61" s="55" t="n">
        <v>532</v>
      </c>
      <c r="J61" s="56" t="n">
        <v>4.4</v>
      </c>
      <c r="K61" s="56" t="inlineStr">
        <is>
          <t>https://amazon.com/dp/B096Y2B8LP</t>
        </is>
      </c>
      <c r="L61" s="70">
        <f>HYPERLINK(Table2720[[#This Row],[Column1]])</f>
        <v/>
      </c>
    </row>
    <row r="62" ht="45" customHeight="1" s="290">
      <c r="A62" s="30" t="inlineStr">
        <is>
          <t>FOXWELL NT510 Pro fit for BMW OBD2 Scanner with 12V Battery Tester, Full System Diagnostic Bi-Directional Control Scanner, All Reset Services with Battery Registration Scan Tool fit for BMW/Mini/RR</t>
        </is>
      </c>
      <c r="B62" s="30" t="inlineStr">
        <is>
          <t>B0FRD79DJT</t>
        </is>
      </c>
      <c r="C62" s="30" t="inlineStr">
        <is>
          <t>Handheld</t>
        </is>
      </c>
      <c r="D62" s="324" t="n">
        <v>223.6885858585858</v>
      </c>
      <c r="E62" s="53" t="n">
        <v>499039.2446153847</v>
      </c>
      <c r="F62" s="54" t="n">
        <v>44290.34</v>
      </c>
      <c r="G62" s="55" t="n">
        <v>1143</v>
      </c>
      <c r="H62" s="55" t="n">
        <v>198</v>
      </c>
      <c r="I62" s="55" t="n">
        <v>52</v>
      </c>
      <c r="J62" s="56" t="n">
        <v>4.3</v>
      </c>
      <c r="K62" s="56" t="inlineStr">
        <is>
          <t>https://amazon.com/dp/B0FRD79DJT</t>
        </is>
      </c>
      <c r="L62" s="70">
        <f>HYPERLINK(Table2720[[#This Row],[Column1]])</f>
        <v/>
      </c>
    </row>
    <row r="63" ht="45" customHeight="1" s="290">
      <c r="A63" s="30" t="inlineStr">
        <is>
          <t>FOXWELL NT710 Scan Tool fit for BMW, Full-System Diagnostic Tool with Bi-Directional Control, All Reset Services, Battery Registration &amp; ECU Coding fit for BMW/Mini/RR, Lifetime Free Update</t>
        </is>
      </c>
      <c r="B63" s="30" t="inlineStr">
        <is>
          <t>B0BG6SRKWK</t>
        </is>
      </c>
      <c r="C63" s="30" t="inlineStr">
        <is>
          <t>Tablet</t>
        </is>
      </c>
      <c r="D63" s="324" t="n">
        <v>329.6839024390244</v>
      </c>
      <c r="E63" s="53" t="n">
        <v>390487.8</v>
      </c>
      <c r="F63" s="54" t="n">
        <v>40551.12</v>
      </c>
      <c r="G63" s="55" t="n">
        <v>1226</v>
      </c>
      <c r="H63" s="55" t="n">
        <v>123</v>
      </c>
      <c r="I63" s="55" t="n">
        <v>244</v>
      </c>
      <c r="J63" s="56" t="n">
        <v>3.9</v>
      </c>
      <c r="K63" s="56" t="inlineStr">
        <is>
          <t>https://amazon.com/dp/B0BG6SRKWK</t>
        </is>
      </c>
      <c r="L63" s="70">
        <f>HYPERLINK(Table2720[[#This Row],[Column1]])</f>
        <v/>
      </c>
    </row>
    <row r="64" ht="45" customHeight="1" s="290">
      <c r="A64" s="30" t="inlineStr">
        <is>
          <t>FOXWELL NT510 Elite fit for Honda Acura OBD2 Scanner, Bidirectional Full System Engine ABS TCM SRS Diagnostic Scan Tool, All Reset Crankshaft Relearn Oil EPB TPS ABS Bleeding, Code Reader, Free Update</t>
        </is>
      </c>
      <c r="B64" s="30" t="inlineStr">
        <is>
          <t>B08B5RMFBG</t>
        </is>
      </c>
      <c r="C64" s="30" t="inlineStr">
        <is>
          <t>Handheld</t>
        </is>
      </c>
      <c r="D64" s="324" t="n">
        <v>189.7951006711409</v>
      </c>
      <c r="E64" s="53" t="n">
        <v>447923.07</v>
      </c>
      <c r="F64" s="54" t="n">
        <v>28279.47</v>
      </c>
      <c r="G64" s="55" t="n">
        <v>2351</v>
      </c>
      <c r="H64" s="55" t="n">
        <v>149</v>
      </c>
      <c r="I64" s="55" t="n">
        <v>466</v>
      </c>
      <c r="J64" s="56" t="n">
        <v>4.2</v>
      </c>
      <c r="K64" s="56" t="inlineStr">
        <is>
          <t>https://amazon.com/dp/B08B5RMFBG</t>
        </is>
      </c>
      <c r="L64" s="70">
        <f>HYPERLINK(Table2720[[#This Row],[Column1]])</f>
        <v/>
      </c>
    </row>
    <row r="65" ht="45" customHeight="1" s="290">
      <c r="A65" s="30" t="inlineStr">
        <is>
          <t>FOXWELL NT510 Elite fit for GM OBD2 Scanner, Bi-Directional All System Engine ABS SRS Diagnostic Scan Tool Code Reader for Chevrolet Cadillac GMC, All Reset Oil EPB TPS ABS Bleeding Crankshaft Relearn</t>
        </is>
      </c>
      <c r="B65" s="30" t="inlineStr">
        <is>
          <t>B014CT4M3K</t>
        </is>
      </c>
      <c r="C65" s="30" t="inlineStr">
        <is>
          <t>Handheld</t>
        </is>
      </c>
      <c r="D65" s="324" t="n">
        <v>185.2161832061069</v>
      </c>
      <c r="E65" s="53" t="n">
        <v>310692.4399999999</v>
      </c>
      <c r="F65" s="54" t="n">
        <v>24263.32</v>
      </c>
      <c r="G65" s="55" t="n">
        <v>1648</v>
      </c>
      <c r="H65" s="55" t="n">
        <v>131</v>
      </c>
      <c r="I65" s="55" t="n">
        <v>567</v>
      </c>
      <c r="J65" s="56" t="n">
        <v>4.1</v>
      </c>
      <c r="K65" s="56" t="inlineStr">
        <is>
          <t>https://amazon.com/dp/B014CT4M3K</t>
        </is>
      </c>
      <c r="L65" s="70">
        <f>HYPERLINK(Table2720[[#This Row],[Column1]])</f>
        <v/>
      </c>
    </row>
    <row r="66" ht="45" customHeight="1" s="290">
      <c r="A66" s="30" t="inlineStr">
        <is>
          <t>FOXWELL HD500 Heavy Duty Truck Scanner - Diesel Scanner with DPF Regen/Injector Cutoff/Limit Setting, Full System Diesel Diagnostic Scan Tool for Cummins, Detroit, Caterpillar, Paccar &amp; Pickup Trucks</t>
        </is>
      </c>
      <c r="B66" s="30" t="inlineStr">
        <is>
          <t>B0D7M4Q46L</t>
        </is>
      </c>
      <c r="C66" s="30" t="inlineStr">
        <is>
          <t>Tablet</t>
        </is>
      </c>
      <c r="D66" s="324" t="n">
        <v>573.8515</v>
      </c>
      <c r="E66" s="53" t="n">
        <v>855790.23</v>
      </c>
      <c r="F66" s="54" t="n">
        <v>22954.06</v>
      </c>
      <c r="G66" s="55" t="n">
        <v>1509</v>
      </c>
      <c r="H66" s="55" t="n">
        <v>40</v>
      </c>
      <c r="I66" s="55" t="n">
        <v>381</v>
      </c>
      <c r="J66" s="56" t="n">
        <v>4</v>
      </c>
      <c r="K66" s="56" t="inlineStr">
        <is>
          <t>https://amazon.com/dp/B0D7M4Q46L</t>
        </is>
      </c>
      <c r="L66" s="70">
        <f>HYPERLINK(Table2720[[#This Row],[Column1]])</f>
        <v/>
      </c>
    </row>
    <row r="67" ht="45" customHeight="1" s="290">
      <c r="A67" s="30" t="inlineStr">
        <is>
          <t>FOXWELL NT614 Elite OBD2 Scanner 4 System Code Reader Scan Engine ABS SRS Transmission, 5 Resets Oil/EPB/ABS Bleeding/SAS/Throttle Live Data, Auto VIN, WiFi Updates Car Diagnostic Tool for DIY &amp; Pros</t>
        </is>
      </c>
      <c r="B67" s="30" t="inlineStr">
        <is>
          <t>B085TG89H4</t>
        </is>
      </c>
      <c r="C67" s="30" t="inlineStr">
        <is>
          <t>Tablet</t>
        </is>
      </c>
      <c r="D67" s="324" t="n">
        <v>176.7968253968254</v>
      </c>
      <c r="E67" s="53" t="n">
        <v>408250.9600000001</v>
      </c>
      <c r="F67" s="54" t="n">
        <v>22276.4</v>
      </c>
      <c r="G67" s="55" t="n">
        <v>2233</v>
      </c>
      <c r="H67" s="55" t="n">
        <v>126</v>
      </c>
      <c r="I67" s="55" t="n">
        <v>1226</v>
      </c>
      <c r="J67" s="56" t="n">
        <v>4.3</v>
      </c>
      <c r="K67" s="56" t="inlineStr">
        <is>
          <t>https://amazon.com/dp/B085TG89H4</t>
        </is>
      </c>
      <c r="L67" s="70">
        <f>HYPERLINK(Table2720[[#This Row],[Column1]])</f>
        <v/>
      </c>
    </row>
    <row r="68" ht="45" customHeight="1" s="290">
      <c r="A68" s="30" t="inlineStr">
        <is>
          <t>2025 FOXWELL NT716 OBD2 Scanner Bidirectional Control 9+ Resets Scan Tool ABS SRS Transmission Engine Diagnostic Code Reader WiFi Update Injector Coding/D-P-F/BMS/ABS Bleed/Oil/EPB/TPMS/SAS/Throttle</t>
        </is>
      </c>
      <c r="B68" s="30" t="inlineStr">
        <is>
          <t>B09BJK6K4S</t>
        </is>
      </c>
      <c r="C68" s="30" t="inlineStr">
        <is>
          <t>Tablet</t>
        </is>
      </c>
      <c r="D68" s="324" t="n">
        <v>267.1559756097561</v>
      </c>
      <c r="E68" s="53" t="n">
        <v>144918.0723076923</v>
      </c>
      <c r="F68" s="54" t="n">
        <v>21906.79</v>
      </c>
      <c r="G68" s="55" t="n">
        <v>435</v>
      </c>
      <c r="H68" s="55" t="n">
        <v>82</v>
      </c>
      <c r="I68" s="55" t="n">
        <v>381</v>
      </c>
      <c r="J68" s="56" t="n">
        <v>4</v>
      </c>
      <c r="K68" s="56" t="inlineStr">
        <is>
          <t>https://amazon.com/dp/B09BJK6K4S</t>
        </is>
      </c>
      <c r="L68" s="70">
        <f>HYPERLINK(Table2720[[#This Row],[Column1]])</f>
        <v/>
      </c>
    </row>
    <row r="69" ht="45" customHeight="1" s="290">
      <c r="A69" s="30" t="inlineStr">
        <is>
          <t>FOXWELL NT201 OBD2 Scanner Code Reader for Cars and Trucks - Reset Check Engine Light, Read and Clear Fault Codes, Live Data Diagnostic Tool for All Cars Since 1996</t>
        </is>
      </c>
      <c r="B69" s="30" t="inlineStr">
        <is>
          <t>B01N6RKE29</t>
        </is>
      </c>
      <c r="C69" s="30" t="inlineStr">
        <is>
          <t>Handheld</t>
        </is>
      </c>
      <c r="D69" s="324" t="n">
        <v>42.64560240963855</v>
      </c>
      <c r="E69" s="53" t="n">
        <v>610138.87</v>
      </c>
      <c r="F69" s="54" t="n">
        <v>21237.51</v>
      </c>
      <c r="G69" s="55" t="n">
        <v>13702</v>
      </c>
      <c r="H69" s="55" t="n">
        <v>498</v>
      </c>
      <c r="I69" s="55" t="n">
        <v>9958</v>
      </c>
      <c r="J69" s="56" t="n">
        <v>4.5</v>
      </c>
      <c r="K69" s="56" t="inlineStr">
        <is>
          <t>https://amazon.com/dp/B01N6RKE29</t>
        </is>
      </c>
      <c r="L69" s="70">
        <f>HYPERLINK(Table2720[[#This Row],[Column1]])</f>
        <v/>
      </c>
    </row>
    <row r="70" ht="60" customHeight="1" s="290">
      <c r="A70" s="30" t="inlineStr">
        <is>
          <t>FOXWELL NT710 fit for Mercedes-Benz OBD2 Scanner, Full System Diagnostic Scan Tool, Bidirectional Control, All Free Resets Air Suspension/ABS Bleeding/Oil/SRS/EPB, Code Reader, Auto VIN, WiFi Update</t>
        </is>
      </c>
      <c r="B70" s="30" t="inlineStr">
        <is>
          <t>B0CHYGP6YB</t>
        </is>
      </c>
      <c r="C70" s="30" t="inlineStr">
        <is>
          <t>Tablet</t>
        </is>
      </c>
      <c r="D70" s="324" t="n">
        <v>327.3185483870968</v>
      </c>
      <c r="E70" s="53" t="n">
        <v>227181.43</v>
      </c>
      <c r="F70" s="54" t="n">
        <v>20293.75</v>
      </c>
      <c r="G70" s="55" t="n">
        <v>706</v>
      </c>
      <c r="H70" s="55" t="n">
        <v>62</v>
      </c>
      <c r="I70" s="55" t="n">
        <v>116</v>
      </c>
      <c r="J70" s="56" t="n">
        <v>3.9</v>
      </c>
      <c r="K70" s="56" t="inlineStr">
        <is>
          <t>https://amazon.com/dp/B0CHYGP6YB</t>
        </is>
      </c>
      <c r="L70" s="70">
        <f>HYPERLINK(Table2720[[#This Row],[Column1]])</f>
        <v/>
      </c>
    </row>
    <row r="71" ht="45" customHeight="1" s="290">
      <c r="A71" s="30" t="inlineStr">
        <is>
          <t>FOXWELL NT510 Elite OBD2 Scanner fit for Porsche Diagnostic Tool, Full System Bi-Directional Control Code Reader with All Reset Services, Oil Reset Scan Tool for Porsche, Battery Registration Tool</t>
        </is>
      </c>
      <c r="B71" s="30" t="inlineStr">
        <is>
          <t>B07Z5JS7B9</t>
        </is>
      </c>
      <c r="C71" s="30" t="inlineStr">
        <is>
          <t>Handheld</t>
        </is>
      </c>
      <c r="D71" s="324" t="n">
        <v>200.9270526315789</v>
      </c>
      <c r="E71" s="53" t="n">
        <v>213861.4</v>
      </c>
      <c r="F71" s="54" t="n">
        <v>19088.07</v>
      </c>
      <c r="G71" s="55" t="n">
        <v>1118</v>
      </c>
      <c r="H71" s="55" t="n">
        <v>95</v>
      </c>
      <c r="I71" s="55" t="n">
        <v>324</v>
      </c>
      <c r="J71" s="56" t="n">
        <v>3.9</v>
      </c>
      <c r="K71" s="56" t="inlineStr">
        <is>
          <t>https://amazon.com/dp/B07Z5JS7B9</t>
        </is>
      </c>
      <c r="L71" s="70">
        <f>HYPERLINK(Table2720[[#This Row],[Column1]])</f>
        <v/>
      </c>
    </row>
    <row r="72" ht="45" customHeight="1" s="290">
      <c r="A72" s="30" t="inlineStr">
        <is>
          <t>FOXWELL NT510 Pro fit for Porsche OBD2 Scanner with 12V Battery Tester, Full System Diagnostic Bidirectional Control Scanner with All Resets, 12V Battery Health Analyzer with Cranking &amp; Charging Test</t>
        </is>
      </c>
      <c r="B72" s="30" t="inlineStr">
        <is>
          <t>B0FRGB9RXV</t>
        </is>
      </c>
      <c r="C72" s="30" t="inlineStr">
        <is>
          <t>Handheld</t>
        </is>
      </c>
      <c r="D72" s="324" t="n">
        <v>237.754262295082</v>
      </c>
      <c r="E72" s="53" t="n">
        <v>185787.803076923</v>
      </c>
      <c r="F72" s="54" t="n">
        <v>14503.01</v>
      </c>
      <c r="G72" s="55" t="n">
        <v>443</v>
      </c>
      <c r="H72" s="55" t="n">
        <v>61</v>
      </c>
      <c r="I72" s="55" t="n">
        <v>36</v>
      </c>
      <c r="J72" s="56" t="n">
        <v>4.9</v>
      </c>
      <c r="K72" s="56" t="inlineStr">
        <is>
          <t>https://amazon.com/dp/B0FRGB9RXV</t>
        </is>
      </c>
      <c r="L72" s="70">
        <f>HYPERLINK(Table2720[[#This Row],[Column1]])</f>
        <v/>
      </c>
    </row>
    <row r="73" ht="45" customHeight="1" s="290">
      <c r="A73" s="30" t="inlineStr">
        <is>
          <t>2026 FOXWELL NT716 Bidirectional OBD2 Scanner – ABS, Airbag, Transmission, Engine Scanner with 9 Service Resets Including ABS Bleeding Oil Light, EPB, BMS, DPF, Lifetime Free Updates, Orange</t>
        </is>
      </c>
      <c r="B73" s="30" t="inlineStr">
        <is>
          <t>B0F4N3WQ38</t>
        </is>
      </c>
      <c r="C73" s="30" t="inlineStr">
        <is>
          <t>Tablet</t>
        </is>
      </c>
      <c r="D73" s="324" t="n">
        <v>301.7739583333333</v>
      </c>
      <c r="E73" s="53" t="n">
        <v>103530.9076923077</v>
      </c>
      <c r="F73" s="54" t="n">
        <v>14485.15</v>
      </c>
      <c r="G73" s="55" t="n">
        <v>308</v>
      </c>
      <c r="H73" s="55" t="n">
        <v>48</v>
      </c>
      <c r="I73" s="55" t="n">
        <v>244</v>
      </c>
      <c r="J73" s="56" t="n">
        <v>4.4</v>
      </c>
      <c r="K73" s="56" t="inlineStr">
        <is>
          <t>https://amazon.com/dp/B0F4N3WQ38</t>
        </is>
      </c>
      <c r="L73" s="70">
        <f>HYPERLINK(Table2720[[#This Row],[Column1]])</f>
        <v/>
      </c>
    </row>
    <row r="74" ht="45" customHeight="1" s="290">
      <c r="A74" s="30" t="inlineStr">
        <is>
          <t>FOXWELL NT710 Fit for GM Diagnostic Scan Tool, Bi-Directional All System OBD2 Scanner for Chevrolet Buick GMC Cadillac, All Resets Code Reader Oil EPB SAS TPMS ABS Bleeding Throttle Crankshaft Relearn</t>
        </is>
      </c>
      <c r="B74" s="30" t="inlineStr">
        <is>
          <t>B0CDGH4WFH</t>
        </is>
      </c>
      <c r="C74" s="30" t="inlineStr">
        <is>
          <t>Tablet</t>
        </is>
      </c>
      <c r="D74" s="324" t="n">
        <v>333.1205882352941</v>
      </c>
      <c r="E74" s="53" t="n">
        <v>151729.27</v>
      </c>
      <c r="F74" s="54" t="n">
        <v>11326.1</v>
      </c>
      <c r="G74" s="55" t="n">
        <v>466</v>
      </c>
      <c r="H74" s="55" t="n">
        <v>34</v>
      </c>
      <c r="I74" s="55" t="n">
        <v>73</v>
      </c>
      <c r="J74" s="56" t="n">
        <v>4.2</v>
      </c>
      <c r="K74" s="56" t="inlineStr">
        <is>
          <t>https://amazon.com/dp/B0CDGH4WFH</t>
        </is>
      </c>
      <c r="L74" s="70">
        <f>HYPERLINK(Table2720[[#This Row],[Column1]])</f>
        <v/>
      </c>
    </row>
    <row r="75" ht="45" customHeight="1" s="290">
      <c r="A75" s="30" t="inlineStr">
        <is>
          <t>FOXWELL NT1009 All-System Bi-Directional Scan Tool with All Reset Services, Topology Mapping, V.A.G Guide &amp; FCA SGW Support, CAN-FD DoIP Diagnostic Scanner for All Cars, 3-Year Free Updates</t>
        </is>
      </c>
      <c r="B75" s="30" t="inlineStr">
        <is>
          <t>B0D7Z2QF71</t>
        </is>
      </c>
      <c r="C75" s="30" t="inlineStr">
        <is>
          <t>Tablet</t>
        </is>
      </c>
      <c r="D75" s="324" t="n">
        <v>882.1508333333333</v>
      </c>
      <c r="E75" s="53" t="n">
        <v>262267.19</v>
      </c>
      <c r="F75" s="54" t="n">
        <v>10585.81</v>
      </c>
      <c r="G75" s="55" t="n">
        <v>299</v>
      </c>
      <c r="H75" s="55" t="n">
        <v>12</v>
      </c>
      <c r="I75" s="55" t="n">
        <v>270</v>
      </c>
      <c r="J75" s="56" t="n">
        <v>4.4</v>
      </c>
      <c r="K75" s="56" t="inlineStr">
        <is>
          <t>https://amazon.com/dp/B0D7Z2QF71</t>
        </is>
      </c>
      <c r="L75" s="70">
        <f>HYPERLINK(Table2720[[#This Row],[Column1]])</f>
        <v/>
      </c>
    </row>
    <row r="76" ht="45" customHeight="1" s="290">
      <c r="A76" s="30" t="inlineStr">
        <is>
          <t>2026 FOXWELL Scanner NT809BT OBD2 Scanner Diagnostic Tool with 30+Resets, All System Bidirectional Scan Tool for All Vehicles, CAN-FD, FCA Autoauth, 3-Yr Free Update, AutoVIN, Wireless 65-Foot, Orange</t>
        </is>
      </c>
      <c r="B76" s="30" t="inlineStr">
        <is>
          <t>B0DPZVGXS3</t>
        </is>
      </c>
      <c r="C76" s="30" t="inlineStr">
        <is>
          <t>Tablet</t>
        </is>
      </c>
      <c r="D76" s="324" t="n">
        <v>477.8831818181818</v>
      </c>
      <c r="E76" s="53" t="n">
        <v>349874.4099999999</v>
      </c>
      <c r="F76" s="54" t="n">
        <v>10513.43</v>
      </c>
      <c r="G76" s="55" t="n">
        <v>757</v>
      </c>
      <c r="H76" s="55" t="n">
        <v>22</v>
      </c>
      <c r="I76" s="55" t="n">
        <v>260</v>
      </c>
      <c r="J76" s="56" t="n">
        <v>4.2</v>
      </c>
      <c r="K76" s="56" t="inlineStr">
        <is>
          <t>https://amazon.com/dp/B0DPZVGXS3</t>
        </is>
      </c>
      <c r="L76" s="70">
        <f>HYPERLINK(Table2720[[#This Row],[Column1]])</f>
        <v/>
      </c>
    </row>
    <row r="77" ht="60" customHeight="1" s="290">
      <c r="A77" s="30" t="inlineStr">
        <is>
          <t>FOXWELL NT510 Elite Bi-Directional Scan Tool Fit for Mercedes-Benz Sprinter Smart Maybach, Full System Diagnostic Scan Tool OBD2 Scanner, Full Reset Services ABS SRS EPB, Auto Vin, Free Update</t>
        </is>
      </c>
      <c r="B77" s="30" t="inlineStr">
        <is>
          <t>B07XL3HK8W</t>
        </is>
      </c>
      <c r="C77" s="30" t="inlineStr">
        <is>
          <t>Handheld</t>
        </is>
      </c>
      <c r="D77" s="324" t="n">
        <v>200.2238095238095</v>
      </c>
      <c r="E77" s="53" t="n">
        <v>109339.9530769231</v>
      </c>
      <c r="F77" s="54" t="n">
        <v>8409.4</v>
      </c>
      <c r="G77" s="55" t="n">
        <v>508</v>
      </c>
      <c r="H77" s="55" t="n">
        <v>42</v>
      </c>
      <c r="I77" s="55" t="n">
        <v>530</v>
      </c>
      <c r="J77" s="56" t="n">
        <v>4.2</v>
      </c>
      <c r="K77" s="56" t="inlineStr">
        <is>
          <t>https://amazon.com/dp/B07XL3HK8W</t>
        </is>
      </c>
      <c r="L77" s="70">
        <f>HYPERLINK(Table2720[[#This Row],[Column1]])</f>
        <v/>
      </c>
    </row>
    <row r="78" ht="45" customHeight="1" s="290">
      <c r="A78" s="30" t="inlineStr">
        <is>
          <t>2026 2-in-1 FOXWELL NT630 Pro ABS SRS Scan Tool &amp; Battery Tester, Upgraded from NT630 Plus, OBD2 Scanner with 12V Battery Load Analyzer(100-3000CCA), ABS Bleed, BMS/Oil/SAS/EPB Reset, Live Data</t>
        </is>
      </c>
      <c r="B78" s="30" t="inlineStr">
        <is>
          <t>B0DDQ6MX9M</t>
        </is>
      </c>
      <c r="C78" s="30" t="inlineStr">
        <is>
          <t>Handheld</t>
        </is>
      </c>
      <c r="D78" s="324" t="n">
        <v>191.0895348837209</v>
      </c>
      <c r="E78" s="53" t="n">
        <v>345698.14</v>
      </c>
      <c r="F78" s="54" t="n">
        <v>8216.85</v>
      </c>
      <c r="G78" s="55" t="n">
        <v>1799</v>
      </c>
      <c r="H78" s="55" t="n">
        <v>43</v>
      </c>
      <c r="I78" s="55" t="n">
        <v>134</v>
      </c>
      <c r="J78" s="56" t="n">
        <v>4.4</v>
      </c>
      <c r="K78" s="56" t="inlineStr">
        <is>
          <t>https://amazon.com/dp/B0DDQ6MX9M</t>
        </is>
      </c>
      <c r="L78" s="70">
        <f>HYPERLINK(Table2720[[#This Row],[Column1]])</f>
        <v/>
      </c>
    </row>
    <row r="79" ht="45" customHeight="1" s="290">
      <c r="A79" s="30" t="inlineStr">
        <is>
          <t>2026 FOXWELL NT630 Plus OBD2 Scanner with ABS and SRS, ABS Auto Bleed Scan Tool, Brake Code Reader with Live Data, Bidirectional Control &amp; SAS Oil EPB Reset Diagnostic Tool</t>
        </is>
      </c>
      <c r="B79" s="30" t="inlineStr">
        <is>
          <t>B08GXDMC7N</t>
        </is>
      </c>
      <c r="C79" s="30" t="inlineStr">
        <is>
          <t>Handheld</t>
        </is>
      </c>
      <c r="D79" s="324" t="n">
        <v>149.504</v>
      </c>
      <c r="E79" s="53" t="n">
        <v>189993.25</v>
      </c>
      <c r="F79" s="54" t="n">
        <v>7475.2</v>
      </c>
      <c r="G79" s="55" t="n">
        <v>1283</v>
      </c>
      <c r="H79" s="55" t="n">
        <v>50</v>
      </c>
      <c r="I79" s="55" t="n">
        <v>507</v>
      </c>
      <c r="J79" s="56" t="n">
        <v>4.1</v>
      </c>
      <c r="K79" s="56" t="inlineStr">
        <is>
          <t>https://amazon.com/dp/B08GXDMC7N</t>
        </is>
      </c>
      <c r="L79" s="70">
        <f>HYPERLINK(Table2720[[#This Row],[Column1]])</f>
        <v/>
      </c>
    </row>
    <row r="80" ht="45" customHeight="1" s="290">
      <c r="A80" s="30" t="inlineStr">
        <is>
          <t>2026 FOXWELL Scanner NT726 OBD2 Scanner All System Scan Tool 12+ Service Resets, Diagnostic Tool with ABS Bleeding, Oil Reset, Injector Coding, SAS &amp; TPMS, Active Test, Lifetime Free Update</t>
        </is>
      </c>
      <c r="B80" s="30" t="inlineStr">
        <is>
          <t>B09BNDS4VD</t>
        </is>
      </c>
      <c r="C80" s="30" t="inlineStr">
        <is>
          <t>Tablet</t>
        </is>
      </c>
      <c r="D80" s="324" t="n">
        <v>383.9464705882353</v>
      </c>
      <c r="E80" s="53" t="n">
        <v>115632.1761538462</v>
      </c>
      <c r="F80" s="54" t="n">
        <v>6527.09</v>
      </c>
      <c r="G80" s="55" t="n">
        <v>289</v>
      </c>
      <c r="H80" s="55" t="n">
        <v>17</v>
      </c>
      <c r="I80" s="55" t="n">
        <v>252</v>
      </c>
      <c r="J80" s="56" t="n">
        <v>4.1</v>
      </c>
      <c r="K80" s="56" t="inlineStr">
        <is>
          <t>https://amazon.com/dp/B09BNDS4VD</t>
        </is>
      </c>
      <c r="L80" s="70">
        <f>HYPERLINK(Table2720[[#This Row],[Column1]])</f>
        <v/>
      </c>
    </row>
    <row r="81" ht="45" customHeight="1" s="290">
      <c r="A81" s="30" t="inlineStr">
        <is>
          <t>FOXWELL HD301 Heavy Duty Truck Scanner, Full System Diesel Scan Tool with 6/9/16 Pin, 2 in 1 Code Reader for Trucks &amp; Car Engine, Diesel Diagnostic Tool for Cummins, Paccar, Caterpillar</t>
        </is>
      </c>
      <c r="B81" s="30" t="inlineStr">
        <is>
          <t>B0GS5TPTST</t>
        </is>
      </c>
      <c r="C81" s="30" t="inlineStr">
        <is>
          <t>Tablet</t>
        </is>
      </c>
      <c r="D81" s="324" t="n">
        <v>197.5257575757576</v>
      </c>
      <c r="E81" s="53" t="n">
        <v>78721.61153846156</v>
      </c>
      <c r="F81" s="54" t="n">
        <v>6518.35</v>
      </c>
      <c r="G81" s="55" t="n">
        <v>33</v>
      </c>
      <c r="H81" s="55" t="n">
        <v>33</v>
      </c>
      <c r="I81" s="55" t="n"/>
      <c r="J81" s="56" t="n"/>
      <c r="K81" s="56" t="inlineStr">
        <is>
          <t>https://amazon.com/dp/B0GS5TPTST</t>
        </is>
      </c>
      <c r="L81" s="70">
        <f>HYPERLINK(Table2720[[#This Row],[Column1]])</f>
        <v/>
      </c>
    </row>
    <row r="82" ht="45" customHeight="1" s="290">
      <c r="A82" s="30" t="inlineStr">
        <is>
          <t>FOXWELL NT510 Pro fit for GM Scan Tool, 2-in-1 OBD2 Scanner &amp; 12V Battery Tester, All Systems Diagnostic &amp; Bi-Directional Control, Crankshaft Sensor Relearn, fit for Chevrolet Buick Cadillac GMC</t>
        </is>
      </c>
      <c r="B82" s="30" t="inlineStr">
        <is>
          <t>B0FRLSSTDC</t>
        </is>
      </c>
      <c r="C82" s="30" t="inlineStr">
        <is>
          <t>Handheld</t>
        </is>
      </c>
      <c r="D82" s="324" t="n">
        <v>238.4281481481482</v>
      </c>
      <c r="E82" s="53" t="n">
        <v>108732.6715384616</v>
      </c>
      <c r="F82" s="54" t="n">
        <v>6437.56</v>
      </c>
      <c r="G82" s="55" t="n">
        <v>285</v>
      </c>
      <c r="H82" s="55" t="n">
        <v>27</v>
      </c>
      <c r="I82" s="55" t="n">
        <v>38</v>
      </c>
      <c r="J82" s="56" t="n">
        <v>3.8</v>
      </c>
      <c r="K82" s="56" t="inlineStr">
        <is>
          <t>https://amazon.com/dp/B0FRLSSTDC</t>
        </is>
      </c>
      <c r="L82" s="70">
        <f>HYPERLINK(Table2720[[#This Row],[Column1]])</f>
        <v/>
      </c>
    </row>
    <row r="83" ht="45" customHeight="1" s="290">
      <c r="A83" s="30" t="inlineStr">
        <is>
          <t>FOXWELL NT510 Elite fit for Chrysler Jeep Dodge Scan Tool, All System OBD2 Scanner Bidirectional Diagnostic Tool, All Maintenance Car Code Reader with ABS Bleeding TPMS Battery Registration Reset Tool</t>
        </is>
      </c>
      <c r="B83" s="30" t="inlineStr">
        <is>
          <t>B07XK1P8ZT</t>
        </is>
      </c>
      <c r="C83" s="30" t="inlineStr">
        <is>
          <t>Handheld</t>
        </is>
      </c>
      <c r="D83" s="324" t="n">
        <v>200.2076666666667</v>
      </c>
      <c r="E83" s="53" t="n">
        <v>134929.56</v>
      </c>
      <c r="F83" s="54" t="n">
        <v>6006.23</v>
      </c>
      <c r="G83" s="55" t="n">
        <v>673</v>
      </c>
      <c r="H83" s="55" t="n">
        <v>30</v>
      </c>
      <c r="I83" s="55" t="n">
        <v>228</v>
      </c>
      <c r="J83" s="56" t="n">
        <v>4.1</v>
      </c>
      <c r="K83" s="56" t="inlineStr">
        <is>
          <t>https://amazon.com/dp/B07XK1P8ZT</t>
        </is>
      </c>
      <c r="L83" s="70">
        <f>HYPERLINK(Table2720[[#This Row],[Column1]])</f>
        <v/>
      </c>
    </row>
    <row r="84" ht="45" customHeight="1" s="290">
      <c r="A84" s="30" t="inlineStr">
        <is>
          <t>2026 FOXWELL NT624 Elite OBD2 Scanner, All System with 8 Resets ABS Bleeding/SAS/Oil/TPS/EPB/BRT/Injector/D-P-F Resets Battery Test Upgrade of NT614 Elite Car Code Reader Scan Tool for All Cars</t>
        </is>
      </c>
      <c r="B84" s="30" t="inlineStr">
        <is>
          <t>B082X38C7G</t>
        </is>
      </c>
      <c r="C84" s="30" t="inlineStr">
        <is>
          <t>Tablet</t>
        </is>
      </c>
      <c r="D84" s="324" t="n">
        <v>264.625</v>
      </c>
      <c r="E84" s="53" t="n">
        <v>83181.17000000001</v>
      </c>
      <c r="F84" s="54" t="n">
        <v>4763.25</v>
      </c>
      <c r="G84" s="55" t="n">
        <v>309</v>
      </c>
      <c r="H84" s="55" t="n">
        <v>18</v>
      </c>
      <c r="I84" s="55" t="n">
        <v>299</v>
      </c>
      <c r="J84" s="56" t="n">
        <v>4</v>
      </c>
      <c r="K84" s="56" t="inlineStr">
        <is>
          <t>https://amazon.com/dp/B082X38C7G</t>
        </is>
      </c>
      <c r="L84" s="70">
        <f>HYPERLINK(Table2720[[#This Row],[Column1]])</f>
        <v/>
      </c>
    </row>
    <row r="85" ht="30" customHeight="1" s="290">
      <c r="A85" s="30" t="inlineStr">
        <is>
          <t>2026 FOXWELL NT726 Bidirectional Scan Tool, All System OBD2 Scanner Diagnostic Tool, Car Code Reader for All Models with 12 Resets, ABS Bleeding, Oil/EPB/SAS/D-PF/TPMS/Injector/Throttle, EN/ES Ver</t>
        </is>
      </c>
      <c r="B85" s="30" t="inlineStr">
        <is>
          <t>B09SGDN3BQ</t>
        </is>
      </c>
      <c r="C85" s="30" t="inlineStr">
        <is>
          <t>Tablet</t>
        </is>
      </c>
      <c r="D85" s="324" t="n">
        <v>361.409</v>
      </c>
      <c r="E85" s="53" t="n">
        <v>73882.5</v>
      </c>
      <c r="F85" s="54" t="n">
        <v>3614.09</v>
      </c>
      <c r="G85" s="55" t="n">
        <v>195</v>
      </c>
      <c r="H85" s="55" t="n">
        <v>10</v>
      </c>
      <c r="I85" s="55" t="n">
        <v>97</v>
      </c>
      <c r="J85" s="56" t="n">
        <v>4.1</v>
      </c>
      <c r="K85" s="56" t="inlineStr">
        <is>
          <t>https://amazon.com/dp/B09SGDN3BQ</t>
        </is>
      </c>
      <c r="L85" s="70">
        <f>HYPERLINK(Table2720[[#This Row],[Column1]])</f>
        <v/>
      </c>
    </row>
    <row r="86" ht="30" customHeight="1" s="290">
      <c r="A86" s="30" t="inlineStr">
        <is>
          <t>FOXWELL NT301 CASE OBD2 Scanner Professional Enhanced OBDII Diagnostic Box</t>
        </is>
      </c>
      <c r="B86" s="30" t="inlineStr">
        <is>
          <t>B07G3V17VH</t>
        </is>
      </c>
      <c r="C86" s="30" t="inlineStr">
        <is>
          <t>Other</t>
        </is>
      </c>
      <c r="D86" s="324" t="n">
        <v>19.86545454545454</v>
      </c>
      <c r="E86" s="53" t="n">
        <v>24335.586</v>
      </c>
      <c r="F86" s="54" t="n">
        <v>1092.6</v>
      </c>
      <c r="G86" s="55" t="n">
        <v>1218</v>
      </c>
      <c r="H86" s="55" t="n">
        <v>55</v>
      </c>
      <c r="I86" s="55" t="n">
        <v>3219</v>
      </c>
      <c r="J86" s="56" t="n">
        <v>4.6</v>
      </c>
      <c r="K86" s="56" t="inlineStr">
        <is>
          <t>https://amazon.com/dp/B07G3V17VH</t>
        </is>
      </c>
      <c r="L86" s="70">
        <f>HYPERLINK(Table2720[[#This Row],[Column1]])</f>
        <v/>
      </c>
    </row>
    <row r="87" ht="30" customHeight="1" s="290">
      <c r="A87" s="30" t="inlineStr">
        <is>
          <t>FOXWELL OBD2 OBD II 16Pin Male to Female Diagnostic Extension Convert Cable Adapter 1m/ 39inch</t>
        </is>
      </c>
      <c r="B87" s="30" t="inlineStr">
        <is>
          <t>B09JSCN1LX</t>
        </is>
      </c>
      <c r="C87" s="30" t="inlineStr">
        <is>
          <t>Cable/Adapter</t>
        </is>
      </c>
      <c r="D87" s="324" t="n">
        <v>13.03621951219512</v>
      </c>
      <c r="E87" s="53" t="n">
        <v>11227.45</v>
      </c>
      <c r="F87" s="54" t="n">
        <v>1068.97</v>
      </c>
      <c r="G87" s="55" t="n">
        <v>863</v>
      </c>
      <c r="H87" s="55" t="n">
        <v>82</v>
      </c>
      <c r="I87" s="55" t="n">
        <v>312</v>
      </c>
      <c r="J87" s="56" t="n">
        <v>4.6</v>
      </c>
      <c r="K87" s="56" t="inlineStr">
        <is>
          <t>https://amazon.com/dp/B09JSCN1LX</t>
        </is>
      </c>
      <c r="L87" s="70">
        <f>HYPERLINK(Table2720[[#This Row],[Column1]])</f>
        <v/>
      </c>
    </row>
    <row r="88" ht="30" customHeight="1" s="290">
      <c r="A88" s="30" t="inlineStr">
        <is>
          <t>FOXWELL OBD2 Female to 20pin Extension Convert Adapter OBD1 to OBDII Cable -16pin to 20pin Cable (11 Inch)</t>
        </is>
      </c>
      <c r="B88" s="30" t="inlineStr">
        <is>
          <t>B00UC11M4A</t>
        </is>
      </c>
      <c r="C88" s="30" t="inlineStr">
        <is>
          <t>Cable/Adapter</t>
        </is>
      </c>
      <c r="D88" s="324" t="n">
        <v>12.95974358974359</v>
      </c>
      <c r="E88" s="53" t="n">
        <v>8964.459999999999</v>
      </c>
      <c r="F88" s="54" t="n">
        <v>505.43</v>
      </c>
      <c r="G88" s="55" t="n">
        <v>692</v>
      </c>
      <c r="H88" s="55" t="n">
        <v>39</v>
      </c>
      <c r="I88" s="55" t="n">
        <v>228</v>
      </c>
      <c r="J88" s="56" t="n">
        <v>4.5</v>
      </c>
      <c r="K88" s="56" t="inlineStr">
        <is>
          <t>https://amazon.com/dp/B00UC11M4A</t>
        </is>
      </c>
      <c r="L88" s="70">
        <f>HYPERLINK(Table2720[[#This Row],[Column1]])</f>
        <v/>
      </c>
    </row>
    <row r="89" ht="30" customHeight="1" s="290">
      <c r="A89" s="30" t="inlineStr">
        <is>
          <t>FOXWELL NT530 for Porsche 997 Multi-System OBD2 Diagnostic Scanner SRS ABS DPF EPB Airbag TPMS Battery Reset</t>
        </is>
      </c>
      <c r="B89" s="30" t="inlineStr">
        <is>
          <t>B07XQLXP66</t>
        </is>
      </c>
      <c r="C89" s="30" t="inlineStr">
        <is>
          <t>Handheld</t>
        </is>
      </c>
      <c r="D89" s="324" t="n">
        <v>161.86</v>
      </c>
      <c r="E89" s="53" t="n">
        <v>3846.872307692308</v>
      </c>
      <c r="F89" s="54" t="n">
        <v>323.72</v>
      </c>
      <c r="G89" s="55" t="n">
        <v>14</v>
      </c>
      <c r="H89" s="55" t="n">
        <v>2</v>
      </c>
      <c r="I89" s="55" t="n">
        <v>19</v>
      </c>
      <c r="J89" s="56" t="n">
        <v>4.4</v>
      </c>
      <c r="K89" s="56" t="inlineStr">
        <is>
          <t>https://amazon.com/dp/B07XQLXP66</t>
        </is>
      </c>
      <c r="L89" s="70">
        <f>HYPERLINK(Table2720[[#This Row],[Column1]])</f>
        <v/>
      </c>
    </row>
    <row r="90" ht="45" customHeight="1" s="290">
      <c r="A90" s="30" t="inlineStr">
        <is>
          <t>FOXWELL OBD2 OBD II 16Pin Male to Female Diagnostic Extension Convert Cable 65cm/25.59”</t>
        </is>
      </c>
      <c r="B90" s="30" t="inlineStr">
        <is>
          <t>B09M8CPNBJ</t>
        </is>
      </c>
      <c r="C90" s="30" t="inlineStr">
        <is>
          <t>Cable/Adapter</t>
        </is>
      </c>
      <c r="D90" s="324" t="n">
        <v>13.219375</v>
      </c>
      <c r="E90" s="53" t="n">
        <v>4689.599999999999</v>
      </c>
      <c r="F90" s="54" t="n">
        <v>211.51</v>
      </c>
      <c r="G90" s="55" t="n">
        <v>363</v>
      </c>
      <c r="H90" s="55" t="n">
        <v>16</v>
      </c>
      <c r="I90" s="55" t="n">
        <v>140</v>
      </c>
      <c r="J90" s="56" t="n">
        <v>4.6</v>
      </c>
      <c r="K90" s="56" t="inlineStr">
        <is>
          <t>https://amazon.com/dp/B09M8CPNBJ</t>
        </is>
      </c>
      <c r="L90" s="70">
        <f>HYPERLINK(Table2720[[#This Row],[Column1]])</f>
        <v/>
      </c>
    </row>
    <row r="91" ht="30" customHeight="1" s="290">
      <c r="A91" s="30" t="inlineStr">
        <is>
          <t>Foxwell NT301/NT201 OBD2 Extension Cable 16pin Male to Female Diagnostic Universal OBD II Convert Cable</t>
        </is>
      </c>
      <c r="B91" s="30" t="inlineStr">
        <is>
          <t>B08Y1XCP9Z</t>
        </is>
      </c>
      <c r="C91" s="30" t="inlineStr">
        <is>
          <t>Cable/Adapter</t>
        </is>
      </c>
      <c r="D91" s="324" t="n">
        <v>10.85866666666667</v>
      </c>
      <c r="E91" s="53" t="n">
        <v>3522.94</v>
      </c>
      <c r="F91" s="54" t="n">
        <v>162.88</v>
      </c>
      <c r="G91" s="55" t="n">
        <v>321</v>
      </c>
      <c r="H91" s="55" t="n">
        <v>15</v>
      </c>
      <c r="I91" s="55" t="n">
        <v>439</v>
      </c>
      <c r="J91" s="56" t="n">
        <v>4.5</v>
      </c>
      <c r="K91" s="56" t="inlineStr">
        <is>
          <t>https://amazon.com/dp/B08Y1XCP9Z</t>
        </is>
      </c>
      <c r="L91" s="70">
        <f>HYPERLINK(Table2720[[#This Row],[Column1]])</f>
        <v/>
      </c>
    </row>
    <row r="92" ht="30" customHeight="1" s="290">
      <c r="A92" s="30" t="inlineStr">
        <is>
          <t>FOXWELL Case for NT201/NT301/NT301 Plus OBD2 Scanner, Protective Carring Case for Handle-Size Code Reader and Battery Tester</t>
        </is>
      </c>
      <c r="B92" s="30" t="inlineStr">
        <is>
          <t>B07K6K2Y8W</t>
        </is>
      </c>
      <c r="C92" s="30" t="inlineStr">
        <is>
          <t>Other</t>
        </is>
      </c>
      <c r="D92" s="324" t="n">
        <v>19.97333333333333</v>
      </c>
      <c r="E92" s="53" t="n">
        <v>4856.59</v>
      </c>
      <c r="F92" s="54" t="n">
        <v>119.84</v>
      </c>
      <c r="G92" s="55" t="n">
        <v>246</v>
      </c>
      <c r="H92" s="55" t="n">
        <v>6</v>
      </c>
      <c r="I92" s="55" t="n">
        <v>436</v>
      </c>
      <c r="J92" s="56" t="n">
        <v>4.6</v>
      </c>
      <c r="K92" s="56" t="inlineStr">
        <is>
          <t>https://amazon.com/dp/B07K6K2Y8W</t>
        </is>
      </c>
      <c r="L92" s="70">
        <f>HYPERLINK(Table2720[[#This Row],[Column1]])</f>
        <v/>
      </c>
    </row>
    <row r="93" ht="45" customHeight="1" s="290">
      <c r="A93" s="30" t="inlineStr">
        <is>
          <t>FOXWELL OBD2 Extension Cable for NT201 NT301 NT301Plus and Most OBD2 Scanners, 16Pin Male to Female Extension Convert Cable, 2FT/60CM</t>
        </is>
      </c>
      <c r="B93" s="30" t="inlineStr">
        <is>
          <t>B00UC11PDS</t>
        </is>
      </c>
      <c r="C93" s="30" t="inlineStr">
        <is>
          <t>Cable/Adapter</t>
        </is>
      </c>
      <c r="D93" s="324" t="n">
        <v>10.29375</v>
      </c>
      <c r="E93" s="53" t="n">
        <v>758.77</v>
      </c>
      <c r="F93" s="54" t="n">
        <v>82.34999999999999</v>
      </c>
      <c r="G93" s="55" t="n">
        <v>70</v>
      </c>
      <c r="H93" s="55" t="n">
        <v>8</v>
      </c>
      <c r="I93" s="55" t="n">
        <v>713</v>
      </c>
      <c r="J93" s="56" t="n">
        <v>4.5</v>
      </c>
      <c r="K93" s="56" t="inlineStr">
        <is>
          <t>https://amazon.com/dp/B00UC11PDS</t>
        </is>
      </c>
      <c r="L93" s="70">
        <f>HYPERLINK(Table2720[[#This Row],[Column1]])</f>
        <v/>
      </c>
    </row>
    <row r="94" ht="30" customHeight="1" s="290">
      <c r="A94" s="30" t="inlineStr">
        <is>
          <t>FOXWELL NT650 Elite OBD2 Scanner with ABS and SRS Full Function</t>
        </is>
      </c>
      <c r="B94" s="30" t="inlineStr">
        <is>
          <t>B0854FNLTD</t>
        </is>
      </c>
      <c r="C94" s="30" t="inlineStr">
        <is>
          <t>Handheld</t>
        </is>
      </c>
      <c r="D94" s="324" t="n">
        <v>326.48</v>
      </c>
      <c r="E94" s="53" t="n">
        <v>59056.89</v>
      </c>
      <c r="F94" s="54" t="n">
        <v>0</v>
      </c>
      <c r="G94" s="55" t="n">
        <v>226</v>
      </c>
      <c r="H94" s="55" t="n">
        <v>0</v>
      </c>
      <c r="I94" s="55" t="n">
        <v>222</v>
      </c>
      <c r="J94" s="56" t="n">
        <v>4.1</v>
      </c>
      <c r="K94" s="56" t="inlineStr">
        <is>
          <t>https://amazon.com/dp/B0854FNLTD</t>
        </is>
      </c>
      <c r="L94" s="70">
        <f>HYPERLINK(Table2720[[#This Row],[Column1]])</f>
        <v/>
      </c>
    </row>
    <row r="95" ht="45" customHeight="1" s="290">
      <c r="A95" s="30" t="inlineStr">
        <is>
          <t>FOXWELL NT710 Scanner fit for Ford/Lincoln/Mercury, Full System Bidirectional Diagnostic Scan Tool, All Reset Services with Oil/TPMS/TPS/EPB/SAS/SRS Transmission, Auto VIN, Lifetime Free Update</t>
        </is>
      </c>
      <c r="B95" s="30" t="inlineStr">
        <is>
          <t>B0CKQZJMZN</t>
        </is>
      </c>
      <c r="C95" s="30" t="inlineStr">
        <is>
          <t>Tablet</t>
        </is>
      </c>
      <c r="D95" s="324" t="n">
        <v>527.88</v>
      </c>
      <c r="E95" s="53" t="n">
        <v>32553.78</v>
      </c>
      <c r="F95" s="54" t="n">
        <v>0</v>
      </c>
      <c r="G95" s="55" t="n">
        <v>104</v>
      </c>
      <c r="H95" s="55" t="n">
        <v>0</v>
      </c>
      <c r="I95" s="55" t="n">
        <v>27</v>
      </c>
      <c r="J95" s="56" t="n">
        <v>4</v>
      </c>
      <c r="K95" s="56" t="inlineStr">
        <is>
          <t>https://amazon.com/dp/B0CKQZJMZN</t>
        </is>
      </c>
      <c r="L95" s="70">
        <f>HYPERLINK(Table2720[[#This Row],[Column1]])</f>
        <v/>
      </c>
    </row>
    <row r="96" ht="17" customHeight="1" s="290">
      <c r="A96" s="30" t="inlineStr">
        <is>
          <t>FOXWELL NT716 OBD2 Scanner Tablet, Multi System Diagnostic Tool, 9 Service Code Reader Scanner Engine SRS Transmission Oil EPB TPMS SAS BMS Throttle Brake Reset ABS Bleeding Injector Coding Scan Tool</t>
        </is>
      </c>
      <c r="B96" s="30" t="inlineStr">
        <is>
          <t>B0BVFQ4RRN</t>
        </is>
      </c>
      <c r="C96" s="30" t="inlineStr">
        <is>
          <t>Tablet</t>
        </is>
      </c>
      <c r="D96" s="324" t="n">
        <v>262.42</v>
      </c>
      <c r="E96" s="53" t="n">
        <v>21445.62</v>
      </c>
      <c r="F96" s="54" t="n">
        <v>0</v>
      </c>
      <c r="G96" s="55" t="n">
        <v>82</v>
      </c>
      <c r="H96" s="55" t="n">
        <v>0</v>
      </c>
      <c r="I96" s="55" t="n">
        <v>110</v>
      </c>
      <c r="J96" s="56" t="n">
        <v>4</v>
      </c>
      <c r="K96" s="56" t="inlineStr">
        <is>
          <t>https://amazon.com/dp/B0BVFQ4RRN</t>
        </is>
      </c>
      <c r="L96" s="70">
        <f>HYPERLINK(TABLE96)</f>
        <v/>
      </c>
    </row>
    <row r="97">
      <c r="A97" s="33" t="inlineStr">
        <is>
          <t>Total</t>
        </is>
      </c>
      <c r="B97" s="33" t="n"/>
      <c r="C97" s="33" t="n"/>
      <c r="D97" s="327" t="n"/>
      <c r="E97" s="72">
        <f>SUM(E50:E96)</f>
        <v/>
      </c>
      <c r="F97" s="72">
        <f>SUM(F50:F96)</f>
        <v/>
      </c>
      <c r="G97" s="73" t="n"/>
      <c r="H97" s="73" t="n"/>
      <c r="I97" s="73" t="n"/>
      <c r="J97" s="74" t="n"/>
      <c r="K97" s="33" t="n"/>
      <c r="L97" s="32" t="n"/>
    </row>
    <row r="98">
      <c r="A98" s="30" t="n"/>
      <c r="B98" s="30" t="n"/>
      <c r="C98" s="324" t="n"/>
      <c r="D98" s="53" t="n"/>
      <c r="E98" s="53" t="n"/>
      <c r="F98" s="55" t="n"/>
      <c r="G98" s="55" t="n"/>
      <c r="H98" s="55" t="n"/>
      <c r="I98" s="56" t="n"/>
      <c r="J98" s="30" t="n"/>
    </row>
    <row r="99">
      <c r="A99" s="30" t="n"/>
    </row>
    <row r="100" ht="17" customHeight="1" s="290">
      <c r="A100" s="283" t="inlineStr">
        <is>
          <t>Rank by Units</t>
        </is>
      </c>
    </row>
    <row r="101" ht="30" customHeight="1" s="290">
      <c r="A101" s="38" t="inlineStr">
        <is>
          <t>Product Name</t>
        </is>
      </c>
      <c r="B101" s="39" t="inlineStr">
        <is>
          <t>ASIN</t>
        </is>
      </c>
      <c r="C101" s="39" t="inlineStr">
        <is>
          <t>Type</t>
        </is>
      </c>
      <c r="D101" s="322" t="inlineStr">
        <is>
          <t>Avg Price</t>
        </is>
      </c>
      <c r="E101" s="41" t="inlineStr">
        <is>
          <t>Estimated 12mo Revenue</t>
        </is>
      </c>
      <c r="F101" s="39" t="inlineStr">
        <is>
          <t>Monthly Rev</t>
        </is>
      </c>
      <c r="G101" s="42" t="inlineStr">
        <is>
          <t>Estimated 12mo Units</t>
        </is>
      </c>
      <c r="H101" s="45" t="inlineStr">
        <is>
          <t>Monthly Units</t>
        </is>
      </c>
      <c r="I101" s="42" t="inlineStr">
        <is>
          <t># of Reviews</t>
        </is>
      </c>
      <c r="J101" s="43" t="inlineStr">
        <is>
          <t xml:space="preserve">Tool Rating </t>
        </is>
      </c>
      <c r="K101" s="43" t="inlineStr">
        <is>
          <t>Column1</t>
        </is>
      </c>
      <c r="L101" s="323" t="inlineStr">
        <is>
          <t>Link</t>
        </is>
      </c>
    </row>
    <row r="102" ht="45" customHeight="1" s="290">
      <c r="A102" s="30" t="inlineStr">
        <is>
          <t>FOXWELL NT301 OBD2 Scanner Live Data Professional Mechanic OBDII Diagnostic Code Reader Tool for Check Engine Light</t>
        </is>
      </c>
      <c r="B102" s="30" t="inlineStr">
        <is>
          <t>B00UJV3E12</t>
        </is>
      </c>
      <c r="C102" s="30" t="inlineStr">
        <is>
          <t>Handheld</t>
        </is>
      </c>
      <c r="D102" s="324" t="n">
        <v>65.66388878793386</v>
      </c>
      <c r="E102" s="53" t="n">
        <v>5143363.48</v>
      </c>
      <c r="F102" s="53" t="n">
        <v>361348.38</v>
      </c>
      <c r="G102" s="55" t="n">
        <v>78442</v>
      </c>
      <c r="H102" s="57" t="n">
        <v>5503</v>
      </c>
      <c r="I102" s="55" t="n">
        <v>29739</v>
      </c>
      <c r="J102" s="56" t="n">
        <v>4.5</v>
      </c>
      <c r="K102" s="56" t="inlineStr">
        <is>
          <t>https://amazon.com/dp/B00UJV3E12</t>
        </is>
      </c>
      <c r="L102" s="70">
        <f>HYPERLINK(Table2821[[#This Row],[Column1]])</f>
        <v/>
      </c>
    </row>
    <row r="103" ht="60" customHeight="1" s="290">
      <c r="A103" s="30" t="inlineStr">
        <is>
          <t>FOXWELL Car Scanner NT604 Elite OBD2 Scanner ABS SRS Transmission, Check Engine Code Reader for Cars and Trucks, Diagnostic Scan Tool with SRS Airbag, Automotive Diagnostic Tool with Live Data</t>
        </is>
      </c>
      <c r="B103" s="30" t="inlineStr">
        <is>
          <t>B08PFJMTY3</t>
        </is>
      </c>
      <c r="C103" s="30" t="inlineStr">
        <is>
          <t>Tablet</t>
        </is>
      </c>
      <c r="D103" s="324" t="n">
        <v>151.7840725806452</v>
      </c>
      <c r="E103" s="53" t="n">
        <v>3376363.49</v>
      </c>
      <c r="F103" s="53" t="n">
        <v>414066.95</v>
      </c>
      <c r="G103" s="55" t="n">
        <v>21312</v>
      </c>
      <c r="H103" s="57" t="n">
        <v>2728</v>
      </c>
      <c r="I103" s="55" t="n">
        <v>4855</v>
      </c>
      <c r="J103" s="56" t="n">
        <v>4.4</v>
      </c>
      <c r="K103" s="56" t="inlineStr">
        <is>
          <t>https://amazon.com/dp/B08PFJMTY3</t>
        </is>
      </c>
      <c r="L103" s="70">
        <f>HYPERLINK(Table2821[[#This Row],[Column1]])</f>
        <v/>
      </c>
    </row>
    <row r="104" ht="45" customHeight="1" s="290">
      <c r="A104" s="30" t="inlineStr">
        <is>
          <t>FOXWELL NT301 Plus 2-in-1 OBD2 Scanner Car Battery Tester, Professional Code Reader Check Engine Diagnostic Tool, 12V Automotive Cranking Charging Analyzer for 1996+ Vehicle, Upgrade from NT301</t>
        </is>
      </c>
      <c r="B104" s="30" t="inlineStr">
        <is>
          <t>B08JGK8PPM</t>
        </is>
      </c>
      <c r="C104" s="30" t="inlineStr">
        <is>
          <t>Handheld</t>
        </is>
      </c>
      <c r="D104" s="324" t="n">
        <v>88.99382252559728</v>
      </c>
      <c r="E104" s="53" t="n">
        <v>1303004.95</v>
      </c>
      <c r="F104" s="53" t="n">
        <v>78225.57000000001</v>
      </c>
      <c r="G104" s="55" t="n">
        <v>13776</v>
      </c>
      <c r="H104" s="57" t="n">
        <v>879</v>
      </c>
      <c r="I104" s="55" t="n">
        <v>2623</v>
      </c>
      <c r="J104" s="56" t="n">
        <v>4.5</v>
      </c>
      <c r="K104" s="56" t="inlineStr">
        <is>
          <t>https://amazon.com/dp/B08JGK8PPM</t>
        </is>
      </c>
      <c r="L104" s="70">
        <f>HYPERLINK(Table2821[[#This Row],[Column1]])</f>
        <v/>
      </c>
    </row>
    <row r="105" ht="45" customHeight="1" s="290">
      <c r="A105" s="30" t="inlineStr">
        <is>
          <t>2026 FOXWELL NT614 Elite OBD2 Scanner with 5 Resets ABS Bleeding, SAS Calibration, Oil, EPB, Throttle, Upgrade of NT604 Code Reader Scan Tools, ABS SRS Engine Transmission Battery Test Car Scanner</t>
        </is>
      </c>
      <c r="B105" s="30" t="inlineStr">
        <is>
          <t>B08DCNDFVK</t>
        </is>
      </c>
      <c r="C105" s="30" t="inlineStr">
        <is>
          <t>Tablet</t>
        </is>
      </c>
      <c r="D105" s="324" t="n">
        <v>172.0034824667473</v>
      </c>
      <c r="E105" s="53" t="n">
        <v>1364440.86</v>
      </c>
      <c r="F105" s="53" t="n">
        <v>142246.88</v>
      </c>
      <c r="G105" s="55" t="n">
        <v>7671</v>
      </c>
      <c r="H105" s="57" t="n">
        <v>827</v>
      </c>
      <c r="I105" s="55" t="n">
        <v>714</v>
      </c>
      <c r="J105" s="56" t="n">
        <v>4.3</v>
      </c>
      <c r="K105" s="56" t="inlineStr">
        <is>
          <t>https://amazon.com/dp/B08DCNDFVK</t>
        </is>
      </c>
      <c r="L105" s="70">
        <f>HYPERLINK(Table2821[[#This Row],[Column1]])</f>
        <v/>
      </c>
    </row>
    <row r="106" ht="45" customHeight="1" s="290">
      <c r="A106" s="30" t="inlineStr">
        <is>
          <t>FOXWELL NT510 Elite Scan Tool fit for BMW Scanner Full Diagnostic Tool OBD2 Scanner, All System Bi-Directional Control Code Reader with All Reset Services, Battery Registration Tool fit for BMW Mini</t>
        </is>
      </c>
      <c r="B106" s="30" t="inlineStr">
        <is>
          <t>B019QCG5RE</t>
        </is>
      </c>
      <c r="C106" s="30" t="inlineStr">
        <is>
          <t>Handheld</t>
        </is>
      </c>
      <c r="D106" s="324" t="n">
        <v>177.8542630744849</v>
      </c>
      <c r="E106" s="53" t="n">
        <v>1336750.4</v>
      </c>
      <c r="F106" s="53" t="n">
        <v>112226.04</v>
      </c>
      <c r="G106" s="55" t="n">
        <v>7277</v>
      </c>
      <c r="H106" s="57" t="n">
        <v>631</v>
      </c>
      <c r="I106" s="55" t="n">
        <v>3143</v>
      </c>
      <c r="J106" s="56" t="n">
        <v>4.3</v>
      </c>
      <c r="K106" s="56" t="inlineStr">
        <is>
          <t>https://amazon.com/dp/B019QCG5RE</t>
        </is>
      </c>
      <c r="L106" s="70">
        <f>HYPERLINK(Table2821[[#This Row],[Column1]])</f>
        <v/>
      </c>
    </row>
    <row r="107" ht="45" customHeight="1" s="290">
      <c r="A107" s="30" t="inlineStr">
        <is>
          <t>FOXWELL NT201 OBD2 Scanner Code Reader for Cars and Trucks - Reset Check Engine Light, Read and Clear Fault Codes, Live Data Diagnostic Tool for All Cars Since 1996</t>
        </is>
      </c>
      <c r="B107" s="30" t="inlineStr">
        <is>
          <t>B01N6RKE29</t>
        </is>
      </c>
      <c r="C107" s="30" t="inlineStr">
        <is>
          <t>Handheld</t>
        </is>
      </c>
      <c r="D107" s="324" t="n">
        <v>42.64560240963855</v>
      </c>
      <c r="E107" s="53" t="n">
        <v>610138.87</v>
      </c>
      <c r="F107" s="53" t="n">
        <v>21237.51</v>
      </c>
      <c r="G107" s="55" t="n">
        <v>13702</v>
      </c>
      <c r="H107" s="57" t="n">
        <v>498</v>
      </c>
      <c r="I107" s="55" t="n">
        <v>9958</v>
      </c>
      <c r="J107" s="56" t="n">
        <v>4.5</v>
      </c>
      <c r="K107" s="56" t="inlineStr">
        <is>
          <t>https://amazon.com/dp/B01N6RKE29</t>
        </is>
      </c>
      <c r="L107" s="70">
        <f>HYPERLINK(Table2821[[#This Row],[Column1]])</f>
        <v/>
      </c>
    </row>
    <row r="108" ht="45" customHeight="1" s="290">
      <c r="A108" s="30" t="inlineStr">
        <is>
          <t>2026 FOXWELL NT630 Plus OBD2 Scanner with ABS and SRS, ABS Code Reader Auto Bleed Scan Tool Brake SRS Scanner, Car Scanner Diagnostic Tool Bidirectional Live Data with SAS Oil Check Engine Light Reset</t>
        </is>
      </c>
      <c r="B108" s="30" t="inlineStr">
        <is>
          <t>B07CSMJJK9</t>
        </is>
      </c>
      <c r="C108" s="30" t="inlineStr">
        <is>
          <t>Handheld</t>
        </is>
      </c>
      <c r="D108" s="324" t="n">
        <v>147.1595465393795</v>
      </c>
      <c r="E108" s="53" t="n">
        <v>668336.6800000001</v>
      </c>
      <c r="F108" s="53" t="n">
        <v>61659.85</v>
      </c>
      <c r="G108" s="55" t="n">
        <v>4967</v>
      </c>
      <c r="H108" s="57" t="n">
        <v>419</v>
      </c>
      <c r="I108" s="55" t="n">
        <v>3950</v>
      </c>
      <c r="J108" s="56" t="n">
        <v>4.2</v>
      </c>
      <c r="K108" s="56" t="inlineStr">
        <is>
          <t>https://amazon.com/dp/B07CSMJJK9</t>
        </is>
      </c>
      <c r="L108" s="70">
        <f>HYPERLINK(Table2821[[#This Row],[Column1]])</f>
        <v/>
      </c>
    </row>
    <row r="109" ht="45" customHeight="1" s="290">
      <c r="A109" s="30" t="inlineStr">
        <is>
          <t>2026 FOXWELL NT624 Elite OBD2 Scanner Upgraded from NT614Elite &amp; NT604Elite Code Reader, All-System OBD2 Scan Tool, 8 Advanced Reset Functions, AutoVIN, Live Data, Lifetime WiFi Free Updates</t>
        </is>
      </c>
      <c r="B109" s="30" t="inlineStr">
        <is>
          <t>B07X9JQSGZ</t>
        </is>
      </c>
      <c r="C109" s="30" t="inlineStr">
        <is>
          <t>Tablet</t>
        </is>
      </c>
      <c r="D109" s="324" t="n">
        <v>257.5856466876971</v>
      </c>
      <c r="E109" s="53" t="n">
        <v>927387.97</v>
      </c>
      <c r="F109" s="53" t="n">
        <v>81654.64999999999</v>
      </c>
      <c r="G109" s="55" t="n">
        <v>3628</v>
      </c>
      <c r="H109" s="57" t="n">
        <v>317</v>
      </c>
      <c r="I109" s="55" t="n">
        <v>2332</v>
      </c>
      <c r="J109" s="56" t="n">
        <v>4.2</v>
      </c>
      <c r="K109" s="56" t="inlineStr">
        <is>
          <t>https://amazon.com/dp/B07X9JQSGZ</t>
        </is>
      </c>
      <c r="L109" s="70">
        <f>HYPERLINK(Table2821[[#This Row],[Column1]])</f>
        <v/>
      </c>
    </row>
    <row r="110" ht="45" customHeight="1" s="290">
      <c r="A110" s="30" t="inlineStr">
        <is>
          <t>2026 FOXWELL NT604 OBD2 Scanner, Engine/ABS/SRS/Transmission Comprehensive Car Diagnostic Tool, Code Reader for Cars and Trucks, Precise Scan Tool for All Vehicles, EN/ES, Lifetime Free Upd.,Live Data</t>
        </is>
      </c>
      <c r="B110" s="30" t="inlineStr">
        <is>
          <t>B096Y2B8LP</t>
        </is>
      </c>
      <c r="C110" s="30" t="inlineStr">
        <is>
          <t>Tablet</t>
        </is>
      </c>
      <c r="D110" s="324" t="n">
        <v>157.5356401384083</v>
      </c>
      <c r="E110" s="53" t="n">
        <v>584430.23</v>
      </c>
      <c r="F110" s="53" t="n">
        <v>45527.8</v>
      </c>
      <c r="G110" s="55" t="n">
        <v>3640</v>
      </c>
      <c r="H110" s="57" t="n">
        <v>289</v>
      </c>
      <c r="I110" s="55" t="n">
        <v>532</v>
      </c>
      <c r="J110" s="56" t="n">
        <v>4.4</v>
      </c>
      <c r="K110" s="56" t="inlineStr">
        <is>
          <t>https://amazon.com/dp/B096Y2B8LP</t>
        </is>
      </c>
      <c r="L110" s="70">
        <f>HYPERLINK(Table2821[[#This Row],[Column1]])</f>
        <v/>
      </c>
    </row>
    <row r="111" ht="45" customHeight="1" s="290">
      <c r="A111" s="30" t="inlineStr">
        <is>
          <t>2026 FOXWELL NT716 Bidirectional OBD2 Scanner, 4-System Diagnostic Tool for ABS, SRS, Transmission &amp; Engine, 9 Reset, ABS Bleeding, AutoVIN, Live Data, Upgraded from NT6X4, Lifetime Free Updates,Black</t>
        </is>
      </c>
      <c r="B111" s="30" t="inlineStr">
        <is>
          <t>B015COS1EK</t>
        </is>
      </c>
      <c r="C111" s="30" t="inlineStr">
        <is>
          <t>Tablet</t>
        </is>
      </c>
      <c r="D111" s="324" t="n">
        <v>281.5308878504673</v>
      </c>
      <c r="E111" s="53" t="n">
        <v>621237.66</v>
      </c>
      <c r="F111" s="53" t="n">
        <v>60247.61</v>
      </c>
      <c r="G111" s="55" t="n">
        <v>2215</v>
      </c>
      <c r="H111" s="57" t="n">
        <v>214</v>
      </c>
      <c r="I111" s="55" t="n">
        <v>244</v>
      </c>
      <c r="J111" s="56" t="n">
        <v>4.4</v>
      </c>
      <c r="K111" s="56" t="inlineStr">
        <is>
          <t>https://amazon.com/dp/B015COS1EK</t>
        </is>
      </c>
      <c r="L111" s="70">
        <f>HYPERLINK(Table2821[[#This Row],[Column1]])</f>
        <v/>
      </c>
    </row>
    <row r="112" ht="45" customHeight="1" s="290">
      <c r="A112" s="30" t="inlineStr">
        <is>
          <t>FOXWELL NT510 Pro fit for BMW OBD2 Scanner with 12V Battery Tester, Full System Diagnostic Bi-Directional Control Scanner, All Reset Services with Battery Registration Scan Tool fit for BMW/Mini/RR</t>
        </is>
      </c>
      <c r="B112" s="30" t="inlineStr">
        <is>
          <t>B0FRD79DJT</t>
        </is>
      </c>
      <c r="C112" s="30" t="inlineStr">
        <is>
          <t>Handheld</t>
        </is>
      </c>
      <c r="D112" s="324" t="n">
        <v>223.6885858585858</v>
      </c>
      <c r="E112" s="53" t="n">
        <v>499039.2446153847</v>
      </c>
      <c r="F112" s="53" t="n">
        <v>44290.34</v>
      </c>
      <c r="G112" s="55" t="n">
        <v>1143</v>
      </c>
      <c r="H112" s="57" t="n">
        <v>198</v>
      </c>
      <c r="I112" s="55" t="n">
        <v>52</v>
      </c>
      <c r="J112" s="56" t="n">
        <v>4.3</v>
      </c>
      <c r="K112" s="56" t="inlineStr">
        <is>
          <t>https://amazon.com/dp/B0FRD79DJT</t>
        </is>
      </c>
      <c r="L112" s="70">
        <f>HYPERLINK(Table2821[[#This Row],[Column1]])</f>
        <v/>
      </c>
    </row>
    <row r="113" ht="45" customHeight="1" s="290">
      <c r="A113" s="30" t="inlineStr">
        <is>
          <t>2026 FOXWELL NT726 OBD2 Scanner Diagnostic Tool, All System Bidirectional Scan Tool with TOP 12 Resets, Precise Car Diagnostic Scanner for All Vehicles, CAN-FD, FCA Autoauth, Lifetime Update, AutoVIN</t>
        </is>
      </c>
      <c r="B113" s="30" t="inlineStr">
        <is>
          <t>B0F3XRK4P9</t>
        </is>
      </c>
      <c r="C113" s="30" t="inlineStr">
        <is>
          <t>Tablet</t>
        </is>
      </c>
      <c r="D113" s="324" t="n">
        <v>347.2091764705882</v>
      </c>
      <c r="E113" s="53" t="n">
        <v>683590.4446153846</v>
      </c>
      <c r="F113" s="53" t="n">
        <v>59025.56</v>
      </c>
      <c r="G113" s="55" t="n">
        <v>1630</v>
      </c>
      <c r="H113" s="57" t="n">
        <v>170</v>
      </c>
      <c r="I113" s="55" t="n">
        <v>244</v>
      </c>
      <c r="J113" s="56" t="n">
        <v>4.4</v>
      </c>
      <c r="K113" s="56" t="inlineStr">
        <is>
          <t>https://amazon.com/dp/B0F3XRK4P9</t>
        </is>
      </c>
      <c r="L113" s="70">
        <f>HYPERLINK(Table2821[[#This Row],[Column1]])</f>
        <v/>
      </c>
    </row>
    <row r="114" ht="60" customHeight="1" s="290">
      <c r="A114" s="30" t="inlineStr">
        <is>
          <t>FOXWELL Heavy Duty Truck Scanner - HD500 Diesel Scaner Diagnostic Tool with DPF Regeneration/Injector Cutoff, fit for Cummins, Detroit, Caterpillar, Paccar, Hino, Lifetime Free Update, Orange</t>
        </is>
      </c>
      <c r="B114" s="30" t="inlineStr">
        <is>
          <t>B01FDKGEOC</t>
        </is>
      </c>
      <c r="C114" s="30" t="inlineStr">
        <is>
          <t>Tablet</t>
        </is>
      </c>
      <c r="D114" s="324" t="n">
        <v>573.2038410596026</v>
      </c>
      <c r="E114" s="53" t="n">
        <v>530364.4038461539</v>
      </c>
      <c r="F114" s="53" t="n">
        <v>86553.78</v>
      </c>
      <c r="G114" s="55" t="n">
        <v>649</v>
      </c>
      <c r="H114" s="57" t="n">
        <v>151</v>
      </c>
      <c r="I114" s="55" t="n">
        <v>381</v>
      </c>
      <c r="J114" s="56" t="n">
        <v>4</v>
      </c>
      <c r="K114" s="56" t="inlineStr">
        <is>
          <t>https://amazon.com/dp/B01FDKGEOC</t>
        </is>
      </c>
      <c r="L114" s="70">
        <f>HYPERLINK(Table2821[[#This Row],[Column1]])</f>
        <v/>
      </c>
    </row>
    <row r="115" ht="45" customHeight="1" s="290">
      <c r="A115" s="30" t="inlineStr">
        <is>
          <t>FOXWELL NT510 Elite fit for Honda Acura OBD2 Scanner, Bidirectional Full System Engine ABS TCM SRS Diagnostic Scan Tool, All Reset Crankshaft Relearn Oil EPB TPS ABS Bleeding, Code Reader, Free Update</t>
        </is>
      </c>
      <c r="B115" s="30" t="inlineStr">
        <is>
          <t>B08B5RMFBG</t>
        </is>
      </c>
      <c r="C115" s="30" t="inlineStr">
        <is>
          <t>Handheld</t>
        </is>
      </c>
      <c r="D115" s="324" t="n">
        <v>189.7951006711409</v>
      </c>
      <c r="E115" s="53" t="n">
        <v>447923.07</v>
      </c>
      <c r="F115" s="53" t="n">
        <v>28279.47</v>
      </c>
      <c r="G115" s="55" t="n">
        <v>2351</v>
      </c>
      <c r="H115" s="57" t="n">
        <v>149</v>
      </c>
      <c r="I115" s="55" t="n">
        <v>466</v>
      </c>
      <c r="J115" s="56" t="n">
        <v>4.2</v>
      </c>
      <c r="K115" s="56" t="inlineStr">
        <is>
          <t>https://amazon.com/dp/B08B5RMFBG</t>
        </is>
      </c>
      <c r="L115" s="70">
        <f>HYPERLINK(Table2821[[#This Row],[Column1]])</f>
        <v/>
      </c>
    </row>
    <row r="116" ht="45" customHeight="1" s="290">
      <c r="A116" s="30" t="inlineStr">
        <is>
          <t>FOXWELL NT510 Elite fit for GM OBD2 Scanner, Bi-Directional All System Engine ABS SRS Diagnostic Scan Tool Code Reader for Chevrolet Cadillac GMC, All Reset Oil EPB TPS ABS Bleeding Crankshaft Relearn</t>
        </is>
      </c>
      <c r="B116" s="30" t="inlineStr">
        <is>
          <t>B014CT4M3K</t>
        </is>
      </c>
      <c r="C116" s="30" t="inlineStr">
        <is>
          <t>Handheld</t>
        </is>
      </c>
      <c r="D116" s="324" t="n">
        <v>185.2161832061069</v>
      </c>
      <c r="E116" s="53" t="n">
        <v>310692.4399999999</v>
      </c>
      <c r="F116" s="53" t="n">
        <v>24263.32</v>
      </c>
      <c r="G116" s="55" t="n">
        <v>1648</v>
      </c>
      <c r="H116" s="57" t="n">
        <v>131</v>
      </c>
      <c r="I116" s="55" t="n">
        <v>567</v>
      </c>
      <c r="J116" s="56" t="n">
        <v>4.1</v>
      </c>
      <c r="K116" s="56" t="inlineStr">
        <is>
          <t>https://amazon.com/dp/B014CT4M3K</t>
        </is>
      </c>
      <c r="L116" s="70">
        <f>HYPERLINK(Table2821[[#This Row],[Column1]])</f>
        <v/>
      </c>
    </row>
    <row r="117" ht="45" customHeight="1" s="290">
      <c r="A117" s="30" t="inlineStr">
        <is>
          <t>FOXWELL NT614 Elite OBD2 Scanner 4 System Code Reader Scan Engine ABS SRS Transmission, 5 Resets Oil/EPB/ABS Bleeding/SAS/Throttle Live Data, Auto VIN, WiFi Updates Car Diagnostic Tool for DIY &amp; Pros</t>
        </is>
      </c>
      <c r="B117" s="30" t="inlineStr">
        <is>
          <t>B085TG89H4</t>
        </is>
      </c>
      <c r="C117" s="30" t="inlineStr">
        <is>
          <t>Tablet</t>
        </is>
      </c>
      <c r="D117" s="324" t="n">
        <v>176.7968253968254</v>
      </c>
      <c r="E117" s="53" t="n">
        <v>408250.9600000001</v>
      </c>
      <c r="F117" s="53" t="n">
        <v>22276.4</v>
      </c>
      <c r="G117" s="55" t="n">
        <v>2233</v>
      </c>
      <c r="H117" s="57" t="n">
        <v>126</v>
      </c>
      <c r="I117" s="55" t="n">
        <v>1226</v>
      </c>
      <c r="J117" s="56" t="n">
        <v>4.3</v>
      </c>
      <c r="K117" s="56" t="inlineStr">
        <is>
          <t>https://amazon.com/dp/B085TG89H4</t>
        </is>
      </c>
      <c r="L117" s="70">
        <f>HYPERLINK(Table2821[[#This Row],[Column1]])</f>
        <v/>
      </c>
    </row>
    <row r="118" ht="45" customHeight="1" s="290">
      <c r="A118" s="30" t="inlineStr">
        <is>
          <t>FOXWELL NT710 Scan Tool fit for BMW, Full-System Diagnostic Tool with Bi-Directional Control, All Reset Services, Battery Registration &amp; ECU Coding fit for BMW/Mini/RR, Lifetime Free Update</t>
        </is>
      </c>
      <c r="B118" s="30" t="inlineStr">
        <is>
          <t>B0BG6SRKWK</t>
        </is>
      </c>
      <c r="C118" s="30" t="inlineStr">
        <is>
          <t>Tablet</t>
        </is>
      </c>
      <c r="D118" s="324" t="n">
        <v>329.6839024390244</v>
      </c>
      <c r="E118" s="53" t="n">
        <v>390487.8</v>
      </c>
      <c r="F118" s="53" t="n">
        <v>40551.12</v>
      </c>
      <c r="G118" s="55" t="n">
        <v>1226</v>
      </c>
      <c r="H118" s="57" t="n">
        <v>123</v>
      </c>
      <c r="I118" s="55" t="n">
        <v>244</v>
      </c>
      <c r="J118" s="56" t="n">
        <v>3.9</v>
      </c>
      <c r="K118" s="56" t="inlineStr">
        <is>
          <t>https://amazon.com/dp/B0BG6SRKWK</t>
        </is>
      </c>
      <c r="L118" s="70">
        <f>HYPERLINK(Table2821[[#This Row],[Column1]])</f>
        <v/>
      </c>
    </row>
    <row r="119" ht="45" customHeight="1" s="290">
      <c r="A119" s="30" t="inlineStr">
        <is>
          <t>2026 FOXWELL Scanner NT809BT OBD2 Scanner Diagnostic Tool with 30+Resets, All System Bidirectional Scan Tool for All Vehicles, CAN-FD, FCA Autoauth, 3-Yr Free Update, AutoVIN, Wireless 65-Foot, Black</t>
        </is>
      </c>
      <c r="B119" s="30" t="inlineStr">
        <is>
          <t>B0D2D5MMP5</t>
        </is>
      </c>
      <c r="C119" s="30" t="inlineStr">
        <is>
          <t>Tablet</t>
        </is>
      </c>
      <c r="D119" s="324" t="n">
        <v>462.7160784313726</v>
      </c>
      <c r="E119" s="53" t="n">
        <v>347417.2884615385</v>
      </c>
      <c r="F119" s="53" t="n">
        <v>47197.04</v>
      </c>
      <c r="G119" s="55" t="n">
        <v>655</v>
      </c>
      <c r="H119" s="57" t="n">
        <v>102</v>
      </c>
      <c r="I119" s="55" t="n">
        <v>260</v>
      </c>
      <c r="J119" s="56" t="n">
        <v>4.2</v>
      </c>
      <c r="K119" s="56" t="inlineStr">
        <is>
          <t>https://amazon.com/dp/B0D2D5MMP5</t>
        </is>
      </c>
      <c r="L119" s="70">
        <f>HYPERLINK(Table2821[[#This Row],[Column1]])</f>
        <v/>
      </c>
    </row>
    <row r="120" ht="45" customHeight="1" s="290">
      <c r="A120" s="30" t="inlineStr">
        <is>
          <t>FOXWELL NT510 Elite OBD2 Scanner fit for Porsche Diagnostic Tool, Full System Bi-Directional Control Code Reader with All Reset Services, Oil Reset Scan Tool for Porsche, Battery Registration Tool</t>
        </is>
      </c>
      <c r="B120" s="30" t="inlineStr">
        <is>
          <t>B07Z5JS7B9</t>
        </is>
      </c>
      <c r="C120" s="30" t="inlineStr">
        <is>
          <t>Handheld</t>
        </is>
      </c>
      <c r="D120" s="324" t="n">
        <v>200.9270526315789</v>
      </c>
      <c r="E120" s="53" t="n">
        <v>213861.4</v>
      </c>
      <c r="F120" s="53" t="n">
        <v>19088.07</v>
      </c>
      <c r="G120" s="55" t="n">
        <v>1118</v>
      </c>
      <c r="H120" s="57" t="n">
        <v>95</v>
      </c>
      <c r="I120" s="55" t="n">
        <v>324</v>
      </c>
      <c r="J120" s="56" t="n">
        <v>3.9</v>
      </c>
      <c r="K120" s="56" t="inlineStr">
        <is>
          <t>https://amazon.com/dp/B07Z5JS7B9</t>
        </is>
      </c>
      <c r="L120" s="70">
        <f>HYPERLINK(Table2821[[#This Row],[Column1]])</f>
        <v/>
      </c>
    </row>
    <row r="121" ht="45" customHeight="1" s="290">
      <c r="A121" s="30" t="inlineStr">
        <is>
          <t>2025 FOXWELL NT716 OBD2 Scanner Bidirectional Control 9+ Resets Scan Tool ABS SRS Transmission Engine Diagnostic Code Reader WiFi Update Injector Coding/D-P-F/BMS/ABS Bleed/Oil/EPB/TPMS/SAS/Throttle</t>
        </is>
      </c>
      <c r="B121" s="30" t="inlineStr">
        <is>
          <t>B09BJK6K4S</t>
        </is>
      </c>
      <c r="C121" s="30" t="inlineStr">
        <is>
          <t>Tablet</t>
        </is>
      </c>
      <c r="D121" s="324" t="n">
        <v>267.1559756097561</v>
      </c>
      <c r="E121" s="53" t="n">
        <v>144918.0723076923</v>
      </c>
      <c r="F121" s="53" t="n">
        <v>21906.79</v>
      </c>
      <c r="G121" s="55" t="n">
        <v>435</v>
      </c>
      <c r="H121" s="57" t="n">
        <v>82</v>
      </c>
      <c r="I121" s="55" t="n">
        <v>381</v>
      </c>
      <c r="J121" s="56" t="n">
        <v>4</v>
      </c>
      <c r="K121" s="56" t="inlineStr">
        <is>
          <t>https://amazon.com/dp/B09BJK6K4S</t>
        </is>
      </c>
      <c r="L121" s="70">
        <f>HYPERLINK(Table2821[[#This Row],[Column1]])</f>
        <v/>
      </c>
    </row>
    <row r="122" ht="30" customHeight="1" s="290">
      <c r="A122" s="30" t="inlineStr">
        <is>
          <t>FOXWELL OBD2 OBD II 16Pin Male to Female Diagnostic Extension Convert Cable Adapter 1m/ 39inch</t>
        </is>
      </c>
      <c r="B122" s="30" t="inlineStr">
        <is>
          <t>B09JSCN1LX</t>
        </is>
      </c>
      <c r="C122" s="30" t="inlineStr">
        <is>
          <t>Cable/Adapter</t>
        </is>
      </c>
      <c r="D122" s="324" t="n">
        <v>13.03621951219512</v>
      </c>
      <c r="E122" s="53" t="n">
        <v>11227.45</v>
      </c>
      <c r="F122" s="53" t="n">
        <v>1068.97</v>
      </c>
      <c r="G122" s="55" t="n">
        <v>863</v>
      </c>
      <c r="H122" s="57" t="n">
        <v>82</v>
      </c>
      <c r="I122" s="55" t="n">
        <v>312</v>
      </c>
      <c r="J122" s="56" t="n">
        <v>4.6</v>
      </c>
      <c r="K122" s="56" t="inlineStr">
        <is>
          <t>https://amazon.com/dp/B09JSCN1LX</t>
        </is>
      </c>
      <c r="L122" s="70">
        <f>HYPERLINK(Table2821[[#This Row],[Column1]])</f>
        <v/>
      </c>
    </row>
    <row r="123" ht="45" customHeight="1" s="290">
      <c r="A123" s="30" t="inlineStr">
        <is>
          <t>FOXWELL NT710 fit for Mercedes-Benz OBD2 Scanner, Full System Diagnostic Scan Tool, Bidirectional Control, All Free Resets Air Suspension/ABS Bleeding/Oil/SRS/EPB, Code Reader, Auto VIN, WiFi Update</t>
        </is>
      </c>
      <c r="B123" s="30" t="inlineStr">
        <is>
          <t>B0CHYGP6YB</t>
        </is>
      </c>
      <c r="C123" s="30" t="inlineStr">
        <is>
          <t>Tablet</t>
        </is>
      </c>
      <c r="D123" s="324" t="n">
        <v>327.3185483870968</v>
      </c>
      <c r="E123" s="53" t="n">
        <v>227181.43</v>
      </c>
      <c r="F123" s="53" t="n">
        <v>20293.75</v>
      </c>
      <c r="G123" s="55" t="n">
        <v>706</v>
      </c>
      <c r="H123" s="57" t="n">
        <v>62</v>
      </c>
      <c r="I123" s="55" t="n">
        <v>116</v>
      </c>
      <c r="J123" s="56" t="n">
        <v>3.9</v>
      </c>
      <c r="K123" s="56" t="inlineStr">
        <is>
          <t>https://amazon.com/dp/B0CHYGP6YB</t>
        </is>
      </c>
      <c r="L123" s="70">
        <f>HYPERLINK(Table2821[[#This Row],[Column1]])</f>
        <v/>
      </c>
    </row>
    <row r="124" ht="45" customHeight="1" s="290">
      <c r="A124" s="30" t="inlineStr">
        <is>
          <t>FOXWELL NT510 Pro fit for Porsche OBD2 Scanner with 12V Battery Tester, Full System Diagnostic Bidirectional Control Scanner with All Resets, 12V Battery Health Analyzer with Cranking &amp; Charging Test</t>
        </is>
      </c>
      <c r="B124" s="30" t="inlineStr">
        <is>
          <t>B0FRGB9RXV</t>
        </is>
      </c>
      <c r="C124" s="30" t="inlineStr">
        <is>
          <t>Handheld</t>
        </is>
      </c>
      <c r="D124" s="324" t="n">
        <v>237.754262295082</v>
      </c>
      <c r="E124" s="53" t="n">
        <v>185787.803076923</v>
      </c>
      <c r="F124" s="53" t="n">
        <v>14503.01</v>
      </c>
      <c r="G124" s="55" t="n">
        <v>443</v>
      </c>
      <c r="H124" s="57" t="n">
        <v>61</v>
      </c>
      <c r="I124" s="55" t="n">
        <v>36</v>
      </c>
      <c r="J124" s="56" t="n">
        <v>4.9</v>
      </c>
      <c r="K124" s="56" t="inlineStr">
        <is>
          <t>https://amazon.com/dp/B0FRGB9RXV</t>
        </is>
      </c>
      <c r="L124" s="70">
        <f>HYPERLINK(Table2821[[#This Row],[Column1]])</f>
        <v/>
      </c>
    </row>
    <row r="125" ht="45" customHeight="1" s="290">
      <c r="A125" s="30" t="inlineStr">
        <is>
          <t>FOXWELL NT301 CASE OBD2 Scanner Professional Enhanced OBDII Diagnostic Box</t>
        </is>
      </c>
      <c r="B125" s="30" t="inlineStr">
        <is>
          <t>B07G3V17VH</t>
        </is>
      </c>
      <c r="C125" s="30" t="inlineStr">
        <is>
          <t>Other</t>
        </is>
      </c>
      <c r="D125" s="324" t="n">
        <v>19.86545454545454</v>
      </c>
      <c r="E125" s="53" t="n">
        <v>24335.586</v>
      </c>
      <c r="F125" s="53" t="n">
        <v>1092.6</v>
      </c>
      <c r="G125" s="55" t="n">
        <v>1218</v>
      </c>
      <c r="H125" s="57" t="n">
        <v>55</v>
      </c>
      <c r="I125" s="55" t="n">
        <v>3219</v>
      </c>
      <c r="J125" s="56" t="n">
        <v>4.6</v>
      </c>
      <c r="K125" s="56" t="inlineStr">
        <is>
          <t>https://amazon.com/dp/B07G3V17VH</t>
        </is>
      </c>
      <c r="L125" s="70">
        <f>HYPERLINK(Table2821[[#This Row],[Column1]])</f>
        <v/>
      </c>
    </row>
    <row r="126" ht="60" customHeight="1" s="290">
      <c r="A126" s="30" t="inlineStr">
        <is>
          <t>2026 FOXWELL NT630 Plus OBD2 Scanner with ABS and SRS, ABS Auto Bleed Scan Tool, Brake Code Reader with Live Data, Bidirectional Control &amp; SAS Oil EPB Reset Diagnostic Tool</t>
        </is>
      </c>
      <c r="B126" s="30" t="inlineStr">
        <is>
          <t>B08GXDMC7N</t>
        </is>
      </c>
      <c r="C126" s="30" t="inlineStr">
        <is>
          <t>Handheld</t>
        </is>
      </c>
      <c r="D126" s="324" t="n">
        <v>149.504</v>
      </c>
      <c r="E126" s="53" t="n">
        <v>189993.25</v>
      </c>
      <c r="F126" s="53" t="n">
        <v>7475.2</v>
      </c>
      <c r="G126" s="55" t="n">
        <v>1283</v>
      </c>
      <c r="H126" s="57" t="n">
        <v>50</v>
      </c>
      <c r="I126" s="55" t="n">
        <v>507</v>
      </c>
      <c r="J126" s="56" t="n">
        <v>4.1</v>
      </c>
      <c r="K126" s="56" t="inlineStr">
        <is>
          <t>https://amazon.com/dp/B08GXDMC7N</t>
        </is>
      </c>
      <c r="L126" s="70">
        <f>HYPERLINK(Table2821[[#This Row],[Column1]])</f>
        <v/>
      </c>
    </row>
    <row r="127" ht="30" customHeight="1" s="290">
      <c r="A127" s="30" t="inlineStr">
        <is>
          <t>2026 FOXWELL NT716 Bidirectional OBD2 Scanner – ABS, Airbag, Transmission, Engine Scanner with 9 Service Resets Including ABS Bleeding Oil Light, EPB, BMS, DPF, Lifetime Free Updates, Orange</t>
        </is>
      </c>
      <c r="B127" s="30" t="inlineStr">
        <is>
          <t>B0F4N3WQ38</t>
        </is>
      </c>
      <c r="C127" s="30" t="inlineStr">
        <is>
          <t>Tablet</t>
        </is>
      </c>
      <c r="D127" s="324" t="n">
        <v>301.7739583333333</v>
      </c>
      <c r="E127" s="53" t="n">
        <v>103530.9076923077</v>
      </c>
      <c r="F127" s="53" t="n">
        <v>14485.15</v>
      </c>
      <c r="G127" s="55" t="n">
        <v>308</v>
      </c>
      <c r="H127" s="57" t="n">
        <v>48</v>
      </c>
      <c r="I127" s="55" t="n">
        <v>244</v>
      </c>
      <c r="J127" s="56" t="n">
        <v>4.4</v>
      </c>
      <c r="K127" s="56" t="inlineStr">
        <is>
          <t>https://amazon.com/dp/B0F4N3WQ38</t>
        </is>
      </c>
      <c r="L127" s="70">
        <f>HYPERLINK(Table2821[[#This Row],[Column1]])</f>
        <v/>
      </c>
    </row>
    <row r="128" ht="45" customHeight="1" s="290">
      <c r="A128" s="30" t="inlineStr">
        <is>
          <t>2026 2-in-1 FOXWELL NT630 Pro ABS SRS Scan Tool &amp; Battery Tester, Upgraded from NT630 Plus, OBD2 Scanner with 12V Battery Load Analyzer(100-3000CCA), ABS Bleed, BMS/Oil/SAS/EPB Reset, Live Data</t>
        </is>
      </c>
      <c r="B128" s="30" t="inlineStr">
        <is>
          <t>B0DDQ6MX9M</t>
        </is>
      </c>
      <c r="C128" s="30" t="inlineStr">
        <is>
          <t>Handheld</t>
        </is>
      </c>
      <c r="D128" s="324" t="n">
        <v>191.0895348837209</v>
      </c>
      <c r="E128" s="53" t="n">
        <v>345698.14</v>
      </c>
      <c r="F128" s="53" t="n">
        <v>8216.85</v>
      </c>
      <c r="G128" s="55" t="n">
        <v>1799</v>
      </c>
      <c r="H128" s="57" t="n">
        <v>43</v>
      </c>
      <c r="I128" s="55" t="n">
        <v>134</v>
      </c>
      <c r="J128" s="56" t="n">
        <v>4.4</v>
      </c>
      <c r="K128" s="56" t="inlineStr">
        <is>
          <t>https://amazon.com/dp/B0DDQ6MX9M</t>
        </is>
      </c>
      <c r="L128" s="70">
        <f>HYPERLINK(Table2821[[#This Row],[Column1]])</f>
        <v/>
      </c>
    </row>
    <row r="129" ht="60" customHeight="1" s="290">
      <c r="A129" s="30" t="inlineStr">
        <is>
          <t>FOXWELL NT510 Elite Bi-Directional Scan Tool Fit for Mercedes-Benz Sprinter Smart Maybach, Full System Diagnostic Scan Tool OBD2 Scanner, Full Reset Services ABS SRS EPB, Auto Vin, Free Update</t>
        </is>
      </c>
      <c r="B129" s="30" t="inlineStr">
        <is>
          <t>B07XL3HK8W</t>
        </is>
      </c>
      <c r="C129" s="30" t="inlineStr">
        <is>
          <t>Handheld</t>
        </is>
      </c>
      <c r="D129" s="324" t="n">
        <v>200.2238095238095</v>
      </c>
      <c r="E129" s="53" t="n">
        <v>109339.9530769231</v>
      </c>
      <c r="F129" s="53" t="n">
        <v>8409.4</v>
      </c>
      <c r="G129" s="55" t="n">
        <v>508</v>
      </c>
      <c r="H129" s="57" t="n">
        <v>42</v>
      </c>
      <c r="I129" s="55" t="n">
        <v>530</v>
      </c>
      <c r="J129" s="56" t="n">
        <v>4.2</v>
      </c>
      <c r="K129" s="56" t="inlineStr">
        <is>
          <t>https://amazon.com/dp/B07XL3HK8W</t>
        </is>
      </c>
      <c r="L129" s="70">
        <f>HYPERLINK(Table2821[[#This Row],[Column1]])</f>
        <v/>
      </c>
    </row>
    <row r="130" ht="45" customHeight="1" s="290">
      <c r="A130" s="30" t="inlineStr">
        <is>
          <t>FOXWELL HD500 Heavy Duty Truck Scanner - Diesel Scanner with DPF Regen/Injector Cutoff/Limit Setting, Full System Diesel Diagnostic Scan Tool for Cummins, Detroit, Caterpillar, Paccar &amp; Pickup Trucks</t>
        </is>
      </c>
      <c r="B130" s="30" t="inlineStr">
        <is>
          <t>B0D7M4Q46L</t>
        </is>
      </c>
      <c r="C130" s="30" t="inlineStr">
        <is>
          <t>Tablet</t>
        </is>
      </c>
      <c r="D130" s="324" t="n">
        <v>573.8515</v>
      </c>
      <c r="E130" s="53" t="n">
        <v>855790.23</v>
      </c>
      <c r="F130" s="53" t="n">
        <v>22954.06</v>
      </c>
      <c r="G130" s="55" t="n">
        <v>1509</v>
      </c>
      <c r="H130" s="57" t="n">
        <v>40</v>
      </c>
      <c r="I130" s="55" t="n">
        <v>381</v>
      </c>
      <c r="J130" s="56" t="n">
        <v>4</v>
      </c>
      <c r="K130" s="56" t="inlineStr">
        <is>
          <t>https://amazon.com/dp/B0D7M4Q46L</t>
        </is>
      </c>
      <c r="L130" s="70">
        <f>HYPERLINK(Table2821[[#This Row],[Column1]])</f>
        <v/>
      </c>
    </row>
    <row r="131" ht="45" customHeight="1" s="290">
      <c r="A131" s="30" t="inlineStr">
        <is>
          <t>FOXWELL OBD2 Female to 20pin Extension Convert Adapter OBD1 to OBDII Cable -16pin to 20pin Cable (11 Inch)</t>
        </is>
      </c>
      <c r="B131" s="30" t="inlineStr">
        <is>
          <t>B00UC11M4A</t>
        </is>
      </c>
      <c r="C131" s="30" t="inlineStr">
        <is>
          <t>Cable/Adapter</t>
        </is>
      </c>
      <c r="D131" s="324" t="n">
        <v>12.95974358974359</v>
      </c>
      <c r="E131" s="53" t="n">
        <v>8964.459999999999</v>
      </c>
      <c r="F131" s="53" t="n">
        <v>505.43</v>
      </c>
      <c r="G131" s="55" t="n">
        <v>692</v>
      </c>
      <c r="H131" s="57" t="n">
        <v>39</v>
      </c>
      <c r="I131" s="55" t="n">
        <v>228</v>
      </c>
      <c r="J131" s="56" t="n">
        <v>4.5</v>
      </c>
      <c r="K131" s="56" t="inlineStr">
        <is>
          <t>https://amazon.com/dp/B00UC11M4A</t>
        </is>
      </c>
      <c r="L131" s="70">
        <f>HYPERLINK(Table2821[[#This Row],[Column1]])</f>
        <v/>
      </c>
    </row>
    <row r="132" ht="45" customHeight="1" s="290">
      <c r="A132" s="30" t="inlineStr">
        <is>
          <t>FOXWELL NT710 Fit for GM Diagnostic Scan Tool, Bi-Directional All System OBD2 Scanner for Chevrolet Buick GMC Cadillac, All Resets Code Reader Oil EPB SAS TPMS ABS Bleeding Throttle Crankshaft Relearn</t>
        </is>
      </c>
      <c r="B132" s="30" t="inlineStr">
        <is>
          <t>B0CDGH4WFH</t>
        </is>
      </c>
      <c r="C132" s="30" t="inlineStr">
        <is>
          <t>Tablet</t>
        </is>
      </c>
      <c r="D132" s="324" t="n">
        <v>333.1205882352941</v>
      </c>
      <c r="E132" s="53" t="n">
        <v>151729.27</v>
      </c>
      <c r="F132" s="53" t="n">
        <v>11326.1</v>
      </c>
      <c r="G132" s="55" t="n">
        <v>466</v>
      </c>
      <c r="H132" s="57" t="n">
        <v>34</v>
      </c>
      <c r="I132" s="55" t="n">
        <v>73</v>
      </c>
      <c r="J132" s="56" t="n">
        <v>4.2</v>
      </c>
      <c r="K132" s="56" t="inlineStr">
        <is>
          <t>https://amazon.com/dp/B0CDGH4WFH</t>
        </is>
      </c>
      <c r="L132" s="70">
        <f>HYPERLINK(Table2821[[#This Row],[Column1]])</f>
        <v/>
      </c>
    </row>
    <row r="133" ht="45" customHeight="1" s="290">
      <c r="A133" s="30" t="inlineStr">
        <is>
          <t>FOXWELL HD301 Heavy Duty Truck Scanner, Full System Diesel Scan Tool with 6/9/16 Pin, 2 in 1 Code Reader for Trucks &amp; Car Engine, Diesel Diagnostic Tool for Cummins, Paccar, Caterpillar</t>
        </is>
      </c>
      <c r="B133" s="30" t="inlineStr">
        <is>
          <t>B0GS5TPTST</t>
        </is>
      </c>
      <c r="C133" s="30" t="inlineStr">
        <is>
          <t>Tablet</t>
        </is>
      </c>
      <c r="D133" s="324" t="n">
        <v>197.5257575757576</v>
      </c>
      <c r="E133" s="53" t="n">
        <v>78721.61153846156</v>
      </c>
      <c r="F133" s="53" t="n">
        <v>6518.35</v>
      </c>
      <c r="G133" s="55" t="n">
        <v>33</v>
      </c>
      <c r="H133" s="57" t="n">
        <v>33</v>
      </c>
      <c r="I133" s="55" t="n"/>
      <c r="J133" s="56" t="n"/>
      <c r="K133" s="56" t="inlineStr">
        <is>
          <t>https://amazon.com/dp/B0GS5TPTST</t>
        </is>
      </c>
      <c r="L133" s="70">
        <f>HYPERLINK(Table2821[[#This Row],[Column1]])</f>
        <v/>
      </c>
    </row>
    <row r="134" ht="30" customHeight="1" s="290">
      <c r="A134" s="30" t="inlineStr">
        <is>
          <t>FOXWELL NT510 Elite fit for Chrysler Jeep Dodge Scan Tool, All System OBD2 Scanner Bidirectional Diagnostic Tool, All Maintenance Car Code Reader with ABS Bleeding TPMS Battery Registration Reset Tool</t>
        </is>
      </c>
      <c r="B134" s="30" t="inlineStr">
        <is>
          <t>B07XK1P8ZT</t>
        </is>
      </c>
      <c r="C134" s="30" t="inlineStr">
        <is>
          <t>Handheld</t>
        </is>
      </c>
      <c r="D134" s="324" t="n">
        <v>200.2076666666667</v>
      </c>
      <c r="E134" s="53" t="n">
        <v>134929.56</v>
      </c>
      <c r="F134" s="53" t="n">
        <v>6006.23</v>
      </c>
      <c r="G134" s="55" t="n">
        <v>673</v>
      </c>
      <c r="H134" s="57" t="n">
        <v>30</v>
      </c>
      <c r="I134" s="55" t="n">
        <v>228</v>
      </c>
      <c r="J134" s="56" t="n">
        <v>4.1</v>
      </c>
      <c r="K134" s="56" t="inlineStr">
        <is>
          <t>https://amazon.com/dp/B07XK1P8ZT</t>
        </is>
      </c>
      <c r="L134" s="70">
        <f>HYPERLINK(Table2821[[#This Row],[Column1]])</f>
        <v/>
      </c>
    </row>
    <row r="135" ht="45" customHeight="1" s="290">
      <c r="A135" s="30" t="inlineStr">
        <is>
          <t>FOXWELL NT510 Pro fit for GM Scan Tool, 2-in-1 OBD2 Scanner &amp; 12V Battery Tester, All Systems Diagnostic &amp; Bi-Directional Control, Crankshaft Sensor Relearn, fit for Chevrolet Buick Cadillac GMC</t>
        </is>
      </c>
      <c r="B135" s="30" t="inlineStr">
        <is>
          <t>B0FRLSSTDC</t>
        </is>
      </c>
      <c r="C135" s="30" t="inlineStr">
        <is>
          <t>Handheld</t>
        </is>
      </c>
      <c r="D135" s="324" t="n">
        <v>238.4281481481482</v>
      </c>
      <c r="E135" s="53" t="n">
        <v>108732.6715384616</v>
      </c>
      <c r="F135" s="53" t="n">
        <v>6437.56</v>
      </c>
      <c r="G135" s="55" t="n">
        <v>285</v>
      </c>
      <c r="H135" s="57" t="n">
        <v>27</v>
      </c>
      <c r="I135" s="55" t="n">
        <v>38</v>
      </c>
      <c r="J135" s="56" t="n">
        <v>3.8</v>
      </c>
      <c r="K135" s="56" t="inlineStr">
        <is>
          <t>https://amazon.com/dp/B0FRLSSTDC</t>
        </is>
      </c>
      <c r="L135" s="70">
        <f>HYPERLINK(Table2821[[#This Row],[Column1]])</f>
        <v/>
      </c>
    </row>
    <row r="136" ht="30" customHeight="1" s="290">
      <c r="A136" s="30" t="inlineStr">
        <is>
          <t>2026 FOXWELL Scanner NT809BT OBD2 Scanner Diagnostic Tool with 30+Resets, All System Bidirectional Scan Tool for All Vehicles, CAN-FD, FCA Autoauth, 3-Yr Free Update, AutoVIN, Wireless 65-Foot, Orange</t>
        </is>
      </c>
      <c r="B136" s="30" t="inlineStr">
        <is>
          <t>B0DPZVGXS3</t>
        </is>
      </c>
      <c r="C136" s="30" t="inlineStr">
        <is>
          <t>Tablet</t>
        </is>
      </c>
      <c r="D136" s="324" t="n">
        <v>477.8831818181818</v>
      </c>
      <c r="E136" s="53" t="n">
        <v>349874.4099999999</v>
      </c>
      <c r="F136" s="53" t="n">
        <v>10513.43</v>
      </c>
      <c r="G136" s="55" t="n">
        <v>757</v>
      </c>
      <c r="H136" s="57" t="n">
        <v>22</v>
      </c>
      <c r="I136" s="55" t="n">
        <v>260</v>
      </c>
      <c r="J136" s="56" t="n">
        <v>4.2</v>
      </c>
      <c r="K136" s="56" t="inlineStr">
        <is>
          <t>https://amazon.com/dp/B0DPZVGXS3</t>
        </is>
      </c>
      <c r="L136" s="70">
        <f>HYPERLINK(Table2821[[#This Row],[Column1]])</f>
        <v/>
      </c>
    </row>
    <row r="137" ht="45" customHeight="1" s="290">
      <c r="A137" s="30" t="inlineStr">
        <is>
          <t>2026 FOXWELL NT624 Elite OBD2 Scanner, All System with 8 Resets ABS Bleeding/SAS/Oil/TPS/EPB/BRT/Injector/D-P-F Resets Battery Test Upgrade of NT614 Elite Car Code Reader Scan Tool for All Cars</t>
        </is>
      </c>
      <c r="B137" s="30" t="inlineStr">
        <is>
          <t>B082X38C7G</t>
        </is>
      </c>
      <c r="C137" s="30" t="inlineStr">
        <is>
          <t>Tablet</t>
        </is>
      </c>
      <c r="D137" s="324" t="n">
        <v>264.625</v>
      </c>
      <c r="E137" s="53" t="n">
        <v>83181.17000000001</v>
      </c>
      <c r="F137" s="53" t="n">
        <v>4763.25</v>
      </c>
      <c r="G137" s="55" t="n">
        <v>309</v>
      </c>
      <c r="H137" s="57" t="n">
        <v>18</v>
      </c>
      <c r="I137" s="55" t="n">
        <v>299</v>
      </c>
      <c r="J137" s="56" t="n">
        <v>4</v>
      </c>
      <c r="K137" s="56" t="inlineStr">
        <is>
          <t>https://amazon.com/dp/B082X38C7G</t>
        </is>
      </c>
      <c r="L137" s="70">
        <f>HYPERLINK(Table2821[[#This Row],[Column1]])</f>
        <v/>
      </c>
    </row>
    <row r="138" ht="45" customHeight="1" s="290">
      <c r="A138" s="30" t="inlineStr">
        <is>
          <t>2026 FOXWELL Scanner NT726 OBD2 Scanner All System Scan Tool 12+ Service Resets, Diagnostic Tool with ABS Bleeding, Oil Reset, Injector Coding, SAS &amp; TPMS, Active Test, Lifetime Free Update</t>
        </is>
      </c>
      <c r="B138" s="30" t="inlineStr">
        <is>
          <t>B09BNDS4VD</t>
        </is>
      </c>
      <c r="C138" s="30" t="inlineStr">
        <is>
          <t>Tablet</t>
        </is>
      </c>
      <c r="D138" s="324" t="n">
        <v>383.9464705882353</v>
      </c>
      <c r="E138" s="53" t="n">
        <v>115632.1761538462</v>
      </c>
      <c r="F138" s="53" t="n">
        <v>6527.09</v>
      </c>
      <c r="G138" s="55" t="n">
        <v>289</v>
      </c>
      <c r="H138" s="57" t="n">
        <v>17</v>
      </c>
      <c r="I138" s="55" t="n">
        <v>252</v>
      </c>
      <c r="J138" s="56" t="n">
        <v>4.1</v>
      </c>
      <c r="K138" s="56" t="inlineStr">
        <is>
          <t>https://amazon.com/dp/B09BNDS4VD</t>
        </is>
      </c>
      <c r="L138" s="70">
        <f>HYPERLINK(Table2821[[#This Row],[Column1]])</f>
        <v/>
      </c>
    </row>
    <row r="139" ht="45" customHeight="1" s="290">
      <c r="A139" s="30" t="inlineStr">
        <is>
          <t>FOXWELL OBD2 OBD II 16Pin Male to Female Diagnostic Extension Convert Cable 65cm/25.59”</t>
        </is>
      </c>
      <c r="B139" s="30" t="inlineStr">
        <is>
          <t>B09M8CPNBJ</t>
        </is>
      </c>
      <c r="C139" s="30" t="inlineStr">
        <is>
          <t>Cable/Adapter</t>
        </is>
      </c>
      <c r="D139" s="324" t="n">
        <v>13.219375</v>
      </c>
      <c r="E139" s="53" t="n">
        <v>4689.599999999999</v>
      </c>
      <c r="F139" s="53" t="n">
        <v>211.51</v>
      </c>
      <c r="G139" s="55" t="n">
        <v>363</v>
      </c>
      <c r="H139" s="57" t="n">
        <v>16</v>
      </c>
      <c r="I139" s="55" t="n">
        <v>140</v>
      </c>
      <c r="J139" s="56" t="n">
        <v>4.6</v>
      </c>
      <c r="K139" s="56" t="inlineStr">
        <is>
          <t>https://amazon.com/dp/B09M8CPNBJ</t>
        </is>
      </c>
      <c r="L139" s="70">
        <f>HYPERLINK(Table2821[[#This Row],[Column1]])</f>
        <v/>
      </c>
    </row>
    <row r="140" ht="30" customHeight="1" s="290">
      <c r="A140" s="30" t="inlineStr">
        <is>
          <t>Foxwell NT301/NT201 OBD2 Extension Cable 16pin Male to Female Diagnostic Universal OBD II Convert Cable</t>
        </is>
      </c>
      <c r="B140" s="30" t="inlineStr">
        <is>
          <t>B08Y1XCP9Z</t>
        </is>
      </c>
      <c r="C140" s="30" t="inlineStr">
        <is>
          <t>Cable/Adapter</t>
        </is>
      </c>
      <c r="D140" s="324" t="n">
        <v>10.85866666666667</v>
      </c>
      <c r="E140" s="53" t="n">
        <v>3522.94</v>
      </c>
      <c r="F140" s="53" t="n">
        <v>162.88</v>
      </c>
      <c r="G140" s="55" t="n">
        <v>321</v>
      </c>
      <c r="H140" s="57" t="n">
        <v>15</v>
      </c>
      <c r="I140" s="55" t="n">
        <v>439</v>
      </c>
      <c r="J140" s="56" t="n">
        <v>4.5</v>
      </c>
      <c r="K140" s="56" t="inlineStr">
        <is>
          <t>https://amazon.com/dp/B08Y1XCP9Z</t>
        </is>
      </c>
      <c r="L140" s="70">
        <f>HYPERLINK(Table2821[[#This Row],[Column1]])</f>
        <v/>
      </c>
    </row>
    <row r="141" ht="30" customHeight="1" s="290">
      <c r="A141" s="30" t="inlineStr">
        <is>
          <t>FOXWELL NT1009 All-System Bi-Directional Scan Tool with All Reset Services, Topology Mapping, V.A.G Guide &amp; FCA SGW Support, CAN-FD DoIP Diagnostic Scanner for All Cars, 3-Year Free Updates</t>
        </is>
      </c>
      <c r="B141" s="30" t="inlineStr">
        <is>
          <t>B0D7Z2QF71</t>
        </is>
      </c>
      <c r="C141" s="30" t="inlineStr">
        <is>
          <t>Tablet</t>
        </is>
      </c>
      <c r="D141" s="324" t="n">
        <v>882.1508333333333</v>
      </c>
      <c r="E141" s="53" t="n">
        <v>262267.19</v>
      </c>
      <c r="F141" s="53" t="n">
        <v>10585.81</v>
      </c>
      <c r="G141" s="55" t="n">
        <v>299</v>
      </c>
      <c r="H141" s="57" t="n">
        <v>12</v>
      </c>
      <c r="I141" s="55" t="n">
        <v>270</v>
      </c>
      <c r="J141" s="56" t="n">
        <v>4.4</v>
      </c>
      <c r="K141" s="56" t="inlineStr">
        <is>
          <t>https://amazon.com/dp/B0D7Z2QF71</t>
        </is>
      </c>
      <c r="L141" s="70">
        <f>HYPERLINK(Table2821[[#This Row],[Column1]])</f>
        <v/>
      </c>
    </row>
    <row r="142" ht="45" customHeight="1" s="290">
      <c r="A142" s="30" t="inlineStr">
        <is>
          <t>2026 FOXWELL NT726 Bidirectional Scan Tool, All System OBD2 Scanner Diagnostic Tool, Car Code Reader for All Models with 12 Resets, ABS Bleeding, Oil/EPB/SAS/D-PF/TPMS/Injector/Throttle, EN/ES Ver</t>
        </is>
      </c>
      <c r="B142" s="30" t="inlineStr">
        <is>
          <t>B09SGDN3BQ</t>
        </is>
      </c>
      <c r="C142" s="30" t="inlineStr">
        <is>
          <t>Tablet</t>
        </is>
      </c>
      <c r="D142" s="324" t="n">
        <v>361.409</v>
      </c>
      <c r="E142" s="53" t="n">
        <v>73882.5</v>
      </c>
      <c r="F142" s="53" t="n">
        <v>3614.09</v>
      </c>
      <c r="G142" s="55" t="n">
        <v>195</v>
      </c>
      <c r="H142" s="57" t="n">
        <v>10</v>
      </c>
      <c r="I142" s="55" t="n">
        <v>97</v>
      </c>
      <c r="J142" s="56" t="n">
        <v>4.1</v>
      </c>
      <c r="K142" s="56" t="inlineStr">
        <is>
          <t>https://amazon.com/dp/B09SGDN3BQ</t>
        </is>
      </c>
      <c r="L142" s="70">
        <f>HYPERLINK(Table2821[[#This Row],[Column1]])</f>
        <v/>
      </c>
    </row>
    <row r="143" ht="30" customHeight="1" s="290">
      <c r="A143" s="30" t="inlineStr">
        <is>
          <t>FOXWELL OBD2 Extension Cable for NT201 NT301 NT301Plus and Most OBD2 Scanners, 16Pin Male to Female Extension Convert Cable, 2FT/60CM</t>
        </is>
      </c>
      <c r="B143" s="30" t="inlineStr">
        <is>
          <t>B00UC11PDS</t>
        </is>
      </c>
      <c r="C143" s="30" t="inlineStr">
        <is>
          <t>Cable/Adapter</t>
        </is>
      </c>
      <c r="D143" s="324" t="n">
        <v>10.29375</v>
      </c>
      <c r="E143" s="53" t="n">
        <v>758.77</v>
      </c>
      <c r="F143" s="53" t="n">
        <v>82.34999999999999</v>
      </c>
      <c r="G143" s="55" t="n">
        <v>70</v>
      </c>
      <c r="H143" s="57" t="n">
        <v>8</v>
      </c>
      <c r="I143" s="55" t="n">
        <v>713</v>
      </c>
      <c r="J143" s="56" t="n">
        <v>4.5</v>
      </c>
      <c r="K143" s="56" t="inlineStr">
        <is>
          <t>https://amazon.com/dp/B00UC11PDS</t>
        </is>
      </c>
      <c r="L143" s="70">
        <f>HYPERLINK(Table2821[[#This Row],[Column1]])</f>
        <v/>
      </c>
    </row>
    <row r="144" ht="45" customHeight="1" s="290">
      <c r="A144" s="30" t="inlineStr">
        <is>
          <t>FOXWELL Case for NT201/NT301/NT301 Plus OBD2 Scanner, Protective Carring Case for Handle-Size Code Reader and Battery Tester</t>
        </is>
      </c>
      <c r="B144" s="30" t="inlineStr">
        <is>
          <t>B07K6K2Y8W</t>
        </is>
      </c>
      <c r="C144" s="30" t="inlineStr">
        <is>
          <t>Other</t>
        </is>
      </c>
      <c r="D144" s="324" t="n">
        <v>19.97333333333333</v>
      </c>
      <c r="E144" s="53" t="n">
        <v>4856.59</v>
      </c>
      <c r="F144" s="53" t="n">
        <v>119.84</v>
      </c>
      <c r="G144" s="55" t="n">
        <v>246</v>
      </c>
      <c r="H144" s="57" t="n">
        <v>6</v>
      </c>
      <c r="I144" s="55" t="n">
        <v>436</v>
      </c>
      <c r="J144" s="56" t="n">
        <v>4.6</v>
      </c>
      <c r="K144" s="56" t="inlineStr">
        <is>
          <t>https://amazon.com/dp/B07K6K2Y8W</t>
        </is>
      </c>
      <c r="L144" s="70">
        <f>HYPERLINK(Table2821[[#This Row],[Column1]])</f>
        <v/>
      </c>
    </row>
    <row r="145" ht="30" customHeight="1" s="290">
      <c r="A145" s="30" t="inlineStr">
        <is>
          <t>FOXWELL NT530 for Porsche 997 Multi-System OBD2 Diagnostic Scanner SRS ABS DPF EPB Airbag TPMS Battery Reset</t>
        </is>
      </c>
      <c r="B145" s="30" t="inlineStr">
        <is>
          <t>B07XQLXP66</t>
        </is>
      </c>
      <c r="C145" s="30" t="inlineStr">
        <is>
          <t>Handheld</t>
        </is>
      </c>
      <c r="D145" s="324" t="n">
        <v>161.86</v>
      </c>
      <c r="E145" s="53" t="n">
        <v>3846.872307692308</v>
      </c>
      <c r="F145" s="53" t="n">
        <v>323.72</v>
      </c>
      <c r="G145" s="55" t="n">
        <v>14</v>
      </c>
      <c r="H145" s="57" t="n">
        <v>2</v>
      </c>
      <c r="I145" s="55" t="n">
        <v>19</v>
      </c>
      <c r="J145" s="56" t="n">
        <v>4.4</v>
      </c>
      <c r="K145" s="56" t="inlineStr">
        <is>
          <t>https://amazon.com/dp/B07XQLXP66</t>
        </is>
      </c>
      <c r="L145" s="70">
        <f>HYPERLINK(Table2821[[#This Row],[Column1]])</f>
        <v/>
      </c>
    </row>
    <row r="146" ht="45" customHeight="1" s="290">
      <c r="A146" s="30" t="inlineStr">
        <is>
          <t>FOXWELL NT650 Elite OBD2 Scanner with ABS and SRS Full Function</t>
        </is>
      </c>
      <c r="B146" s="30" t="inlineStr">
        <is>
          <t>B0854FNLTD</t>
        </is>
      </c>
      <c r="C146" s="30" t="inlineStr">
        <is>
          <t>Handheld</t>
        </is>
      </c>
      <c r="D146" s="324" t="n">
        <v>326.48</v>
      </c>
      <c r="E146" s="53" t="n">
        <v>59056.89</v>
      </c>
      <c r="F146" s="53" t="n">
        <v>0</v>
      </c>
      <c r="G146" s="55" t="n">
        <v>226</v>
      </c>
      <c r="H146" s="57" t="n">
        <v>0</v>
      </c>
      <c r="I146" s="55" t="n">
        <v>222</v>
      </c>
      <c r="J146" s="56" t="n">
        <v>4.1</v>
      </c>
      <c r="K146" s="56" t="inlineStr">
        <is>
          <t>https://amazon.com/dp/B0854FNLTD</t>
        </is>
      </c>
      <c r="L146" s="70">
        <f>HYPERLINK(Table2821[[#This Row],[Column1]])</f>
        <v/>
      </c>
    </row>
    <row r="147" ht="17" customHeight="1" s="290">
      <c r="A147" s="30" t="inlineStr">
        <is>
          <t>FOXWELL NT710 Scanner fit for Ford/Lincoln/Mercury, Full System Bidirectional Diagnostic Scan Tool, All Reset Services with Oil/TPMS/TPS/EPB/SAS/SRS Transmission, Auto VIN, Lifetime Free Update</t>
        </is>
      </c>
      <c r="B147" s="30" t="inlineStr">
        <is>
          <t>B0CKQZJMZN</t>
        </is>
      </c>
      <c r="C147" s="30" t="inlineStr">
        <is>
          <t>Tablet</t>
        </is>
      </c>
      <c r="D147" s="324" t="n">
        <v>527.88</v>
      </c>
      <c r="E147" s="53" t="n">
        <v>32553.78</v>
      </c>
      <c r="F147" s="53" t="n">
        <v>0</v>
      </c>
      <c r="G147" s="55" t="n">
        <v>104</v>
      </c>
      <c r="H147" s="57" t="n">
        <v>0</v>
      </c>
      <c r="I147" s="55" t="n">
        <v>27</v>
      </c>
      <c r="J147" s="56" t="n">
        <v>4</v>
      </c>
      <c r="K147" s="56" t="inlineStr">
        <is>
          <t>https://amazon.com/dp/B0CKQZJMZN</t>
        </is>
      </c>
      <c r="L147" s="70">
        <f>HYPERLINK(Table2821[[#This Row],[Column1]])</f>
        <v/>
      </c>
    </row>
    <row r="148">
      <c r="A148" s="30" t="inlineStr">
        <is>
          <t>FOXWELL NT716 OBD2 Scanner Tablet, Multi System Diagnostic Tool, 9 Service Code Reader Scanner Engine SRS Transmission Oil EPB TPMS SAS BMS Throttle Brake Reset ABS Bleeding Injector Coding Scan Tool</t>
        </is>
      </c>
      <c r="B148" s="30" t="inlineStr">
        <is>
          <t>B0BVFQ4RRN</t>
        </is>
      </c>
      <c r="C148" s="30" t="inlineStr">
        <is>
          <t>Tablet</t>
        </is>
      </c>
      <c r="D148" s="324" t="n">
        <v>262.42</v>
      </c>
      <c r="E148" s="53" t="n">
        <v>21445.62</v>
      </c>
      <c r="F148" s="53" t="n">
        <v>0</v>
      </c>
      <c r="G148" s="55" t="n">
        <v>82</v>
      </c>
      <c r="H148" s="57" t="n">
        <v>0</v>
      </c>
      <c r="I148" s="55" t="n">
        <v>110</v>
      </c>
      <c r="J148" s="56" t="n">
        <v>4</v>
      </c>
      <c r="K148" s="56" t="inlineStr">
        <is>
          <t>https://amazon.com/dp/B0BVFQ4RRN</t>
        </is>
      </c>
      <c r="L148" s="70">
        <f>HYPERLINK(TABLE148)</f>
        <v/>
      </c>
    </row>
    <row r="149">
      <c r="A149" s="33" t="inlineStr">
        <is>
          <t>Total</t>
        </is>
      </c>
      <c r="B149" s="33" t="n"/>
      <c r="C149" s="33" t="n"/>
      <c r="D149" s="327" t="n"/>
      <c r="E149" s="72" t="n"/>
      <c r="F149" s="72" t="n"/>
      <c r="G149" s="73">
        <f>SUM(G102:G148)</f>
        <v/>
      </c>
      <c r="H149" s="73">
        <f>SUM(H102:H148)</f>
        <v/>
      </c>
      <c r="I149" s="73" t="n"/>
      <c r="J149" s="74" t="n"/>
      <c r="K149" s="75" t="n"/>
    </row>
    <row r="150">
      <c r="E150" s="296" t="n"/>
    </row>
  </sheetData>
  <mergeCells count="3">
    <mergeCell ref="A1:M5"/>
    <mergeCell ref="A99:L99"/>
    <mergeCell ref="A48:L48"/>
  </mergeCells>
  <conditionalFormatting sqref="C8:M16">
    <cfRule type="expression" priority="1" dxfId="30">
      <formula>C8&lt;0</formula>
    </cfRule>
  </conditionalFormatting>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5.xml><?xml version="1.0" encoding="utf-8"?>
<worksheet xmlns="http://schemas.openxmlformats.org/spreadsheetml/2006/main">
  <sheetPr>
    <outlinePr summaryBelow="1" summaryRight="1"/>
    <pageSetUpPr/>
  </sheetPr>
  <dimension ref="A1:Q404"/>
  <sheetViews>
    <sheetView zoomScaleNormal="100" workbookViewId="0">
      <selection activeCell="L29" sqref="L29"/>
    </sheetView>
  </sheetViews>
  <sheetFormatPr baseColWidth="10" defaultColWidth="10.83203125" defaultRowHeight="16"/>
  <cols>
    <col width="50.6640625" customWidth="1" style="284" min="1" max="1"/>
    <col width="12.6640625" customWidth="1" style="284" min="2" max="2"/>
    <col width="12.6640625" customWidth="1" style="320" min="3" max="3"/>
    <col width="11.1640625" customWidth="1" style="296" min="4" max="4"/>
    <col width="24.83203125" bestFit="1" customWidth="1" style="284" min="5" max="5"/>
    <col width="17.6640625" bestFit="1" customWidth="1" style="286" min="6" max="6"/>
    <col width="21.6640625" bestFit="1" customWidth="1" style="286" min="7" max="7"/>
    <col width="19.1640625" bestFit="1" customWidth="1" style="286" min="8" max="8"/>
    <col width="13.5" bestFit="1" customWidth="1" style="287" min="9" max="9"/>
    <col width="12.6640625" bestFit="1" customWidth="1" style="284" min="10" max="10"/>
    <col hidden="1" width="18.1640625" customWidth="1" style="284" min="11" max="11"/>
    <col width="35.6640625" customWidth="1" style="284" min="12" max="12"/>
    <col width="15.6640625" customWidth="1" style="284" min="13" max="13"/>
    <col width="10.83203125" customWidth="1" style="284" min="14" max="16384"/>
  </cols>
  <sheetData>
    <row r="1">
      <c r="A1" s="282" t="inlineStr">
        <is>
          <t>iCarsoft Monthly Summary</t>
        </is>
      </c>
    </row>
    <row r="2"/>
    <row r="3"/>
    <row r="4"/>
    <row r="5"/>
    <row r="6">
      <c r="A6" s="29" t="n"/>
      <c r="B6" s="29" t="n"/>
      <c r="C6" s="321" t="n"/>
      <c r="D6" s="47" t="n"/>
      <c r="E6" s="48" t="n"/>
      <c r="F6" s="48" t="n"/>
      <c r="G6" s="48" t="n"/>
      <c r="H6" s="48" t="n"/>
      <c r="I6" s="49" t="n"/>
      <c r="J6" s="50" t="n"/>
    </row>
    <row r="7" ht="32" customHeight="1" s="290">
      <c r="A7" s="80" t="n"/>
      <c r="B7" s="81" t="inlineStr">
        <is>
          <t>Avg Price</t>
        </is>
      </c>
      <c r="C7" s="81" t="inlineStr">
        <is>
          <t>Avg Price MoM</t>
        </is>
      </c>
      <c r="D7" s="82" t="inlineStr">
        <is>
          <t>Avg Price YoY</t>
        </is>
      </c>
      <c r="E7" s="81" t="inlineStr">
        <is>
          <t>Quantity/Mo</t>
        </is>
      </c>
      <c r="F7" s="84" t="inlineStr">
        <is>
          <t>Qty by %</t>
        </is>
      </c>
      <c r="G7" s="84" t="inlineStr">
        <is>
          <t>Qty MoM</t>
        </is>
      </c>
      <c r="H7" s="82" t="inlineStr">
        <is>
          <t>Qty YoY</t>
        </is>
      </c>
      <c r="I7" s="309" t="inlineStr">
        <is>
          <t>Revenue/Mo</t>
        </is>
      </c>
      <c r="J7" s="126" t="inlineStr">
        <is>
          <t>Revenue by %</t>
        </is>
      </c>
      <c r="K7" s="173" t="n"/>
      <c r="L7" s="126" t="inlineStr">
        <is>
          <t>Revenue MoM</t>
        </is>
      </c>
      <c r="M7" s="310" t="inlineStr">
        <is>
          <t>Revenue YoY</t>
        </is>
      </c>
      <c r="N7" s="286" t="n"/>
      <c r="O7" s="286" t="n"/>
      <c r="P7" s="49" t="n"/>
      <c r="Q7" s="50" t="n"/>
    </row>
    <row r="8">
      <c r="A8" s="93" t="inlineStr">
        <is>
          <t>Tablet $800+</t>
        </is>
      </c>
      <c r="B8" s="298" t="n">
        <v>1033.524285714286</v>
      </c>
      <c r="C8" s="270" t="n">
        <v>0.002628294809724041</v>
      </c>
      <c r="D8" s="271" t="n"/>
      <c r="E8" s="269" t="n">
        <v>7</v>
      </c>
      <c r="F8" s="270" t="n">
        <v>0.003146067415730337</v>
      </c>
      <c r="G8" s="270" t="n">
        <v>2.5</v>
      </c>
      <c r="H8" s="271" t="n"/>
      <c r="I8" s="95" t="n">
        <v>7234.67</v>
      </c>
      <c r="J8" s="128" t="n">
        <v>0.01663778206753937</v>
      </c>
      <c r="K8" s="169" t="n"/>
      <c r="L8" s="169" t="n">
        <v>2.509199031834034</v>
      </c>
      <c r="M8" s="169" t="n"/>
      <c r="N8" s="286" t="n"/>
      <c r="O8" s="286" t="n"/>
      <c r="P8" s="49" t="n"/>
      <c r="Q8" s="50" t="n"/>
    </row>
    <row r="9">
      <c r="A9" s="93" t="inlineStr">
        <is>
          <t>Tablet $400-$800</t>
        </is>
      </c>
      <c r="B9" s="298" t="n">
        <v>470.9459574468085</v>
      </c>
      <c r="C9" s="270" t="n">
        <v>0.06363811540460307</v>
      </c>
      <c r="D9" s="271" t="n">
        <v>0.1474941855981688</v>
      </c>
      <c r="E9" s="269" t="n">
        <v>47</v>
      </c>
      <c r="F9" s="270" t="n">
        <v>0.02112359550561798</v>
      </c>
      <c r="G9" s="270" t="n">
        <v>0.2051282051282051</v>
      </c>
      <c r="H9" s="271" t="n">
        <v>0.175</v>
      </c>
      <c r="I9" s="95" t="n">
        <v>22134.46</v>
      </c>
      <c r="J9" s="128" t="n">
        <v>0.05090326464962015</v>
      </c>
      <c r="K9" s="169" t="n"/>
      <c r="L9" s="169" t="n">
        <v>0.2818202929234959</v>
      </c>
      <c r="M9" s="169" t="n">
        <v>0.3483056680778485</v>
      </c>
      <c r="N9" s="286" t="n"/>
      <c r="O9" s="286" t="n"/>
      <c r="P9" s="49" t="n"/>
      <c r="Q9" s="50" t="n"/>
    </row>
    <row r="10">
      <c r="A10" s="96" t="inlineStr">
        <is>
          <t>Tablet $400-</t>
        </is>
      </c>
      <c r="B10" s="299" t="n">
        <v>195.0767219679634</v>
      </c>
      <c r="C10" s="274" t="n">
        <v>-0.02846078433018873</v>
      </c>
      <c r="D10" s="275" t="n">
        <v>0.09445418852663101</v>
      </c>
      <c r="E10" s="273" t="n">
        <v>1748</v>
      </c>
      <c r="F10" s="274" t="n">
        <v>0.7856179775280899</v>
      </c>
      <c r="G10" s="274" t="n">
        <v>0.2138888888888888</v>
      </c>
      <c r="H10" s="275" t="n">
        <v>0.2441281138790035</v>
      </c>
      <c r="I10" s="98" t="n">
        <v>340994.11</v>
      </c>
      <c r="J10" s="127" t="n">
        <v>0.7841941219840776</v>
      </c>
      <c r="K10" s="171" t="n"/>
      <c r="L10" s="171" t="n">
        <v>0.1793406590214097</v>
      </c>
      <c r="M10" s="171" t="n">
        <v>0.3616412252986128</v>
      </c>
      <c r="N10" s="286" t="n"/>
      <c r="O10" s="286" t="n"/>
      <c r="P10" s="49" t="n"/>
      <c r="Q10" s="50" t="n"/>
    </row>
    <row r="11">
      <c r="A11" s="101" t="inlineStr">
        <is>
          <t>Total Tablet</t>
        </is>
      </c>
      <c r="B11" s="300" t="n">
        <v>205.5289900110988</v>
      </c>
      <c r="C11" s="112" t="n">
        <v>-0.01924669136083024</v>
      </c>
      <c r="D11" s="104" t="n">
        <v>0.009573274689943512</v>
      </c>
      <c r="E11" s="116" t="n">
        <v>1802</v>
      </c>
      <c r="F11" s="112" t="n">
        <v>0.8098876404494382</v>
      </c>
      <c r="G11" s="112" t="n">
        <v>0.211021505376344</v>
      </c>
      <c r="H11" s="104" t="n">
        <v>0.2444751381215469</v>
      </c>
      <c r="I11" s="103" t="n">
        <v>370363.24</v>
      </c>
      <c r="J11" s="129" t="n">
        <v>0.8517351687012371</v>
      </c>
      <c r="K11" s="170" t="n"/>
      <c r="L11" s="170" t="n">
        <v>0.1877133482310374</v>
      </c>
      <c r="M11" s="170" t="n">
        <v>0.2563888404635897</v>
      </c>
      <c r="N11" s="286" t="n"/>
      <c r="O11" s="286" t="n"/>
      <c r="P11" s="49" t="n"/>
      <c r="Q11" s="50" t="n"/>
    </row>
    <row r="12">
      <c r="A12" s="93" t="inlineStr">
        <is>
          <t>Handheld $75+</t>
        </is>
      </c>
      <c r="B12" s="298" t="n">
        <v>166.5166395663957</v>
      </c>
      <c r="C12" s="270" t="n">
        <v>-0.1164867774558881</v>
      </c>
      <c r="D12" s="271" t="n">
        <v>0.4536418488641027</v>
      </c>
      <c r="E12" s="269" t="n">
        <v>369</v>
      </c>
      <c r="F12" s="270" t="n">
        <v>0.1658426966292135</v>
      </c>
      <c r="G12" s="270" t="n">
        <v>-0.008064516129032251</v>
      </c>
      <c r="H12" s="271" t="n">
        <v>0.313167259786477</v>
      </c>
      <c r="I12" s="95" t="n">
        <v>61444.64</v>
      </c>
      <c r="J12" s="128" t="n">
        <v>0.141306034627483</v>
      </c>
      <c r="K12" s="169" t="n"/>
      <c r="L12" s="169" t="n">
        <v>-0.1236118840893085</v>
      </c>
      <c r="M12" s="169" t="n">
        <v>0.9088748833838216</v>
      </c>
      <c r="N12" s="286" t="n"/>
      <c r="O12" s="286" t="n"/>
      <c r="P12" s="49" t="n"/>
      <c r="Q12" s="50" t="n"/>
    </row>
    <row r="13">
      <c r="A13" s="238" t="inlineStr">
        <is>
          <t>Handheld $75-</t>
        </is>
      </c>
      <c r="B13" s="328" t="n">
        <v>62.86454545454546</v>
      </c>
      <c r="C13" s="240" t="n">
        <v>-0.1387510897785953</v>
      </c>
      <c r="D13" s="241" t="n">
        <v>-0.1465578949966677</v>
      </c>
      <c r="E13" s="242" t="n">
        <v>11</v>
      </c>
      <c r="F13" s="240" t="n">
        <v>0.004943820224719101</v>
      </c>
      <c r="G13" s="240" t="n">
        <v>-0.1538461538461539</v>
      </c>
      <c r="H13" s="241" t="n">
        <v>0.8333333333333333</v>
      </c>
      <c r="I13" s="243" t="n">
        <v>691.51</v>
      </c>
      <c r="J13" s="244" t="n">
        <v>0.001590285759754646</v>
      </c>
      <c r="K13" s="245" t="n"/>
      <c r="L13" s="245" t="n">
        <v>-0.2712509221203498</v>
      </c>
      <c r="M13" s="245" t="n">
        <v>0.5646438591727758</v>
      </c>
      <c r="N13" s="286" t="n"/>
      <c r="O13" s="286" t="n"/>
      <c r="P13" s="49" t="n"/>
      <c r="Q13" s="50" t="n"/>
    </row>
    <row r="14">
      <c r="A14" s="101" t="inlineStr">
        <is>
          <t>Total Handheld</t>
        </is>
      </c>
      <c r="B14" s="300" t="n">
        <v>163.5161842105263</v>
      </c>
      <c r="C14" s="112" t="n">
        <v>-0.1140778974050052</v>
      </c>
      <c r="D14" s="104" t="n">
        <v>0.4381815778981528</v>
      </c>
      <c r="E14" s="116" t="n">
        <v>380</v>
      </c>
      <c r="F14" s="112" t="n">
        <v>0.1707865168539326</v>
      </c>
      <c r="G14" s="112" t="n">
        <v>-0.01298701298701299</v>
      </c>
      <c r="H14" s="104" t="n">
        <v>0.3240418118466899</v>
      </c>
      <c r="I14" s="103" t="n">
        <v>62136.15</v>
      </c>
      <c r="J14" s="129" t="n">
        <v>0.1428963203872376</v>
      </c>
      <c r="K14" s="170" t="n"/>
      <c r="L14" s="170" t="n">
        <v>-0.1255833792568883</v>
      </c>
      <c r="M14" s="170" t="n">
        <v>0.9042125421648015</v>
      </c>
      <c r="N14" s="286" t="n"/>
      <c r="O14" s="286" t="n"/>
      <c r="P14" s="49" t="n"/>
      <c r="Q14" s="50" t="n"/>
    </row>
    <row r="15" customFormat="1" s="191">
      <c r="A15" s="78" t="inlineStr">
        <is>
          <t>Total Other Tools</t>
        </is>
      </c>
      <c r="B15" s="301" t="n">
        <v>54.28860465116279</v>
      </c>
      <c r="C15" s="113" t="n">
        <v>-0.01884123486793621</v>
      </c>
      <c r="D15" s="107" t="n">
        <v>0.1189316319356692</v>
      </c>
      <c r="E15" s="99" t="n">
        <v>43</v>
      </c>
      <c r="F15" s="113" t="n">
        <v>0.01932584269662921</v>
      </c>
      <c r="G15" s="113" t="n">
        <v>0.5925925925925926</v>
      </c>
      <c r="H15" s="107" t="n">
        <v>0.07499999999999996</v>
      </c>
      <c r="I15" s="76" t="n">
        <v>2334.41</v>
      </c>
      <c r="J15" s="130" t="n">
        <v>0.005368510911525277</v>
      </c>
      <c r="K15" s="174" t="n"/>
      <c r="L15" s="174" t="n">
        <v>0.5625861815066202</v>
      </c>
      <c r="M15" s="174" t="n">
        <v>0.2028515043308445</v>
      </c>
      <c r="N15" s="188" t="n"/>
      <c r="O15" s="188" t="n"/>
      <c r="P15" s="189" t="n"/>
      <c r="Q15" s="190" t="n"/>
    </row>
    <row r="16">
      <c r="A16" s="86" t="inlineStr">
        <is>
          <t>Total</t>
        </is>
      </c>
      <c r="B16" s="302" t="n">
        <v>195.4309213483146</v>
      </c>
      <c r="C16" s="109" t="n">
        <v>-0.03398725712777539</v>
      </c>
      <c r="D16" s="108" t="n">
        <v>0.05323831765779685</v>
      </c>
      <c r="E16" s="100" t="n">
        <v>2225</v>
      </c>
      <c r="F16" s="109" t="n">
        <v>1</v>
      </c>
      <c r="G16" s="109" t="n">
        <v>0.1710526315789473</v>
      </c>
      <c r="H16" s="108" t="n">
        <v>0.2535211267605635</v>
      </c>
      <c r="I16" s="85" t="n">
        <v>434833.8</v>
      </c>
      <c r="J16" s="109" t="n">
        <v>1</v>
      </c>
      <c r="K16" s="172" t="n"/>
      <c r="L16" s="172" t="n">
        <v>0.1312517646793157</v>
      </c>
      <c r="M16" s="172" t="n">
        <v>0.3202564826978018</v>
      </c>
      <c r="N16" s="286" t="n"/>
      <c r="O16" s="286" t="n"/>
      <c r="P16" s="49" t="n"/>
      <c r="Q16" s="50" t="n"/>
    </row>
    <row r="17">
      <c r="A17" s="29" t="n"/>
      <c r="B17" s="29" t="n"/>
      <c r="C17" s="321" t="n"/>
      <c r="D17" s="47" t="n"/>
      <c r="E17" s="48" t="n"/>
      <c r="F17" s="48" t="n"/>
      <c r="G17" s="48" t="n"/>
      <c r="H17" s="48" t="n"/>
      <c r="I17" s="49" t="n"/>
      <c r="J17" s="50" t="n"/>
    </row>
    <row r="18">
      <c r="A18" s="29" t="n"/>
      <c r="B18" s="29" t="n"/>
      <c r="C18" s="321" t="n"/>
      <c r="D18" s="47" t="n"/>
      <c r="E18" s="48" t="n"/>
      <c r="F18" s="48" t="n"/>
      <c r="G18" s="48" t="n"/>
      <c r="H18" s="48" t="n"/>
      <c r="I18" s="49" t="n"/>
      <c r="J18" s="50" t="n"/>
    </row>
    <row r="19">
      <c r="A19" s="29" t="n"/>
      <c r="B19" s="29" t="n"/>
      <c r="C19" s="321" t="n"/>
      <c r="D19" s="47" t="n"/>
      <c r="E19" s="48" t="n"/>
      <c r="F19" s="48" t="n"/>
      <c r="G19" s="48" t="n"/>
      <c r="H19" s="48" t="n"/>
      <c r="I19" s="49" t="n"/>
      <c r="J19" s="50" t="n"/>
    </row>
    <row r="20">
      <c r="A20" s="29" t="n"/>
      <c r="B20" s="29" t="n"/>
      <c r="C20" s="321" t="n"/>
      <c r="D20" s="47" t="n"/>
      <c r="E20" s="48" t="n"/>
      <c r="F20" s="48" t="n"/>
      <c r="G20" s="48" t="n"/>
      <c r="H20" s="48" t="n"/>
      <c r="I20" s="49" t="n"/>
      <c r="J20" s="50" t="n"/>
    </row>
    <row r="21">
      <c r="A21" s="29" t="n"/>
      <c r="B21" s="29" t="n"/>
      <c r="C21" s="321" t="n"/>
      <c r="D21" s="47" t="n"/>
      <c r="E21" s="48" t="n"/>
      <c r="F21" s="48" t="n"/>
      <c r="G21" s="48" t="n"/>
      <c r="H21" s="48" t="n"/>
      <c r="I21" s="49" t="n"/>
      <c r="J21" s="50" t="n"/>
    </row>
    <row r="22">
      <c r="A22" s="29" t="n"/>
      <c r="B22" s="29" t="n"/>
      <c r="C22" s="321" t="n"/>
      <c r="D22" s="47" t="n"/>
      <c r="E22" s="48" t="n"/>
      <c r="F22" s="48" t="n"/>
      <c r="G22" s="48" t="n"/>
      <c r="H22" s="48" t="n"/>
      <c r="I22" s="49" t="n"/>
      <c r="J22" s="50" t="n"/>
    </row>
    <row r="23">
      <c r="A23" s="29" t="n"/>
      <c r="B23" s="29" t="n"/>
      <c r="C23" s="321" t="n"/>
      <c r="D23" s="47" t="n"/>
      <c r="E23" s="48" t="n"/>
      <c r="F23" s="48" t="n"/>
      <c r="G23" s="48" t="n"/>
      <c r="H23" s="48" t="n"/>
      <c r="I23" s="49" t="n"/>
      <c r="J23" s="50" t="n"/>
    </row>
    <row r="24">
      <c r="A24" s="29" t="n"/>
      <c r="B24" s="29" t="n"/>
      <c r="C24" s="321" t="n"/>
      <c r="D24" s="47" t="n"/>
      <c r="E24" s="48" t="n"/>
      <c r="F24" s="48" t="n"/>
      <c r="G24" s="48" t="n"/>
      <c r="H24" s="48" t="n"/>
      <c r="I24" s="49" t="n"/>
      <c r="J24" s="50" t="n"/>
    </row>
    <row r="25">
      <c r="A25" s="29" t="n"/>
      <c r="B25" s="29" t="n"/>
      <c r="C25" s="321" t="n"/>
      <c r="D25" s="47" t="n"/>
      <c r="E25" s="48" t="n"/>
      <c r="F25" s="48" t="n"/>
      <c r="G25" s="48" t="n"/>
      <c r="H25" s="48" t="n"/>
      <c r="I25" s="49" t="n"/>
      <c r="J25" s="50" t="n"/>
    </row>
    <row r="26">
      <c r="A26" s="29" t="n"/>
      <c r="B26" s="29" t="n"/>
      <c r="C26" s="321" t="n"/>
      <c r="D26" s="47" t="n"/>
      <c r="E26" s="48" t="n"/>
      <c r="F26" s="48" t="n"/>
      <c r="G26" s="48" t="n"/>
      <c r="H26" s="48" t="n"/>
      <c r="I26" s="49" t="n"/>
      <c r="J26" s="50" t="n"/>
    </row>
    <row r="27">
      <c r="A27" s="29" t="n"/>
      <c r="B27" s="29" t="n"/>
      <c r="C27" s="321" t="n"/>
      <c r="D27" s="47" t="n"/>
      <c r="E27" s="48" t="n"/>
      <c r="F27" s="48" t="n"/>
      <c r="G27" s="48" t="n"/>
      <c r="H27" s="48" t="n"/>
      <c r="I27" s="49" t="n"/>
      <c r="J27" s="50" t="n"/>
    </row>
    <row r="28">
      <c r="A28" s="29" t="n"/>
      <c r="B28" s="29" t="n"/>
      <c r="C28" s="321" t="n"/>
      <c r="D28" s="47" t="n"/>
      <c r="E28" s="48" t="n"/>
      <c r="F28" s="48" t="n"/>
      <c r="G28" s="48" t="n"/>
      <c r="H28" s="48" t="n"/>
      <c r="I28" s="49" t="n"/>
      <c r="J28" s="50" t="n"/>
    </row>
    <row r="29">
      <c r="A29" s="29" t="n"/>
      <c r="B29" s="29" t="n"/>
      <c r="C29" s="321" t="n"/>
      <c r="D29" s="47" t="n"/>
      <c r="E29" s="48" t="n"/>
      <c r="F29" s="48" t="n"/>
      <c r="G29" s="48" t="n"/>
      <c r="H29" s="48" t="n"/>
      <c r="I29" s="49" t="n"/>
      <c r="J29" s="50" t="n"/>
    </row>
    <row r="30">
      <c r="A30" s="29" t="n"/>
      <c r="B30" s="29" t="n"/>
      <c r="C30" s="321" t="n"/>
      <c r="D30" s="47" t="n"/>
      <c r="E30" s="48" t="n"/>
      <c r="F30" s="48" t="n"/>
      <c r="G30" s="48" t="n"/>
      <c r="H30" s="48" t="n"/>
      <c r="I30" s="49" t="n"/>
      <c r="J30" s="50" t="n"/>
    </row>
    <row r="31">
      <c r="A31" s="29" t="n"/>
      <c r="B31" s="29" t="n"/>
      <c r="C31" s="321" t="n"/>
      <c r="D31" s="47" t="n"/>
      <c r="E31" s="48" t="n"/>
      <c r="F31" s="48" t="n"/>
      <c r="G31" s="48" t="n"/>
      <c r="H31" s="48" t="n"/>
      <c r="I31" s="49" t="n"/>
      <c r="J31" s="50" t="n"/>
    </row>
    <row r="32">
      <c r="A32" s="29" t="n"/>
      <c r="B32" s="29" t="n"/>
      <c r="C32" s="321" t="n"/>
      <c r="D32" s="47" t="n"/>
      <c r="E32" s="48" t="n"/>
      <c r="F32" s="48" t="n"/>
      <c r="G32" s="48" t="n"/>
      <c r="H32" s="48" t="n"/>
      <c r="I32" s="49" t="n"/>
      <c r="J32" s="50" t="n"/>
    </row>
    <row r="51">
      <c r="A51" s="283" t="inlineStr">
        <is>
          <t>Rank by Revenue</t>
        </is>
      </c>
    </row>
    <row r="52" ht="17" customHeight="1" s="290">
      <c r="A52" s="38" t="inlineStr">
        <is>
          <t>Product Name</t>
        </is>
      </c>
      <c r="B52" s="39" t="inlineStr">
        <is>
          <t>ASIN</t>
        </is>
      </c>
      <c r="C52" s="39" t="inlineStr">
        <is>
          <t>Type</t>
        </is>
      </c>
      <c r="D52" s="322" t="inlineStr">
        <is>
          <t>Avg Price</t>
        </is>
      </c>
      <c r="E52" s="41" t="inlineStr">
        <is>
          <t>Estimated 12mo Revenue</t>
        </is>
      </c>
      <c r="F52" s="39" t="inlineStr">
        <is>
          <t>Monthly Rev</t>
        </is>
      </c>
      <c r="G52" s="42" t="inlineStr">
        <is>
          <t>Estimated 12mo Units</t>
        </is>
      </c>
      <c r="H52" s="45" t="inlineStr">
        <is>
          <t>Monthly Units</t>
        </is>
      </c>
      <c r="I52" s="42" t="inlineStr">
        <is>
          <t># of Reviews</t>
        </is>
      </c>
      <c r="J52" s="43" t="inlineStr">
        <is>
          <t xml:space="preserve">Tool Rating </t>
        </is>
      </c>
      <c r="K52" s="43" t="inlineStr">
        <is>
          <t>Column1</t>
        </is>
      </c>
      <c r="L52" s="323" t="inlineStr">
        <is>
          <t>Link</t>
        </is>
      </c>
    </row>
    <row r="53" ht="45" customHeight="1" s="290">
      <c r="A53" s="30" t="inlineStr">
        <is>
          <t>Bidirectional Diagnostic Tool for Most Mercedes-Benz/Sprinter/Smart from 1996-2023 iCarsoft MB V3.0 2026 Version 38+ Reset Service OBD2 Full System Scanner Battery Test Actuation Test AutoVIN</t>
        </is>
      </c>
      <c r="B53" s="30" t="inlineStr">
        <is>
          <t>B0D3DQQK1S</t>
        </is>
      </c>
      <c r="C53" s="30" t="inlineStr">
        <is>
          <t>Tablet</t>
        </is>
      </c>
      <c r="D53" s="324" t="n">
        <v>194.4485950413223</v>
      </c>
      <c r="E53" s="53" t="n">
        <v>580396.8999999999</v>
      </c>
      <c r="F53" s="54" t="n">
        <v>47056.56</v>
      </c>
      <c r="G53" s="55" t="n">
        <v>2676</v>
      </c>
      <c r="H53" s="55" t="n">
        <v>242</v>
      </c>
      <c r="I53" s="55" t="n">
        <v>157</v>
      </c>
      <c r="J53" s="56" t="n">
        <v>3.9</v>
      </c>
      <c r="K53" s="56" t="inlineStr">
        <is>
          <t>https://amazon.com/dp/B0D3DQQK1S</t>
        </is>
      </c>
      <c r="L53" s="70">
        <f>HYPERLINK(Table3155[[#This Row],[Column1]])</f>
        <v/>
      </c>
    </row>
    <row r="54" ht="45" customHeight="1" s="290">
      <c r="A54" s="30" t="inlineStr">
        <is>
          <t>iCarsoft POR V4.0 Bidirectional Diagnostic Tool for Porsche + 2 Extra Car Brands, OBD2 Scanner with 1333 Test Items/ 26 Services (177 Subservices)/ 66 Extra Services/Battery Registration-Free Update</t>
        </is>
      </c>
      <c r="B54" s="30" t="inlineStr">
        <is>
          <t>B0G4M5G2CR</t>
        </is>
      </c>
      <c r="C54" s="30" t="inlineStr">
        <is>
          <t>Tablet</t>
        </is>
      </c>
      <c r="D54" s="324" t="n">
        <v>269.8357142857143</v>
      </c>
      <c r="E54" s="53" t="n">
        <v>459229.4707692307</v>
      </c>
      <c r="F54" s="54" t="n">
        <v>45332.4</v>
      </c>
      <c r="G54" s="55" t="n">
        <v>306</v>
      </c>
      <c r="H54" s="55" t="n">
        <v>168</v>
      </c>
      <c r="I54" s="55" t="n">
        <v>1</v>
      </c>
      <c r="J54" s="56" t="n">
        <v>5</v>
      </c>
      <c r="K54" s="56" t="inlineStr">
        <is>
          <t>https://amazon.com/dp/B0G4M5G2CR</t>
        </is>
      </c>
      <c r="L54" s="70">
        <f>HYPERLINK(Table3155[[#This Row],[Column1]])</f>
        <v/>
      </c>
    </row>
    <row r="55" ht="30" customHeight="1" s="290">
      <c r="A55" s="30" t="inlineStr">
        <is>
          <t>iCarsoft Auto Diagnostic Scanner POR V2.0</t>
        </is>
      </c>
      <c r="B55" s="30" t="inlineStr">
        <is>
          <t>B07F2WF96Y</t>
        </is>
      </c>
      <c r="C55" s="30" t="inlineStr">
        <is>
          <t>Tablet</t>
        </is>
      </c>
      <c r="D55" s="324" t="n">
        <v>120.2065680473373</v>
      </c>
      <c r="E55" s="53" t="n">
        <v>168265.11</v>
      </c>
      <c r="F55" s="54" t="n">
        <v>20314.91</v>
      </c>
      <c r="G55" s="55" t="n">
        <v>1247</v>
      </c>
      <c r="H55" s="55" t="n">
        <v>169</v>
      </c>
      <c r="I55" s="55" t="n">
        <v>784</v>
      </c>
      <c r="J55" s="56" t="n">
        <v>4.1</v>
      </c>
      <c r="K55" s="56" t="inlineStr">
        <is>
          <t>https://amazon.com/dp/B07F2WF96Y</t>
        </is>
      </c>
      <c r="L55" s="70">
        <f>HYPERLINK(Table3155[[#This Row],[Column1]])</f>
        <v/>
      </c>
    </row>
    <row r="56" ht="60" customHeight="1" s="290">
      <c r="A56" s="30" t="inlineStr">
        <is>
          <t>iCarsoft Auto Diagnostic Scanner P700 V2.0 for Porsche with Engine/Transmission/ABS/Airbag Diagnosis Scan,OBD2 Code Reader with Oil Reset EPB ETC+Battery/O2 Sensor/EVAP Test</t>
        </is>
      </c>
      <c r="B56" s="30" t="inlineStr">
        <is>
          <t>B07FP9QJLN</t>
        </is>
      </c>
      <c r="C56" s="30" t="inlineStr">
        <is>
          <t>Tablet</t>
        </is>
      </c>
      <c r="D56" s="324" t="n">
        <v>149.5688034188034</v>
      </c>
      <c r="E56" s="53" t="n">
        <v>104958.29</v>
      </c>
      <c r="F56" s="54" t="n">
        <v>17499.55</v>
      </c>
      <c r="G56" s="55" t="n">
        <v>703</v>
      </c>
      <c r="H56" s="55" t="n">
        <v>117</v>
      </c>
      <c r="I56" s="55" t="n">
        <v>202</v>
      </c>
      <c r="J56" s="56" t="n">
        <v>4.3</v>
      </c>
      <c r="K56" s="56" t="inlineStr">
        <is>
          <t>https://amazon.com/dp/B07FP9QJLN</t>
        </is>
      </c>
      <c r="L56" s="70">
        <f>HYPERLINK(Table3155[[#This Row],[Column1]])</f>
        <v/>
      </c>
    </row>
    <row r="57" ht="45" customHeight="1" s="290">
      <c r="A57" s="30" t="inlineStr">
        <is>
          <t>iCarsoft MB V4.0 Bidirectional Diagnostic Tool for Mercedes-Benz/Sprinter/Smart and 2 Extra Brands 38 Resets+26 Extra Service, 10 OBD2 Modes, Full System Scanner Battery Test/4-in-1 Live Data/Auto VIN</t>
        </is>
      </c>
      <c r="B57" s="30" t="inlineStr">
        <is>
          <t>B0FS6XSNP6</t>
        </is>
      </c>
      <c r="C57" s="30" t="inlineStr">
        <is>
          <t>Tablet</t>
        </is>
      </c>
      <c r="D57" s="324" t="n">
        <v>268.4403389830508</v>
      </c>
      <c r="E57" s="53" t="n">
        <v>160026.3730769231</v>
      </c>
      <c r="F57" s="54" t="n">
        <v>15837.98</v>
      </c>
      <c r="G57" s="55" t="n">
        <v>268</v>
      </c>
      <c r="H57" s="55" t="n">
        <v>59</v>
      </c>
      <c r="I57" s="55" t="n">
        <v>12</v>
      </c>
      <c r="J57" s="56" t="n">
        <v>3.4</v>
      </c>
      <c r="K57" s="56" t="inlineStr">
        <is>
          <t>https://amazon.com/dp/B0FS6XSNP6</t>
        </is>
      </c>
      <c r="L57" s="70">
        <f>HYPERLINK(Table3155[[#This Row],[Column1]])</f>
        <v/>
      </c>
    </row>
    <row r="58" ht="45" customHeight="1" s="290">
      <c r="A58" s="30" t="inlineStr">
        <is>
          <t>iCarsoft MB V2.0 for Mercedes Benz OBD2 Scanner, Full System Diagnostic Scan Tool, 8 Resets Auto VIN, Oil/SAS/EPB/ETC/DP-F/BLD/INJ/SAS/TPMS, Free Update, Automotive Code Reader with Battery Test</t>
        </is>
      </c>
      <c r="B58" s="30" t="inlineStr">
        <is>
          <t>B0DX2BSRYM</t>
        </is>
      </c>
      <c r="C58" s="30" t="inlineStr">
        <is>
          <t>Tablet</t>
        </is>
      </c>
      <c r="D58" s="324" t="n">
        <v>146.1356862745098</v>
      </c>
      <c r="E58" s="53" t="n">
        <v>187220.8369230769</v>
      </c>
      <c r="F58" s="54" t="n">
        <v>14905.84</v>
      </c>
      <c r="G58" s="55" t="n">
        <v>1096</v>
      </c>
      <c r="H58" s="55" t="n">
        <v>102</v>
      </c>
      <c r="I58" s="55" t="n">
        <v>154</v>
      </c>
      <c r="J58" s="56" t="n">
        <v>4</v>
      </c>
      <c r="K58" s="56" t="inlineStr">
        <is>
          <t>https://amazon.com/dp/B0DX2BSRYM</t>
        </is>
      </c>
      <c r="L58" s="70">
        <f>HYPERLINK(Table3155[[#This Row],[Column1]])</f>
        <v/>
      </c>
    </row>
    <row r="59" ht="60" customHeight="1" s="290">
      <c r="A59" s="30" t="inlineStr">
        <is>
          <t>Bidirectional Diagnostic Tool for Porsche/Cayenne, iCarsoft 2026 POR V3.0 All System OBD2 Scanner, 27 Resets +12 Extra Services Battery Registration Code Reader for Porsche, Auto VIN</t>
        </is>
      </c>
      <c r="B59" s="30" t="inlineStr">
        <is>
          <t>B0D3DPDV86</t>
        </is>
      </c>
      <c r="C59" s="30" t="inlineStr">
        <is>
          <t>Tablet</t>
        </is>
      </c>
      <c r="D59" s="324" t="n">
        <v>184.1218461538461</v>
      </c>
      <c r="E59" s="53" t="n">
        <v>505870.76</v>
      </c>
      <c r="F59" s="54" t="n">
        <v>11967.92</v>
      </c>
      <c r="G59" s="55" t="n">
        <v>2445</v>
      </c>
      <c r="H59" s="55" t="n">
        <v>65</v>
      </c>
      <c r="I59" s="55" t="n">
        <v>784</v>
      </c>
      <c r="J59" s="56" t="n">
        <v>4.1</v>
      </c>
      <c r="K59" s="56" t="inlineStr">
        <is>
          <t>https://amazon.com/dp/B0D3DPDV86</t>
        </is>
      </c>
      <c r="L59" s="70">
        <f>HYPERLINK(Table3155[[#This Row],[Column1]])</f>
        <v/>
      </c>
    </row>
    <row r="60" ht="60" customHeight="1" s="290">
      <c r="A60" s="30" t="inlineStr">
        <is>
          <t>iCarsoft CR Pro+ All System Diagnostic Bidirectional Scan Tool for All Cars, 49 Resets+46 Extra Services+Active Test OBD2 Scanner+ECU Coding for BMW/Audi/VW-Oil/ETC/EPB/BMS/TPMS, etc. Free Update</t>
        </is>
      </c>
      <c r="B60" s="30" t="inlineStr">
        <is>
          <t>B0D3HDJQ9P</t>
        </is>
      </c>
      <c r="C60" s="30" t="inlineStr">
        <is>
          <t>Tablet</t>
        </is>
      </c>
      <c r="D60" s="324" t="n">
        <v>299.4294594594595</v>
      </c>
      <c r="E60" s="53" t="n">
        <v>226905.89</v>
      </c>
      <c r="F60" s="54" t="n">
        <v>11078.89</v>
      </c>
      <c r="G60" s="55" t="n">
        <v>747</v>
      </c>
      <c r="H60" s="55" t="n">
        <v>37</v>
      </c>
      <c r="I60" s="55" t="n">
        <v>35</v>
      </c>
      <c r="J60" s="56" t="n">
        <v>4.2</v>
      </c>
      <c r="K60" s="56" t="inlineStr">
        <is>
          <t>https://amazon.com/dp/B0D3HDJQ9P</t>
        </is>
      </c>
      <c r="L60" s="70">
        <f>HYPERLINK(Table3155[[#This Row],[Column1]])</f>
        <v/>
      </c>
    </row>
    <row r="61" ht="45" customHeight="1" s="290">
      <c r="A61" s="30" t="inlineStr">
        <is>
          <t>iCarsoft E660 2025 Version 4 Systems OBD2 Scanner, ABS SRS Engine Transmission Car Code Reader with 6 Reset Service Clear Fault Codes Battery Test Diagnostic Scan Tools Lifetime Free Upgrade</t>
        </is>
      </c>
      <c r="B61" s="30" t="inlineStr">
        <is>
          <t>B0F9FP9KPH</t>
        </is>
      </c>
      <c r="C61" s="30" t="inlineStr">
        <is>
          <t>Handheld</t>
        </is>
      </c>
      <c r="D61" s="324" t="n">
        <v>133.55475</v>
      </c>
      <c r="E61" s="53" t="n">
        <v>119822.4438461539</v>
      </c>
      <c r="F61" s="54" t="n">
        <v>10684.38</v>
      </c>
      <c r="G61" s="55" t="n">
        <v>661</v>
      </c>
      <c r="H61" s="55" t="n">
        <v>80</v>
      </c>
      <c r="I61" s="55" t="n">
        <v>463</v>
      </c>
      <c r="J61" s="56" t="n">
        <v>4.3</v>
      </c>
      <c r="K61" s="56" t="inlineStr">
        <is>
          <t>https://amazon.com/dp/B0F9FP9KPH</t>
        </is>
      </c>
      <c r="L61" s="70">
        <f>HYPERLINK(Table3155[[#This Row],[Column1]])</f>
        <v/>
      </c>
    </row>
    <row r="62" ht="45" customHeight="1" s="290">
      <c r="A62" s="30" t="inlineStr">
        <is>
          <t>Bidirectional Diagnostic Tool for Porsche/BMW, iCarsoft POR V3.0 (Enhanced Ver) All System OBD2 Scanner Code Reader for Porsche, for BMW, Auto VIN</t>
        </is>
      </c>
      <c r="B62" s="30" t="inlineStr">
        <is>
          <t>B0DWFQ69VV</t>
        </is>
      </c>
      <c r="C62" s="30" t="inlineStr">
        <is>
          <t>Handheld</t>
        </is>
      </c>
      <c r="D62" s="324" t="n">
        <v>162.491568627451</v>
      </c>
      <c r="E62" s="53" t="n">
        <v>51563.52923076924</v>
      </c>
      <c r="F62" s="54" t="n">
        <v>8287.07</v>
      </c>
      <c r="G62" s="55" t="n">
        <v>157</v>
      </c>
      <c r="H62" s="55" t="n">
        <v>51</v>
      </c>
      <c r="I62" s="55" t="n">
        <v>5</v>
      </c>
      <c r="J62" s="56" t="n">
        <v>4.5</v>
      </c>
      <c r="K62" s="56" t="inlineStr">
        <is>
          <t>https://amazon.com/dp/B0DWFQ69VV</t>
        </is>
      </c>
      <c r="L62" s="70">
        <f>HYPERLINK(Table3155[[#This Row],[Column1]])</f>
        <v/>
      </c>
    </row>
    <row r="63" ht="45" customHeight="1" s="290">
      <c r="A63" s="30" t="inlineStr">
        <is>
          <t>iCarsoft CR Max BT Wireless OBD2 Scanner, All System Car Diagnostic Tool, 49 Reset+Extra 46 Service, 40000+Bidirectional Tests, ECU Coding, Battery Registration,CANFD, Auto VIN, Free Update</t>
        </is>
      </c>
      <c r="B63" s="30" t="inlineStr">
        <is>
          <t>B0D1BTBQZN</t>
        </is>
      </c>
      <c r="C63" s="30" t="inlineStr">
        <is>
          <t>Tablet</t>
        </is>
      </c>
      <c r="D63" s="324" t="n">
        <v>416.338947368421</v>
      </c>
      <c r="E63" s="53" t="n">
        <v>119633.85</v>
      </c>
      <c r="F63" s="54" t="n">
        <v>7910.44</v>
      </c>
      <c r="G63" s="55" t="n">
        <v>263</v>
      </c>
      <c r="H63" s="55" t="n">
        <v>19</v>
      </c>
      <c r="I63" s="55" t="n">
        <v>76</v>
      </c>
      <c r="J63" s="56" t="n">
        <v>4.3</v>
      </c>
      <c r="K63" s="56" t="inlineStr">
        <is>
          <t>https://amazon.com/dp/B0D1BTBQZN</t>
        </is>
      </c>
      <c r="L63" s="70">
        <f>HYPERLINK(Table3155[[#This Row],[Column1]])</f>
        <v/>
      </c>
    </row>
    <row r="64" ht="45" customHeight="1" s="290">
      <c r="A64" s="30" t="inlineStr">
        <is>
          <t>iCarsoft MT V6 Motorcycle Diagnostic Scan Tool for Harley, All System Motorcycle OBD2 Scanner with 57Actuation Tests,43 Special Function, Oil/ETC/ABS/ESA/Engine Idle Resets,Battery Test</t>
        </is>
      </c>
      <c r="B64" s="30" t="inlineStr">
        <is>
          <t>B0DFQ4S4SH</t>
        </is>
      </c>
      <c r="C64" s="30" t="inlineStr">
        <is>
          <t>Tablet</t>
        </is>
      </c>
      <c r="D64" s="324" t="n">
        <v>199.8246153846154</v>
      </c>
      <c r="E64" s="53" t="n">
        <v>76468.07846153846</v>
      </c>
      <c r="F64" s="54" t="n">
        <v>7793.16</v>
      </c>
      <c r="G64" s="55" t="n">
        <v>249</v>
      </c>
      <c r="H64" s="55" t="n">
        <v>39</v>
      </c>
      <c r="I64" s="55" t="n">
        <v>21</v>
      </c>
      <c r="J64" s="56" t="n">
        <v>3.2</v>
      </c>
      <c r="K64" s="56" t="inlineStr">
        <is>
          <t>https://amazon.com/dp/B0DFQ4S4SH</t>
        </is>
      </c>
      <c r="L64" s="70">
        <f>HYPERLINK(Table3155[[#This Row],[Column1]])</f>
        <v/>
      </c>
    </row>
    <row r="65" ht="45" customHeight="1" s="290">
      <c r="A65" s="30" t="inlineStr">
        <is>
          <t>iCarsoft POR V2.0 fit for Porsche/Cayenne/911 Full Systems Diagnostic Scan Tool, OBD2 Scanner with 8 Resets, Live Data, Battery Test Module Info, Lifetime F-Ree Update</t>
        </is>
      </c>
      <c r="B65" s="30" t="inlineStr">
        <is>
          <t>B0DXW2DJR6</t>
        </is>
      </c>
      <c r="C65" s="30" t="inlineStr">
        <is>
          <t>Tablet</t>
        </is>
      </c>
      <c r="D65" s="324" t="n">
        <v>169.1276086956522</v>
      </c>
      <c r="E65" s="53" t="n">
        <v>100905.5207692307</v>
      </c>
      <c r="F65" s="54" t="n">
        <v>7779.87</v>
      </c>
      <c r="G65" s="55" t="n">
        <v>349</v>
      </c>
      <c r="H65" s="55" t="n">
        <v>46</v>
      </c>
      <c r="I65" s="55" t="n">
        <v>7</v>
      </c>
      <c r="J65" s="56" t="n">
        <v>3.7</v>
      </c>
      <c r="K65" s="56" t="inlineStr">
        <is>
          <t>https://amazon.com/dp/B0DXW2DJR6</t>
        </is>
      </c>
      <c r="L65" s="70">
        <f>HYPERLINK(Table3155[[#This Row],[Column1]])</f>
        <v/>
      </c>
    </row>
    <row r="66" ht="45" customHeight="1" s="290">
      <c r="A66" s="30" t="inlineStr">
        <is>
          <t>iCarsoft VOL V 4.0 Diagnostic Scan Tool for Volvo/SAAB + 2 Car Brand Vehicles, OBD2 Scanner with 29 Resets (317 Sub-Services) +234 Extra Services, 1599 Bidirectional Test Items, All System Diagnose</t>
        </is>
      </c>
      <c r="B66" s="30" t="inlineStr">
        <is>
          <t>B0G4M4L59R</t>
        </is>
      </c>
      <c r="C66" s="30" t="inlineStr">
        <is>
          <t>Tablet</t>
        </is>
      </c>
      <c r="D66" s="324" t="n">
        <v>267.7313793103448</v>
      </c>
      <c r="E66" s="53" t="n">
        <v>86600.80384615385</v>
      </c>
      <c r="F66" s="54" t="n">
        <v>7764.21</v>
      </c>
      <c r="G66" s="55" t="n">
        <v>29</v>
      </c>
      <c r="H66" s="55" t="n">
        <v>29</v>
      </c>
      <c r="I66" s="55" t="n"/>
      <c r="J66" s="56" t="n"/>
      <c r="K66" s="56" t="inlineStr">
        <is>
          <t>https://amazon.com/dp/B0G4M4L59R</t>
        </is>
      </c>
      <c r="L66" s="70">
        <f>HYPERLINK(Table3155[[#This Row],[Column1]])</f>
        <v/>
      </c>
    </row>
    <row r="67" ht="45" customHeight="1" s="290">
      <c r="A67" s="30" t="inlineStr">
        <is>
          <t>iCarsoft Bidirectional Scan Tool, CR Max OBD2 Diagnostic Scanner for All Vehicles, Full System 49 Resets+46 Extra Services, 40000+Active Tests,ECU Coding, Battery Registration, Oil Reset/ABS,CAN FD</t>
        </is>
      </c>
      <c r="B67" s="30" t="inlineStr">
        <is>
          <t>B0D1BJTGLL</t>
        </is>
      </c>
      <c r="C67" s="30" t="inlineStr">
        <is>
          <t>Tablet</t>
        </is>
      </c>
      <c r="D67" s="324" t="n">
        <v>365.9238095238095</v>
      </c>
      <c r="E67" s="53" t="n">
        <v>133372.8223076923</v>
      </c>
      <c r="F67" s="54" t="n">
        <v>7684.4</v>
      </c>
      <c r="G67" s="55" t="n">
        <v>337</v>
      </c>
      <c r="H67" s="55" t="n">
        <v>21</v>
      </c>
      <c r="I67" s="55" t="n">
        <v>230</v>
      </c>
      <c r="J67" s="56" t="n">
        <v>4.2</v>
      </c>
      <c r="K67" s="56" t="inlineStr">
        <is>
          <t>https://amazon.com/dp/B0D1BJTGLL</t>
        </is>
      </c>
      <c r="L67" s="70">
        <f>HYPERLINK(Table3155[[#This Row],[Column1]])</f>
        <v/>
      </c>
    </row>
    <row r="68" ht="45" customHeight="1" s="290">
      <c r="A68" s="30" t="inlineStr">
        <is>
          <t>iCarsoft MB V3.0 Bidirectional Diagnostic Tool for Mercedes-Benz/Sprinter/Smart/Maybach 38+ Service All Systems OBD2 Scanner Quick Scan Battery Test Full Actuation Test Auto VIN Free Lifetime Update</t>
        </is>
      </c>
      <c r="B68" s="30" t="inlineStr">
        <is>
          <t>B0FBWTJ9S4</t>
        </is>
      </c>
      <c r="C68" s="30" t="inlineStr">
        <is>
          <t>Tablet</t>
        </is>
      </c>
      <c r="D68" s="324" t="n">
        <v>191.595641025641</v>
      </c>
      <c r="E68" s="53" t="n">
        <v>82907.06923076924</v>
      </c>
      <c r="F68" s="54" t="n">
        <v>7472.23</v>
      </c>
      <c r="G68" s="55" t="n">
        <v>307</v>
      </c>
      <c r="H68" s="55" t="n">
        <v>39</v>
      </c>
      <c r="I68" s="55" t="n">
        <v>17</v>
      </c>
      <c r="J68" s="56" t="n">
        <v>4.2</v>
      </c>
      <c r="K68" s="56" t="inlineStr">
        <is>
          <t>https://amazon.com/dp/B0FBWTJ9S4</t>
        </is>
      </c>
      <c r="L68" s="70">
        <f>HYPERLINK(Table3155[[#This Row],[Column1]])</f>
        <v/>
      </c>
    </row>
    <row r="69" ht="60" customHeight="1" s="290">
      <c r="A69" s="30" t="inlineStr">
        <is>
          <t>iCarsoft LR V3.0 2026 Version Bidirectional OBD2 Scanner for Most Land Rover/Jaguar from 1996-2023 Full Systems 37 Service Diagnostic Scan Tool Graphic Data Car Code Reader with Lifetime Free Update</t>
        </is>
      </c>
      <c r="B69" s="30" t="inlineStr">
        <is>
          <t>B0FZ8JJY1T</t>
        </is>
      </c>
      <c r="C69" s="30" t="inlineStr">
        <is>
          <t>Tablet</t>
        </is>
      </c>
      <c r="D69" s="324" t="n">
        <v>218.8990625</v>
      </c>
      <c r="E69" s="53" t="n">
        <v>93506.13230769234</v>
      </c>
      <c r="F69" s="54" t="n">
        <v>7004.77</v>
      </c>
      <c r="G69" s="55" t="n">
        <v>190</v>
      </c>
      <c r="H69" s="55" t="n">
        <v>32</v>
      </c>
      <c r="I69" s="55" t="n">
        <v>5</v>
      </c>
      <c r="J69" s="56" t="n">
        <v>3.8</v>
      </c>
      <c r="K69" s="56" t="inlineStr">
        <is>
          <t>https://amazon.com/dp/B0FZ8JJY1T</t>
        </is>
      </c>
      <c r="L69" s="70">
        <f>HYPERLINK(Table3155[[#This Row],[Column1]])</f>
        <v/>
      </c>
    </row>
    <row r="70" ht="30" customHeight="1" s="290">
      <c r="A70" s="30" t="inlineStr">
        <is>
          <t>iCarsoft LR V4.0 Full Systems Bidirectional Diagnostic Scan Tool for Most Land Rover/Jaguar and Other 2 Car Makes from 1996-2023 Automotive OBD2 Scanner Up to 51 Service Graphic Data Car Code Reader</t>
        </is>
      </c>
      <c r="B70" s="30" t="inlineStr">
        <is>
          <t>B0FS6NB462</t>
        </is>
      </c>
      <c r="C70" s="30" t="inlineStr">
        <is>
          <t>Handheld</t>
        </is>
      </c>
      <c r="D70" s="324" t="n">
        <v>273.8068</v>
      </c>
      <c r="E70" s="53" t="n">
        <v>95545.27769230767</v>
      </c>
      <c r="F70" s="54" t="n">
        <v>6845.17</v>
      </c>
      <c r="G70" s="55" t="n">
        <v>167</v>
      </c>
      <c r="H70" s="55" t="n">
        <v>25</v>
      </c>
      <c r="I70" s="55" t="n">
        <v>4</v>
      </c>
      <c r="J70" s="56" t="n">
        <v>2.9</v>
      </c>
      <c r="K70" s="56" t="inlineStr">
        <is>
          <t>https://amazon.com/dp/B0FS6NB462</t>
        </is>
      </c>
      <c r="L70" s="70">
        <f>HYPERLINK(Table3155[[#This Row],[Column1]])</f>
        <v/>
      </c>
    </row>
    <row r="71" ht="30" customHeight="1" s="290">
      <c r="A71" s="30" t="inlineStr">
        <is>
          <t>iCarsoft CR Genius 5'' Multi-Brand Vehicle Multi-Systems/Quick Test/Actuation Test/Touch Screen Car Diagnostic Scan Tool</t>
        </is>
      </c>
      <c r="B71" s="30" t="inlineStr">
        <is>
          <t>B09RZKRQP5</t>
        </is>
      </c>
      <c r="C71" s="30" t="inlineStr">
        <is>
          <t>Tablet</t>
        </is>
      </c>
      <c r="D71" s="324" t="n">
        <v>277.6604166666667</v>
      </c>
      <c r="E71" s="53" t="n">
        <v>98843.16</v>
      </c>
      <c r="F71" s="54" t="n">
        <v>6663.85</v>
      </c>
      <c r="G71" s="55" t="n">
        <v>307</v>
      </c>
      <c r="H71" s="55" t="n">
        <v>24</v>
      </c>
      <c r="I71" s="55" t="n">
        <v>232</v>
      </c>
      <c r="J71" s="56" t="n">
        <v>4.1</v>
      </c>
      <c r="K71" s="56" t="inlineStr">
        <is>
          <t>https://amazon.com/dp/B09RZKRQP5</t>
        </is>
      </c>
      <c r="L71" s="70">
        <f>HYPERLINK(Table3155[[#This Row],[Column1]])</f>
        <v/>
      </c>
    </row>
    <row r="72" ht="45" customHeight="1" s="290">
      <c r="A72" s="30" t="inlineStr">
        <is>
          <t>iCarsoft MB V4.0 Full System Bidirectional Diagnostic Scan Tool for Most Benz/Sprinter/Smart and Other 2 Car Makes from 1996-2023 Automotive OBD2 Scanner Up to 42 Service Graphic Data Car Code Reader</t>
        </is>
      </c>
      <c r="B72" s="30" t="inlineStr">
        <is>
          <t>B0G4MR79SY</t>
        </is>
      </c>
      <c r="C72" s="30" t="inlineStr">
        <is>
          <t>Handheld</t>
        </is>
      </c>
      <c r="D72" s="324" t="n">
        <v>266.59625</v>
      </c>
      <c r="E72" s="53" t="n">
        <v>86952.84307692311</v>
      </c>
      <c r="F72" s="54" t="n">
        <v>6398.31</v>
      </c>
      <c r="G72" s="55" t="n">
        <v>103</v>
      </c>
      <c r="H72" s="55" t="n">
        <v>24</v>
      </c>
      <c r="I72" s="55" t="n">
        <v>4</v>
      </c>
      <c r="J72" s="56" t="n">
        <v>3</v>
      </c>
      <c r="K72" s="56" t="inlineStr">
        <is>
          <t>https://amazon.com/dp/B0G4MR79SY</t>
        </is>
      </c>
      <c r="L72" s="70">
        <f>HYPERLINK(Table3155[[#This Row],[Column1]])</f>
        <v/>
      </c>
    </row>
    <row r="73" ht="60" customHeight="1" s="290">
      <c r="A73" s="30" t="inlineStr">
        <is>
          <t>iCarsoft MB V2.0 OBD2 Scanner Diagnostic Tool for Benz/Sprinter/Smart, Full System Code Reader with 8 Resets, Auto VIN, Oil/SAS/EPB/ETC/BLD/INJ/SAS/TPMS, Free Update, Live Data, Battery Test</t>
        </is>
      </c>
      <c r="B73" s="30" t="inlineStr">
        <is>
          <t>B0FPF9S6RV</t>
        </is>
      </c>
      <c r="C73" s="30" t="inlineStr">
        <is>
          <t>Tablet</t>
        </is>
      </c>
      <c r="D73" s="324" t="n">
        <v>170.3544117647059</v>
      </c>
      <c r="E73" s="53" t="n">
        <v>58367.83384615384</v>
      </c>
      <c r="F73" s="54" t="n">
        <v>5792.05</v>
      </c>
      <c r="G73" s="55" t="n">
        <v>133</v>
      </c>
      <c r="H73" s="55" t="n">
        <v>34</v>
      </c>
      <c r="I73" s="55" t="n">
        <v>5</v>
      </c>
      <c r="J73" s="56" t="n">
        <v>4.5</v>
      </c>
      <c r="K73" s="56" t="inlineStr">
        <is>
          <t>https://amazon.com/dp/B0FPF9S6RV</t>
        </is>
      </c>
      <c r="L73" s="70">
        <f>HYPERLINK(Table3155[[#This Row],[Column1]])</f>
        <v/>
      </c>
    </row>
    <row r="74" ht="45" customHeight="1" s="290">
      <c r="A74" s="30" t="inlineStr">
        <is>
          <t>iCarsoft CR MAX P Bidirectional Scan Tools 10-inch Full System Diagnostic Tool Up to 51 Services All Active Test OBD2 Scanner ECU Coding CAN FD/DoIP Free Update Car Code Reader for 10000+ Vehicles</t>
        </is>
      </c>
      <c r="B74" s="30" t="inlineStr">
        <is>
          <t>B0GLFPC298</t>
        </is>
      </c>
      <c r="C74" s="30" t="inlineStr">
        <is>
          <t>Tablet</t>
        </is>
      </c>
      <c r="D74" s="324" t="n">
        <v>663.10375</v>
      </c>
      <c r="E74" s="53" t="n">
        <v>61116.25769230769</v>
      </c>
      <c r="F74" s="54" t="n">
        <v>5304.83</v>
      </c>
      <c r="G74" s="55" t="n">
        <v>11</v>
      </c>
      <c r="H74" s="55" t="n">
        <v>8</v>
      </c>
      <c r="I74" s="55" t="n"/>
      <c r="J74" s="56" t="n"/>
      <c r="K74" s="56" t="inlineStr">
        <is>
          <t>https://amazon.com/dp/B0GLFPC298</t>
        </is>
      </c>
      <c r="L74" s="70">
        <f>HYPERLINK(Table3155[[#This Row],[Column1]])</f>
        <v/>
      </c>
    </row>
    <row r="75" ht="60" customHeight="1" s="290">
      <c r="A75" s="30" t="inlineStr">
        <is>
          <t>iCarsoft CR Max - Wireless Professional Car Scanner Diagnostic Case for EU-Protocol Vehicles - Original Model with European Warranties</t>
        </is>
      </c>
      <c r="B75" s="30" t="inlineStr">
        <is>
          <t>B09B2M6T6N</t>
        </is>
      </c>
      <c r="C75" s="30" t="inlineStr">
        <is>
          <t>Handheld</t>
        </is>
      </c>
      <c r="D75" s="324" t="n">
        <v>398.5623076923077</v>
      </c>
      <c r="E75" s="53" t="n">
        <v>54257.19076923076</v>
      </c>
      <c r="F75" s="54" t="n">
        <v>5181.31</v>
      </c>
      <c r="G75" s="55" t="n">
        <v>82</v>
      </c>
      <c r="H75" s="55" t="n">
        <v>13</v>
      </c>
      <c r="I75" s="55" t="n">
        <v>608</v>
      </c>
      <c r="J75" s="56" t="n">
        <v>4.3</v>
      </c>
      <c r="K75" s="56" t="inlineStr">
        <is>
          <t>https://amazon.com/dp/B09B2M6T6N</t>
        </is>
      </c>
      <c r="L75" s="70">
        <f>HYPERLINK(Table3155[[#This Row],[Column1]])</f>
        <v/>
      </c>
    </row>
    <row r="76" ht="45" customHeight="1" s="290">
      <c r="A76" s="30" t="inlineStr">
        <is>
          <t>OBD2 Diagnostic Scan Tool for Mercedes Benz/Sprinter, iCarsoft M900 V2.0 Scanner Code Reader for Engine, Transmission, ABS, Airbag Systems, Oil/SAS/EPB/ETC/INJ Reset,Battery Test</t>
        </is>
      </c>
      <c r="B76" s="30" t="inlineStr">
        <is>
          <t>B07BFPKLMY</t>
        </is>
      </c>
      <c r="C76" s="30" t="inlineStr">
        <is>
          <t>Tablet</t>
        </is>
      </c>
      <c r="D76" s="324" t="n">
        <v>151.7615151515151</v>
      </c>
      <c r="E76" s="53" t="n">
        <v>73636.83</v>
      </c>
      <c r="F76" s="54" t="n">
        <v>5008.13</v>
      </c>
      <c r="G76" s="55" t="n">
        <v>529</v>
      </c>
      <c r="H76" s="55" t="n">
        <v>33</v>
      </c>
      <c r="I76" s="55" t="n">
        <v>154</v>
      </c>
      <c r="J76" s="56" t="n">
        <v>4</v>
      </c>
      <c r="K76" s="56" t="inlineStr">
        <is>
          <t>https://amazon.com/dp/B07BFPKLMY</t>
        </is>
      </c>
      <c r="L76" s="70">
        <f>HYPERLINK(Table3155[[#This Row],[Column1]])</f>
        <v/>
      </c>
    </row>
    <row r="77" ht="45" customHeight="1" s="290">
      <c r="A77" s="30" t="inlineStr">
        <is>
          <t>iCarsoft LR V3.0 2026 Ver Bidirectional OBD2 Scanner for Most Land Rover/Jaguar from 1996-2023 Full Systems Diagnostic Scan Tool 37 Service/118 Graphic Data Engine Transmission ABS Car Code Reader</t>
        </is>
      </c>
      <c r="B77" s="30" t="inlineStr">
        <is>
          <t>B0DBDDLS9F</t>
        </is>
      </c>
      <c r="C77" s="30" t="inlineStr">
        <is>
          <t>Tablet</t>
        </is>
      </c>
      <c r="D77" s="324" t="n">
        <v>187.6280769230769</v>
      </c>
      <c r="E77" s="53" t="n">
        <v>273399.64</v>
      </c>
      <c r="F77" s="54" t="n">
        <v>4878.33</v>
      </c>
      <c r="G77" s="55" t="n">
        <v>1341</v>
      </c>
      <c r="H77" s="55" t="n">
        <v>26</v>
      </c>
      <c r="I77" s="55" t="n">
        <v>202</v>
      </c>
      <c r="J77" s="56" t="n">
        <v>4.3</v>
      </c>
      <c r="K77" s="56" t="inlineStr">
        <is>
          <t>https://amazon.com/dp/B0DBDDLS9F</t>
        </is>
      </c>
      <c r="L77" s="70">
        <f>HYPERLINK(Table3155[[#This Row],[Column1]])</f>
        <v/>
      </c>
    </row>
    <row r="78" ht="30" customHeight="1" s="290">
      <c r="A78" s="30" t="inlineStr">
        <is>
          <t>iCarsoft CR MAX 2026 Ver Bidirectional Scan Tool All System Diagnosis 49+ Services 47+ Special Functions Full Active Test OBD2 Scanner Diagnostic Tool Car Code Reader ECU Coding CAN FD Free Update</t>
        </is>
      </c>
      <c r="B78" s="30" t="inlineStr">
        <is>
          <t>B0DXLCFJ1L</t>
        </is>
      </c>
      <c r="C78" s="30" t="inlineStr">
        <is>
          <t>Tablet</t>
        </is>
      </c>
      <c r="D78" s="324" t="n">
        <v>342.5846153846154</v>
      </c>
      <c r="E78" s="53" t="n">
        <v>141980.27</v>
      </c>
      <c r="F78" s="54" t="n">
        <v>4453.6</v>
      </c>
      <c r="G78" s="55" t="n">
        <v>374</v>
      </c>
      <c r="H78" s="55" t="n">
        <v>13</v>
      </c>
      <c r="I78" s="55" t="n">
        <v>48</v>
      </c>
      <c r="J78" s="56" t="n">
        <v>4.1</v>
      </c>
      <c r="K78" s="56" t="inlineStr">
        <is>
          <t>https://amazon.com/dp/B0DXLCFJ1L</t>
        </is>
      </c>
      <c r="L78" s="70">
        <f>HYPERLINK(Table3155[[#This Row],[Column1]])</f>
        <v/>
      </c>
    </row>
    <row r="79" ht="45" customHeight="1" s="290">
      <c r="A79" s="30" t="inlineStr">
        <is>
          <t>iCarsoft Wireless Bidirectional Diagnostic Tool, CR Eagle ECU Coding &amp; TPMS Programming &amp; Battery Registration, All System 49 Reset,10000+Extra Services OBD2 Scanner with 4 Sensors/Endoscope</t>
        </is>
      </c>
      <c r="B79" s="30" t="inlineStr">
        <is>
          <t>B0F1TD28WF</t>
        </is>
      </c>
      <c r="C79" s="30" t="inlineStr">
        <is>
          <t>Tablet</t>
        </is>
      </c>
      <c r="D79" s="324" t="n">
        <v>846.96</v>
      </c>
      <c r="E79" s="53" t="n">
        <v>47251.92846153846</v>
      </c>
      <c r="F79" s="54" t="n">
        <v>4234.8</v>
      </c>
      <c r="G79" s="55" t="n">
        <v>35</v>
      </c>
      <c r="H79" s="55" t="n">
        <v>5</v>
      </c>
      <c r="I79" s="55" t="n">
        <v>1</v>
      </c>
      <c r="J79" s="56" t="n">
        <v>2</v>
      </c>
      <c r="K79" s="56" t="inlineStr">
        <is>
          <t>https://amazon.com/dp/B0F1TD28WF</t>
        </is>
      </c>
      <c r="L79" s="70">
        <f>HYPERLINK(Table3155[[#This Row],[Column1]])</f>
        <v/>
      </c>
    </row>
    <row r="80" ht="45" customHeight="1" s="290">
      <c r="A80" s="30" t="inlineStr">
        <is>
          <t>iCarsoft MB II OBD2 Scanner for Mercedes Benz/Sprinter/Smart, All System in-Depth Diagnostic Scan Tool, with Oil Reset/SAS/EPB/ETC/DF/BLD/INJ, Battery Test, Live Graph Data</t>
        </is>
      </c>
      <c r="B80" s="30" t="inlineStr">
        <is>
          <t>B0D769KCX6</t>
        </is>
      </c>
      <c r="C80" s="30" t="inlineStr">
        <is>
          <t>Tablet</t>
        </is>
      </c>
      <c r="D80" s="324" t="n">
        <v>145.4282142857143</v>
      </c>
      <c r="E80" s="53" t="n">
        <v>41537.39999999999</v>
      </c>
      <c r="F80" s="54" t="n">
        <v>4071.99</v>
      </c>
      <c r="G80" s="55" t="n">
        <v>266</v>
      </c>
      <c r="H80" s="55" t="n">
        <v>28</v>
      </c>
      <c r="I80" s="55" t="n">
        <v>60</v>
      </c>
      <c r="J80" s="56" t="n">
        <v>3.8</v>
      </c>
      <c r="K80" s="56" t="inlineStr">
        <is>
          <t>https://amazon.com/dp/B0D769KCX6</t>
        </is>
      </c>
      <c r="L80" s="70">
        <f>HYPERLINK(Table3155[[#This Row],[Column1]])</f>
        <v/>
      </c>
    </row>
    <row r="81" ht="45" customHeight="1" s="290">
      <c r="A81" s="30" t="inlineStr">
        <is>
          <t>iCarsoft CR MAX 2026 Version Bidirectional Scan Tools Full System Diagnosis 49 Services All Active Test OBD2 Scanner Diagnostic Tool Car Code Reader ECU Coding CAN FD Free Update for 10000+ Vehicles</t>
        </is>
      </c>
      <c r="B81" s="30" t="inlineStr">
        <is>
          <t>B0FZ89PCWN</t>
        </is>
      </c>
      <c r="C81" s="30" t="inlineStr">
        <is>
          <t>Tablet</t>
        </is>
      </c>
      <c r="D81" s="324" t="n">
        <v>451.39</v>
      </c>
      <c r="E81" s="53" t="n">
        <v>49478.79384615386</v>
      </c>
      <c r="F81" s="54" t="n">
        <v>4062.51</v>
      </c>
      <c r="G81" s="55" t="n">
        <v>45</v>
      </c>
      <c r="H81" s="55" t="n">
        <v>9</v>
      </c>
      <c r="I81" s="55" t="n">
        <v>1</v>
      </c>
      <c r="J81" s="56" t="n">
        <v>5</v>
      </c>
      <c r="K81" s="56" t="inlineStr">
        <is>
          <t>https://amazon.com/dp/B0FZ89PCWN</t>
        </is>
      </c>
      <c r="L81" s="70">
        <f>HYPERLINK(Table3155[[#This Row],[Column1]])</f>
        <v/>
      </c>
    </row>
    <row r="82" ht="45" customHeight="1" s="290">
      <c r="A82" s="30" t="inlineStr">
        <is>
          <t>iCarsoft CR Plus OBD2 Scanner Diagnostic Tool, Code Reader for ABS Transmission Engine Airbag System. Car Scan Tool with EVAP and O2 Sensor Test,On-Board,Freeze Frame,Oil Reset-Free Update</t>
        </is>
      </c>
      <c r="B82" s="30" t="inlineStr">
        <is>
          <t>B0D1CS59GX</t>
        </is>
      </c>
      <c r="C82" s="30" t="inlineStr">
        <is>
          <t>Tablet</t>
        </is>
      </c>
      <c r="D82" s="324" t="n">
        <v>203.9894444444444</v>
      </c>
      <c r="E82" s="53" t="n">
        <v>48352.04000000001</v>
      </c>
      <c r="F82" s="54" t="n">
        <v>3671.81</v>
      </c>
      <c r="G82" s="55" t="n">
        <v>231</v>
      </c>
      <c r="H82" s="55" t="n">
        <v>18</v>
      </c>
      <c r="I82" s="55" t="n">
        <v>10</v>
      </c>
      <c r="J82" s="56" t="n">
        <v>4.1</v>
      </c>
      <c r="K82" s="56" t="inlineStr">
        <is>
          <t>https://amazon.com/dp/B0D1CS59GX</t>
        </is>
      </c>
      <c r="L82" s="70">
        <f>HYPERLINK(Table3155[[#This Row],[Column1]])</f>
        <v/>
      </c>
    </row>
    <row r="83" ht="45" customHeight="1" s="290">
      <c r="A83" s="30" t="inlineStr">
        <is>
          <t>iCarsoft POR V4.0 Bidirectional Diagnostic Tool for Porsche, All System Full Active Tests 27 Services OBD2 Scanner for Porsche, Code Reader, Auto VIN</t>
        </is>
      </c>
      <c r="B83" s="30" t="inlineStr">
        <is>
          <t>B0FKN6LJRN</t>
        </is>
      </c>
      <c r="C83" s="30" t="inlineStr">
        <is>
          <t>Tablet</t>
        </is>
      </c>
      <c r="D83" s="324" t="n">
        <v>253.6707142857143</v>
      </c>
      <c r="E83" s="53" t="n">
        <v>82848.86692307694</v>
      </c>
      <c r="F83" s="54" t="n">
        <v>3551.39</v>
      </c>
      <c r="G83" s="55" t="n">
        <v>236</v>
      </c>
      <c r="H83" s="55" t="n">
        <v>14</v>
      </c>
      <c r="I83" s="55" t="n">
        <v>11</v>
      </c>
      <c r="J83" s="56" t="n">
        <v>3.6</v>
      </c>
      <c r="K83" s="56" t="inlineStr">
        <is>
          <t>https://amazon.com/dp/B0FKN6LJRN</t>
        </is>
      </c>
      <c r="L83" s="70">
        <f>HYPERLINK(Table3155[[#This Row],[Column1]])</f>
        <v/>
      </c>
    </row>
    <row r="84" ht="45" customHeight="1" s="290">
      <c r="A84" s="30" t="inlineStr">
        <is>
          <t>iCarsoft POR V3.0(Upgraded) Bidirectional Diagnostic Tool for Porsche, 27 Resets (234Sub-Resets) + 66 Extra Services + 1333Test Items, All System OBD2 Scanner, Battery Registration Code Reader</t>
        </is>
      </c>
      <c r="B84" s="30" t="inlineStr">
        <is>
          <t>B0FRF2ZMMG</t>
        </is>
      </c>
      <c r="C84" s="30" t="inlineStr">
        <is>
          <t>Tablet</t>
        </is>
      </c>
      <c r="D84" s="324" t="n">
        <v>223.2713333333333</v>
      </c>
      <c r="E84" s="53" t="n">
        <v>47989.57307692309</v>
      </c>
      <c r="F84" s="54" t="n">
        <v>3349.07</v>
      </c>
      <c r="G84" s="55" t="n">
        <v>91</v>
      </c>
      <c r="H84" s="55" t="n">
        <v>15</v>
      </c>
      <c r="I84" s="55" t="n">
        <v>1</v>
      </c>
      <c r="J84" s="56" t="n">
        <v>5</v>
      </c>
      <c r="K84" s="56" t="inlineStr">
        <is>
          <t>https://amazon.com/dp/B0FRF2ZMMG</t>
        </is>
      </c>
      <c r="L84" s="70">
        <f>HYPERLINK(Table3155[[#This Row],[Column1]])</f>
        <v/>
      </c>
    </row>
    <row r="85" ht="45" customHeight="1" s="290">
      <c r="A85" s="30" t="inlineStr">
        <is>
          <t>iCarsoft MBII for Mercedes Benz, Reads and Clears Trouble Codes, EPB,SAS, ETC Reset</t>
        </is>
      </c>
      <c r="B85" s="30" t="inlineStr">
        <is>
          <t>B074224KTH</t>
        </is>
      </c>
      <c r="C85" s="30" t="inlineStr">
        <is>
          <t>Tablet</t>
        </is>
      </c>
      <c r="D85" s="324" t="n">
        <v>139.2725</v>
      </c>
      <c r="E85" s="53" t="n">
        <v>57061.17999999999</v>
      </c>
      <c r="F85" s="54" t="n">
        <v>3342.54</v>
      </c>
      <c r="G85" s="55" t="n">
        <v>438</v>
      </c>
      <c r="H85" s="55" t="n">
        <v>24</v>
      </c>
      <c r="I85" s="55" t="n">
        <v>591</v>
      </c>
      <c r="J85" s="56" t="n">
        <v>4.2</v>
      </c>
      <c r="K85" s="56" t="inlineStr">
        <is>
          <t>https://amazon.com/dp/B074224KTH</t>
        </is>
      </c>
      <c r="L85" s="70">
        <f>HYPERLINK(Table3155[[#This Row],[Column1]])</f>
        <v/>
      </c>
    </row>
    <row r="86" ht="45" customHeight="1" s="290">
      <c r="A86" s="30" t="inlineStr">
        <is>
          <t>iCarsoft US V3.0 for GM/Ford/Chrysler/Jeep Bi-Directional Scan Tool, Full System Diagnostic Code Reader Scanner, 37 Reset Functions, AUTOVIN, Full OBD2, Lifetime Free Update- 2025</t>
        </is>
      </c>
      <c r="B86" s="30" t="inlineStr">
        <is>
          <t>B07FPS53NG</t>
        </is>
      </c>
      <c r="C86" s="30" t="inlineStr">
        <is>
          <t>Tablet</t>
        </is>
      </c>
      <c r="D86" s="324" t="n">
        <v>235.3653846153846</v>
      </c>
      <c r="E86" s="53" t="n">
        <v>27809.57</v>
      </c>
      <c r="F86" s="54" t="n">
        <v>3059.75</v>
      </c>
      <c r="G86" s="55" t="n">
        <v>122</v>
      </c>
      <c r="H86" s="55" t="n">
        <v>13</v>
      </c>
      <c r="I86" s="55" t="n">
        <v>98</v>
      </c>
      <c r="J86" s="56" t="n">
        <v>4.1</v>
      </c>
      <c r="K86" s="56" t="inlineStr">
        <is>
          <t>https://amazon.com/dp/B07FPS53NG</t>
        </is>
      </c>
      <c r="L86" s="70">
        <f>HYPERLINK(Table3155[[#This Row],[Column1]])</f>
        <v/>
      </c>
    </row>
    <row r="87" ht="30" customHeight="1" s="290">
      <c r="A87" s="30" t="inlineStr">
        <is>
          <t>iCarsoft MB V3.0 Bidirectional Scan Tool for Most Mercedes-Benz/Sprinter/Smart 38+ Reset Service All System Scanner Full Active Test Quick Auto VIN Diagnostic Tool Car Code Reader with 38 Pin for Benz</t>
        </is>
      </c>
      <c r="B87" s="30" t="inlineStr">
        <is>
          <t>B0DV5F3G46</t>
        </is>
      </c>
      <c r="C87" s="30" t="inlineStr">
        <is>
          <t>Tablet</t>
        </is>
      </c>
      <c r="D87" s="324" t="n">
        <v>234.5661538461539</v>
      </c>
      <c r="E87" s="53" t="n">
        <v>90665.47999999998</v>
      </c>
      <c r="F87" s="54" t="n">
        <v>3049.36</v>
      </c>
      <c r="G87" s="55" t="n">
        <v>368</v>
      </c>
      <c r="H87" s="55" t="n">
        <v>13</v>
      </c>
      <c r="I87" s="55" t="n">
        <v>17</v>
      </c>
      <c r="J87" s="56" t="n">
        <v>4.1</v>
      </c>
      <c r="K87" s="56" t="inlineStr">
        <is>
          <t>https://amazon.com/dp/B0DV5F3G46</t>
        </is>
      </c>
      <c r="L87" s="70">
        <f>HYPERLINK(Table3155[[#This Row],[Column1]])</f>
        <v/>
      </c>
    </row>
    <row r="88" ht="30" customHeight="1" s="290">
      <c r="A88" s="30" t="inlineStr">
        <is>
          <t>iCarsoft CR Ultra P Bidirectional Scan Tool with ECU Coding Topology Map 41+ Resets, All System Automotive Diagnostic Scanner, Upgraded Ver. of CR Ultra, Full Active Test/CANFD/DoIP/3Years Free Update</t>
        </is>
      </c>
      <c r="B88" s="30" t="inlineStr">
        <is>
          <t>B0FRMFBS1L</t>
        </is>
      </c>
      <c r="C88" s="30" t="inlineStr">
        <is>
          <t>Tablet</t>
        </is>
      </c>
      <c r="D88" s="324" t="n">
        <v>1499.935</v>
      </c>
      <c r="E88" s="53" t="n">
        <v>31455.01615384617</v>
      </c>
      <c r="F88" s="54" t="n">
        <v>2999.87</v>
      </c>
      <c r="G88" s="55" t="n">
        <v>6</v>
      </c>
      <c r="H88" s="55" t="n">
        <v>2</v>
      </c>
      <c r="I88" s="55" t="n"/>
      <c r="J88" s="56" t="n"/>
      <c r="K88" s="56" t="inlineStr">
        <is>
          <t>https://amazon.com/dp/B0FRMFBS1L</t>
        </is>
      </c>
      <c r="L88" s="70">
        <f>HYPERLINK(Table3155[[#This Row],[Column1]])</f>
        <v/>
      </c>
    </row>
    <row r="89" ht="30" customHeight="1" s="290">
      <c r="A89" s="30" t="inlineStr">
        <is>
          <t>OBD2 Scanner Diagnostic Tool for Porsche/Cayenne, iCarsoft POR V2.0 Code Reader Battery Registration for Porsche, All System in-Depth Scan, with Oil Reset/SAS/EPB/BMS/ETC/DP/BLD/INJ, Battery Test</t>
        </is>
      </c>
      <c r="B89" s="30" t="inlineStr">
        <is>
          <t>B0D766QB7N</t>
        </is>
      </c>
      <c r="C89" s="30" t="inlineStr">
        <is>
          <t>Tablet</t>
        </is>
      </c>
      <c r="D89" s="324" t="n">
        <v>142.9355</v>
      </c>
      <c r="E89" s="53" t="n">
        <v>75029.50769230768</v>
      </c>
      <c r="F89" s="54" t="n">
        <v>2858.71</v>
      </c>
      <c r="G89" s="55" t="n">
        <v>416</v>
      </c>
      <c r="H89" s="55" t="n">
        <v>20</v>
      </c>
      <c r="I89" s="55" t="n">
        <v>35</v>
      </c>
      <c r="J89" s="56" t="n">
        <v>3.9</v>
      </c>
      <c r="K89" s="56" t="inlineStr">
        <is>
          <t>https://amazon.com/dp/B0D766QB7N</t>
        </is>
      </c>
      <c r="L89" s="70">
        <f>HYPERLINK(Table3155[[#This Row],[Column1]])</f>
        <v/>
      </c>
    </row>
    <row r="90" ht="45" customHeight="1" s="290">
      <c r="A90" s="30" t="inlineStr">
        <is>
          <t>iCarsoft BMM V4.0 Bidirectional OBD2 Scanner for BMW/Rolls-Royce/Mini+ 2 Extra Brand, Diagnostic Scan Tool with ECU Coding 14 Resets, Full System Code Reader, Battery Registration, 4-in-1 Live Data</t>
        </is>
      </c>
      <c r="B90" s="30" t="inlineStr">
        <is>
          <t>B0FWXN93N5</t>
        </is>
      </c>
      <c r="C90" s="30" t="inlineStr">
        <is>
          <t>Tablet</t>
        </is>
      </c>
      <c r="D90" s="324" t="n">
        <v>252.5818181818182</v>
      </c>
      <c r="E90" s="53" t="n">
        <v>27556.90538461539</v>
      </c>
      <c r="F90" s="54" t="n">
        <v>2778.4</v>
      </c>
      <c r="G90" s="55" t="n">
        <v>28</v>
      </c>
      <c r="H90" s="55" t="n">
        <v>11</v>
      </c>
      <c r="I90" s="55" t="n"/>
      <c r="J90" s="56" t="n"/>
      <c r="K90" s="56" t="inlineStr">
        <is>
          <t>https://amazon.com/dp/B0FWXN93N5</t>
        </is>
      </c>
      <c r="L90" s="70">
        <f>HYPERLINK(Table3155[[#This Row],[Column1]])</f>
        <v/>
      </c>
    </row>
    <row r="91" ht="45" customHeight="1" s="290">
      <c r="A91" s="30" t="inlineStr">
        <is>
          <t>iCarsoft POR-II Porsche OBD-II Scanner Tool Multi-systems ABS SRS</t>
        </is>
      </c>
      <c r="B91" s="30" t="inlineStr">
        <is>
          <t>B011DKBXBK</t>
        </is>
      </c>
      <c r="C91" s="30" t="inlineStr">
        <is>
          <t>Tablet</t>
        </is>
      </c>
      <c r="D91" s="324" t="n">
        <v>119.64</v>
      </c>
      <c r="E91" s="53" t="n">
        <v>28897.44</v>
      </c>
      <c r="F91" s="54" t="n">
        <v>2751.72</v>
      </c>
      <c r="G91" s="55" t="n">
        <v>212</v>
      </c>
      <c r="H91" s="55" t="n">
        <v>23</v>
      </c>
      <c r="I91" s="55" t="n">
        <v>705</v>
      </c>
      <c r="J91" s="56" t="n">
        <v>4.1</v>
      </c>
      <c r="K91" s="56" t="inlineStr">
        <is>
          <t>https://amazon.com/dp/B011DKBXBK</t>
        </is>
      </c>
      <c r="L91" s="70">
        <f>HYPERLINK(Table3155[[#This Row],[Column1]])</f>
        <v/>
      </c>
    </row>
    <row r="92" ht="45" customHeight="1" s="290">
      <c r="A92" s="30" t="inlineStr">
        <is>
          <t>iCarsoft POR V3.0 for Porsche/Cayenne Diagnostic Tool with auto VIN/Quick Test</t>
        </is>
      </c>
      <c r="B92" s="30" t="inlineStr">
        <is>
          <t>B08ZHWHKPP</t>
        </is>
      </c>
      <c r="C92" s="30" t="inlineStr">
        <is>
          <t>Tablet</t>
        </is>
      </c>
      <c r="D92" s="324" t="n">
        <v>182.366</v>
      </c>
      <c r="E92" s="53" t="n">
        <v>42975.75000000001</v>
      </c>
      <c r="F92" s="54" t="n">
        <v>2735.49</v>
      </c>
      <c r="G92" s="55" t="n">
        <v>229</v>
      </c>
      <c r="H92" s="55" t="n">
        <v>15</v>
      </c>
      <c r="I92" s="55" t="n">
        <v>152</v>
      </c>
      <c r="J92" s="56" t="n">
        <v>4</v>
      </c>
      <c r="K92" s="56" t="inlineStr">
        <is>
          <t>https://amazon.com/dp/B08ZHWHKPP</t>
        </is>
      </c>
      <c r="L92" s="70">
        <f>HYPERLINK(Table3155[[#This Row],[Column1]])</f>
        <v/>
      </c>
    </row>
    <row r="93" ht="45" customHeight="1" s="290">
      <c r="A93" s="30" t="inlineStr">
        <is>
          <t>iCarsoft MT V6 Motorcycle Diagnostic Scan Tool for Ducati, All System Diagnose Motorcycle Scanner with 101 Active Tests, 85 Maintenance Services, Read/Clear Codes,Battery Test,for 99% Ducati Models</t>
        </is>
      </c>
      <c r="B93" s="30" t="inlineStr">
        <is>
          <t>B0FPQMYTNG</t>
        </is>
      </c>
      <c r="C93" s="30" t="inlineStr">
        <is>
          <t>Tablet</t>
        </is>
      </c>
      <c r="D93" s="324" t="n">
        <v>193.6321428571428</v>
      </c>
      <c r="E93" s="53" t="n">
        <v>25249.63461538461</v>
      </c>
      <c r="F93" s="54" t="n">
        <v>2710.85</v>
      </c>
      <c r="G93" s="55" t="n">
        <v>26</v>
      </c>
      <c r="H93" s="55" t="n">
        <v>14</v>
      </c>
      <c r="I93" s="55" t="n">
        <v>1</v>
      </c>
      <c r="J93" s="56" t="n">
        <v>2</v>
      </c>
      <c r="K93" s="56" t="inlineStr">
        <is>
          <t>https://amazon.com/dp/B0FPQMYTNG</t>
        </is>
      </c>
      <c r="L93" s="70">
        <f>HYPERLINK(Table3155[[#This Row],[Column1]])</f>
        <v/>
      </c>
    </row>
    <row r="94" ht="45" customHeight="1" s="290">
      <c r="A94" s="30" t="inlineStr">
        <is>
          <t>iCarsoft MT V6 Motorcycle Diagnostic Tool for BMW Full System 115 Reset /197 Actuation Test, Motorbike+Car OBD2 Scanner Code Reader with ABS Bleeding, Throttle Valve Reset, Battery Test, AutoVIN</t>
        </is>
      </c>
      <c r="B94" s="30" t="inlineStr">
        <is>
          <t>B0DGCGXZBJ</t>
        </is>
      </c>
      <c r="C94" s="30" t="inlineStr">
        <is>
          <t>Tablet</t>
        </is>
      </c>
      <c r="D94" s="324" t="n">
        <v>200.6853846153846</v>
      </c>
      <c r="E94" s="53" t="n">
        <v>38132.44</v>
      </c>
      <c r="F94" s="54" t="n">
        <v>2608.91</v>
      </c>
      <c r="G94" s="55" t="n">
        <v>156</v>
      </c>
      <c r="H94" s="55" t="n">
        <v>13</v>
      </c>
      <c r="I94" s="55" t="n">
        <v>7</v>
      </c>
      <c r="J94" s="56" t="n">
        <v>2.2</v>
      </c>
      <c r="K94" s="56" t="inlineStr">
        <is>
          <t>https://amazon.com/dp/B0DGCGXZBJ</t>
        </is>
      </c>
      <c r="L94" s="70">
        <f>HYPERLINK(Table3155[[#This Row],[Column1]])</f>
        <v/>
      </c>
    </row>
    <row r="95" ht="45" customHeight="1" s="290">
      <c r="A95" s="30" t="inlineStr">
        <is>
          <t>iCarsoft LR V3.0 for Land Rover/Jaguar Diagnostic Tool with auto VIN/Quick Test/Actuation Test</t>
        </is>
      </c>
      <c r="B95" s="30" t="inlineStr">
        <is>
          <t>B08R9MG5JM</t>
        </is>
      </c>
      <c r="C95" s="30" t="inlineStr">
        <is>
          <t>Tablet</t>
        </is>
      </c>
      <c r="D95" s="324" t="n">
        <v>171.7313333333333</v>
      </c>
      <c r="E95" s="53" t="n">
        <v>59752.15</v>
      </c>
      <c r="F95" s="54" t="n">
        <v>2575.97</v>
      </c>
      <c r="G95" s="55" t="n">
        <v>327</v>
      </c>
      <c r="H95" s="55" t="n">
        <v>15</v>
      </c>
      <c r="I95" s="55" t="n">
        <v>348</v>
      </c>
      <c r="J95" s="56" t="n">
        <v>3.9</v>
      </c>
      <c r="K95" s="56" t="inlineStr">
        <is>
          <t>https://amazon.com/dp/B08R9MG5JM</t>
        </is>
      </c>
      <c r="L95" s="70">
        <f>HYPERLINK(Table3155[[#This Row],[Column1]])</f>
        <v/>
      </c>
    </row>
    <row r="96" ht="45" customHeight="1" s="290">
      <c r="A96" s="30" t="inlineStr">
        <is>
          <t>iCarsoft VOL V2.0 OBD2 Scanner for Volvo/SAAB, Auto in-Depth Full Systems Scan OBD2 Diagnostic Tool, 118 Graph Data/Battery Test/Reset, ABS SRS Engine Transmission Code Reader</t>
        </is>
      </c>
      <c r="B96" s="30" t="inlineStr">
        <is>
          <t>B0DJRBLN3Y</t>
        </is>
      </c>
      <c r="C96" s="30" t="inlineStr">
        <is>
          <t>Tablet</t>
        </is>
      </c>
      <c r="D96" s="324" t="n">
        <v>159.96375</v>
      </c>
      <c r="E96" s="53" t="n">
        <v>20600.64153846154</v>
      </c>
      <c r="F96" s="54" t="n">
        <v>2559.42</v>
      </c>
      <c r="G96" s="55" t="n">
        <v>109</v>
      </c>
      <c r="H96" s="55" t="n">
        <v>16</v>
      </c>
      <c r="I96" s="55" t="n">
        <v>785</v>
      </c>
      <c r="J96" s="56" t="n">
        <v>4</v>
      </c>
      <c r="K96" s="56" t="inlineStr">
        <is>
          <t>https://amazon.com/dp/B0DJRBLN3Y</t>
        </is>
      </c>
      <c r="L96" s="70">
        <f>HYPERLINK(Table3155[[#This Row],[Column1]])</f>
        <v/>
      </c>
    </row>
    <row r="97" ht="45" customHeight="1" s="290">
      <c r="A97" s="30" t="inlineStr">
        <is>
          <t>Heavy Duty Truck Scanner, iCarsoft HD V3.0 (Enhance Version) Multi-System OBD2 Diagnostic Scan Tool for Truck, Car, Mini Van, Light Duty Vehicle,</t>
        </is>
      </c>
      <c r="B97" s="30" t="inlineStr">
        <is>
          <t>B075FGMWTV</t>
        </is>
      </c>
      <c r="C97" s="30" t="inlineStr">
        <is>
          <t>Handheld</t>
        </is>
      </c>
      <c r="D97" s="324" t="n">
        <v>91.00777777777778</v>
      </c>
      <c r="E97" s="53" t="n">
        <v>23462.30538461538</v>
      </c>
      <c r="F97" s="54" t="n">
        <v>2457.21</v>
      </c>
      <c r="G97" s="55" t="n">
        <v>134</v>
      </c>
      <c r="H97" s="55" t="n">
        <v>27</v>
      </c>
      <c r="I97" s="55" t="n">
        <v>109</v>
      </c>
      <c r="J97" s="56" t="n">
        <v>3.8</v>
      </c>
      <c r="K97" s="56" t="inlineStr">
        <is>
          <t>https://amazon.com/dp/B075FGMWTV</t>
        </is>
      </c>
      <c r="L97" s="70">
        <f>HYPERLINK(Table3155[[#This Row],[Column1]])</f>
        <v/>
      </c>
    </row>
    <row r="98" ht="45" customHeight="1" s="290">
      <c r="A98" s="30" t="inlineStr">
        <is>
          <t>iCarsoft CR Max BT (Enhanced) Wireless Bidirectional Diagnostic Tool, ECU Adaptation/Teach-in, 49+ Reset All System Touchscreen Battery Registration ECU Coding OBD2 Scanner with 38Pin + 20Pin Adapter</t>
        </is>
      </c>
      <c r="B98" s="30" t="inlineStr">
        <is>
          <t>B0DRJM17KL</t>
        </is>
      </c>
      <c r="C98" s="30" t="inlineStr">
        <is>
          <t>Tablet</t>
        </is>
      </c>
      <c r="D98" s="324" t="n">
        <v>478.542</v>
      </c>
      <c r="E98" s="53" t="n">
        <v>50005.79</v>
      </c>
      <c r="F98" s="54" t="n">
        <v>2392.71</v>
      </c>
      <c r="G98" s="55" t="n">
        <v>97</v>
      </c>
      <c r="H98" s="55" t="n">
        <v>5</v>
      </c>
      <c r="I98" s="55" t="n">
        <v>603</v>
      </c>
      <c r="J98" s="56" t="n">
        <v>4.3</v>
      </c>
      <c r="K98" s="56" t="inlineStr">
        <is>
          <t>https://amazon.com/dp/B0DRJM17KL</t>
        </is>
      </c>
      <c r="L98" s="70">
        <f>HYPERLINK(Table3155[[#This Row],[Column1]])</f>
        <v/>
      </c>
    </row>
    <row r="99" ht="45" customHeight="1" s="290">
      <c r="A99" s="30" t="inlineStr">
        <is>
          <t>iCarsoft Professional Multi-System Auto Diagnostic Tool LR V2.0 Compatible for Landrover/Jaguar ABS SRS Oil Reset Update for LR II</t>
        </is>
      </c>
      <c r="B99" s="30" t="inlineStr">
        <is>
          <t>B0791CF7T7</t>
        </is>
      </c>
      <c r="C99" s="30" t="inlineStr">
        <is>
          <t>Tablet</t>
        </is>
      </c>
      <c r="D99" s="324" t="n">
        <v>129.6738888888889</v>
      </c>
      <c r="E99" s="53" t="n">
        <v>21470.6</v>
      </c>
      <c r="F99" s="54" t="n">
        <v>2334.13</v>
      </c>
      <c r="G99" s="55" t="n">
        <v>159</v>
      </c>
      <c r="H99" s="55" t="n">
        <v>18</v>
      </c>
      <c r="I99" s="55" t="n">
        <v>438</v>
      </c>
      <c r="J99" s="56" t="n">
        <v>4.2</v>
      </c>
      <c r="K99" s="56" t="inlineStr">
        <is>
          <t>https://amazon.com/dp/B0791CF7T7</t>
        </is>
      </c>
      <c r="L99" s="70">
        <f>HYPERLINK(Table3155[[#This Row],[Column1]])</f>
        <v/>
      </c>
    </row>
    <row r="100" ht="45" customHeight="1" s="290">
      <c r="A100" s="30" t="inlineStr">
        <is>
          <t>iCarsoft MT V6 Motorcycle Diagnostic Scan Tool for Harley, 57 Reset Services, 43 Actuation Test, Battery Test, All Motorbike System Diagnose, Read/Clear Codes, Live Data,Also Car OBD2 Diagnose</t>
        </is>
      </c>
      <c r="B100" s="30" t="inlineStr">
        <is>
          <t>B0FRFFNCZ9</t>
        </is>
      </c>
      <c r="C100" s="30" t="inlineStr">
        <is>
          <t>Tablet</t>
        </is>
      </c>
      <c r="D100" s="324" t="n">
        <v>218.659</v>
      </c>
      <c r="E100" s="53" t="n">
        <v>23252.26769230769</v>
      </c>
      <c r="F100" s="54" t="n">
        <v>2186.59</v>
      </c>
      <c r="G100" s="55" t="n">
        <v>14</v>
      </c>
      <c r="H100" s="55" t="n">
        <v>10</v>
      </c>
      <c r="I100" s="55" t="n">
        <v>2</v>
      </c>
      <c r="J100" s="56" t="n">
        <v>5</v>
      </c>
      <c r="K100" s="56" t="inlineStr">
        <is>
          <t>https://amazon.com/dp/B0FRFFNCZ9</t>
        </is>
      </c>
      <c r="L100" s="70">
        <f>HYPERLINK(Table3155[[#This Row],[Column1]])</f>
        <v/>
      </c>
    </row>
    <row r="101" ht="45" customHeight="1" s="290">
      <c r="A101" s="30" t="inlineStr">
        <is>
          <t>iCarsoft 38 PIN Diagnostic Adapter for Benz OBD I Multi Systems diagnose 38 Pin Male to 16 Pin Female OBDII Connector</t>
        </is>
      </c>
      <c r="B101" s="30" t="inlineStr">
        <is>
          <t>B07SX7QHS9</t>
        </is>
      </c>
      <c r="C101" s="30" t="inlineStr">
        <is>
          <t>Cable/Adapter</t>
        </is>
      </c>
      <c r="D101" s="324" t="n">
        <v>58.0972972972973</v>
      </c>
      <c r="E101" s="53" t="n">
        <v>24716.37</v>
      </c>
      <c r="F101" s="54" t="n">
        <v>2149.6</v>
      </c>
      <c r="G101" s="55" t="n">
        <v>432</v>
      </c>
      <c r="H101" s="55" t="n">
        <v>37</v>
      </c>
      <c r="I101" s="55" t="n">
        <v>255</v>
      </c>
      <c r="J101" s="56" t="n">
        <v>4.5</v>
      </c>
      <c r="K101" s="56" t="inlineStr">
        <is>
          <t>https://amazon.com/dp/B07SX7QHS9</t>
        </is>
      </c>
      <c r="L101" s="70">
        <f>HYPERLINK(Table3155[[#This Row],[Column1]])</f>
        <v/>
      </c>
    </row>
    <row r="102" ht="30" customHeight="1" s="290">
      <c r="A102" s="30" t="inlineStr">
        <is>
          <t>OBD2 Scanner for Toyota/Honda (Acura) /Lexus, iCarsoft JP V3.0 All Reset+Full System Diagnostic Scan Car Code Reader for Nissan/Infiniti/Mitsubishi/Mazda/Suzuki/Hyundai</t>
        </is>
      </c>
      <c r="B102" s="30" t="inlineStr">
        <is>
          <t>B0FKGHKXHC</t>
        </is>
      </c>
      <c r="C102" s="30" t="inlineStr">
        <is>
          <t>Tablet</t>
        </is>
      </c>
      <c r="D102" s="324" t="n">
        <v>228.3966666666667</v>
      </c>
      <c r="E102" s="53" t="n">
        <v>15662.72692307692</v>
      </c>
      <c r="F102" s="54" t="n">
        <v>2055.57</v>
      </c>
      <c r="G102" s="55" t="n">
        <v>36</v>
      </c>
      <c r="H102" s="55" t="n">
        <v>9</v>
      </c>
      <c r="I102" s="55" t="n">
        <v>1</v>
      </c>
      <c r="J102" s="56" t="n">
        <v>5</v>
      </c>
      <c r="K102" s="56" t="inlineStr">
        <is>
          <t>https://amazon.com/dp/B0FKGHKXHC</t>
        </is>
      </c>
      <c r="L102" s="70">
        <f>HYPERLINK(Table3155[[#This Row],[Column1]])</f>
        <v/>
      </c>
    </row>
    <row r="103" ht="45" customHeight="1" s="290">
      <c r="A103" s="30" t="inlineStr">
        <is>
          <t>iCarsoft CR MAX 2025 Bidirectional Scan Tool All System 49+ Services and 47+ Special Functions Full Active Test OBD2 Scanner Diagnostic Tool Car Code Reader CAN FD with 38 Pin for Benz 20 Pin for BMW</t>
        </is>
      </c>
      <c r="B103" s="30" t="inlineStr">
        <is>
          <t>B0DNPHMWL2</t>
        </is>
      </c>
      <c r="C103" s="30" t="inlineStr">
        <is>
          <t>Tablet</t>
        </is>
      </c>
      <c r="D103" s="324" t="n">
        <v>391.42</v>
      </c>
      <c r="E103" s="53" t="n">
        <v>56137.97</v>
      </c>
      <c r="F103" s="54" t="n">
        <v>1957.1</v>
      </c>
      <c r="G103" s="55" t="n">
        <v>116</v>
      </c>
      <c r="H103" s="55" t="n">
        <v>5</v>
      </c>
      <c r="I103" s="55" t="n">
        <v>48</v>
      </c>
      <c r="J103" s="56" t="n">
        <v>4.1</v>
      </c>
      <c r="K103" s="56" t="inlineStr">
        <is>
          <t>https://amazon.com/dp/B0DNPHMWL2</t>
        </is>
      </c>
      <c r="L103" s="70">
        <f>HYPERLINK(Table3155[[#This Row],[Column1]])</f>
        <v/>
      </c>
    </row>
    <row r="104" ht="45" customHeight="1" s="290">
      <c r="A104" s="30" t="inlineStr">
        <is>
          <t>iCarsoft VAWS V4.0 Full System Bidirectional Diagnostic Scan Tool for Most V.A.G Models Such as VW/Audi/ect and Other 2 Car Make from 1996-2023 OBD2 Scanner Up to 51 Service Live Data Car Code Reader</t>
        </is>
      </c>
      <c r="B104" s="30" t="inlineStr">
        <is>
          <t>B0G38N7YV1</t>
        </is>
      </c>
      <c r="C104" s="30" t="inlineStr">
        <is>
          <t>Handheld</t>
        </is>
      </c>
      <c r="D104" s="324" t="n">
        <v>275.5028571428571</v>
      </c>
      <c r="E104" s="53" t="n">
        <v>25655.73846153846</v>
      </c>
      <c r="F104" s="54" t="n">
        <v>1928.52</v>
      </c>
      <c r="G104" s="55" t="n">
        <v>43</v>
      </c>
      <c r="H104" s="55" t="n">
        <v>7</v>
      </c>
      <c r="I104" s="55" t="n"/>
      <c r="J104" s="56" t="n"/>
      <c r="K104" s="56" t="inlineStr">
        <is>
          <t>https://amazon.com/dp/B0G38N7YV1</t>
        </is>
      </c>
      <c r="L104" s="70">
        <f>HYPERLINK(Table3155[[#This Row],[Column1]])</f>
        <v/>
      </c>
    </row>
    <row r="105" ht="45" customHeight="1" s="290">
      <c r="A105" s="30" t="inlineStr">
        <is>
          <t>iCarsoft VAWS V3.0 2026 Bidirectional Scan Tool for VW, Audi, Bentley, Bugatti, Seat, MAN LD, Skoda and etc, 40 Special Services Full Systems OBD2 Diagnostic Scanner ECU Coding in-Depth Code Reader</t>
        </is>
      </c>
      <c r="B105" s="30" t="inlineStr">
        <is>
          <t>B0DNMJSBM3</t>
        </is>
      </c>
      <c r="C105" s="30" t="inlineStr">
        <is>
          <t>Tablet</t>
        </is>
      </c>
      <c r="D105" s="324" t="n">
        <v>227.085</v>
      </c>
      <c r="E105" s="53" t="n">
        <v>45328.77</v>
      </c>
      <c r="F105" s="54" t="n">
        <v>1816.68</v>
      </c>
      <c r="G105" s="55" t="n">
        <v>206</v>
      </c>
      <c r="H105" s="55" t="n">
        <v>8</v>
      </c>
      <c r="I105" s="55" t="n">
        <v>40</v>
      </c>
      <c r="J105" s="56" t="n">
        <v>4.1</v>
      </c>
      <c r="K105" s="56" t="inlineStr">
        <is>
          <t>https://amazon.com/dp/B0DNMJSBM3</t>
        </is>
      </c>
      <c r="L105" s="70">
        <f>HYPERLINK(Table3155[[#This Row],[Column1]])</f>
        <v/>
      </c>
    </row>
    <row r="106" ht="45" customHeight="1" s="290">
      <c r="A106" s="30" t="inlineStr">
        <is>
          <t>Auto Diagnostic Scanner iCarsoft VOL V2.0 for Volvo/SAAB with ABS Scan,Oil Reset, ABS Bleeding, Injector Coding ect</t>
        </is>
      </c>
      <c r="B106" s="30" t="inlineStr">
        <is>
          <t>B07F36NJ5K</t>
        </is>
      </c>
      <c r="C106" s="30" t="inlineStr">
        <is>
          <t>Tablet</t>
        </is>
      </c>
      <c r="D106" s="324" t="n">
        <v>135.57</v>
      </c>
      <c r="E106" s="53" t="n">
        <v>18238.22</v>
      </c>
      <c r="F106" s="54" t="n">
        <v>1626.84</v>
      </c>
      <c r="G106" s="55" t="n">
        <v>130</v>
      </c>
      <c r="H106" s="55" t="n">
        <v>12</v>
      </c>
      <c r="I106" s="55" t="n">
        <v>239</v>
      </c>
      <c r="J106" s="56" t="n">
        <v>3.8</v>
      </c>
      <c r="K106" s="56" t="inlineStr">
        <is>
          <t>https://amazon.com/dp/B07F36NJ5K</t>
        </is>
      </c>
      <c r="L106" s="70">
        <f>HYPERLINK(Table3155[[#This Row],[Column1]])</f>
        <v/>
      </c>
    </row>
    <row r="107" ht="30" customHeight="1" s="290">
      <c r="A107" s="30" t="inlineStr">
        <is>
          <t>iCarsoft CR Max + Free Screen Protector - Professional Multibrand Automotive Diagnostic Scanner - Read/Erase Faults Codes - Reset Oil Service - Coding &amp; Programming</t>
        </is>
      </c>
      <c r="B107" s="30" t="inlineStr">
        <is>
          <t>B09RGBD8BQ</t>
        </is>
      </c>
      <c r="C107" s="30" t="inlineStr">
        <is>
          <t>Tablet</t>
        </is>
      </c>
      <c r="D107" s="324" t="n">
        <v>406.3575</v>
      </c>
      <c r="E107" s="53" t="n">
        <v>19557.39</v>
      </c>
      <c r="F107" s="54" t="n">
        <v>1625.43</v>
      </c>
      <c r="G107" s="55" t="n">
        <v>57</v>
      </c>
      <c r="H107" s="55" t="n">
        <v>4</v>
      </c>
      <c r="I107" s="55" t="n">
        <v>107</v>
      </c>
      <c r="J107" s="56" t="n">
        <v>3.8</v>
      </c>
      <c r="K107" s="56" t="inlineStr">
        <is>
          <t>https://amazon.com/dp/B09RGBD8BQ</t>
        </is>
      </c>
      <c r="L107" s="70">
        <f>HYPERLINK(Table3155[[#This Row],[Column1]])</f>
        <v/>
      </c>
    </row>
    <row r="108" ht="30" customHeight="1" s="290">
      <c r="A108" s="30" t="inlineStr">
        <is>
          <t>OBD2 Scanner AUTO Diagnostic Tool iCarsoft MB V1.0 for Benz/Sprinter/Smart, Full System ABS/SRS/Transmission/Check Engine Car Code Reader, MIL/SAS/Oil Reset/Battery Test/Live Data</t>
        </is>
      </c>
      <c r="B108" s="30" t="inlineStr">
        <is>
          <t>B07FCLPFNZ</t>
        </is>
      </c>
      <c r="C108" s="30" t="inlineStr">
        <is>
          <t>Handheld</t>
        </is>
      </c>
      <c r="D108" s="324" t="n">
        <v>128.3</v>
      </c>
      <c r="E108" s="53" t="n">
        <v>32584.54</v>
      </c>
      <c r="F108" s="54" t="n">
        <v>1539.6</v>
      </c>
      <c r="G108" s="55" t="n">
        <v>263</v>
      </c>
      <c r="H108" s="55" t="n">
        <v>12</v>
      </c>
      <c r="I108" s="55" t="n">
        <v>55</v>
      </c>
      <c r="J108" s="56" t="n">
        <v>3.9</v>
      </c>
      <c r="K108" s="56" t="inlineStr">
        <is>
          <t>https://amazon.com/dp/B07FCLPFNZ</t>
        </is>
      </c>
      <c r="L108" s="70">
        <f>HYPERLINK(Table3155[[#This Row],[Column1]])</f>
        <v/>
      </c>
    </row>
    <row r="109" ht="45" customHeight="1" s="290">
      <c r="A109" s="30" t="inlineStr">
        <is>
          <t>iCarsoft Genuine Mercedes Benz I980 Professional Diagnostic Scanner Tool</t>
        </is>
      </c>
      <c r="B109" s="30" t="inlineStr">
        <is>
          <t>B00IUIDFSS</t>
        </is>
      </c>
      <c r="C109" s="30" t="inlineStr">
        <is>
          <t>Handheld</t>
        </is>
      </c>
      <c r="D109" s="324" t="n">
        <v>109.5392857142857</v>
      </c>
      <c r="E109" s="53" t="n">
        <v>18773.38</v>
      </c>
      <c r="F109" s="54" t="n">
        <v>1533.55</v>
      </c>
      <c r="G109" s="55" t="n">
        <v>168</v>
      </c>
      <c r="H109" s="55" t="n">
        <v>14</v>
      </c>
      <c r="I109" s="55" t="n">
        <v>1101</v>
      </c>
      <c r="J109" s="56" t="n">
        <v>4.2</v>
      </c>
      <c r="K109" s="56" t="inlineStr">
        <is>
          <t>https://amazon.com/dp/B00IUIDFSS</t>
        </is>
      </c>
      <c r="L109" s="70">
        <f>HYPERLINK(Table3155[[#This Row],[Column1]])</f>
        <v/>
      </c>
    </row>
    <row r="110" ht="60" customHeight="1" s="290">
      <c r="A110" s="30" t="inlineStr">
        <is>
          <t>iCarsoft VOL V3.0 for Volvo/Saab Diagnostic Tool with auto VIN/Quick Test/Actuation Test</t>
        </is>
      </c>
      <c r="B110" s="30" t="inlineStr">
        <is>
          <t>B08V8L1VXB</t>
        </is>
      </c>
      <c r="C110" s="30" t="inlineStr">
        <is>
          <t>Tablet</t>
        </is>
      </c>
      <c r="D110" s="324" t="n">
        <v>168.7288888888889</v>
      </c>
      <c r="E110" s="53" t="n">
        <v>22091.21769230769</v>
      </c>
      <c r="F110" s="54" t="n">
        <v>1518.56</v>
      </c>
      <c r="G110" s="55" t="n">
        <v>113</v>
      </c>
      <c r="H110" s="55" t="n">
        <v>9</v>
      </c>
      <c r="I110" s="55" t="n">
        <v>64</v>
      </c>
      <c r="J110" s="56" t="n">
        <v>3.7</v>
      </c>
      <c r="K110" s="56" t="inlineStr">
        <is>
          <t>https://amazon.com/dp/B08V8L1VXB</t>
        </is>
      </c>
      <c r="L110" s="70">
        <f>HYPERLINK(Table3155[[#This Row],[Column1]])</f>
        <v/>
      </c>
    </row>
    <row r="111" ht="45" customHeight="1" s="290">
      <c r="A111" s="30" t="inlineStr">
        <is>
          <t>OBD2 Scanner Diagnostic Tool for Most Porsche from 1996-2019, iCarsoft POR II Car Code Reader, Full System Diagnosis Car Scan Tool with Oil Reset/EPB/DP/ETC/SAS, Live Data Graph-Free Update/Repair</t>
        </is>
      </c>
      <c r="B111" s="30" t="inlineStr">
        <is>
          <t>B0D769KZ59</t>
        </is>
      </c>
      <c r="C111" s="30" t="inlineStr">
        <is>
          <t>Tablet</t>
        </is>
      </c>
      <c r="D111" s="324" t="n">
        <v>168.5322222222222</v>
      </c>
      <c r="E111" s="53" t="n">
        <v>16498.03384615385</v>
      </c>
      <c r="F111" s="54" t="n">
        <v>1516.79</v>
      </c>
      <c r="G111" s="55" t="n">
        <v>90</v>
      </c>
      <c r="H111" s="55" t="n">
        <v>9</v>
      </c>
      <c r="I111" s="55" t="n">
        <v>21</v>
      </c>
      <c r="J111" s="56" t="n">
        <v>3.9</v>
      </c>
      <c r="K111" s="56" t="inlineStr">
        <is>
          <t>https://amazon.com/dp/B0D769KZ59</t>
        </is>
      </c>
      <c r="L111" s="70">
        <f>HYPERLINK(Table3155[[#This Row],[Column1]])</f>
        <v/>
      </c>
    </row>
    <row r="112" ht="45" customHeight="1" s="290">
      <c r="A112" s="30" t="inlineStr">
        <is>
          <t>iCarsoft MT V6 for Indian Motorcycle Full System Diagnostic Tool Motorbike and Car 2-in-1 OBD2 Scanner Engine Code Reader with 33+ Active Test of Engine, AutoVIN, Battery Test, Lifetime Free Update</t>
        </is>
      </c>
      <c r="B112" s="30" t="inlineStr">
        <is>
          <t>B0F6CGKV6K</t>
        </is>
      </c>
      <c r="C112" s="30" t="inlineStr">
        <is>
          <t>Tablet</t>
        </is>
      </c>
      <c r="D112" s="324" t="n">
        <v>231.1</v>
      </c>
      <c r="E112" s="53" t="n">
        <v>13619.63384615384</v>
      </c>
      <c r="F112" s="54" t="n">
        <v>1386.6</v>
      </c>
      <c r="G112" s="55" t="n">
        <v>37</v>
      </c>
      <c r="H112" s="55" t="n">
        <v>6</v>
      </c>
      <c r="I112" s="55" t="n">
        <v>2</v>
      </c>
      <c r="J112" s="56" t="n">
        <v>1</v>
      </c>
      <c r="K112" s="56" t="inlineStr">
        <is>
          <t>https://amazon.com/dp/B0F6CGKV6K</t>
        </is>
      </c>
      <c r="L112" s="70">
        <f>HYPERLINK(Table3155[[#This Row],[Column1]])</f>
        <v/>
      </c>
    </row>
    <row r="113" ht="30" customHeight="1" s="290">
      <c r="A113" s="30" t="inlineStr">
        <is>
          <t>iCarsoft DE V4.0 Full System Bidirectional Diagnostic Scan Tool for Most Mercedes-Benz, BMW, V.A.G and Porsche Manufacturing Group Car Models OBD2 Scanner Up to 42 Service Live Data Car Code Reader</t>
        </is>
      </c>
      <c r="B113" s="30" t="inlineStr">
        <is>
          <t>B0FS6CLZQY</t>
        </is>
      </c>
      <c r="C113" s="30" t="inlineStr">
        <is>
          <t>Handheld</t>
        </is>
      </c>
      <c r="D113" s="324" t="n">
        <v>276.424</v>
      </c>
      <c r="E113" s="53" t="n">
        <v>21351.99153846153</v>
      </c>
      <c r="F113" s="54" t="n">
        <v>1382.12</v>
      </c>
      <c r="G113" s="55" t="n">
        <v>43</v>
      </c>
      <c r="H113" s="55" t="n">
        <v>5</v>
      </c>
      <c r="I113" s="55" t="n"/>
      <c r="J113" s="56" t="n"/>
      <c r="K113" s="56" t="inlineStr">
        <is>
          <t>https://amazon.com/dp/B0FS6CLZQY</t>
        </is>
      </c>
      <c r="L113" s="70">
        <f>HYPERLINK(Table3155[[#This Row],[Column1]])</f>
        <v/>
      </c>
    </row>
    <row r="114" ht="45" customHeight="1" s="290">
      <c r="A114" s="30" t="inlineStr">
        <is>
          <t>iCarsoft DE V4.0 Bidirectional Diagnostic Scan Tool for Most Mercedes-Benz, BMW, V.A.G, Porsche Group Car Models from 1996-2023 All System OBD2 Scanner 44 Service Live Data Code Reader Free Update</t>
        </is>
      </c>
      <c r="B114" s="30" t="inlineStr">
        <is>
          <t>B0GBVY2B12</t>
        </is>
      </c>
      <c r="C114" s="30" t="inlineStr">
        <is>
          <t>Handheld</t>
        </is>
      </c>
      <c r="D114" s="324" t="n">
        <v>275.68</v>
      </c>
      <c r="E114" s="53" t="n">
        <v>14710.50230769231</v>
      </c>
      <c r="F114" s="54" t="n">
        <v>1378.4</v>
      </c>
      <c r="G114" s="55" t="n">
        <v>7</v>
      </c>
      <c r="H114" s="55" t="n">
        <v>5</v>
      </c>
      <c r="I114" s="55" t="n"/>
      <c r="J114" s="56" t="n"/>
      <c r="K114" s="56" t="inlineStr">
        <is>
          <t>https://amazon.com/dp/B0GBVY2B12</t>
        </is>
      </c>
      <c r="L114" s="70">
        <f>HYPERLINK(Table3155[[#This Row],[Column1]])</f>
        <v/>
      </c>
    </row>
    <row r="115" ht="45" customHeight="1" s="290">
      <c r="A115" s="30" t="inlineStr">
        <is>
          <t>iCarsoft VOL V3.0(New Ver) Bidirectional Diagnostic Scan Tool for Volvo/SAAB OBD2 Scanner, All System Diagnose, 29 Resets(239 Sub-Services) /Actuation Test/Battery Registration Tool-Free Update</t>
        </is>
      </c>
      <c r="B115" s="30" t="inlineStr">
        <is>
          <t>B0FNK4SW44</t>
        </is>
      </c>
      <c r="C115" s="30" t="inlineStr">
        <is>
          <t>Tablet</t>
        </is>
      </c>
      <c r="D115" s="324" t="n">
        <v>224.9166666666667</v>
      </c>
      <c r="E115" s="53" t="n">
        <v>17279.66846153847</v>
      </c>
      <c r="F115" s="54" t="n">
        <v>1349.5</v>
      </c>
      <c r="G115" s="55" t="n">
        <v>33</v>
      </c>
      <c r="H115" s="55" t="n">
        <v>6</v>
      </c>
      <c r="I115" s="55" t="n">
        <v>10</v>
      </c>
      <c r="J115" s="56" t="n">
        <v>4.1</v>
      </c>
      <c r="K115" s="56" t="inlineStr">
        <is>
          <t>https://amazon.com/dp/B0FNK4SW44</t>
        </is>
      </c>
      <c r="L115" s="70">
        <f>HYPERLINK(Table3155[[#This Row],[Column1]])</f>
        <v/>
      </c>
    </row>
    <row r="116" ht="60" customHeight="1" s="290">
      <c r="A116" s="30" t="inlineStr">
        <is>
          <t>iCarsoft OBD2 Scanner POR V1.0 for Porsche/Cayenne/Macan/911, All System Diagnostic Tool Oil/SAS Reset Battery Test 10 OBD2/EOBD Modes CAN Car Scan Code Reader/DTC/Live Data/Freeze Frame</t>
        </is>
      </c>
      <c r="B116" s="30" t="inlineStr">
        <is>
          <t>B0DMN93FH3</t>
        </is>
      </c>
      <c r="C116" s="30" t="inlineStr">
        <is>
          <t>Handheld</t>
        </is>
      </c>
      <c r="D116" s="324" t="n">
        <v>125.184</v>
      </c>
      <c r="E116" s="53" t="n">
        <v>22387.74</v>
      </c>
      <c r="F116" s="54" t="n">
        <v>1251.84</v>
      </c>
      <c r="G116" s="55" t="n">
        <v>172</v>
      </c>
      <c r="H116" s="55" t="n">
        <v>10</v>
      </c>
      <c r="I116" s="55" t="n">
        <v>12</v>
      </c>
      <c r="J116" s="56" t="n">
        <v>4.4</v>
      </c>
      <c r="K116" s="56" t="inlineStr">
        <is>
          <t>https://amazon.com/dp/B0DMN93FH3</t>
        </is>
      </c>
      <c r="L116" s="70">
        <f>HYPERLINK(Table3155[[#This Row],[Column1]])</f>
        <v/>
      </c>
    </row>
    <row r="117" ht="30" customHeight="1" s="290">
      <c r="A117" s="30" t="inlineStr">
        <is>
          <t>iCarsoft MT V6 Motorcycle Diagnostic Tool for BMW Full System/115 Reset/197 Actuation Test, Motorbike OBD2 Scanner+Car Engine Code Reader, ABS Bleeding/Throttle Valve adaptation/10-Pin Adapter</t>
        </is>
      </c>
      <c r="B117" s="30" t="inlineStr">
        <is>
          <t>B0FDK6TQY5</t>
        </is>
      </c>
      <c r="C117" s="30" t="inlineStr">
        <is>
          <t>Handheld</t>
        </is>
      </c>
      <c r="D117" s="324" t="n">
        <v>199.5116666666667</v>
      </c>
      <c r="E117" s="53" t="n">
        <v>9985.513076923076</v>
      </c>
      <c r="F117" s="54" t="n">
        <v>1197.07</v>
      </c>
      <c r="G117" s="55" t="n">
        <v>30</v>
      </c>
      <c r="H117" s="55" t="n">
        <v>6</v>
      </c>
      <c r="I117" s="55" t="n">
        <v>5</v>
      </c>
      <c r="J117" s="56" t="n">
        <v>2.1</v>
      </c>
      <c r="K117" s="56" t="inlineStr">
        <is>
          <t>https://amazon.com/dp/B0FDK6TQY5</t>
        </is>
      </c>
      <c r="L117" s="70">
        <f>HYPERLINK(Table3155[[#This Row],[Column1]])</f>
        <v/>
      </c>
    </row>
    <row r="118" ht="45" customHeight="1" s="290">
      <c r="A118" s="30" t="inlineStr">
        <is>
          <t>iCarsoft HD V3.0 Heavy Duty Diesel Truck Diagnostic Scanner Tool Code Reader</t>
        </is>
      </c>
      <c r="B118" s="30" t="inlineStr">
        <is>
          <t>B08V8Q2WH4</t>
        </is>
      </c>
      <c r="C118" s="30" t="inlineStr">
        <is>
          <t>Handheld</t>
        </is>
      </c>
      <c r="D118" s="324" t="n">
        <v>107.9863636363636</v>
      </c>
      <c r="E118" s="53" t="n">
        <v>20017.11</v>
      </c>
      <c r="F118" s="54" t="n">
        <v>1187.85</v>
      </c>
      <c r="G118" s="55" t="n">
        <v>194</v>
      </c>
      <c r="H118" s="55" t="n">
        <v>11</v>
      </c>
      <c r="I118" s="55" t="n">
        <v>313</v>
      </c>
      <c r="J118" s="56" t="n">
        <v>4.1</v>
      </c>
      <c r="K118" s="56" t="inlineStr">
        <is>
          <t>https://amazon.com/dp/B08V8Q2WH4</t>
        </is>
      </c>
      <c r="L118" s="70">
        <f>HYPERLINK(Table3155[[#This Row],[Column1]])</f>
        <v/>
      </c>
    </row>
    <row r="119" ht="45" customHeight="1" s="290">
      <c r="A119" s="30" t="inlineStr">
        <is>
          <t>iCarsoft i906 Compatible for Volvo/Saab OBD2 Diagnostic Scanner Multi-System Engine ABS SRS</t>
        </is>
      </c>
      <c r="B119" s="30" t="inlineStr">
        <is>
          <t>B00S8KJHBM</t>
        </is>
      </c>
      <c r="C119" s="30" t="inlineStr">
        <is>
          <t>Handheld</t>
        </is>
      </c>
      <c r="D119" s="324" t="n">
        <v>102.5018181818182</v>
      </c>
      <c r="E119" s="53" t="n">
        <v>20082.02</v>
      </c>
      <c r="F119" s="54" t="n">
        <v>1127.52</v>
      </c>
      <c r="G119" s="55" t="n">
        <v>194</v>
      </c>
      <c r="H119" s="55" t="n">
        <v>11</v>
      </c>
      <c r="I119" s="55" t="n">
        <v>219</v>
      </c>
      <c r="J119" s="56" t="n">
        <v>4.2</v>
      </c>
      <c r="K119" s="56" t="inlineStr">
        <is>
          <t>https://amazon.com/dp/B00S8KJHBM</t>
        </is>
      </c>
      <c r="L119" s="70">
        <f>HYPERLINK(Table3155[[#This Row],[Column1]])</f>
        <v/>
      </c>
    </row>
    <row r="120" ht="45" customHeight="1" s="290">
      <c r="A120" s="30" t="inlineStr">
        <is>
          <t>Bidirectional OBD2 Diagnostic Tool for BMW/Mini/Mercedes-Benz/Audi/Porsche/Volkswagen etc,2025 iCarsoft EU MAX Code Reader Scanner, All System, 44 Services</t>
        </is>
      </c>
      <c r="B120" s="30" t="inlineStr">
        <is>
          <t>B0D3H41895</t>
        </is>
      </c>
      <c r="C120" s="30" t="inlineStr">
        <is>
          <t>Tablet</t>
        </is>
      </c>
      <c r="D120" s="324" t="n">
        <v>224.578</v>
      </c>
      <c r="E120" s="53" t="n">
        <v>14817.03384615384</v>
      </c>
      <c r="F120" s="54" t="n">
        <v>1122.89</v>
      </c>
      <c r="G120" s="55" t="n">
        <v>53</v>
      </c>
      <c r="H120" s="55" t="n">
        <v>5</v>
      </c>
      <c r="I120" s="55" t="n">
        <v>5</v>
      </c>
      <c r="J120" s="56" t="n">
        <v>4.2</v>
      </c>
      <c r="K120" s="56" t="inlineStr">
        <is>
          <t>https://amazon.com/dp/B0D3H41895</t>
        </is>
      </c>
      <c r="L120" s="70">
        <f>HYPERLINK(Table3155[[#This Row],[Column1]])</f>
        <v/>
      </c>
    </row>
    <row r="121" ht="30" customHeight="1" s="290">
      <c r="A121" s="30" t="inlineStr">
        <is>
          <t>iCarsoft CR V2.0 Diagnostic Scan Tool for Multi-Brand Vehicles (10-19 Vehicle Choices) +Oil Reset +EPB+BMS+DPF+SAS+ETC+BLD+IN|J</t>
        </is>
      </c>
      <c r="B121" s="30" t="inlineStr">
        <is>
          <t>B07KR4KR4Z</t>
        </is>
      </c>
      <c r="C121" s="30" t="inlineStr">
        <is>
          <t>Tablet</t>
        </is>
      </c>
      <c r="D121" s="324" t="n">
        <v>157.1885714285714</v>
      </c>
      <c r="E121" s="53" t="n">
        <v>12033.01</v>
      </c>
      <c r="F121" s="54" t="n">
        <v>1100.32</v>
      </c>
      <c r="G121" s="55" t="n">
        <v>70</v>
      </c>
      <c r="H121" s="55" t="n">
        <v>7</v>
      </c>
      <c r="I121" s="55" t="n">
        <v>99</v>
      </c>
      <c r="J121" s="56" t="n">
        <v>4.1</v>
      </c>
      <c r="K121" s="56" t="inlineStr">
        <is>
          <t>https://amazon.com/dp/B07KR4KR4Z</t>
        </is>
      </c>
      <c r="L121" s="70">
        <f>HYPERLINK(Table3155[[#This Row],[Column1]])</f>
        <v/>
      </c>
    </row>
    <row r="122" ht="30" customHeight="1" s="290">
      <c r="A122" s="30" t="inlineStr">
        <is>
          <t>iCarsoft Heavy Duty Truck Scanner HD V3.0 All System Diesel Diagnostic Scan Tool Battery Test Code Reader for Freightliner, Paccar, International, Mack, Volvo, Hino, Isuzu, Cummins Heavy Duty Trucks</t>
        </is>
      </c>
      <c r="B122" s="30" t="inlineStr">
        <is>
          <t>B075FL11NQ</t>
        </is>
      </c>
      <c r="C122" s="30" t="inlineStr">
        <is>
          <t>Handheld</t>
        </is>
      </c>
      <c r="D122" s="324" t="n">
        <v>109.24</v>
      </c>
      <c r="E122" s="53" t="n">
        <v>33922.97</v>
      </c>
      <c r="F122" s="54" t="n">
        <v>1092.4</v>
      </c>
      <c r="G122" s="55" t="n">
        <v>270</v>
      </c>
      <c r="H122" s="55" t="n">
        <v>10</v>
      </c>
      <c r="I122" s="55" t="n">
        <v>110</v>
      </c>
      <c r="J122" s="56" t="n">
        <v>3.8</v>
      </c>
      <c r="K122" s="56" t="inlineStr">
        <is>
          <t>https://amazon.com/dp/B075FL11NQ</t>
        </is>
      </c>
      <c r="L122" s="70">
        <f>HYPERLINK(Table3155[[#This Row],[Column1]])</f>
        <v/>
      </c>
    </row>
    <row r="123" ht="45" customHeight="1" s="290">
      <c r="A123" s="30" t="inlineStr">
        <is>
          <t>iCarsoft JP V4.0 Bidirectional Diagnostic Tool for Japanese/Korean Cars (Honda/Toyota/Nissan/Kia etc), All System 47 Services + Active Test OBD2 Scanner, Battery Registration</t>
        </is>
      </c>
      <c r="B123" s="30" t="inlineStr">
        <is>
          <t>B0G39N8Q3C</t>
        </is>
      </c>
      <c r="C123" s="30" t="inlineStr">
        <is>
          <t>Tablet</t>
        </is>
      </c>
      <c r="D123" s="324" t="n">
        <v>270.47</v>
      </c>
      <c r="E123" s="53" t="n">
        <v>13053.48615384616</v>
      </c>
      <c r="F123" s="54" t="n">
        <v>1081.88</v>
      </c>
      <c r="G123" s="55" t="n">
        <v>14</v>
      </c>
      <c r="H123" s="55" t="n">
        <v>4</v>
      </c>
      <c r="I123" s="55" t="n"/>
      <c r="J123" s="56" t="n"/>
      <c r="K123" s="56" t="inlineStr">
        <is>
          <t>https://amazon.com/dp/B0G39N8Q3C</t>
        </is>
      </c>
      <c r="L123" s="70">
        <f>HYPERLINK(Table3155[[#This Row],[Column1]])</f>
        <v/>
      </c>
    </row>
    <row r="124" ht="45" customHeight="1" s="290">
      <c r="A124" s="30" t="inlineStr">
        <is>
          <t>iCarsoft CR Pro Multi-Systems Diagnostic Scan Tool for Multi-Brand Vehicles +Oil Reset+EPB+BMS++SAS+ETC+BLD+INJ</t>
        </is>
      </c>
      <c r="B124" s="30" t="inlineStr">
        <is>
          <t>B07KR4GZXN</t>
        </is>
      </c>
      <c r="C124" s="30" t="inlineStr">
        <is>
          <t>Tablet</t>
        </is>
      </c>
      <c r="D124" s="324" t="n">
        <v>257.765</v>
      </c>
      <c r="E124" s="53" t="n">
        <v>12481.62</v>
      </c>
      <c r="F124" s="54" t="n">
        <v>1031.06</v>
      </c>
      <c r="G124" s="55" t="n">
        <v>50</v>
      </c>
      <c r="H124" s="55" t="n">
        <v>4</v>
      </c>
      <c r="I124" s="55" t="n">
        <v>689</v>
      </c>
      <c r="J124" s="56" t="n">
        <v>3.9</v>
      </c>
      <c r="K124" s="56" t="inlineStr">
        <is>
          <t>https://amazon.com/dp/B07KR4GZXN</t>
        </is>
      </c>
      <c r="L124" s="70">
        <f>HYPERLINK(Table3155[[#This Row],[Column1]])</f>
        <v/>
      </c>
    </row>
    <row r="125" ht="30" customHeight="1" s="290">
      <c r="A125" s="30" t="inlineStr">
        <is>
          <t>iCarsoft LR V2.0 Enhanced Ver Car Scan Tool for Land Rover/Jaguar and for Benz/Sprinter/Smart, All Systems in-Depth Diagnostic OBD2 Scanner Max 9 Service Battery Test 118 Live Data Fault Code Reader</t>
        </is>
      </c>
      <c r="B125" s="30" t="inlineStr">
        <is>
          <t>B0F6B9HLZ1</t>
        </is>
      </c>
      <c r="C125" s="30" t="inlineStr">
        <is>
          <t>Handheld</t>
        </is>
      </c>
      <c r="D125" s="324" t="n">
        <v>146.1314285714286</v>
      </c>
      <c r="E125" s="53" t="n">
        <v>11633.82538461538</v>
      </c>
      <c r="F125" s="54" t="n">
        <v>1022.92</v>
      </c>
      <c r="G125" s="55" t="n">
        <v>45</v>
      </c>
      <c r="H125" s="55" t="n">
        <v>7</v>
      </c>
      <c r="I125" s="55" t="n">
        <v>2</v>
      </c>
      <c r="J125" s="56" t="n">
        <v>5</v>
      </c>
      <c r="K125" s="56" t="inlineStr">
        <is>
          <t>https://amazon.com/dp/B0F6B9HLZ1</t>
        </is>
      </c>
      <c r="L125" s="70">
        <f>HYPERLINK(Table3155[[#This Row],[Column1]])</f>
        <v/>
      </c>
    </row>
    <row r="126" ht="45" customHeight="1" s="290">
      <c r="A126" s="30" t="inlineStr">
        <is>
          <t>Bidirectional Diagnostic Tool for Land Rover/Volvo, iCarsoft VOL V3.0 (Enhanced Ver) All System Active Test 42 Resets for Land Rove, 39 Resets for Volvo, OBD2 Scanner Code Reader</t>
        </is>
      </c>
      <c r="B126" s="30" t="inlineStr">
        <is>
          <t>B0F6VHLQ3Y</t>
        </is>
      </c>
      <c r="C126" s="30" t="inlineStr">
        <is>
          <t>Tablet</t>
        </is>
      </c>
      <c r="D126" s="324" t="n">
        <v>201.498</v>
      </c>
      <c r="E126" s="53" t="n">
        <v>11249.52230769231</v>
      </c>
      <c r="F126" s="54" t="n">
        <v>1007.49</v>
      </c>
      <c r="G126" s="55" t="n">
        <v>38</v>
      </c>
      <c r="H126" s="55" t="n">
        <v>5</v>
      </c>
      <c r="I126" s="55" t="n">
        <v>438</v>
      </c>
      <c r="J126" s="56" t="n">
        <v>4.2</v>
      </c>
      <c r="K126" s="56" t="inlineStr">
        <is>
          <t>https://amazon.com/dp/B0F6VHLQ3Y</t>
        </is>
      </c>
      <c r="L126" s="70">
        <f>HYPERLINK(Table3155[[#This Row],[Column1]])</f>
        <v/>
      </c>
    </row>
    <row r="127" ht="30" customHeight="1" s="290">
      <c r="A127" s="30" t="inlineStr">
        <is>
          <t>iCarsoft MT V6 Plus Motorcycle Scanner with Bidirectional Control for 21 Brands, Full System Motorcycle Diagnostic Tool, Full Resets/Actuation Test, Motorbike Code Reader+Car OBD2 Diagnostics 2 in 1</t>
        </is>
      </c>
      <c r="B127" s="30" t="inlineStr">
        <is>
          <t>B0G6CWLGQM</t>
        </is>
      </c>
      <c r="C127" s="30" t="inlineStr">
        <is>
          <t>Tablet</t>
        </is>
      </c>
      <c r="D127" s="324" t="n">
        <v>328.0833333333333</v>
      </c>
      <c r="E127" s="53" t="n">
        <v>11886.71153846154</v>
      </c>
      <c r="F127" s="54" t="n">
        <v>984.25</v>
      </c>
      <c r="G127" s="55" t="n">
        <v>3</v>
      </c>
      <c r="H127" s="55" t="n">
        <v>3</v>
      </c>
      <c r="I127" s="55" t="n">
        <v>1</v>
      </c>
      <c r="J127" s="56" t="n">
        <v>5</v>
      </c>
      <c r="K127" s="56" t="inlineStr">
        <is>
          <t>https://amazon.com/dp/B0G6CWLGQM</t>
        </is>
      </c>
      <c r="L127" s="70">
        <f>HYPERLINK(Table3155[[#This Row],[Column1]])</f>
        <v/>
      </c>
    </row>
    <row r="128" ht="45" customHeight="1" s="290">
      <c r="A128" s="30" t="inlineStr">
        <is>
          <t>iCarsoft CR Pro Diagnostic Scan Tool,Professional Multi-Brand Multi-System Car Diagnostic Tools</t>
        </is>
      </c>
      <c r="B128" s="30" t="inlineStr">
        <is>
          <t>B07MS14X7K</t>
        </is>
      </c>
      <c r="C128" s="30" t="inlineStr">
        <is>
          <t>Tablet</t>
        </is>
      </c>
      <c r="D128" s="324" t="n">
        <v>195.358</v>
      </c>
      <c r="E128" s="53" t="n">
        <v>13514.42</v>
      </c>
      <c r="F128" s="54" t="n">
        <v>976.79</v>
      </c>
      <c r="G128" s="55" t="n">
        <v>58</v>
      </c>
      <c r="H128" s="55" t="n">
        <v>5</v>
      </c>
      <c r="I128" s="55" t="n">
        <v>786</v>
      </c>
      <c r="J128" s="56" t="n">
        <v>4</v>
      </c>
      <c r="K128" s="56" t="inlineStr">
        <is>
          <t>https://amazon.com/dp/B07MS14X7K</t>
        </is>
      </c>
      <c r="L128" s="70">
        <f>HYPERLINK(Table3155[[#This Row],[Column1]])</f>
        <v/>
      </c>
    </row>
    <row r="129" ht="45" customHeight="1" s="290">
      <c r="A129" s="30" t="inlineStr">
        <is>
          <t>Auto Diagnostic Scanner iCarsoft FD V1.0 for Ford/Holden, ABS, SRS, Oil Service Reset ect (Red)</t>
        </is>
      </c>
      <c r="B129" s="30" t="inlineStr">
        <is>
          <t>B07L4FQK8V</t>
        </is>
      </c>
      <c r="C129" s="30" t="inlineStr">
        <is>
          <t>Handheld</t>
        </is>
      </c>
      <c r="D129" s="324" t="n">
        <v>88.75272727272727</v>
      </c>
      <c r="E129" s="53" t="n">
        <v>13090.39615384615</v>
      </c>
      <c r="F129" s="54" t="n">
        <v>976.28</v>
      </c>
      <c r="G129" s="55" t="n">
        <v>90</v>
      </c>
      <c r="H129" s="55" t="n">
        <v>11</v>
      </c>
      <c r="I129" s="55" t="n">
        <v>25</v>
      </c>
      <c r="J129" s="56" t="n">
        <v>4</v>
      </c>
      <c r="K129" s="56" t="inlineStr">
        <is>
          <t>https://amazon.com/dp/B07L4FQK8V</t>
        </is>
      </c>
      <c r="L129" s="70">
        <f>HYPERLINK(Table3155[[#This Row],[Column1]])</f>
        <v/>
      </c>
    </row>
    <row r="130" ht="30" customHeight="1" s="290">
      <c r="A130" s="30" t="inlineStr">
        <is>
          <t>Full System Diagnostic Scan Tool for GM Ford Chrysler Jeep, iCarsoft US V2.0 Diagnose OBD2 Code Reader-Reset/Calibration, Battery Registration for Buick/Chevrolet/Cadillac/GMC -16PIN OBDII Adapter</t>
        </is>
      </c>
      <c r="B130" s="30" t="inlineStr">
        <is>
          <t>B0DBQFYCQK</t>
        </is>
      </c>
      <c r="C130" s="30" t="inlineStr">
        <is>
          <t>Tablet</t>
        </is>
      </c>
      <c r="D130" s="324" t="n">
        <v>133.7528571428572</v>
      </c>
      <c r="E130" s="53" t="n">
        <v>20651.1</v>
      </c>
      <c r="F130" s="54" t="n">
        <v>936.27</v>
      </c>
      <c r="G130" s="55" t="n">
        <v>111</v>
      </c>
      <c r="H130" s="55" t="n">
        <v>7</v>
      </c>
      <c r="I130" s="55" t="n">
        <v>90</v>
      </c>
      <c r="J130" s="56" t="n">
        <v>4</v>
      </c>
      <c r="K130" s="56" t="inlineStr">
        <is>
          <t>https://amazon.com/dp/B0DBQFYCQK</t>
        </is>
      </c>
      <c r="L130" s="70">
        <f>HYPERLINK(Table3155[[#This Row],[Column1]])</f>
        <v/>
      </c>
    </row>
    <row r="131" ht="45" customHeight="1" s="290">
      <c r="A131" s="30" t="inlineStr">
        <is>
          <t>iCarsoft FR V4.0 Bidirectional Scan Tool for French Brand Cars (Peugeo/Dacia/Citroen/Renault/Fiat)+ 2 Extra Car Brands, 45+ Resets,4000+Active Test Items, All Systems Diagnose OBD2 Scanner,Live Data</t>
        </is>
      </c>
      <c r="B131" s="30" t="inlineStr">
        <is>
          <t>B0FS6G6D23</t>
        </is>
      </c>
      <c r="C131" s="30" t="inlineStr">
        <is>
          <t>Tablet</t>
        </is>
      </c>
      <c r="D131" s="324" t="n">
        <v>301.0033333333333</v>
      </c>
      <c r="E131" s="53" t="n">
        <v>9240.171538461538</v>
      </c>
      <c r="F131" s="54" t="n">
        <v>903.01</v>
      </c>
      <c r="G131" s="55" t="n">
        <v>9</v>
      </c>
      <c r="H131" s="55" t="n">
        <v>3</v>
      </c>
      <c r="I131" s="55" t="n">
        <v>3</v>
      </c>
      <c r="J131" s="56" t="n">
        <v>3.7</v>
      </c>
      <c r="K131" s="56" t="inlineStr">
        <is>
          <t>https://amazon.com/dp/B0FS6G6D23</t>
        </is>
      </c>
      <c r="L131" s="70">
        <f>HYPERLINK(Table3155[[#This Row],[Column1]])</f>
        <v/>
      </c>
    </row>
    <row r="132" ht="45" customHeight="1" s="290">
      <c r="A132" s="30" t="inlineStr">
        <is>
          <t>CR Pro S Full System Bidirectional Diagnostic Tool for All Cars, 49 Resets Touchscreen OBD2 Scanner,4000+ Active Tests/Live Data/Battery Registration Code Reader, ECU Coding for Audi/BMW/VW</t>
        </is>
      </c>
      <c r="B132" s="30" t="inlineStr">
        <is>
          <t>B0FS6TKHCP</t>
        </is>
      </c>
      <c r="C132" s="30" t="inlineStr">
        <is>
          <t>Tablet</t>
        </is>
      </c>
      <c r="D132" s="324" t="n">
        <v>419.27</v>
      </c>
      <c r="E132" s="53" t="n">
        <v>13660.65538461538</v>
      </c>
      <c r="F132" s="54" t="n">
        <v>838.54</v>
      </c>
      <c r="G132" s="55" t="n">
        <v>20</v>
      </c>
      <c r="H132" s="55" t="n">
        <v>2</v>
      </c>
      <c r="I132" s="55" t="n"/>
      <c r="J132" s="56" t="n"/>
      <c r="K132" s="56" t="inlineStr">
        <is>
          <t>https://amazon.com/dp/B0FS6TKHCP</t>
        </is>
      </c>
      <c r="L132" s="70">
        <f>HYPERLINK(Table3155[[#This Row],[Column1]])</f>
        <v/>
      </c>
    </row>
    <row r="133" ht="45" customHeight="1" s="290">
      <c r="A133" s="30" t="inlineStr">
        <is>
          <t>iCarsoft VAWS V2.0 2026 Ver OBD2 Scanner All System Diagnostic Tool for VW, Audi, Bentley, Bugatti, Seat, Man LD, Skoda and etc, 9 Special Services 118 Live Data Battery Test Check Engine Code Reader</t>
        </is>
      </c>
      <c r="B133" s="30" t="inlineStr">
        <is>
          <t>B079LZRK5Y</t>
        </is>
      </c>
      <c r="C133" s="30" t="inlineStr">
        <is>
          <t>Tablet</t>
        </is>
      </c>
      <c r="D133" s="324" t="n">
        <v>157.484</v>
      </c>
      <c r="E133" s="53" t="n">
        <v>19614.16</v>
      </c>
      <c r="F133" s="54" t="n">
        <v>787.42</v>
      </c>
      <c r="G133" s="55" t="n">
        <v>119</v>
      </c>
      <c r="H133" s="55" t="n">
        <v>5</v>
      </c>
      <c r="I133" s="55" t="n">
        <v>29</v>
      </c>
      <c r="J133" s="56" t="n">
        <v>4.5</v>
      </c>
      <c r="K133" s="56" t="inlineStr">
        <is>
          <t>https://amazon.com/dp/B079LZRK5Y</t>
        </is>
      </c>
      <c r="L133" s="70">
        <f>HYPERLINK(Table3155[[#This Row],[Column1]])</f>
        <v/>
      </c>
    </row>
    <row r="134" ht="45" customHeight="1" s="290">
      <c r="A134" s="30" t="inlineStr">
        <is>
          <t>car Scanner</t>
        </is>
      </c>
      <c r="B134" s="30" t="inlineStr">
        <is>
          <t>B09YMFLHD5</t>
        </is>
      </c>
      <c r="C134" s="30" t="inlineStr">
        <is>
          <t>Tablet</t>
        </is>
      </c>
      <c r="D134" s="324" t="n">
        <v>367.53</v>
      </c>
      <c r="E134" s="53" t="n">
        <v>19267.45</v>
      </c>
      <c r="F134" s="54" t="n">
        <v>735.0599999999999</v>
      </c>
      <c r="G134" s="55" t="n">
        <v>51</v>
      </c>
      <c r="H134" s="55" t="n">
        <v>2</v>
      </c>
      <c r="I134" s="55" t="n">
        <v>200</v>
      </c>
      <c r="J134" s="56" t="n">
        <v>4</v>
      </c>
      <c r="K134" s="56" t="inlineStr">
        <is>
          <t>https://amazon.com/dp/B09YMFLHD5</t>
        </is>
      </c>
      <c r="L134" s="70">
        <f>HYPERLINK(Table3155[[#This Row],[Column1]])</f>
        <v/>
      </c>
    </row>
    <row r="135" ht="30" customHeight="1" s="290">
      <c r="A135" s="30" t="inlineStr">
        <is>
          <t>iCarsoft 2025 BMM V2.0 OBD2 Scanner for BMW/Mini/Rolls-Royce, Full System Diagnostic Tool Code Reader with 9 Resets-Oil/SAS/EPB/BMS/ETC/D.P.F/BLD/INJ/TPMS, AutoVIN Battery Test, Lifetime Update</t>
        </is>
      </c>
      <c r="B135" s="30" t="inlineStr">
        <is>
          <t>B0DZCHFKB2</t>
        </is>
      </c>
      <c r="C135" s="30" t="inlineStr">
        <is>
          <t>Tablet</t>
        </is>
      </c>
      <c r="D135" s="324" t="n">
        <v>179.8825</v>
      </c>
      <c r="E135" s="53" t="n">
        <v>7446.466153846153</v>
      </c>
      <c r="F135" s="54" t="n">
        <v>719.53</v>
      </c>
      <c r="G135" s="55" t="n">
        <v>30</v>
      </c>
      <c r="H135" s="55" t="n">
        <v>4</v>
      </c>
      <c r="I135" s="55" t="n">
        <v>118</v>
      </c>
      <c r="J135" s="56" t="n">
        <v>3.7</v>
      </c>
      <c r="K135" s="56" t="inlineStr">
        <is>
          <t>https://amazon.com/dp/B0DZCHFKB2</t>
        </is>
      </c>
      <c r="L135" s="70">
        <f>HYPERLINK(Table3155[[#This Row],[Column1]])</f>
        <v/>
      </c>
    </row>
    <row r="136" ht="30" customHeight="1" s="290">
      <c r="A136" s="30" t="inlineStr">
        <is>
          <t>iCarsoft VAWS V3.0 Enhanced Ver Bidirectional Scan Tool for VW, Audi, Bentley, Bugatti, Seat, Skoda and for Porsche, All Systems Diagnostic OBD2 Scanner Max 42 Service Full Active Test Code Reader</t>
        </is>
      </c>
      <c r="B136" s="30" t="inlineStr">
        <is>
          <t>B0F6BB5RWX</t>
        </is>
      </c>
      <c r="C136" s="30" t="inlineStr">
        <is>
          <t>Tablet</t>
        </is>
      </c>
      <c r="D136" s="324" t="n">
        <v>235.9666666666667</v>
      </c>
      <c r="E136" s="53" t="n">
        <v>17106.65461538462</v>
      </c>
      <c r="F136" s="54" t="n">
        <v>707.9</v>
      </c>
      <c r="G136" s="55" t="n">
        <v>58</v>
      </c>
      <c r="H136" s="55" t="n">
        <v>3</v>
      </c>
      <c r="I136" s="55" t="n">
        <v>38</v>
      </c>
      <c r="J136" s="56" t="n">
        <v>4.1</v>
      </c>
      <c r="K136" s="56" t="inlineStr">
        <is>
          <t>https://amazon.com/dp/B0F6BB5RWX</t>
        </is>
      </c>
      <c r="L136" s="70">
        <f>HYPERLINK(Table3155[[#This Row],[Column1]])</f>
        <v/>
      </c>
    </row>
    <row r="137" ht="45" customHeight="1" s="290">
      <c r="A137" s="30" t="inlineStr">
        <is>
          <t>iCarsoft VAWS V4.0 Bidirectional Diagnostic Scan Tool for Most V.A.G Models as VW/Audi/ect and Other 2 Car Make All System OBD2 Scanner Up to 51 Service Live Data Code Reader AUTO VIN Free Update</t>
        </is>
      </c>
      <c r="B137" s="30" t="inlineStr">
        <is>
          <t>B0GC5BF6MQ</t>
        </is>
      </c>
      <c r="C137" s="30" t="inlineStr">
        <is>
          <t>Handheld</t>
        </is>
      </c>
      <c r="D137" s="324" t="n">
        <v>235.0033333333333</v>
      </c>
      <c r="E137" s="53" t="n">
        <v>8144.343076923078</v>
      </c>
      <c r="F137" s="54" t="n">
        <v>705.01</v>
      </c>
      <c r="G137" s="55" t="n">
        <v>4</v>
      </c>
      <c r="H137" s="55" t="n">
        <v>3</v>
      </c>
      <c r="I137" s="55" t="n"/>
      <c r="J137" s="56" t="n"/>
      <c r="K137" s="56" t="inlineStr">
        <is>
          <t>https://amazon.com/dp/B0GC5BF6MQ</t>
        </is>
      </c>
      <c r="L137" s="70">
        <f>HYPERLINK(Table3155[[#This Row],[Column1]])</f>
        <v/>
      </c>
    </row>
    <row r="138" ht="45" customHeight="1" s="290">
      <c r="A138" s="30" t="inlineStr">
        <is>
          <t>iCarsoft MT V6 for Honda Motorcycle Full System Diagnostic Tool 7 Service Motorbike and Car 2-in-1 OBD2 Scanner Engine Code Reader with AutoVIN, Battery Test, Lifetime Free Update</t>
        </is>
      </c>
      <c r="B138" s="30" t="inlineStr">
        <is>
          <t>B0F6C7X9GP</t>
        </is>
      </c>
      <c r="C138" s="30" t="inlineStr">
        <is>
          <t>Handheld</t>
        </is>
      </c>
      <c r="D138" s="324" t="n">
        <v>232.78</v>
      </c>
      <c r="E138" s="53" t="n">
        <v>4269.776153846154</v>
      </c>
      <c r="F138" s="54" t="n">
        <v>698.34</v>
      </c>
      <c r="G138" s="55" t="n">
        <v>8</v>
      </c>
      <c r="H138" s="55" t="n">
        <v>3</v>
      </c>
      <c r="I138" s="55" t="n"/>
      <c r="J138" s="56" t="n"/>
      <c r="K138" s="56" t="inlineStr">
        <is>
          <t>https://amazon.com/dp/B0F6C7X9GP</t>
        </is>
      </c>
      <c r="L138" s="70">
        <f>HYPERLINK(Table3155[[#This Row],[Column1]])</f>
        <v/>
      </c>
    </row>
    <row r="139" ht="30" customHeight="1" s="290">
      <c r="A139" s="30" t="inlineStr">
        <is>
          <t>iCarsoft POR V3.0(Enhanced) Bidirectional Diagnostic Tool for Porsche/BMW, All System, 27 Resets (234 Sub-Resets) + Extra Services +1333 Test Items for Porsche, 16 Reset +ECU Coding for BMW</t>
        </is>
      </c>
      <c r="B139" s="30" t="inlineStr">
        <is>
          <t>B0FRFKT73F</t>
        </is>
      </c>
      <c r="C139" s="30" t="inlineStr">
        <is>
          <t>Tablet</t>
        </is>
      </c>
      <c r="D139" s="324" t="n">
        <v>207.4666666666667</v>
      </c>
      <c r="E139" s="53" t="n">
        <v>8261.231538461536</v>
      </c>
      <c r="F139" s="54" t="n">
        <v>622.4</v>
      </c>
      <c r="G139" s="55" t="n">
        <v>19</v>
      </c>
      <c r="H139" s="55" t="n">
        <v>3</v>
      </c>
      <c r="I139" s="55" t="n">
        <v>152</v>
      </c>
      <c r="J139" s="56" t="n">
        <v>4</v>
      </c>
      <c r="K139" s="56" t="inlineStr">
        <is>
          <t>https://amazon.com/dp/B0FRFKT73F</t>
        </is>
      </c>
      <c r="L139" s="70">
        <f>HYPERLINK(Table3155[[#This Row],[Column1]])</f>
        <v/>
      </c>
    </row>
    <row r="140" ht="45" customHeight="1" s="290">
      <c r="A140" s="30" t="inlineStr">
        <is>
          <t>iCarsoft CR Pro+ | Outil Diagnostic Automobile Multimarques OBD2 | Lecture et effacements Codes défauts | Reset FAP | Codage Injecteurs | Purge ABS et autres fonctions</t>
        </is>
      </c>
      <c r="B140" s="30" t="inlineStr">
        <is>
          <t>B0BHZL5CB6</t>
        </is>
      </c>
      <c r="C140" s="30" t="inlineStr">
        <is>
          <t>Tablet</t>
        </is>
      </c>
      <c r="D140" s="324" t="n">
        <v>205.92</v>
      </c>
      <c r="E140" s="53" t="n">
        <v>17872.26</v>
      </c>
      <c r="F140" s="54" t="n">
        <v>617.76</v>
      </c>
      <c r="G140" s="55" t="n">
        <v>73</v>
      </c>
      <c r="H140" s="55" t="n">
        <v>3</v>
      </c>
      <c r="I140" s="55" t="n">
        <v>118</v>
      </c>
      <c r="J140" s="56" t="n">
        <v>4.2</v>
      </c>
      <c r="K140" s="56" t="inlineStr">
        <is>
          <t>https://amazon.com/dp/B0BHZL5CB6</t>
        </is>
      </c>
      <c r="L140" s="70">
        <f>HYPERLINK(Table3155[[#This Row],[Column1]])</f>
        <v/>
      </c>
    </row>
    <row r="141" ht="45" customHeight="1" s="290">
      <c r="A141" s="30" t="inlineStr">
        <is>
          <t>iCarsoft BMM V1.0 2025 Version for BMW/MINI/RollsRoyce OBD2 Scanner Code Reader, Full Systems Diagnostic Scan Tool, Oil Reset + SAS Calibration Services, Lifetime Free Update</t>
        </is>
      </c>
      <c r="B141" s="30" t="inlineStr">
        <is>
          <t>B0F37X7TN5</t>
        </is>
      </c>
      <c r="C141" s="30" t="inlineStr">
        <is>
          <t>Tablet</t>
        </is>
      </c>
      <c r="D141" s="324" t="n">
        <v>122.482</v>
      </c>
      <c r="E141" s="53" t="n">
        <v>4482.96923076923</v>
      </c>
      <c r="F141" s="54" t="n">
        <v>612.41</v>
      </c>
      <c r="G141" s="55" t="n">
        <v>8</v>
      </c>
      <c r="H141" s="55" t="n">
        <v>5</v>
      </c>
      <c r="I141" s="55" t="n">
        <v>2</v>
      </c>
      <c r="J141" s="56" t="n">
        <v>2.4</v>
      </c>
      <c r="K141" s="56" t="inlineStr">
        <is>
          <t>https://amazon.com/dp/B0F37X7TN5</t>
        </is>
      </c>
      <c r="L141" s="70">
        <f>HYPERLINK(Table3155[[#This Row],[Column1]])</f>
        <v/>
      </c>
    </row>
    <row r="142" ht="45" customHeight="1" s="290">
      <c r="A142" s="30" t="inlineStr">
        <is>
          <t>iCarsoft i820 Obdii/Eobd and Can Check Engine Light Auto Diagnostic Tool New Version</t>
        </is>
      </c>
      <c r="B142" s="30" t="inlineStr">
        <is>
          <t>B071CLFHFQ</t>
        </is>
      </c>
      <c r="C142" s="30" t="inlineStr">
        <is>
          <t>Handheld</t>
        </is>
      </c>
      <c r="D142" s="324" t="n">
        <v>90.55666666666669</v>
      </c>
      <c r="E142" s="53" t="n">
        <v>2549.518461538461</v>
      </c>
      <c r="F142" s="54" t="n">
        <v>543.34</v>
      </c>
      <c r="G142" s="55" t="n">
        <v>6</v>
      </c>
      <c r="H142" s="55" t="n">
        <v>6</v>
      </c>
      <c r="I142" s="55" t="n">
        <v>19</v>
      </c>
      <c r="J142" s="56" t="n">
        <v>3.8</v>
      </c>
      <c r="K142" s="56" t="inlineStr">
        <is>
          <t>https://amazon.com/dp/B071CLFHFQ</t>
        </is>
      </c>
      <c r="L142" s="70">
        <f>HYPERLINK(Table3155[[#This Row],[Column1]])</f>
        <v/>
      </c>
    </row>
    <row r="143" ht="30" customHeight="1" s="290">
      <c r="A143" s="30" t="inlineStr">
        <is>
          <t>Motorcycle Bidirectional Diagnostic Scan Tool for Kawasaki, iCarsoft MT V6 All System Motor OBD2 Scanner- All Actuation Tests, Special Functions, Battery Test, Also for Car OBD2 Diagnose-Upgraded Ver</t>
        </is>
      </c>
      <c r="B143" s="30" t="inlineStr">
        <is>
          <t>B0F62P4KTL</t>
        </is>
      </c>
      <c r="C143" s="30" t="inlineStr">
        <is>
          <t>Tablet</t>
        </is>
      </c>
      <c r="D143" s="324" t="n">
        <v>178.8433333333333</v>
      </c>
      <c r="E143" s="53" t="n">
        <v>8873.836923076924</v>
      </c>
      <c r="F143" s="54" t="n">
        <v>536.53</v>
      </c>
      <c r="G143" s="55" t="n">
        <v>34</v>
      </c>
      <c r="H143" s="55" t="n">
        <v>3</v>
      </c>
      <c r="I143" s="55" t="n">
        <v>4</v>
      </c>
      <c r="J143" s="56" t="n">
        <v>2.7</v>
      </c>
      <c r="K143" s="56" t="inlineStr">
        <is>
          <t>https://amazon.com/dp/B0F62P4KTL</t>
        </is>
      </c>
      <c r="L143" s="70">
        <f>HYPERLINK(Table3155[[#This Row],[Column1]])</f>
        <v/>
      </c>
    </row>
    <row r="144" ht="45" customHeight="1" s="290">
      <c r="A144" s="30" t="inlineStr">
        <is>
          <t>MB V3.0 for Mercedes-Benz/Sprinter/Smart Diagnostic Tool with auto VIN/Quick Test</t>
        </is>
      </c>
      <c r="B144" s="30" t="inlineStr">
        <is>
          <t>B08ZH9T8C7</t>
        </is>
      </c>
      <c r="C144" s="30" t="inlineStr">
        <is>
          <t>Tablet</t>
        </is>
      </c>
      <c r="D144" s="324" t="n">
        <v>170.0866666666667</v>
      </c>
      <c r="E144" s="53" t="n">
        <v>53722.16923076924</v>
      </c>
      <c r="F144" s="54" t="n">
        <v>510.26</v>
      </c>
      <c r="G144" s="55" t="n">
        <v>316</v>
      </c>
      <c r="H144" s="55" t="n">
        <v>3</v>
      </c>
      <c r="I144" s="55" t="n">
        <v>406</v>
      </c>
      <c r="J144" s="56" t="n">
        <v>3.8</v>
      </c>
      <c r="K144" s="56" t="inlineStr">
        <is>
          <t>https://amazon.com/dp/B08ZH9T8C7</t>
        </is>
      </c>
      <c r="L144" s="70">
        <f>HYPERLINK(Table3155[[#This Row],[Column1]])</f>
        <v/>
      </c>
    </row>
    <row r="145" ht="45" customHeight="1" s="290">
      <c r="A145" s="30" t="inlineStr">
        <is>
          <t>iCarsoft CR Genius(2005) OBD2 Scanner for All Vehicle, All System Scan Tool, Powerful Bidirectional Actuation Test/Full Reset/Battery Test Registration Car Code Reader, Touchscreen, Auto VIN/Scan</t>
        </is>
      </c>
      <c r="B145" s="30" t="inlineStr">
        <is>
          <t>B0DYDQ77GH</t>
        </is>
      </c>
      <c r="C145" s="30" t="inlineStr">
        <is>
          <t>Tablet</t>
        </is>
      </c>
      <c r="D145" s="324" t="n">
        <v>245.675</v>
      </c>
      <c r="E145" s="53" t="n">
        <v>1965.19</v>
      </c>
      <c r="F145" s="54" t="n">
        <v>491.35</v>
      </c>
      <c r="G145" s="55" t="n">
        <v>7</v>
      </c>
      <c r="H145" s="55" t="n">
        <v>2</v>
      </c>
      <c r="I145" s="55" t="n"/>
      <c r="J145" s="56" t="n"/>
      <c r="K145" s="56" t="inlineStr">
        <is>
          <t>https://amazon.com/dp/B0DYDQ77GH</t>
        </is>
      </c>
      <c r="L145" s="70">
        <f>HYPERLINK(Table3155[[#This Row],[Column1]])</f>
        <v/>
      </c>
    </row>
    <row r="146" ht="45" customHeight="1" s="290">
      <c r="A146" s="30" t="inlineStr">
        <is>
          <t>iCarsoft OBD2 Scanner for Volvo/Saab, VOL V1.0 All Systems in-Depth Diagnostic Tool, Oil/SAS Reset/Live Data, ABS Airbag Engine Transmission Code Reader 10 OBD2/EOBD/CAN Scan Tool</t>
        </is>
      </c>
      <c r="B146" s="30" t="inlineStr">
        <is>
          <t>B0DMNMDHLC</t>
        </is>
      </c>
      <c r="C146" s="30" t="inlineStr">
        <is>
          <t>Handheld</t>
        </is>
      </c>
      <c r="D146" s="324" t="n">
        <v>121.615</v>
      </c>
      <c r="E146" s="53" t="n">
        <v>10088.44</v>
      </c>
      <c r="F146" s="54" t="n">
        <v>486.46</v>
      </c>
      <c r="G146" s="55" t="n">
        <v>80</v>
      </c>
      <c r="H146" s="55" t="n">
        <v>4</v>
      </c>
      <c r="I146" s="55" t="n">
        <v>25</v>
      </c>
      <c r="J146" s="56" t="n">
        <v>4</v>
      </c>
      <c r="K146" s="56" t="inlineStr">
        <is>
          <t>https://amazon.com/dp/B0DMNMDHLC</t>
        </is>
      </c>
      <c r="L146" s="70">
        <f>HYPERLINK(Table3155[[#This Row],[Column1]])</f>
        <v/>
      </c>
    </row>
    <row r="147" ht="30" customHeight="1" s="290">
      <c r="A147" s="30" t="inlineStr">
        <is>
          <t>iCarsoft i900 General Motors Gm Obd2 Car Truck Diagnostic Scanner Tool Reset Erase Fault Code</t>
        </is>
      </c>
      <c r="B147" s="30" t="inlineStr">
        <is>
          <t>B00NLM7W5U</t>
        </is>
      </c>
      <c r="C147" s="30" t="inlineStr">
        <is>
          <t>Handheld</t>
        </is>
      </c>
      <c r="D147" s="324" t="n">
        <v>93.548</v>
      </c>
      <c r="E147" s="53" t="n">
        <v>4407.08</v>
      </c>
      <c r="F147" s="54" t="n">
        <v>467.74</v>
      </c>
      <c r="G147" s="55" t="n">
        <v>38</v>
      </c>
      <c r="H147" s="55" t="n">
        <v>5</v>
      </c>
      <c r="I147" s="55" t="n">
        <v>139</v>
      </c>
      <c r="J147" s="56" t="n">
        <v>4.1</v>
      </c>
      <c r="K147" s="56" t="inlineStr">
        <is>
          <t>https://amazon.com/dp/B00NLM7W5U</t>
        </is>
      </c>
      <c r="L147" s="70">
        <f>HYPERLINK(Table3155[[#This Row],[Column1]])</f>
        <v/>
      </c>
    </row>
    <row r="148" ht="60" customHeight="1" s="290">
      <c r="A148" s="30" t="inlineStr">
        <is>
          <t>iCarsoft BMM V3.0(New Ver) Diagnostic Scan Tool for BMW OBD2 Scanner, All System Bi-Directional Tests/ECU Coding Code Reader, All Resets/Battery Registration- for BMW Mini Rolls-Royce-Free Update</t>
        </is>
      </c>
      <c r="B148" s="30" t="inlineStr">
        <is>
          <t>B00NS16FIO</t>
        </is>
      </c>
      <c r="C148" s="30" t="inlineStr">
        <is>
          <t>Handheld</t>
        </is>
      </c>
      <c r="D148" s="324" t="n">
        <v>232.59</v>
      </c>
      <c r="E148" s="53" t="n">
        <v>6689.018461538464</v>
      </c>
      <c r="F148" s="54" t="n">
        <v>465.18</v>
      </c>
      <c r="G148" s="55" t="n">
        <v>18</v>
      </c>
      <c r="H148" s="55" t="n">
        <v>2</v>
      </c>
      <c r="I148" s="55" t="n">
        <v>11</v>
      </c>
      <c r="J148" s="56" t="n">
        <v>4.2</v>
      </c>
      <c r="K148" s="56" t="inlineStr">
        <is>
          <t>https://amazon.com/dp/B00NS16FIO</t>
        </is>
      </c>
      <c r="L148" s="70">
        <f>HYPERLINK(Table3155[[#This Row],[Column1]])</f>
        <v/>
      </c>
    </row>
    <row r="149" ht="30" customHeight="1" s="290">
      <c r="A149" s="30" t="inlineStr">
        <is>
          <t>iCarsoft CR Max BT Wireless Scan Tool, OBD2 Diagnostic Touchscreen Scanner, 4-in-1 Live Graphing, Lifetime Free Update</t>
        </is>
      </c>
      <c r="B149" s="30" t="inlineStr">
        <is>
          <t>B00S5AB54W</t>
        </is>
      </c>
      <c r="C149" s="30" t="inlineStr">
        <is>
          <t>Handheld</t>
        </is>
      </c>
      <c r="D149" s="324" t="n">
        <v>462.18</v>
      </c>
      <c r="E149" s="53" t="n">
        <v>18592.8</v>
      </c>
      <c r="F149" s="54" t="n">
        <v>462.18</v>
      </c>
      <c r="G149" s="55" t="n">
        <v>46</v>
      </c>
      <c r="H149" s="55" t="n">
        <v>1</v>
      </c>
      <c r="I149" s="55" t="n">
        <v>121</v>
      </c>
      <c r="J149" s="56" t="n">
        <v>4.2</v>
      </c>
      <c r="K149" s="56" t="inlineStr">
        <is>
          <t>https://amazon.com/dp/B00S5AB54W</t>
        </is>
      </c>
      <c r="L149" s="70">
        <f>HYPERLINK(Table3155[[#This Row],[Column1]])</f>
        <v/>
      </c>
    </row>
    <row r="150" ht="45" customHeight="1" s="290">
      <c r="A150" s="30" t="inlineStr">
        <is>
          <t>iCarsoft OBD2 Scanner for Landrover/Jaguar 9 Reset Functions Oil Reset BMS TPMS etc, Full System Diagnostic Tool with Airbag Transmission Scan, Battery Test/Live Data, LR V2.0 Car Code Reader</t>
        </is>
      </c>
      <c r="B150" s="30" t="inlineStr">
        <is>
          <t>B0D9XZYH44</t>
        </is>
      </c>
      <c r="C150" s="30" t="inlineStr">
        <is>
          <t>Tablet</t>
        </is>
      </c>
      <c r="D150" s="324" t="n">
        <v>153.0433333333333</v>
      </c>
      <c r="E150" s="53" t="n">
        <v>31041.39</v>
      </c>
      <c r="F150" s="54" t="n">
        <v>459.13</v>
      </c>
      <c r="G150" s="55" t="n">
        <v>186</v>
      </c>
      <c r="H150" s="55" t="n">
        <v>3</v>
      </c>
      <c r="I150" s="55" t="n">
        <v>13</v>
      </c>
      <c r="J150" s="56" t="n">
        <v>3.8</v>
      </c>
      <c r="K150" s="56" t="inlineStr">
        <is>
          <t>https://amazon.com/dp/B0D9XZYH44</t>
        </is>
      </c>
      <c r="L150" s="70">
        <f>HYPERLINK(Table3155[[#This Row],[Column1]])</f>
        <v/>
      </c>
    </row>
    <row r="151" ht="60" customHeight="1" s="290">
      <c r="A151" s="30" t="inlineStr">
        <is>
          <t>iCarsoft CR V3.0 (2026) Scan Tool Bidirectional OBD2 Scanner Diagnostic Tool for All Cars, 45 Reset,All System Diagnose, 4000+ Active Test, Battery Test-Customizable Diagnosis for 10 Car Brands</t>
        </is>
      </c>
      <c r="B151" s="30" t="inlineStr">
        <is>
          <t>B0F2HL8P5G</t>
        </is>
      </c>
      <c r="C151" s="30" t="inlineStr">
        <is>
          <t>Tablet</t>
        </is>
      </c>
      <c r="D151" s="324" t="n">
        <v>226.305</v>
      </c>
      <c r="E151" s="53" t="n">
        <v>4992.533846153846</v>
      </c>
      <c r="F151" s="54" t="n">
        <v>452.61</v>
      </c>
      <c r="G151" s="55" t="n">
        <v>18</v>
      </c>
      <c r="H151" s="55" t="n">
        <v>2</v>
      </c>
      <c r="I151" s="55" t="n">
        <v>5</v>
      </c>
      <c r="J151" s="56" t="n">
        <v>4.1</v>
      </c>
      <c r="K151" s="56" t="inlineStr">
        <is>
          <t>https://amazon.com/dp/B0F2HL8P5G</t>
        </is>
      </c>
      <c r="L151" s="70">
        <f>HYPERLINK(Table3155[[#This Row],[Column1]])</f>
        <v/>
      </c>
    </row>
    <row r="152" ht="45" customHeight="1" s="290">
      <c r="A152" s="30" t="inlineStr">
        <is>
          <t>iCarsoft VAWS V2.0</t>
        </is>
      </c>
      <c r="B152" s="30" t="inlineStr">
        <is>
          <t>B07B8C8J8N</t>
        </is>
      </c>
      <c r="C152" s="30" t="inlineStr">
        <is>
          <t>Tablet</t>
        </is>
      </c>
      <c r="D152" s="324" t="n">
        <v>146.6066666666667</v>
      </c>
      <c r="E152" s="53" t="n">
        <v>6359.820000000001</v>
      </c>
      <c r="F152" s="54" t="n">
        <v>439.82</v>
      </c>
      <c r="G152" s="55" t="n">
        <v>45</v>
      </c>
      <c r="H152" s="55" t="n">
        <v>3</v>
      </c>
      <c r="I152" s="55" t="n">
        <v>229</v>
      </c>
      <c r="J152" s="56" t="n">
        <v>4</v>
      </c>
      <c r="K152" s="56" t="inlineStr">
        <is>
          <t>https://amazon.com/dp/B07B8C8J8N</t>
        </is>
      </c>
      <c r="L152" s="70">
        <f>HYPERLINK(Table3155[[#This Row],[Column1]])</f>
        <v/>
      </c>
    </row>
    <row r="153" ht="45" customHeight="1" s="290">
      <c r="A153" s="30" t="inlineStr">
        <is>
          <t>iCarsoft CR Pro 2025 Ver OBD2 Scanner Diagnostic Tool All System Car Scan Tool Battery Test Live Data Graph with 9 Service Oil Reset EPB BMS ETC SAS DP-F ABS TPMS Injector Coding Fault Code Reader</t>
        </is>
      </c>
      <c r="B153" s="30" t="inlineStr">
        <is>
          <t>B0F6B9YVK5</t>
        </is>
      </c>
      <c r="C153" s="30" t="inlineStr">
        <is>
          <t>Tablet</t>
        </is>
      </c>
      <c r="D153" s="324" t="n">
        <v>212.72</v>
      </c>
      <c r="E153" s="53" t="n">
        <v>5372.993846153847</v>
      </c>
      <c r="F153" s="54" t="n">
        <v>425.44</v>
      </c>
      <c r="G153" s="55" t="n">
        <v>18</v>
      </c>
      <c r="H153" s="55" t="n">
        <v>2</v>
      </c>
      <c r="I153" s="55" t="n">
        <v>38</v>
      </c>
      <c r="J153" s="56" t="n">
        <v>3.7</v>
      </c>
      <c r="K153" s="56" t="inlineStr">
        <is>
          <t>https://amazon.com/dp/B0F6B9YVK5</t>
        </is>
      </c>
      <c r="L153" s="70">
        <f>HYPERLINK(Table3155[[#This Row],[Column1]])</f>
        <v/>
      </c>
    </row>
    <row r="154" ht="45" customHeight="1" s="290">
      <c r="A154" s="30" t="inlineStr">
        <is>
          <t>iCarsoft POR II-D OBD2 Full System Diagnostic Tool for Porsche, with Oil/EPB/DP/ETC/SAS Reset, Real-Time Data Display &amp; Free Lifetime Update</t>
        </is>
      </c>
      <c r="B154" s="30" t="inlineStr">
        <is>
          <t>B0DZ65TH1G</t>
        </is>
      </c>
      <c r="C154" s="30" t="inlineStr">
        <is>
          <t>Tablet</t>
        </is>
      </c>
      <c r="D154" s="324" t="n">
        <v>141.2266666666667</v>
      </c>
      <c r="E154" s="53" t="n">
        <v>4809.446153846154</v>
      </c>
      <c r="F154" s="54" t="n">
        <v>423.68</v>
      </c>
      <c r="G154" s="55" t="n">
        <v>20</v>
      </c>
      <c r="H154" s="55" t="n">
        <v>3</v>
      </c>
      <c r="I154" s="55" t="n"/>
      <c r="J154" s="56" t="n"/>
      <c r="K154" s="56" t="inlineStr">
        <is>
          <t>https://amazon.com/dp/B0DZ65TH1G</t>
        </is>
      </c>
      <c r="L154" s="70">
        <f>HYPERLINK(Table3155[[#This Row],[Column1]])</f>
        <v/>
      </c>
    </row>
    <row r="155" ht="45" customHeight="1" s="290">
      <c r="A155" s="30" t="inlineStr">
        <is>
          <t>iCarsoft HD V3.0 Heavy Duty Truck Multi-Systems Scanner, OBD2 Scanner for Diesel Trucks, 2-in-1 Code Reader for Truck &amp; Car with Full OBD2 Modes, Diagnostic Tool with 16/6/9 Pin Adapter</t>
        </is>
      </c>
      <c r="B155" s="30" t="inlineStr">
        <is>
          <t>B0F9XZXSYZ</t>
        </is>
      </c>
      <c r="C155" s="30" t="inlineStr">
        <is>
          <t>Handheld</t>
        </is>
      </c>
      <c r="D155" s="324" t="n">
        <v>104.145</v>
      </c>
      <c r="E155" s="53" t="n">
        <v>3749.341538461538</v>
      </c>
      <c r="F155" s="54" t="n">
        <v>416.58</v>
      </c>
      <c r="G155" s="55" t="n">
        <v>21</v>
      </c>
      <c r="H155" s="55" t="n">
        <v>4</v>
      </c>
      <c r="I155" s="55" t="n">
        <v>2</v>
      </c>
      <c r="J155" s="56" t="n">
        <v>2</v>
      </c>
      <c r="K155" s="56" t="inlineStr">
        <is>
          <t>https://amazon.com/dp/B0F9XZXSYZ</t>
        </is>
      </c>
      <c r="L155" s="70">
        <f>HYPERLINK(Table3155[[#This Row],[Column1]])</f>
        <v/>
      </c>
    </row>
    <row r="156" ht="30" customHeight="1" s="290">
      <c r="A156" s="30" t="inlineStr">
        <is>
          <t>iCarsoft HD V4.0 Heavy Duty Truck Scanner with 8 Reset, Full System Diagnostic Tool, D P -F Re-gen/Injector Coding/Li-mit Setting, 2 in 1 Code Reader for Car &amp; Truck Cummins/Detroit/Caterpillar/Hino</t>
        </is>
      </c>
      <c r="B156" s="30" t="inlineStr">
        <is>
          <t>B0FFYC134P</t>
        </is>
      </c>
      <c r="C156" s="30" t="inlineStr">
        <is>
          <t>Tablet</t>
        </is>
      </c>
      <c r="D156" s="324" t="n">
        <v>399.96</v>
      </c>
      <c r="E156" s="53" t="n">
        <v>10206.29923076923</v>
      </c>
      <c r="F156" s="54" t="n">
        <v>399.96</v>
      </c>
      <c r="G156" s="55" t="n">
        <v>18</v>
      </c>
      <c r="H156" s="55" t="n">
        <v>1</v>
      </c>
      <c r="I156" s="55" t="n">
        <v>5</v>
      </c>
      <c r="J156" s="56" t="n">
        <v>3.3</v>
      </c>
      <c r="K156" s="56" t="inlineStr">
        <is>
          <t>https://amazon.com/dp/B0FFYC134P</t>
        </is>
      </c>
      <c r="L156" s="70">
        <f>HYPERLINK(Table3155[[#This Row],[Column1]])</f>
        <v/>
      </c>
    </row>
    <row r="157" ht="30" customHeight="1" s="290">
      <c r="A157" s="30" t="inlineStr">
        <is>
          <t>iCarsoft LR II Compatible for Landrover/Jaguar OBD II Scanner Tool Multi Systems ABS SRS Oil Reset</t>
        </is>
      </c>
      <c r="B157" s="30" t="inlineStr">
        <is>
          <t>B010ODE238</t>
        </is>
      </c>
      <c r="C157" s="30" t="inlineStr">
        <is>
          <t>Tablet</t>
        </is>
      </c>
      <c r="D157" s="324" t="n">
        <v>130.82</v>
      </c>
      <c r="E157" s="53" t="n">
        <v>2384.05</v>
      </c>
      <c r="F157" s="54" t="n">
        <v>392.46</v>
      </c>
      <c r="G157" s="55" t="n">
        <v>16</v>
      </c>
      <c r="H157" s="55" t="n">
        <v>3</v>
      </c>
      <c r="I157" s="55" t="n">
        <v>178</v>
      </c>
      <c r="J157" s="56" t="n">
        <v>4.2</v>
      </c>
      <c r="K157" s="56" t="inlineStr">
        <is>
          <t>https://amazon.com/dp/B010ODE238</t>
        </is>
      </c>
      <c r="L157" s="70">
        <f>HYPERLINK(Table3155[[#This Row],[Column1]])</f>
        <v/>
      </c>
    </row>
    <row r="158" ht="45" customHeight="1" s="290">
      <c r="A158" s="30" t="inlineStr">
        <is>
          <t>iCarsoft Auto Diagnostic Scanner BMM V1.0 for BMW&amp;Mini Test Oil Reset, SAS Reset New Version of i910 (red)</t>
        </is>
      </c>
      <c r="B158" s="30" t="inlineStr">
        <is>
          <t>B075FKTX16</t>
        </is>
      </c>
      <c r="C158" s="30" t="inlineStr">
        <is>
          <t>Handheld</t>
        </is>
      </c>
      <c r="D158" s="324" t="n">
        <v>68.71599999999999</v>
      </c>
      <c r="E158" s="53" t="n">
        <v>9325.631538461539</v>
      </c>
      <c r="F158" s="54" t="n">
        <v>343.58</v>
      </c>
      <c r="G158" s="55" t="n">
        <v>88</v>
      </c>
      <c r="H158" s="55" t="n">
        <v>5</v>
      </c>
      <c r="I158" s="55" t="n">
        <v>34</v>
      </c>
      <c r="J158" s="56" t="n">
        <v>3.6</v>
      </c>
      <c r="K158" s="56" t="inlineStr">
        <is>
          <t>https://amazon.com/dp/B075FKTX16</t>
        </is>
      </c>
      <c r="L158" s="70">
        <f>HYPERLINK(Table3155[[#This Row],[Column1]])</f>
        <v/>
      </c>
    </row>
    <row r="159" ht="30" customHeight="1" s="290">
      <c r="A159" s="30" t="inlineStr">
        <is>
          <t>iCarsoft OBD2 Scanner CR Pro+, Car Diagnostic Tool with Full System Diagnostic, 49 Maintenance Services, Actuation/Bi-Directional Test/Battery Test/Auto VIN/IMMO, Lifetime Update</t>
        </is>
      </c>
      <c r="B159" s="30" t="inlineStr">
        <is>
          <t>B0762MG1W7</t>
        </is>
      </c>
      <c r="C159" s="30" t="inlineStr">
        <is>
          <t>Tablet</t>
        </is>
      </c>
      <c r="D159" s="324" t="n">
        <v>329.96</v>
      </c>
      <c r="E159" s="53" t="n">
        <v>3680.323076923076</v>
      </c>
      <c r="F159" s="54" t="n">
        <v>329.96</v>
      </c>
      <c r="G159" s="55" t="n">
        <v>1</v>
      </c>
      <c r="H159" s="55" t="n">
        <v>1</v>
      </c>
      <c r="I159" s="55" t="n">
        <v>22</v>
      </c>
      <c r="J159" s="56" t="n">
        <v>4.2</v>
      </c>
      <c r="K159" s="56" t="inlineStr">
        <is>
          <t>https://amazon.com/dp/B0762MG1W7</t>
        </is>
      </c>
      <c r="L159" s="70">
        <f>HYPERLINK(Table3155[[#This Row],[Column1]])</f>
        <v/>
      </c>
    </row>
    <row r="160" ht="60" customHeight="1" s="290">
      <c r="A160" s="30" t="inlineStr">
        <is>
          <t>iCarsoft OBD2 Scanner Diagnostic Tool for BMW/VW/Audi, BMM V2.0 (Enhanced Ver) All System 9 Maintenance Resets Battery Registration/Battery Test Code Reader Auto VIN -16PIN OBDII Adapter</t>
        </is>
      </c>
      <c r="B160" s="30" t="inlineStr">
        <is>
          <t>B0F6XKVXS1</t>
        </is>
      </c>
      <c r="C160" s="30" t="inlineStr">
        <is>
          <t>Handheld</t>
        </is>
      </c>
      <c r="D160" s="324" t="n">
        <v>154.135</v>
      </c>
      <c r="E160" s="53" t="n">
        <v>2403.837692307692</v>
      </c>
      <c r="F160" s="54" t="n">
        <v>308.27</v>
      </c>
      <c r="G160" s="55" t="n">
        <v>6</v>
      </c>
      <c r="H160" s="55" t="n">
        <v>2</v>
      </c>
      <c r="I160" s="55" t="n">
        <v>118</v>
      </c>
      <c r="J160" s="56" t="n">
        <v>3.8</v>
      </c>
      <c r="K160" s="56" t="inlineStr">
        <is>
          <t>https://amazon.com/dp/B0F6XKVXS1</t>
        </is>
      </c>
      <c r="L160" s="70">
        <f>HYPERLINK(Table3155[[#This Row],[Column1]])</f>
        <v/>
      </c>
    </row>
    <row r="161" ht="45" customHeight="1" s="290">
      <c r="A161" s="30" t="inlineStr">
        <is>
          <t>iCarsoft OBD2 Scanner POR V1.0 for Porsche/Macan, All System Diagnostic Scan Tool Oil/SAS Reset Check Engine Light I/M Readiness Battery Test OBD2/CAN Car Code Reader/PCM Live Data</t>
        </is>
      </c>
      <c r="B161" s="30" t="inlineStr">
        <is>
          <t>B0DMN9WKSD</t>
        </is>
      </c>
      <c r="C161" s="30" t="inlineStr">
        <is>
          <t>Handheld</t>
        </is>
      </c>
      <c r="D161" s="324" t="n">
        <v>153.95</v>
      </c>
      <c r="E161" s="53" t="n">
        <v>13189.71</v>
      </c>
      <c r="F161" s="54" t="n">
        <v>307.9</v>
      </c>
      <c r="G161" s="55" t="n">
        <v>105</v>
      </c>
      <c r="H161" s="55" t="n">
        <v>2</v>
      </c>
      <c r="I161" s="55" t="n">
        <v>3</v>
      </c>
      <c r="J161" s="56" t="n">
        <v>2.9</v>
      </c>
      <c r="K161" s="56" t="inlineStr">
        <is>
          <t>https://amazon.com/dp/B0DMN9WKSD</t>
        </is>
      </c>
      <c r="L161" s="70">
        <f>HYPERLINK(Table3155[[#This Row],[Column1]])</f>
        <v/>
      </c>
    </row>
    <row r="162" ht="45" customHeight="1" s="290">
      <c r="A162" s="30" t="inlineStr">
        <is>
          <t>iCarsoft Obd2 Scanner, Code Reader Car Diagnostic Tool BMM V2.0 for BMW/Mini, with Oil Service Reset, EPB, BMS, DPF, SAS, ETC, OBD II, Updated Version of i910-II</t>
        </is>
      </c>
      <c r="B162" s="30" t="inlineStr">
        <is>
          <t>B0791C1VVD</t>
        </is>
      </c>
      <c r="C162" s="30" t="inlineStr">
        <is>
          <t>Tablet</t>
        </is>
      </c>
      <c r="D162" s="324" t="n">
        <v>146.045</v>
      </c>
      <c r="E162" s="53" t="n">
        <v>12071.08</v>
      </c>
      <c r="F162" s="54" t="n">
        <v>292.09</v>
      </c>
      <c r="G162" s="55" t="n">
        <v>85</v>
      </c>
      <c r="H162" s="55" t="n">
        <v>2</v>
      </c>
      <c r="I162" s="55" t="n">
        <v>290</v>
      </c>
      <c r="J162" s="56" t="n">
        <v>4.2</v>
      </c>
      <c r="K162" s="56" t="inlineStr">
        <is>
          <t>https://amazon.com/dp/B0791C1VVD</t>
        </is>
      </c>
      <c r="L162" s="70">
        <f>HYPERLINK(Table3155[[#This Row],[Column1]])</f>
        <v/>
      </c>
    </row>
    <row r="163" ht="45" customHeight="1" s="290">
      <c r="A163" s="30" t="inlineStr">
        <is>
          <t>iCarsoft OBD II Diagnostic Tool EU Pro</t>
        </is>
      </c>
      <c r="B163" s="30" t="inlineStr">
        <is>
          <t>B07KR2QTX1</t>
        </is>
      </c>
      <c r="C163" s="30" t="inlineStr">
        <is>
          <t>Tablet</t>
        </is>
      </c>
      <c r="D163" s="324" t="n">
        <v>139.455</v>
      </c>
      <c r="E163" s="53" t="n">
        <v>5745.200000000001</v>
      </c>
      <c r="F163" s="54" t="n">
        <v>278.91</v>
      </c>
      <c r="G163" s="55" t="n">
        <v>34</v>
      </c>
      <c r="H163" s="55" t="n">
        <v>2</v>
      </c>
      <c r="I163" s="55" t="n">
        <v>186</v>
      </c>
      <c r="J163" s="56" t="n">
        <v>4</v>
      </c>
      <c r="K163" s="56" t="inlineStr">
        <is>
          <t>https://amazon.com/dp/B07KR2QTX1</t>
        </is>
      </c>
      <c r="L163" s="70">
        <f>HYPERLINK(Table3155[[#This Row],[Column1]])</f>
        <v/>
      </c>
    </row>
    <row r="164" ht="45" customHeight="1" s="290">
      <c r="A164" s="30" t="inlineStr">
        <is>
          <t>iCarsoft Bidirectional Scan Tool CR Pro+ Enhanced Version with 38 Pin Adapter for Benz Wider Compatibility 49 Reset Service Diagnostic Tool Full Systems Code Reader In-depth Scan Tool for Control Unit</t>
        </is>
      </c>
      <c r="B164" s="30" t="inlineStr">
        <is>
          <t>B0DV5KLWXX</t>
        </is>
      </c>
      <c r="C164" s="30" t="inlineStr">
        <is>
          <t>Tablet</t>
        </is>
      </c>
      <c r="D164" s="324" t="n">
        <v>263.96</v>
      </c>
      <c r="E164" s="53" t="n">
        <v>4984.18</v>
      </c>
      <c r="F164" s="54" t="n">
        <v>263.96</v>
      </c>
      <c r="G164" s="55" t="n">
        <v>15</v>
      </c>
      <c r="H164" s="55" t="n">
        <v>1</v>
      </c>
      <c r="I164" s="55" t="n">
        <v>1</v>
      </c>
      <c r="J164" s="56" t="n">
        <v>5</v>
      </c>
      <c r="K164" s="56" t="inlineStr">
        <is>
          <t>https://amazon.com/dp/B0DV5KLWXX</t>
        </is>
      </c>
      <c r="L164" s="70">
        <f>HYPERLINK(Table3155[[#This Row],[Column1]])</f>
        <v/>
      </c>
    </row>
    <row r="165" ht="45" customHeight="1" s="290">
      <c r="A165" s="30" t="inlineStr">
        <is>
          <t>iCarsoft for Volvo/SAAB OBD-II Multi Systems Scanner Tool, SRS ABS Engine Oil Reset, EPB i906-II New Version</t>
        </is>
      </c>
      <c r="B165" s="30" t="inlineStr">
        <is>
          <t>B010ODE03K</t>
        </is>
      </c>
      <c r="C165" s="30" t="inlineStr">
        <is>
          <t>Tablet</t>
        </is>
      </c>
      <c r="D165" s="324" t="n">
        <v>127.92</v>
      </c>
      <c r="E165" s="53" t="n">
        <v>2280.64</v>
      </c>
      <c r="F165" s="54" t="n">
        <v>255.84</v>
      </c>
      <c r="G165" s="55" t="n">
        <v>11</v>
      </c>
      <c r="H165" s="55" t="n">
        <v>2</v>
      </c>
      <c r="I165" s="55" t="n">
        <v>109</v>
      </c>
      <c r="J165" s="56" t="n">
        <v>3.9</v>
      </c>
      <c r="K165" s="56" t="inlineStr">
        <is>
          <t>https://amazon.com/dp/B010ODE03K</t>
        </is>
      </c>
      <c r="L165" s="70">
        <f>HYPERLINK(Table3155[[#This Row],[Column1]])</f>
        <v/>
      </c>
    </row>
    <row r="166" ht="45" customHeight="1" s="290">
      <c r="A166" s="30" t="inlineStr">
        <is>
          <t>iCarsoft JP V2.0 Diagnostic Scan Tool for Japanese Vehicles Toyota/Lexus/Scion/Isuzu/Nissan/Infiniti/Mitsubishi/Honda(Acura)/Mazda/Subaru +Oil Reset +EPB+BMS+DPF+SAS+ETC+BLD+INJ</t>
        </is>
      </c>
      <c r="B166" s="30" t="inlineStr">
        <is>
          <t>B07KR4L69G</t>
        </is>
      </c>
      <c r="C166" s="30" t="inlineStr">
        <is>
          <t>Tablet</t>
        </is>
      </c>
      <c r="D166" s="324" t="n">
        <v>125.58</v>
      </c>
      <c r="E166" s="53" t="n">
        <v>9483.02</v>
      </c>
      <c r="F166" s="54" t="n">
        <v>251.16</v>
      </c>
      <c r="G166" s="55" t="n">
        <v>62</v>
      </c>
      <c r="H166" s="55" t="n">
        <v>2</v>
      </c>
      <c r="I166" s="55" t="n">
        <v>50</v>
      </c>
      <c r="J166" s="56" t="n">
        <v>3.6</v>
      </c>
      <c r="K166" s="56" t="inlineStr">
        <is>
          <t>https://amazon.com/dp/B07KR4L69G</t>
        </is>
      </c>
      <c r="L166" s="70">
        <f>HYPERLINK(Table3155[[#This Row],[Column1]])</f>
        <v/>
      </c>
    </row>
    <row r="167" ht="30" customHeight="1" s="290">
      <c r="A167" s="30" t="inlineStr">
        <is>
          <t>Heavy Duty Truck Scanner, iCarsoft HD V3.0 Multi-System OBD2 Diagnostic Scan Tool for Truck, Car, Mini Van, Light Duty Vehicle, Code Reader,Battery Test, Graphic Data Display-Red</t>
        </is>
      </c>
      <c r="B167" s="30" t="inlineStr">
        <is>
          <t>B07FP96X2D</t>
        </is>
      </c>
      <c r="C167" s="30" t="inlineStr">
        <is>
          <t>Handheld</t>
        </is>
      </c>
      <c r="D167" s="324" t="n">
        <v>122.81</v>
      </c>
      <c r="E167" s="53" t="n">
        <v>13258.53</v>
      </c>
      <c r="F167" s="54" t="n">
        <v>245.62</v>
      </c>
      <c r="G167" s="55" t="n">
        <v>108</v>
      </c>
      <c r="H167" s="55" t="n">
        <v>2</v>
      </c>
      <c r="I167" s="55" t="n">
        <v>34</v>
      </c>
      <c r="J167" s="56" t="n">
        <v>3.6</v>
      </c>
      <c r="K167" s="56" t="inlineStr">
        <is>
          <t>https://amazon.com/dp/B07FP96X2D</t>
        </is>
      </c>
      <c r="L167" s="70">
        <f>HYPERLINK(Table3155[[#This Row],[Column1]])</f>
        <v/>
      </c>
    </row>
    <row r="168" ht="30" customHeight="1" s="290">
      <c r="A168" s="30" t="inlineStr">
        <is>
          <t>‌iCarsoft CR Pro-D OBD2 Scanner Professional Full-System Diagnostic Tool with Oil Reset, EPB, ABS, TPMS, Live Data &amp; Battery Test for Most Vehicles‌‌ Compact Design with Free Lifetime Updates</t>
        </is>
      </c>
      <c r="B168" s="30" t="inlineStr">
        <is>
          <t>B0DXVXFBCG</t>
        </is>
      </c>
      <c r="C168" s="30" t="inlineStr">
        <is>
          <t>Tablet</t>
        </is>
      </c>
      <c r="D168" s="324" t="n">
        <v>238.2</v>
      </c>
      <c r="E168" s="53" t="n">
        <v>2876.723076923076</v>
      </c>
      <c r="F168" s="54" t="n">
        <v>238.2</v>
      </c>
      <c r="G168" s="55" t="n">
        <v>1</v>
      </c>
      <c r="H168" s="55" t="n">
        <v>1</v>
      </c>
      <c r="I168" s="55" t="n"/>
      <c r="J168" s="56" t="n"/>
      <c r="K168" s="56" t="inlineStr">
        <is>
          <t>https://amazon.com/dp/B0DXVXFBCG</t>
        </is>
      </c>
      <c r="L168" s="70">
        <f>HYPERLINK(Table3155[[#This Row],[Column1]])</f>
        <v/>
      </c>
    </row>
    <row r="169" ht="30" customHeight="1" s="290">
      <c r="A169" s="30" t="inlineStr">
        <is>
          <t>iCarsoft CR Elite(2005) OBD2 Scanner for All Vehicle, Engine/Transmission/ABS/Airbag System Scan Tool with Oil Reset/EPB/BMS/ETC/Sterring Angle/D.P.F/ABS Reset/Injector Coding/Battery Test</t>
        </is>
      </c>
      <c r="B169" s="30" t="inlineStr">
        <is>
          <t>B0DYDPX7FF</t>
        </is>
      </c>
      <c r="C169" s="30" t="inlineStr">
        <is>
          <t>Tablet</t>
        </is>
      </c>
      <c r="D169" s="324" t="n">
        <v>233.57</v>
      </c>
      <c r="E169" s="53" t="n">
        <v>3267.79</v>
      </c>
      <c r="F169" s="54" t="n">
        <v>233.57</v>
      </c>
      <c r="G169" s="55" t="n">
        <v>16</v>
      </c>
      <c r="H169" s="55" t="n">
        <v>1</v>
      </c>
      <c r="I169" s="55" t="n">
        <v>1</v>
      </c>
      <c r="J169" s="56" t="n">
        <v>4</v>
      </c>
      <c r="K169" s="56" t="inlineStr">
        <is>
          <t>https://amazon.com/dp/B0DYDPX7FF</t>
        </is>
      </c>
      <c r="L169" s="70">
        <f>HYPERLINK(Table3155[[#This Row],[Column1]])</f>
        <v/>
      </c>
    </row>
    <row r="170" ht="30" customHeight="1" s="290">
      <c r="A170" s="30" t="inlineStr">
        <is>
          <t>iCarsoft i800 Plus OBD2 Scanner Diagnostic Tool with Component Test/118 Live Data/Reset CEL/Battery Test/Freeze Frame/VIN, Code Reader for All Cars Full OBD2 Functions, Fuel System Scan Tool para Auto</t>
        </is>
      </c>
      <c r="B170" s="30" t="inlineStr">
        <is>
          <t>B0C4KTVRW8</t>
        </is>
      </c>
      <c r="C170" s="30" t="inlineStr">
        <is>
          <t>Handheld</t>
        </is>
      </c>
      <c r="D170" s="324" t="n">
        <v>73.85666666666667</v>
      </c>
      <c r="E170" s="53" t="n">
        <v>2896.58</v>
      </c>
      <c r="F170" s="54" t="n">
        <v>221.57</v>
      </c>
      <c r="G170" s="55" t="n">
        <v>44</v>
      </c>
      <c r="H170" s="55" t="n">
        <v>3</v>
      </c>
      <c r="I170" s="55" t="n">
        <v>19</v>
      </c>
      <c r="J170" s="56" t="n">
        <v>4.1</v>
      </c>
      <c r="K170" s="56" t="inlineStr">
        <is>
          <t>https://amazon.com/dp/B0C4KTVRW8</t>
        </is>
      </c>
      <c r="L170" s="70">
        <f>HYPERLINK(Table3155[[#This Row],[Column1]])</f>
        <v/>
      </c>
    </row>
    <row r="171" ht="30" customHeight="1" s="290">
      <c r="A171" s="30" t="inlineStr">
        <is>
          <t>iCarsoft MT V6 for Suzuki Motorcycle Bidirectional Diagnostic Tool Full System Scan Code Reader with 9 Reset/12 Active Test, Motorbike &amp; Car OBD2 Scanner/Live Data/Battery Test/AutoVIN</t>
        </is>
      </c>
      <c r="B171" s="30" t="inlineStr">
        <is>
          <t>B0F6D3JTPH</t>
        </is>
      </c>
      <c r="C171" s="30" t="inlineStr">
        <is>
          <t>Handheld</t>
        </is>
      </c>
      <c r="D171" s="324" t="n">
        <v>203.79</v>
      </c>
      <c r="E171" s="53" t="n">
        <v>2323.611538461539</v>
      </c>
      <c r="F171" s="54" t="n">
        <v>203.79</v>
      </c>
      <c r="G171" s="55" t="n">
        <v>7</v>
      </c>
      <c r="H171" s="55" t="n">
        <v>1</v>
      </c>
      <c r="I171" s="55" t="n">
        <v>2</v>
      </c>
      <c r="J171" s="56" t="n">
        <v>3</v>
      </c>
      <c r="K171" s="56" t="inlineStr">
        <is>
          <t>https://amazon.com/dp/B0F6D3JTPH</t>
        </is>
      </c>
      <c r="L171" s="70">
        <f>HYPERLINK(Table3155[[#This Row],[Column1]])</f>
        <v/>
      </c>
    </row>
    <row r="172" ht="30" customHeight="1" s="290">
      <c r="A172" s="30" t="inlineStr">
        <is>
          <t>Bidirectional Diagnostic Tool for BMW/Rolls-Royce, iCarsoft BMM V3.0(Enhanced VER) Full Resets/Battery Registration/ECU Coding All System OBD2 Scanner Code Reader with 16PIN+20PIN Diagnostic Adapters</t>
        </is>
      </c>
      <c r="B172" s="30" t="inlineStr">
        <is>
          <t>B0F6TNGTWY</t>
        </is>
      </c>
      <c r="C172" s="30" t="inlineStr">
        <is>
          <t>Tablet</t>
        </is>
      </c>
      <c r="D172" s="324" t="n">
        <v>181.84</v>
      </c>
      <c r="E172" s="53" t="n">
        <v>5277.473846153845</v>
      </c>
      <c r="F172" s="54" t="n">
        <v>181.84</v>
      </c>
      <c r="G172" s="55" t="n">
        <v>22</v>
      </c>
      <c r="H172" s="55" t="n">
        <v>1</v>
      </c>
      <c r="I172" s="55" t="n">
        <v>10</v>
      </c>
      <c r="J172" s="56" t="n">
        <v>4.3</v>
      </c>
      <c r="K172" s="56" t="inlineStr">
        <is>
          <t>https://amazon.com/dp/B0F6TNGTWY</t>
        </is>
      </c>
      <c r="L172" s="70">
        <f>HYPERLINK(Table3155[[#This Row],[Column1]])</f>
        <v/>
      </c>
    </row>
    <row r="173" ht="30" customHeight="1" s="290">
      <c r="A173" s="30" t="inlineStr">
        <is>
          <t>iCarsoft JP V2.0 Diagnostic Tool for Daewoo/Toyota/Honda/Mitsubishi/Suzuki/Mazda/Hyundai, Full System OBD2 Scanner with 9 Service Function, Oil/EPB/BMS/ETC/SAS/BLD/INJ/TPMS/DPfilter</t>
        </is>
      </c>
      <c r="B173" s="30" t="inlineStr">
        <is>
          <t>B0FL7VL8N2</t>
        </is>
      </c>
      <c r="C173" s="30" t="inlineStr">
        <is>
          <t>Tablet</t>
        </is>
      </c>
      <c r="D173" s="324" t="n">
        <v>169.96</v>
      </c>
      <c r="E173" s="53" t="n">
        <v>6416.756923076926</v>
      </c>
      <c r="F173" s="54" t="n">
        <v>169.96</v>
      </c>
      <c r="G173" s="55" t="n">
        <v>32</v>
      </c>
      <c r="H173" s="55" t="n">
        <v>1</v>
      </c>
      <c r="I173" s="55" t="n"/>
      <c r="J173" s="56" t="n"/>
      <c r="K173" s="56" t="inlineStr">
        <is>
          <t>https://amazon.com/dp/B0FL7VL8N2</t>
        </is>
      </c>
      <c r="L173" s="70">
        <f>HYPERLINK(Table3155[[#This Row],[Column1]])</f>
        <v/>
      </c>
    </row>
    <row r="174" ht="30" customHeight="1" s="290">
      <c r="A174" s="30" t="inlineStr">
        <is>
          <t>iCarsoft CR Pro Enhanced Version OBD2 Scanner Diagnostic Tool, 15 Special Service All System Car Scan Tool Battery Test Live Data Graph Fault Code Reader</t>
        </is>
      </c>
      <c r="B174" s="30" t="inlineStr">
        <is>
          <t>B0F6CC4RWB</t>
        </is>
      </c>
      <c r="C174" s="30" t="inlineStr">
        <is>
          <t>Tablet</t>
        </is>
      </c>
      <c r="D174" s="324" t="n">
        <v>158.61</v>
      </c>
      <c r="E174" s="53" t="n">
        <v>1124.116923076923</v>
      </c>
      <c r="F174" s="54" t="n">
        <v>158.61</v>
      </c>
      <c r="G174" s="55" t="n">
        <v>3</v>
      </c>
      <c r="H174" s="55" t="n">
        <v>1</v>
      </c>
      <c r="I174" s="55" t="n">
        <v>38</v>
      </c>
      <c r="J174" s="56" t="n">
        <v>3.7</v>
      </c>
      <c r="K174" s="56" t="inlineStr">
        <is>
          <t>https://amazon.com/dp/B0F6CC4RWB</t>
        </is>
      </c>
      <c r="L174" s="70">
        <f>HYPERLINK(Table3155[[#This Row],[Column1]])</f>
        <v/>
      </c>
    </row>
    <row r="175" ht="45" customHeight="1" s="290">
      <c r="A175" s="30" t="inlineStr">
        <is>
          <t>Auto Diagnostic Scanner iCarsoft POR V1.0 for Porsche with Airbag Scan,Oil Service Reset, SAS Reset ect</t>
        </is>
      </c>
      <c r="B175" s="30" t="inlineStr">
        <is>
          <t>B07F3918N7</t>
        </is>
      </c>
      <c r="C175" s="30" t="inlineStr">
        <is>
          <t>Handheld</t>
        </is>
      </c>
      <c r="D175" s="324" t="n">
        <v>157.56</v>
      </c>
      <c r="E175" s="53" t="n">
        <v>9695.65</v>
      </c>
      <c r="F175" s="54" t="n">
        <v>157.56</v>
      </c>
      <c r="G175" s="55" t="n">
        <v>91</v>
      </c>
      <c r="H175" s="55" t="n">
        <v>1</v>
      </c>
      <c r="I175" s="55" t="n">
        <v>120</v>
      </c>
      <c r="J175" s="56" t="n">
        <v>4.2</v>
      </c>
      <c r="K175" s="56" t="inlineStr">
        <is>
          <t>https://amazon.com/dp/B07F3918N7</t>
        </is>
      </c>
      <c r="L175" s="70">
        <f>HYPERLINK(Table3155[[#This Row],[Column1]])</f>
        <v/>
      </c>
    </row>
    <row r="176" ht="45" customHeight="1" s="290">
      <c r="A176" s="30" t="inlineStr">
        <is>
          <t>iCarsoft OBD2 Scanner Diagnostic Tool MB II with Oil/ABS Bleeding/SAS Reset, Full OBDII Modes Full Systems Car Code Reader with Battery Test, Live Data, Full ODB2 Scan Tool, Lifetime Free Updates</t>
        </is>
      </c>
      <c r="B176" s="30" t="inlineStr">
        <is>
          <t>B0DZ2MPR83</t>
        </is>
      </c>
      <c r="C176" s="30" t="inlineStr">
        <is>
          <t>Tablet</t>
        </is>
      </c>
      <c r="D176" s="324" t="n">
        <v>149.94</v>
      </c>
      <c r="E176" s="53" t="n">
        <v>1545.515384615384</v>
      </c>
      <c r="F176" s="54" t="n">
        <v>149.94</v>
      </c>
      <c r="G176" s="55" t="n">
        <v>2</v>
      </c>
      <c r="H176" s="55" t="n">
        <v>1</v>
      </c>
      <c r="I176" s="55" t="n"/>
      <c r="J176" s="56" t="n"/>
      <c r="K176" s="56" t="inlineStr">
        <is>
          <t>https://amazon.com/dp/B0DZ2MPR83</t>
        </is>
      </c>
      <c r="L176" s="70">
        <f>HYPERLINK(Table3155[[#This Row],[Column1]])</f>
        <v/>
      </c>
    </row>
    <row r="177" ht="45" customHeight="1" s="290">
      <c r="A177" s="30" t="inlineStr">
        <is>
          <t>ICarsoft i980 OBD2 Scanner for Ben.z/Sprinter/Smart, ALL System Steering Angle Reset/Oil Reset Car Diagnostic Tool Car Code Reader- Battery Test/Live Data</t>
        </is>
      </c>
      <c r="B177" s="30" t="inlineStr">
        <is>
          <t>B0F62S9ZR5</t>
        </is>
      </c>
      <c r="C177" s="30" t="inlineStr">
        <is>
          <t>Handheld</t>
        </is>
      </c>
      <c r="D177" s="324" t="n">
        <v>145.37</v>
      </c>
      <c r="E177" s="53" t="n">
        <v>1487.246923076923</v>
      </c>
      <c r="F177" s="54" t="n">
        <v>145.37</v>
      </c>
      <c r="G177" s="55" t="n">
        <v>1</v>
      </c>
      <c r="H177" s="55" t="n">
        <v>1</v>
      </c>
      <c r="I177" s="55" t="n"/>
      <c r="J177" s="56" t="n"/>
      <c r="K177" s="56" t="inlineStr">
        <is>
          <t>https://amazon.com/dp/B0F62S9ZR5</t>
        </is>
      </c>
      <c r="L177" s="70">
        <f>HYPERLINK(Table3155[[#This Row],[Column1]])</f>
        <v/>
      </c>
    </row>
    <row r="178" ht="30" customHeight="1" s="290">
      <c r="A178" s="30" t="inlineStr">
        <is>
          <t>iCarsoft VAWS V1.0 OBD2 Scanner Full Systems Diagnostic Tool for VW/Audi/Skoda, Vehicle Code Reader with Oil Reset/SAS Reset, Automotive OBD II Scanner Fault Diagnosis with Live Data Battery Test</t>
        </is>
      </c>
      <c r="B178" s="30" t="inlineStr">
        <is>
          <t>B0FP1CTGPH</t>
        </is>
      </c>
      <c r="C178" s="30" t="inlineStr">
        <is>
          <t>Handheld</t>
        </is>
      </c>
      <c r="D178" s="324" t="n">
        <v>129.94</v>
      </c>
      <c r="E178" s="53" t="n">
        <v>1209.441538461539</v>
      </c>
      <c r="F178" s="54" t="n">
        <v>129.94</v>
      </c>
      <c r="G178" s="55" t="n">
        <v>1</v>
      </c>
      <c r="H178" s="55" t="n">
        <v>1</v>
      </c>
      <c r="I178" s="55" t="n"/>
      <c r="J178" s="56" t="n"/>
      <c r="K178" s="56" t="inlineStr">
        <is>
          <t>https://amazon.com/dp/B0FP1CTGPH</t>
        </is>
      </c>
      <c r="L178" s="70">
        <f>HYPERLINK(Table3155[[#This Row],[Column1]])</f>
        <v/>
      </c>
    </row>
    <row r="179" ht="30" customHeight="1" s="290">
      <c r="A179" s="30" t="inlineStr">
        <is>
          <t>iCarsoft OBD2 Scanner for Ford/Holden, FD V1.0 All System in-Depth Diagnostic Scan Tool, Oil/SAS Reset/Live Data, ABS Airbag Engine Transmission Code Reader OBD2/EOBD/CAN Scan Tool</t>
        </is>
      </c>
      <c r="B179" s="30" t="inlineStr">
        <is>
          <t>B0DMNZN2MZ</t>
        </is>
      </c>
      <c r="C179" s="30" t="inlineStr">
        <is>
          <t>Handheld</t>
        </is>
      </c>
      <c r="D179" s="324" t="n">
        <v>129.91</v>
      </c>
      <c r="E179" s="53" t="n">
        <v>2488.99</v>
      </c>
      <c r="F179" s="54" t="n">
        <v>129.91</v>
      </c>
      <c r="G179" s="55" t="n">
        <v>20</v>
      </c>
      <c r="H179" s="55" t="n">
        <v>1</v>
      </c>
      <c r="I179" s="55" t="n">
        <v>42</v>
      </c>
      <c r="J179" s="56" t="n">
        <v>3.8</v>
      </c>
      <c r="K179" s="56" t="inlineStr">
        <is>
          <t>https://amazon.com/dp/B0DMNZN2MZ</t>
        </is>
      </c>
      <c r="L179" s="70">
        <f>HYPERLINK(Table3155[[#This Row],[Column1]])</f>
        <v/>
      </c>
    </row>
    <row r="180" ht="45" customHeight="1" s="290">
      <c r="A180" s="30" t="inlineStr">
        <is>
          <t>iCarsoft VDSP2000 USB Videoscope, 0.21'' Camera Len, Waterproof HD Borescope Inspection Camera, 39.37'',LED Light, Industrial HD Endoscope Work with CR Ultra,CR Unicorn,CR Unicorn S, CR MAX, CR MAX BT</t>
        </is>
      </c>
      <c r="B180" s="30" t="inlineStr">
        <is>
          <t>B0FRD886R8</t>
        </is>
      </c>
      <c r="C180" s="30" t="inlineStr">
        <is>
          <t>Other</t>
        </is>
      </c>
      <c r="D180" s="324" t="n">
        <v>43.22</v>
      </c>
      <c r="E180" s="53" t="n">
        <v>1954.109230769232</v>
      </c>
      <c r="F180" s="54" t="n">
        <v>129.66</v>
      </c>
      <c r="G180" s="55" t="n">
        <v>22</v>
      </c>
      <c r="H180" s="55" t="n">
        <v>3</v>
      </c>
      <c r="I180" s="55" t="n"/>
      <c r="J180" s="56" t="n"/>
      <c r="K180" s="56" t="inlineStr">
        <is>
          <t>https://amazon.com/dp/B0FRD886R8</t>
        </is>
      </c>
      <c r="L180" s="70">
        <f>HYPERLINK(Table3155[[#This Row],[Column1]])</f>
        <v/>
      </c>
    </row>
    <row r="181" ht="30" customHeight="1" s="290">
      <c r="A181" s="30" t="inlineStr">
        <is>
          <t>iCarsoft Original OBD2 Main Test Cable, 16 Pin OBDII Diagnostic Test Cable, Work with iCarsoft Scanner</t>
        </is>
      </c>
      <c r="B181" s="30" t="inlineStr">
        <is>
          <t>B0G7QSH2LS</t>
        </is>
      </c>
      <c r="C181" s="30" t="inlineStr">
        <is>
          <t>Handheld</t>
        </is>
      </c>
      <c r="D181" s="324" t="n">
        <v>42.12</v>
      </c>
      <c r="E181" s="53" t="n">
        <v>1462.25</v>
      </c>
      <c r="F181" s="54" t="n">
        <v>126.36</v>
      </c>
      <c r="G181" s="55" t="n">
        <v>8</v>
      </c>
      <c r="H181" s="55" t="n">
        <v>3</v>
      </c>
      <c r="I181" s="55" t="n"/>
      <c r="J181" s="56" t="n"/>
      <c r="K181" s="56" t="inlineStr">
        <is>
          <t>https://amazon.com/dp/B0G7QSH2LS</t>
        </is>
      </c>
      <c r="L181" s="70">
        <f>HYPERLINK(Table3155[[#This Row],[Column1]])</f>
        <v/>
      </c>
    </row>
    <row r="182" ht="30" customHeight="1" s="290">
      <c r="A182" s="30" t="inlineStr">
        <is>
          <t>iCarsoft Professional Multi-System OBD II Scanner VAWS V1.0 with Oil Service Reset for Audi/VW/Seat/Skoda (red)</t>
        </is>
      </c>
      <c r="B182" s="30" t="inlineStr">
        <is>
          <t>B07B8NP6DL</t>
        </is>
      </c>
      <c r="C182" s="30" t="inlineStr">
        <is>
          <t>Handheld</t>
        </is>
      </c>
      <c r="D182" s="324" t="n">
        <v>99.93000000000001</v>
      </c>
      <c r="E182" s="53" t="n">
        <v>2162.2</v>
      </c>
      <c r="F182" s="54" t="n">
        <v>99.93000000000001</v>
      </c>
      <c r="G182" s="55" t="n">
        <v>21</v>
      </c>
      <c r="H182" s="55" t="n">
        <v>1</v>
      </c>
      <c r="I182" s="55" t="n">
        <v>3</v>
      </c>
      <c r="J182" s="56" t="n">
        <v>5</v>
      </c>
      <c r="K182" s="56" t="inlineStr">
        <is>
          <t>https://amazon.com/dp/B07B8NP6DL</t>
        </is>
      </c>
      <c r="L182" s="70">
        <f>HYPERLINK(Table3155[[#This Row],[Column1]])</f>
        <v/>
      </c>
    </row>
    <row r="183" ht="60" customHeight="1" s="290">
      <c r="A183" s="30" t="inlineStr">
        <is>
          <t>iCarsoft 14-Pin OBDII Diagnostic Cable Adapter for Sprinter - 14 Pin to 16 Pin Connector, Car Male to Female OBD2 Cord</t>
        </is>
      </c>
      <c r="B183" s="30" t="inlineStr">
        <is>
          <t>B0DRYV74PS</t>
        </is>
      </c>
      <c r="C183" s="30" t="inlineStr">
        <is>
          <t>Cable/Adapter</t>
        </is>
      </c>
      <c r="D183" s="324" t="n">
        <v>18.38333333333333</v>
      </c>
      <c r="E183" s="53" t="n">
        <v>685.2061538461537</v>
      </c>
      <c r="F183" s="54" t="n">
        <v>55.15</v>
      </c>
      <c r="G183" s="55" t="n">
        <v>19</v>
      </c>
      <c r="H183" s="55" t="n">
        <v>3</v>
      </c>
      <c r="I183" s="55" t="n"/>
      <c r="J183" s="56" t="n"/>
      <c r="K183" s="56" t="inlineStr">
        <is>
          <t>https://amazon.com/dp/B0DRYV74PS</t>
        </is>
      </c>
      <c r="L183" s="70">
        <f>HYPERLINK(Table3155[[#This Row],[Column1]])</f>
        <v/>
      </c>
    </row>
    <row r="184" ht="30" customHeight="1" s="290">
      <c r="A184" s="30" t="inlineStr">
        <is>
          <t>iCarsoft i800 Obdii/Eobd and Can Engine Fault Code Scanner New Version</t>
        </is>
      </c>
      <c r="B184" s="30" t="inlineStr">
        <is>
          <t>B01N3616JH</t>
        </is>
      </c>
      <c r="C184" s="30" t="inlineStr">
        <is>
          <t>Handheld</t>
        </is>
      </c>
      <c r="D184" s="324" t="n">
        <v>46.95</v>
      </c>
      <c r="E184" s="53" t="n">
        <v>0</v>
      </c>
      <c r="F184" s="54" t="n">
        <v>0</v>
      </c>
      <c r="G184" s="55" t="n">
        <v>0</v>
      </c>
      <c r="H184" s="55" t="n">
        <v>0</v>
      </c>
      <c r="I184" s="55" t="n">
        <v>3</v>
      </c>
      <c r="J184" s="56" t="n">
        <v>3.5</v>
      </c>
      <c r="K184" s="56" t="inlineStr">
        <is>
          <t>https://amazon.com/dp/B01N3616JH</t>
        </is>
      </c>
      <c r="L184" s="70">
        <f>HYPERLINK(Table3155[[#This Row],[Column1]])</f>
        <v/>
      </c>
    </row>
    <row r="185" ht="45" customHeight="1" s="290">
      <c r="A185" s="30" t="inlineStr">
        <is>
          <t>iCarsoft i900 OBD2 Scanner for US Brand Vehicles, All System in-Depth Diagnostic Scan Tool for Ford/Jeep/Chevrolet/Cadillac, Oil Reset/Steering Angle Reset, Live Data OBDII Engine Code Reader</t>
        </is>
      </c>
      <c r="B185" s="30" t="inlineStr">
        <is>
          <t>B0F62YNX9J</t>
        </is>
      </c>
      <c r="C185" s="30" t="inlineStr">
        <is>
          <t>Tablet</t>
        </is>
      </c>
      <c r="D185" s="324" t="n">
        <v>109</v>
      </c>
      <c r="E185" s="53" t="n">
        <v>633.9300000000001</v>
      </c>
      <c r="F185" s="54" t="n">
        <v>0</v>
      </c>
      <c r="G185" s="55" t="n">
        <v>5</v>
      </c>
      <c r="H185" s="55" t="n">
        <v>0</v>
      </c>
      <c r="I185" s="55" t="n"/>
      <c r="J185" s="56" t="n"/>
      <c r="K185" s="56" t="inlineStr">
        <is>
          <t>https://amazon.com/dp/B0F62YNX9J</t>
        </is>
      </c>
      <c r="L185" s="70">
        <f>HYPERLINK(Table3155[[#This Row],[Column1]])</f>
        <v/>
      </c>
    </row>
    <row r="186" ht="30" customHeight="1" s="290">
      <c r="A186" s="30" t="inlineStr">
        <is>
          <t>iCarsoft CR Ultra Advanced Automotive Diagnostic Tool</t>
        </is>
      </c>
      <c r="B186" s="30" t="inlineStr">
        <is>
          <t>B097RKCJSN</t>
        </is>
      </c>
      <c r="C186" s="30" t="inlineStr">
        <is>
          <t>Tablet</t>
        </is>
      </c>
      <c r="D186" s="324" t="n">
        <v>1150</v>
      </c>
      <c r="E186" s="53" t="n">
        <v>0</v>
      </c>
      <c r="F186" s="54" t="n">
        <v>0</v>
      </c>
      <c r="G186" s="55" t="n">
        <v>0</v>
      </c>
      <c r="H186" s="55" t="n">
        <v>0</v>
      </c>
      <c r="I186" s="55" t="n">
        <v>4</v>
      </c>
      <c r="J186" s="56" t="n">
        <v>3.5</v>
      </c>
      <c r="K186" s="56" t="inlineStr">
        <is>
          <t>https://amazon.com/dp/B097RKCJSN</t>
        </is>
      </c>
      <c r="L186" s="70">
        <f>HYPERLINK(Table3155[[#This Row],[Column1]])</f>
        <v/>
      </c>
    </row>
    <row r="187" ht="60" customHeight="1" s="290">
      <c r="A187" s="30" t="inlineStr">
        <is>
          <t>Bidirectional Scan Tool iCarsoft CR MAX OBD2 Scanner Diagnostic Tool with CAN FD, 49 Reset, Active Test for Cooling Fan/MIL/ABS Pump, Full Systems Code Reader, 4-in-1 Graphic Live Data</t>
        </is>
      </c>
      <c r="B187" s="30" t="inlineStr">
        <is>
          <t>B0DXVLF1WX</t>
        </is>
      </c>
      <c r="C187" s="30" t="inlineStr">
        <is>
          <t>Tablet</t>
        </is>
      </c>
      <c r="D187" s="324" t="n">
        <v>369.95</v>
      </c>
      <c r="E187" s="53" t="n">
        <v>726.28</v>
      </c>
      <c r="F187" s="54" t="n">
        <v>0</v>
      </c>
      <c r="G187" s="55" t="n">
        <v>2</v>
      </c>
      <c r="H187" s="55" t="n">
        <v>0</v>
      </c>
      <c r="I187" s="55" t="n"/>
      <c r="J187" s="56" t="n"/>
      <c r="K187" s="56" t="inlineStr">
        <is>
          <t>https://amazon.com/dp/B0DXVLF1WX</t>
        </is>
      </c>
      <c r="L187" s="70">
        <f>HYPERLINK(Table3155[[#This Row],[Column1]])</f>
        <v/>
      </c>
    </row>
    <row r="188" ht="45" customHeight="1" s="290">
      <c r="A188" s="30" t="inlineStr">
        <is>
          <t>iCarsoft CR Elite P 4 Systems OBD2 Scanner Diagnostic Tool, Bidirectional Scan Tool with 49+ Reset,ABS SRS Engine Transmission Car Code Reader/CAN FD/Battery Test/4 in 1 Live Data/Lifetime Free Update</t>
        </is>
      </c>
      <c r="B188" s="30" t="inlineStr">
        <is>
          <t>B0FS7FY2RN</t>
        </is>
      </c>
      <c r="C188" s="30" t="inlineStr">
        <is>
          <t>Tablet</t>
        </is>
      </c>
      <c r="D188" s="324" t="n">
        <v>319.99</v>
      </c>
      <c r="E188" s="53" t="n">
        <v>1690.92</v>
      </c>
      <c r="F188" s="54" t="n">
        <v>0</v>
      </c>
      <c r="G188" s="55" t="n">
        <v>5</v>
      </c>
      <c r="H188" s="55" t="n">
        <v>0</v>
      </c>
      <c r="I188" s="55" t="n"/>
      <c r="J188" s="56" t="n"/>
      <c r="K188" s="56" t="inlineStr">
        <is>
          <t>https://amazon.com/dp/B0FS7FY2RN</t>
        </is>
      </c>
      <c r="L188" s="70">
        <f>HYPERLINK(Table3155[[#This Row],[Column1]])</f>
        <v/>
      </c>
    </row>
    <row r="189" ht="30" customHeight="1" s="290">
      <c r="A189" s="30" t="inlineStr">
        <is>
          <t>iCarsoft MT V6 Motorcycle OBD2 Scanner for Aprilia, Full-System Motorcycle Bidirectional Diagnostic Tool with 88 Resets &amp; 122 Active Test, Battery Test, 2 in 1 Motor Scan Tool+Car OBD2 Diagnostics</t>
        </is>
      </c>
      <c r="B189" s="30" t="inlineStr">
        <is>
          <t>B0G6D72SDY</t>
        </is>
      </c>
      <c r="C189" s="30" t="inlineStr">
        <is>
          <t>Tablet</t>
        </is>
      </c>
      <c r="D189" s="324" t="n">
        <v>199.99</v>
      </c>
      <c r="E189" s="53" t="n">
        <v>0</v>
      </c>
      <c r="F189" s="54" t="n">
        <v>0</v>
      </c>
      <c r="G189" s="55" t="n">
        <v>0</v>
      </c>
      <c r="H189" s="55" t="n">
        <v>0</v>
      </c>
      <c r="I189" s="55" t="n"/>
      <c r="J189" s="56" t="n"/>
      <c r="K189" s="56" t="inlineStr">
        <is>
          <t>https://amazon.com/dp/B0G6D72SDY</t>
        </is>
      </c>
      <c r="L189" s="70">
        <f>HYPERLINK(Table3155[[#This Row],[Column1]])</f>
        <v/>
      </c>
    </row>
    <row r="190" ht="45" customHeight="1" s="290">
      <c r="A190" s="30" t="inlineStr">
        <is>
          <t>OBD2 Scanner iCarsoft CR V2.0 Diagnostic Tool with 8 Resets ABS Bleeding/SAS Calibration/Oil/EPB/ETC Reset, Full Systems Code Reader Scan Tools, ABS SRS Engine Transmission Battery Test Car Scanner</t>
        </is>
      </c>
      <c r="B190" s="30" t="inlineStr">
        <is>
          <t>B0DXW2B99V</t>
        </is>
      </c>
      <c r="C190" s="30" t="inlineStr">
        <is>
          <t>Tablet</t>
        </is>
      </c>
      <c r="D190" s="324" t="n">
        <v>189.95</v>
      </c>
      <c r="E190" s="53" t="n">
        <v>379.86</v>
      </c>
      <c r="F190" s="54" t="n">
        <v>0</v>
      </c>
      <c r="G190" s="55" t="n">
        <v>2</v>
      </c>
      <c r="H190" s="55" t="n">
        <v>0</v>
      </c>
      <c r="I190" s="55" t="n"/>
      <c r="J190" s="56" t="n"/>
      <c r="K190" s="56" t="inlineStr">
        <is>
          <t>https://amazon.com/dp/B0DXW2B99V</t>
        </is>
      </c>
      <c r="L190" s="70">
        <f>HYPERLINK(Table3155[[#This Row],[Column1]])</f>
        <v/>
      </c>
    </row>
    <row r="191" ht="30" customHeight="1" s="290">
      <c r="A191" s="30" t="inlineStr">
        <is>
          <t>iCarsoft Original OBD2 Adapter for Chrysler 12+8 Programming Cable Connector, Bypass Gateway Protocol Cable</t>
        </is>
      </c>
      <c r="B191" s="30" t="inlineStr">
        <is>
          <t>B0FHJB2BFZ</t>
        </is>
      </c>
      <c r="C191" s="30" t="inlineStr">
        <is>
          <t>Cable/Adapter</t>
        </is>
      </c>
      <c r="D191" s="324" t="n">
        <v>69.98999999999999</v>
      </c>
      <c r="E191" s="53" t="n">
        <v>0</v>
      </c>
      <c r="F191" s="54" t="n">
        <v>0</v>
      </c>
      <c r="G191" s="55" t="n">
        <v>0</v>
      </c>
      <c r="H191" s="55" t="n">
        <v>0</v>
      </c>
      <c r="I191" s="55" t="n"/>
      <c r="J191" s="56" t="n"/>
      <c r="K191" s="56" t="inlineStr">
        <is>
          <t>https://amazon.com/dp/B0FHJB2BFZ</t>
        </is>
      </c>
      <c r="L191" s="70">
        <f>HYPERLINK(Table3155[[#This Row],[Column1]])</f>
        <v/>
      </c>
    </row>
    <row r="192" ht="30" customHeight="1" s="290">
      <c r="A192" s="30" t="inlineStr">
        <is>
          <t>iCarsoft All Systems OBDII Scan Tool for Toyota/Corolla/Nissan/Honda/Hyundai/Kia, TYT V1.0 (2025) Oil Reset + SAS Calibration Services for Japanese/Korean Cars Auto VIN/Scan, Lifetime Free Update</t>
        </is>
      </c>
      <c r="B192" s="30" t="inlineStr">
        <is>
          <t>B0F43R9NHW</t>
        </is>
      </c>
      <c r="C192" s="30" t="inlineStr">
        <is>
          <t>Tablet</t>
        </is>
      </c>
      <c r="D192" s="324" t="n">
        <v>109.99</v>
      </c>
      <c r="E192" s="53" t="n">
        <v>1405.9</v>
      </c>
      <c r="F192" s="54" t="n">
        <v>0</v>
      </c>
      <c r="G192" s="55" t="n">
        <v>12</v>
      </c>
      <c r="H192" s="55" t="n">
        <v>0</v>
      </c>
      <c r="I192" s="55" t="n">
        <v>4</v>
      </c>
      <c r="J192" s="56" t="n">
        <v>3.8</v>
      </c>
      <c r="K192" s="56" t="inlineStr">
        <is>
          <t>https://amazon.com/dp/B0F43R9NHW</t>
        </is>
      </c>
      <c r="L192" s="70">
        <f>HYPERLINK(Table3155[[#This Row],[Column1]])</f>
        <v/>
      </c>
    </row>
    <row r="193" ht="45" customHeight="1" s="290">
      <c r="A193" s="30" t="inlineStr">
        <is>
          <t>iCarsoft CR V2.0 Full Systems OBD2 Scanner Diagnostic Tool with 9 Reset, Allow to Diagnose 10 Car Brands, Live Data/Battery Test/BMS Reset/Auto VIN/Scanner for Car, Lifetime Free Update</t>
        </is>
      </c>
      <c r="B193" s="30" t="inlineStr">
        <is>
          <t>B0G4GHLSFB</t>
        </is>
      </c>
      <c r="C193" s="30" t="inlineStr">
        <is>
          <t>Tablet</t>
        </is>
      </c>
      <c r="D193" s="324" t="n">
        <v>219.99</v>
      </c>
      <c r="E193" s="53" t="n">
        <v>219.96</v>
      </c>
      <c r="F193" s="54" t="n">
        <v>0</v>
      </c>
      <c r="G193" s="55" t="n">
        <v>1</v>
      </c>
      <c r="H193" s="55" t="n">
        <v>0</v>
      </c>
      <c r="I193" s="55" t="n"/>
      <c r="J193" s="56" t="n"/>
      <c r="K193" s="56" t="inlineStr">
        <is>
          <t>https://amazon.com/dp/B0G4GHLSFB</t>
        </is>
      </c>
      <c r="L193" s="70">
        <f>HYPERLINK(Table3155[[#This Row],[Column1]])</f>
        <v/>
      </c>
    </row>
    <row r="194" ht="45" customHeight="1" s="290">
      <c r="A194" s="30" t="inlineStr">
        <is>
          <t>iCarsoft OBD2 Scanner for Porsche/BMW/Mini, POR V2.0 Enhanced Version 2-IN-1 In-depth Diagnostic Tool 9 Reset, Full Systems Car Code Reader OIL/TPMS/BMS/EPB/BLD/SAS/DP- F/ETC/INJ/Auto VIN Battery Test</t>
        </is>
      </c>
      <c r="B194" s="30" t="inlineStr">
        <is>
          <t>B0DWXPMVKC</t>
        </is>
      </c>
      <c r="C194" s="30" t="inlineStr">
        <is>
          <t>Tablet</t>
        </is>
      </c>
      <c r="D194" s="324" t="n">
        <v>189.99</v>
      </c>
      <c r="E194" s="53" t="n">
        <v>427.41</v>
      </c>
      <c r="F194" s="54" t="n">
        <v>0</v>
      </c>
      <c r="G194" s="55" t="n">
        <v>2</v>
      </c>
      <c r="H194" s="55" t="n">
        <v>0</v>
      </c>
      <c r="I194" s="55" t="n"/>
      <c r="J194" s="56" t="n"/>
      <c r="K194" s="56" t="inlineStr">
        <is>
          <t>https://amazon.com/dp/B0DWXPMVKC</t>
        </is>
      </c>
      <c r="L194" s="70">
        <f>HYPERLINK(Table3155[[#This Row],[Column1]])</f>
        <v/>
      </c>
    </row>
    <row r="195" ht="45" customHeight="1" s="290">
      <c r="A195" s="30" t="inlineStr">
        <is>
          <t>iCarsoft Auto Diagnostic Scanner BCC V1.0 for Chrysler/Jeep/GM (Chevrolet/Buick/Cadillac/GMC),Oil Service Reset, SAS Reset ect</t>
        </is>
      </c>
      <c r="B195" s="30" t="inlineStr">
        <is>
          <t>B07L1LWR85</t>
        </is>
      </c>
      <c r="C195" s="30" t="inlineStr">
        <is>
          <t>Handheld</t>
        </is>
      </c>
      <c r="D195" s="324" t="n">
        <v>85.17</v>
      </c>
      <c r="E195" s="53" t="n">
        <v>0</v>
      </c>
      <c r="F195" s="54" t="n">
        <v>0</v>
      </c>
      <c r="G195" s="55" t="n">
        <v>0</v>
      </c>
      <c r="H195" s="55" t="n">
        <v>0</v>
      </c>
      <c r="I195" s="55" t="n">
        <v>1</v>
      </c>
      <c r="J195" s="56" t="n">
        <v>5</v>
      </c>
      <c r="K195" s="56" t="inlineStr">
        <is>
          <t>https://amazon.com/dp/B07L1LWR85</t>
        </is>
      </c>
      <c r="L195" s="70">
        <f>HYPERLINK(Table3155[[#This Row],[Column1]])</f>
        <v/>
      </c>
    </row>
    <row r="196" ht="45" customHeight="1" s="290">
      <c r="A196" s="30" t="inlineStr">
        <is>
          <t>iCarsoft OBD2 Scanner CR Plus(New Ver) Diagnostic Tool for Engine ABS Transmission Airbag-Oil Reset/EPB/BMS/ETC/Steering Angle/DP Filter/ABS Bleeding/Injector Coding/TPMS,Battery Registration</t>
        </is>
      </c>
      <c r="B196" s="30" t="inlineStr">
        <is>
          <t>B0FQHTKTVB</t>
        </is>
      </c>
      <c r="C196" s="30" t="inlineStr">
        <is>
          <t>Tablet</t>
        </is>
      </c>
      <c r="D196" s="324" t="n">
        <v>209.99</v>
      </c>
      <c r="E196" s="53" t="n">
        <v>399.95</v>
      </c>
      <c r="F196" s="54" t="n">
        <v>0</v>
      </c>
      <c r="G196" s="55" t="n">
        <v>1</v>
      </c>
      <c r="H196" s="55" t="n">
        <v>0</v>
      </c>
      <c r="I196" s="55" t="n"/>
      <c r="J196" s="56" t="n"/>
      <c r="K196" s="56" t="inlineStr">
        <is>
          <t>https://amazon.com/dp/B0FQHTKTVB</t>
        </is>
      </c>
      <c r="L196" s="70">
        <f>HYPERLINK(Table3155[[#This Row],[Column1]])</f>
        <v/>
      </c>
    </row>
    <row r="197" ht="45" customHeight="1" s="290">
      <c r="A197" s="30" t="inlineStr">
        <is>
          <t>iCarsoft OBD2 Scanner MB V2.0 Enhanced Ver 2 in 1 for Mercedes Benz/for Land Rover/for Jaguar, TPMS/Oil Reset Full Systems Diagnostic Tool 8 Resets Car Code Reader, Auto VIN,Battery Test, SAS/EPB/DP</t>
        </is>
      </c>
      <c r="B197" s="30" t="inlineStr">
        <is>
          <t>B0DZNX96YR</t>
        </is>
      </c>
      <c r="C197" s="30" t="inlineStr">
        <is>
          <t>Tablet</t>
        </is>
      </c>
      <c r="D197" s="324" t="n">
        <v>189.99</v>
      </c>
      <c r="E197" s="53" t="n">
        <v>1034.26</v>
      </c>
      <c r="F197" s="54" t="n">
        <v>0</v>
      </c>
      <c r="G197" s="55" t="n">
        <v>6</v>
      </c>
      <c r="H197" s="55" t="n">
        <v>0</v>
      </c>
      <c r="I197" s="55" t="n"/>
      <c r="J197" s="56" t="n"/>
      <c r="K197" s="56" t="inlineStr">
        <is>
          <t>https://amazon.com/dp/B0DZNX96YR</t>
        </is>
      </c>
      <c r="L197" s="70">
        <f>HYPERLINK(Table3155[[#This Row],[Column1]])</f>
        <v/>
      </c>
    </row>
    <row r="198" ht="60" customHeight="1" s="290">
      <c r="A198" s="30" t="inlineStr">
        <is>
          <t>iCarsoft OP V3.0 Pro Car Diagnostic Tool for Opel and Vauxhall</t>
        </is>
      </c>
      <c r="B198" s="30" t="inlineStr">
        <is>
          <t>B0B5MTBR9L</t>
        </is>
      </c>
      <c r="C198" s="30" t="inlineStr">
        <is>
          <t>Tablet</t>
        </is>
      </c>
      <c r="D198" s="324" t="n">
        <v>121.67</v>
      </c>
      <c r="E198" s="53" t="n">
        <v>0</v>
      </c>
      <c r="F198" s="54" t="n">
        <v>0</v>
      </c>
      <c r="G198" s="55" t="n">
        <v>0</v>
      </c>
      <c r="H198" s="55" t="n">
        <v>0</v>
      </c>
      <c r="I198" s="55" t="n">
        <v>664</v>
      </c>
      <c r="J198" s="56" t="n">
        <v>4.3</v>
      </c>
      <c r="K198" s="56" t="inlineStr">
        <is>
          <t>https://amazon.com/dp/B0B5MTBR9L</t>
        </is>
      </c>
      <c r="L198" s="70">
        <f>HYPERLINK(Table3155[[#This Row],[Column1]])</f>
        <v/>
      </c>
    </row>
    <row r="199" ht="45" customHeight="1" s="290">
      <c r="A199" s="30" t="inlineStr">
        <is>
          <t>iCarsoft LR V4.0 Bidirectional Diagnostic Scan Tool for Most Land Rover/Jaguar and Other 2 Car Makes from 1996-2023 All System OBD2 Scanner Up to 51 Service Live Data Code Reader AUTO VIN Free Update</t>
        </is>
      </c>
      <c r="B199" s="30" t="inlineStr">
        <is>
          <t>B0GC526PYX</t>
        </is>
      </c>
      <c r="C199" s="30" t="inlineStr">
        <is>
          <t>Handheld</t>
        </is>
      </c>
      <c r="D199" s="324" t="n">
        <v>254.16</v>
      </c>
      <c r="E199" s="53" t="n">
        <v>3752.4</v>
      </c>
      <c r="F199" s="54" t="n">
        <v>0</v>
      </c>
      <c r="G199" s="55" t="n">
        <v>14</v>
      </c>
      <c r="H199" s="55" t="n">
        <v>0</v>
      </c>
      <c r="I199" s="55" t="n"/>
      <c r="J199" s="56" t="n"/>
      <c r="K199" s="56" t="inlineStr">
        <is>
          <t>https://amazon.com/dp/B0GC526PYX</t>
        </is>
      </c>
      <c r="L199" s="70">
        <f>HYPERLINK(Table3155[[#This Row],[Column1]])</f>
        <v/>
      </c>
    </row>
    <row r="200" ht="30" customHeight="1" s="290">
      <c r="A200" s="30" t="inlineStr">
        <is>
          <t>iCarsoft PORV1.0 Code Reader OBD2 Scanner</t>
        </is>
      </c>
      <c r="B200" s="30" t="inlineStr">
        <is>
          <t>B0D9LVQGR7</t>
        </is>
      </c>
      <c r="C200" s="30" t="inlineStr">
        <is>
          <t>Tablet</t>
        </is>
      </c>
      <c r="D200" s="324" t="n">
        <v>119.95</v>
      </c>
      <c r="E200" s="53" t="n">
        <v>0</v>
      </c>
      <c r="F200" s="54" t="n">
        <v>0</v>
      </c>
      <c r="G200" s="55" t="n">
        <v>0</v>
      </c>
      <c r="H200" s="55" t="n">
        <v>0</v>
      </c>
      <c r="I200" s="55" t="n">
        <v>66</v>
      </c>
      <c r="J200" s="56" t="n">
        <v>4.2</v>
      </c>
      <c r="K200" s="56" t="inlineStr">
        <is>
          <t>https://amazon.com/dp/B0D9LVQGR7</t>
        </is>
      </c>
      <c r="L200" s="70">
        <f>HYPERLINK(Table3155[[#This Row],[Column1]])</f>
        <v/>
      </c>
    </row>
    <row r="201" ht="45" customHeight="1" s="290">
      <c r="A201" s="30" t="inlineStr">
        <is>
          <t>iCarsoft CR MAX Professional Multi-Brand Car Diagnostic Tool for Fault Analysis, Read and Clear All System Fault Codes Such as Engine, Transmission, ABS and Airbag, Black</t>
        </is>
      </c>
      <c r="B201" s="30" t="inlineStr">
        <is>
          <t>B09WNCML7X</t>
        </is>
      </c>
      <c r="C201" s="30" t="inlineStr">
        <is>
          <t>Tablet</t>
        </is>
      </c>
      <c r="D201" s="324" t="n">
        <v>409.99</v>
      </c>
      <c r="E201" s="53" t="n">
        <v>0</v>
      </c>
      <c r="F201" s="54" t="n">
        <v>0</v>
      </c>
      <c r="G201" s="55" t="n">
        <v>0</v>
      </c>
      <c r="H201" s="55" t="n">
        <v>0</v>
      </c>
      <c r="I201" s="55" t="n">
        <v>76</v>
      </c>
      <c r="J201" s="56" t="n">
        <v>4.3</v>
      </c>
      <c r="K201" s="56" t="inlineStr">
        <is>
          <t>https://amazon.com/dp/B09WNCML7X</t>
        </is>
      </c>
      <c r="L201" s="70">
        <f>HYPERLINK(Table3155[[#This Row],[Column1]])</f>
        <v/>
      </c>
    </row>
    <row r="202" ht="45" customHeight="1" s="290">
      <c r="A202" s="30" t="inlineStr">
        <is>
          <t>Auto Diagnostic Scanner iCarsoft POR V1.0 for Porsche with Airbag Scan,Oil Service Reset, SAS Reset ect</t>
        </is>
      </c>
      <c r="B202" s="30" t="inlineStr">
        <is>
          <t>B07F377NXQ</t>
        </is>
      </c>
      <c r="C202" s="30" t="inlineStr">
        <is>
          <t>Handheld</t>
        </is>
      </c>
      <c r="D202" s="324" t="n">
        <v>141.89</v>
      </c>
      <c r="E202" s="53" t="n">
        <v>3395.83</v>
      </c>
      <c r="F202" s="54" t="n">
        <v>0</v>
      </c>
      <c r="G202" s="55" t="n">
        <v>29</v>
      </c>
      <c r="H202" s="55" t="n">
        <v>0</v>
      </c>
      <c r="I202" s="55" t="n">
        <v>65</v>
      </c>
      <c r="J202" s="56" t="n">
        <v>4.2</v>
      </c>
      <c r="K202" s="56" t="inlineStr">
        <is>
          <t>https://amazon.com/dp/B07F377NXQ</t>
        </is>
      </c>
      <c r="L202" s="70">
        <f>HYPERLINK(Table3155[[#This Row],[Column1]])</f>
        <v/>
      </c>
    </row>
    <row r="203" ht="30" customHeight="1" s="290">
      <c r="A203" s="30" t="inlineStr">
        <is>
          <t>Auto Diagnostic Scan Tool iCarsoft OP V2.0 for OPEL/Vauxhall +Oil Reset +EPB+SAS+ETCS</t>
        </is>
      </c>
      <c r="B203" s="30" t="inlineStr">
        <is>
          <t>B07HNZ3X8Z</t>
        </is>
      </c>
      <c r="C203" s="30" t="inlineStr">
        <is>
          <t>Tablet</t>
        </is>
      </c>
      <c r="D203" s="324" t="n">
        <v>145.95</v>
      </c>
      <c r="E203" s="53" t="n">
        <v>437.55</v>
      </c>
      <c r="F203" s="54" t="n">
        <v>0</v>
      </c>
      <c r="G203" s="55" t="n">
        <v>2</v>
      </c>
      <c r="H203" s="55" t="n">
        <v>0</v>
      </c>
      <c r="I203" s="55" t="n">
        <v>6</v>
      </c>
      <c r="J203" s="56" t="n">
        <v>4.3</v>
      </c>
      <c r="K203" s="56" t="inlineStr">
        <is>
          <t>https://amazon.com/dp/B07HNZ3X8Z</t>
        </is>
      </c>
      <c r="L203" s="70">
        <f>HYPERLINK(Table3155[[#This Row],[Column1]])</f>
        <v/>
      </c>
    </row>
    <row r="204" ht="45" customHeight="1" s="290">
      <c r="A204" s="30" t="inlineStr">
        <is>
          <t>iCarsoft US V3.0 for American Vehicles</t>
        </is>
      </c>
      <c r="B204" s="30" t="inlineStr">
        <is>
          <t>B09Y8KDWV1</t>
        </is>
      </c>
      <c r="C204" s="30" t="inlineStr">
        <is>
          <t>Tablet</t>
        </is>
      </c>
      <c r="D204" s="324" t="n">
        <v>174.01</v>
      </c>
      <c r="E204" s="53" t="n">
        <v>716.5400000000001</v>
      </c>
      <c r="F204" s="54" t="n">
        <v>0</v>
      </c>
      <c r="G204" s="55" t="n">
        <v>4</v>
      </c>
      <c r="H204" s="55" t="n">
        <v>0</v>
      </c>
      <c r="I204" s="55" t="n">
        <v>8</v>
      </c>
      <c r="J204" s="56" t="n">
        <v>3.6</v>
      </c>
      <c r="K204" s="56" t="inlineStr">
        <is>
          <t>https://amazon.com/dp/B09Y8KDWV1</t>
        </is>
      </c>
      <c r="L204" s="70">
        <f>HYPERLINK(Table3155[[#This Row],[Column1]])</f>
        <v/>
      </c>
    </row>
    <row r="205" ht="45" customHeight="1" s="290">
      <c r="A205" s="30" t="inlineStr">
        <is>
          <t>iCarsoft CR Elite Universal Diagnostic Scan Tool for Multi-Brand Vehicles +Oil Reset+EPB+BMS+DPF+SAS+ETC+BLD+INJ</t>
        </is>
      </c>
      <c r="B205" s="30" t="inlineStr">
        <is>
          <t>B07TLMDCDT</t>
        </is>
      </c>
      <c r="C205" s="30" t="inlineStr">
        <is>
          <t>Tablet</t>
        </is>
      </c>
      <c r="D205" s="324" t="n">
        <v>215</v>
      </c>
      <c r="E205" s="53" t="n">
        <v>280</v>
      </c>
      <c r="F205" s="54" t="n">
        <v>0</v>
      </c>
      <c r="G205" s="55" t="n">
        <v>1</v>
      </c>
      <c r="H205" s="55" t="n">
        <v>0</v>
      </c>
      <c r="I205" s="55" t="n">
        <v>22</v>
      </c>
      <c r="J205" s="56" t="n">
        <v>4</v>
      </c>
      <c r="K205" s="56" t="inlineStr">
        <is>
          <t>https://amazon.com/dp/B07TLMDCDT</t>
        </is>
      </c>
      <c r="L205" s="70">
        <f>HYPERLINK(Table3155[[#This Row],[Column1]])</f>
        <v/>
      </c>
    </row>
    <row r="206" ht="45" customHeight="1" s="290">
      <c r="A206" s="30" t="inlineStr">
        <is>
          <t>iCarsoft MT V6 Plus Motorcycle Diagnostic Tool for Harley/BMW/Kawasaki/Indian etc, 21 Brands, Motorbike Full System All Maintenance Reset, Actuation Test, Moto Code Reader+Car OBD2 Diagnostics 2 in 1</t>
        </is>
      </c>
      <c r="B206" s="30" t="inlineStr">
        <is>
          <t>B0FNM3PLRY</t>
        </is>
      </c>
      <c r="C206" s="30" t="inlineStr">
        <is>
          <t>Tablet</t>
        </is>
      </c>
      <c r="D206" s="324" t="n">
        <v>299.99</v>
      </c>
      <c r="E206" s="53" t="n">
        <v>14528.25</v>
      </c>
      <c r="F206" s="54" t="n">
        <v>0</v>
      </c>
      <c r="G206" s="55" t="n">
        <v>48</v>
      </c>
      <c r="H206" s="55" t="n">
        <v>0</v>
      </c>
      <c r="I206" s="55" t="n">
        <v>5</v>
      </c>
      <c r="J206" s="56" t="n">
        <v>2.6</v>
      </c>
      <c r="K206" s="56" t="inlineStr">
        <is>
          <t>https://amazon.com/dp/B0FNM3PLRY</t>
        </is>
      </c>
      <c r="L206" s="70">
        <f>HYPERLINK(Table3155[[#This Row],[Column1]])</f>
        <v/>
      </c>
    </row>
    <row r="207" ht="45" customHeight="1" s="290">
      <c r="A207" s="30" t="inlineStr">
        <is>
          <t>iCarsoft VAWS V3.0 for VW/Audi/Seat/Skoda Diagnostic Tool with auto VIN/Quick Test/Actuation Test</t>
        </is>
      </c>
      <c r="B207" s="30" t="inlineStr">
        <is>
          <t>B08R9L5ZT6</t>
        </is>
      </c>
      <c r="C207" s="30" t="inlineStr">
        <is>
          <t>Tablet</t>
        </is>
      </c>
      <c r="D207" s="324" t="n">
        <v>203.06</v>
      </c>
      <c r="E207" s="53" t="n">
        <v>4843.209999999999</v>
      </c>
      <c r="F207" s="54" t="n">
        <v>0</v>
      </c>
      <c r="G207" s="55" t="n">
        <v>22</v>
      </c>
      <c r="H207" s="55" t="n">
        <v>0</v>
      </c>
      <c r="I207" s="55" t="n">
        <v>90</v>
      </c>
      <c r="J207" s="56" t="n">
        <v>3.8</v>
      </c>
      <c r="K207" s="56" t="inlineStr">
        <is>
          <t>https://amazon.com/dp/B08R9L5ZT6</t>
        </is>
      </c>
      <c r="L207" s="70">
        <f>HYPERLINK(Table3155[[#This Row],[Column1]])</f>
        <v/>
      </c>
    </row>
    <row r="208" ht="30" customHeight="1" s="290">
      <c r="A208" s="30" t="inlineStr">
        <is>
          <t>iCarsoft CR V3.0 Free for 3 Vehicle Groups auto VIN/Quick Test/Actuation Test/Android OS/Touch Screen</t>
        </is>
      </c>
      <c r="B208" s="30" t="inlineStr">
        <is>
          <t>B08V93JFKC</t>
        </is>
      </c>
      <c r="C208" s="30" t="inlineStr">
        <is>
          <t>Tablet</t>
        </is>
      </c>
      <c r="D208" s="324" t="n">
        <v>258.97</v>
      </c>
      <c r="E208" s="53" t="n">
        <v>4292.43</v>
      </c>
      <c r="F208" s="54" t="n">
        <v>0</v>
      </c>
      <c r="G208" s="55" t="n">
        <v>18</v>
      </c>
      <c r="H208" s="55" t="n">
        <v>0</v>
      </c>
      <c r="I208" s="55" t="n">
        <v>15</v>
      </c>
      <c r="J208" s="56" t="n">
        <v>3.8</v>
      </c>
      <c r="K208" s="56" t="inlineStr">
        <is>
          <t>https://amazon.com/dp/B08V93JFKC</t>
        </is>
      </c>
      <c r="L208" s="70">
        <f>HYPERLINK(Table3155[[#This Row],[Column1]])</f>
        <v/>
      </c>
    </row>
    <row r="209" ht="45" customHeight="1" s="290">
      <c r="A209" s="30" t="inlineStr">
        <is>
          <t>iCarsoft VOL V 4.0 Bidirectional Diagnostic Scan Tool for Volvo/SAAB + 2 Car Brand Vehicles, All System, 29 Resets(239 Sub-Services) for Volvo/SAAB, Actuation Test, Battery Registration OBD2 Scanner</t>
        </is>
      </c>
      <c r="B209" s="30" t="inlineStr">
        <is>
          <t>B0FS6LTW3P</t>
        </is>
      </c>
      <c r="C209" s="30" t="inlineStr">
        <is>
          <t>Tablet</t>
        </is>
      </c>
      <c r="D209" s="324" t="n">
        <v>269.99</v>
      </c>
      <c r="E209" s="53" t="n">
        <v>7472.299999999999</v>
      </c>
      <c r="F209" s="54" t="n">
        <v>0</v>
      </c>
      <c r="G209" s="55" t="n">
        <v>28</v>
      </c>
      <c r="H209" s="55" t="n">
        <v>0</v>
      </c>
      <c r="I209" s="55" t="n">
        <v>2</v>
      </c>
      <c r="J209" s="56" t="n">
        <v>3</v>
      </c>
      <c r="K209" s="56" t="inlineStr">
        <is>
          <t>https://amazon.com/dp/B0FS6LTW3P</t>
        </is>
      </c>
      <c r="L209" s="70">
        <f>HYPERLINK(Table3155[[#This Row],[Column1]])</f>
        <v/>
      </c>
    </row>
    <row r="210" ht="45" customHeight="1" s="290">
      <c r="A210" s="30" t="inlineStr">
        <is>
          <t>iCarsoft LR V3.0-D OBD2 Scanner for Land Rover &amp; Jaguar Vehicles Auto VIN, Full-System Diagnosis, 35+ Resets, ABS/SRS/Transmission Code Reader, Bidirectional Control &amp; Live Data Graphs‌</t>
        </is>
      </c>
      <c r="B210" s="30" t="inlineStr">
        <is>
          <t>B0DXVXVCHJ</t>
        </is>
      </c>
      <c r="C210" s="30" t="inlineStr">
        <is>
          <t>Tablet</t>
        </is>
      </c>
      <c r="D210" s="324" t="n">
        <v>189.95</v>
      </c>
      <c r="E210" s="53" t="n">
        <v>0</v>
      </c>
      <c r="F210" s="54" t="n">
        <v>0</v>
      </c>
      <c r="G210" s="55" t="n">
        <v>0</v>
      </c>
      <c r="H210" s="55" t="n">
        <v>0</v>
      </c>
      <c r="I210" s="55" t="n"/>
      <c r="J210" s="56" t="n"/>
      <c r="K210" s="56" t="inlineStr">
        <is>
          <t>https://amazon.com/dp/B0DXVXVCHJ</t>
        </is>
      </c>
      <c r="L210" s="70">
        <f>HYPERLINK(Table3155[[#This Row],[Column1]])</f>
        <v/>
      </c>
    </row>
    <row r="211" ht="60" customHeight="1" s="290">
      <c r="A211" s="30" t="inlineStr">
        <is>
          <t>iCarsoft Auto Diagnostic Scanner VOL V1.0 for Volvo/SAAB with Airbag Scan,Oil Service Reset, SAS Reset ect</t>
        </is>
      </c>
      <c r="B211" s="30" t="inlineStr">
        <is>
          <t>B07F363S3Q</t>
        </is>
      </c>
      <c r="C211" s="30" t="inlineStr">
        <is>
          <t>Handheld</t>
        </is>
      </c>
      <c r="D211" s="324" t="n">
        <v>113.95</v>
      </c>
      <c r="E211" s="53" t="n">
        <v>703.0599999999999</v>
      </c>
      <c r="F211" s="54" t="n">
        <v>0</v>
      </c>
      <c r="G211" s="55" t="n">
        <v>6</v>
      </c>
      <c r="H211" s="55" t="n">
        <v>0</v>
      </c>
      <c r="I211" s="55" t="n">
        <v>10</v>
      </c>
      <c r="J211" s="56" t="n">
        <v>4.1</v>
      </c>
      <c r="K211" s="56" t="inlineStr">
        <is>
          <t>https://amazon.com/dp/B07F363S3Q</t>
        </is>
      </c>
      <c r="L211" s="70">
        <f>HYPERLINK(Table3155[[#This Row],[Column1]])</f>
        <v/>
      </c>
    </row>
    <row r="212" ht="45" customHeight="1" s="290">
      <c r="A212" s="30" t="inlineStr">
        <is>
          <t>iCarsoft US V2.0 Diagnostic Scan Tool for American Vehicles Ford/GM (Cherolet/Buick/Cadillac/GMC)/Chrysler/Jeep/Holden +Oil Reset +EPB+BMS+DPF+SAS+ETC+BLD+INJ</t>
        </is>
      </c>
      <c r="B212" s="30" t="inlineStr">
        <is>
          <t>B07KR42RTT</t>
        </is>
      </c>
      <c r="C212" s="30" t="inlineStr">
        <is>
          <t>Tablet</t>
        </is>
      </c>
      <c r="D212" s="324" t="n">
        <v>149.95</v>
      </c>
      <c r="E212" s="53" t="n">
        <v>3514.3</v>
      </c>
      <c r="F212" s="54" t="n">
        <v>0</v>
      </c>
      <c r="G212" s="55" t="n">
        <v>25</v>
      </c>
      <c r="H212" s="55" t="n">
        <v>0</v>
      </c>
      <c r="I212" s="55" t="n">
        <v>77</v>
      </c>
      <c r="J212" s="56" t="n">
        <v>3.9</v>
      </c>
      <c r="K212" s="56" t="inlineStr">
        <is>
          <t>https://amazon.com/dp/B07KR42RTT</t>
        </is>
      </c>
      <c r="L212" s="70">
        <f>HYPERLINK(Table3155[[#This Row],[Column1]])</f>
        <v/>
      </c>
    </row>
    <row r="213" ht="45" customHeight="1" s="290">
      <c r="A213" s="30" t="inlineStr">
        <is>
          <t>iCarsoft POR V3.0 Scanner for Porsche, 27 Reset Servics OBD2 Scanner Code Reader,ABS Bleeding, SAS/Oil/BMS Reset,4-in-1 Graph Data,Actuation Test, Lifelong Updates</t>
        </is>
      </c>
      <c r="B213" s="30" t="inlineStr">
        <is>
          <t>B0DXVQL3YF</t>
        </is>
      </c>
      <c r="C213" s="30" t="inlineStr">
        <is>
          <t>Tablet</t>
        </is>
      </c>
      <c r="D213" s="324" t="n">
        <v>189.95</v>
      </c>
      <c r="E213" s="53" t="n">
        <v>2215.7</v>
      </c>
      <c r="F213" s="54" t="n">
        <v>0</v>
      </c>
      <c r="G213" s="55" t="n">
        <v>11</v>
      </c>
      <c r="H213" s="55" t="n">
        <v>0</v>
      </c>
      <c r="I213" s="55" t="n">
        <v>11</v>
      </c>
      <c r="J213" s="56" t="n">
        <v>3.8</v>
      </c>
      <c r="K213" s="56" t="inlineStr">
        <is>
          <t>https://amazon.com/dp/B0DXVQL3YF</t>
        </is>
      </c>
      <c r="L213" s="70">
        <f>HYPERLINK(Table3155[[#This Row],[Column1]])</f>
        <v/>
      </c>
    </row>
    <row r="214" ht="30" customHeight="1" s="290">
      <c r="A214" s="30" t="inlineStr">
        <is>
          <t>iCarsoft CR V2.0 OBD2 Scanner for Porsche/BMW/VAG/Volvo,etc,8 Resets/Full Systems/Battery Reset, Auto Diagnostic Tool ABS SRS SAS Transmission Code Reader, 118 Live Data Check Engine Light Scan Tool</t>
        </is>
      </c>
      <c r="B214" s="30" t="inlineStr">
        <is>
          <t>B0DCNNS8N3</t>
        </is>
      </c>
      <c r="C214" s="30" t="inlineStr">
        <is>
          <t>Tablet</t>
        </is>
      </c>
      <c r="D214" s="324" t="n">
        <v>229.99</v>
      </c>
      <c r="E214" s="53" t="n">
        <v>9727.360000000001</v>
      </c>
      <c r="F214" s="54" t="n">
        <v>0</v>
      </c>
      <c r="G214" s="55" t="n">
        <v>47</v>
      </c>
      <c r="H214" s="55" t="n">
        <v>0</v>
      </c>
      <c r="I214" s="55" t="n">
        <v>4</v>
      </c>
      <c r="J214" s="56" t="n">
        <v>3.6</v>
      </c>
      <c r="K214" s="56" t="inlineStr">
        <is>
          <t>https://amazon.com/dp/B0DCNNS8N3</t>
        </is>
      </c>
      <c r="L214" s="70">
        <f>HYPERLINK(Table3155[[#This Row],[Column1]])</f>
        <v/>
      </c>
    </row>
    <row r="215" ht="45" customHeight="1" s="290">
      <c r="A215" s="30" t="inlineStr">
        <is>
          <t>Bidirectional OBD2 Scanner Diagnostic Tool, iCarsoft CR V3.0 Vehicle Scan Tool 45 Reset+38 Extra Services,All System, Active Test Code Reader, Auto VIN, Free Update</t>
        </is>
      </c>
      <c r="B215" s="30" t="inlineStr">
        <is>
          <t>B0D1CRWLFH</t>
        </is>
      </c>
      <c r="C215" s="30" t="inlineStr">
        <is>
          <t>Tablet</t>
        </is>
      </c>
      <c r="D215" s="324" t="n">
        <v>319.99</v>
      </c>
      <c r="E215" s="53" t="n">
        <v>4648.29</v>
      </c>
      <c r="F215" s="54" t="n">
        <v>0</v>
      </c>
      <c r="G215" s="55" t="n">
        <v>15</v>
      </c>
      <c r="H215" s="55" t="n">
        <v>0</v>
      </c>
      <c r="I215" s="55" t="n">
        <v>22</v>
      </c>
      <c r="J215" s="56" t="n">
        <v>3.4</v>
      </c>
      <c r="K215" s="56" t="inlineStr">
        <is>
          <t>https://amazon.com/dp/B0D1CRWLFH</t>
        </is>
      </c>
      <c r="L215" s="70">
        <f>HYPERLINK(Table3155[[#This Row],[Column1]])</f>
        <v/>
      </c>
    </row>
    <row r="216" ht="45" customHeight="1" s="290">
      <c r="A216" s="30" t="inlineStr">
        <is>
          <t>iCarsoft JP V3.0 OBD2 Scanner for Toyota/Honda (Acura) /Lexus, All Reset+Full System Diagnostic Scan Tool Car Code Reader for Nissan/Infiniti/Mitsubishi/Mazda/Suzuki/Hyundai -2025</t>
        </is>
      </c>
      <c r="B216" s="30" t="inlineStr">
        <is>
          <t>B01NGU0YAG</t>
        </is>
      </c>
      <c r="C216" s="30" t="inlineStr">
        <is>
          <t>Tablet</t>
        </is>
      </c>
      <c r="D216" s="324" t="n">
        <v>229.99</v>
      </c>
      <c r="E216" s="53" t="n">
        <v>8860.4</v>
      </c>
      <c r="F216" s="54" t="n">
        <v>0</v>
      </c>
      <c r="G216" s="55" t="n">
        <v>36</v>
      </c>
      <c r="H216" s="55" t="n">
        <v>0</v>
      </c>
      <c r="I216" s="55" t="n">
        <v>15</v>
      </c>
      <c r="J216" s="56" t="n">
        <v>3.7</v>
      </c>
      <c r="K216" s="56" t="inlineStr">
        <is>
          <t>https://amazon.com/dp/B01NGU0YAG</t>
        </is>
      </c>
      <c r="L216" s="70">
        <f>HYPERLINK(Table3155[[#This Row],[Column1]])</f>
        <v/>
      </c>
    </row>
    <row r="217" ht="30" customHeight="1" s="290">
      <c r="A217" s="30" t="inlineStr">
        <is>
          <t>iCarsoft Bidirectional Scan Tool CR Max Enhanced Ver, OBD2 Scanner All System Diagnostic Tool with CAN FD ECU Coding 38-Pin Adapter for Benz, 49 Resets+46 Services Code Reader-Oil/EPB/SAS/BMS/TCM/ETC</t>
        </is>
      </c>
      <c r="B217" s="30" t="inlineStr">
        <is>
          <t>B0DW99LD7K</t>
        </is>
      </c>
      <c r="C217" s="30" t="inlineStr">
        <is>
          <t>Tablet</t>
        </is>
      </c>
      <c r="D217" s="324" t="n">
        <v>421.99</v>
      </c>
      <c r="E217" s="53" t="n">
        <v>8455.630000000001</v>
      </c>
      <c r="F217" s="54" t="n">
        <v>0</v>
      </c>
      <c r="G217" s="55" t="n">
        <v>24</v>
      </c>
      <c r="H217" s="55" t="n">
        <v>0</v>
      </c>
      <c r="I217" s="55" t="n">
        <v>5</v>
      </c>
      <c r="J217" s="56" t="n">
        <v>3.4</v>
      </c>
      <c r="K217" s="56" t="inlineStr">
        <is>
          <t>https://amazon.com/dp/B0DW99LD7K</t>
        </is>
      </c>
      <c r="L217" s="70">
        <f>HYPERLINK(Table3155[[#This Row],[Column1]])</f>
        <v/>
      </c>
    </row>
    <row r="218" ht="30" customHeight="1" s="290">
      <c r="A218" s="30" t="inlineStr">
        <is>
          <t>iCarsoft BMM V4.0 Bi-Directional Scan Tool for BMW/MINI/Rolls Royce, Full System Diagnostic Tool, 14+ Reset Service, OBD2 Scanner, Auto VIN, 2 Extra Brands Available, Lifetime Free Update</t>
        </is>
      </c>
      <c r="B218" s="30" t="inlineStr">
        <is>
          <t>B0GC86F17Q</t>
        </is>
      </c>
      <c r="C218" s="30" t="inlineStr">
        <is>
          <t>Tablet</t>
        </is>
      </c>
      <c r="D218" s="324" t="n">
        <v>249.99</v>
      </c>
      <c r="E218" s="53" t="n">
        <v>0</v>
      </c>
      <c r="F218" s="54" t="n">
        <v>0</v>
      </c>
      <c r="G218" s="55" t="n">
        <v>0</v>
      </c>
      <c r="H218" s="55" t="n">
        <v>0</v>
      </c>
      <c r="I218" s="55" t="n"/>
      <c r="J218" s="56" t="n"/>
      <c r="K218" s="56" t="inlineStr">
        <is>
          <t>https://amazon.com/dp/B0GC86F17Q</t>
        </is>
      </c>
      <c r="L218" s="70">
        <f>HYPERLINK(Table3155[[#This Row],[Column1]])</f>
        <v/>
      </c>
    </row>
    <row r="219" ht="17" customHeight="1" s="290">
      <c r="A219" s="30" t="inlineStr">
        <is>
          <t>iCarsoft MT V6 Motorcycle Diagnostic Scan Tool for K.TM, All System Motorbike OBD Scanner, Oil/ETC/ABS/Engine Idle Maintenance Tool for K.TM, Actuation Test, Battery Test</t>
        </is>
      </c>
      <c r="B219" s="30" t="inlineStr">
        <is>
          <t>B0FG2SMF6N</t>
        </is>
      </c>
      <c r="C219" s="30" t="inlineStr">
        <is>
          <t>Handheld</t>
        </is>
      </c>
      <c r="D219" s="324" t="n">
        <v>199.99</v>
      </c>
      <c r="E219" s="53" t="n">
        <v>546.13</v>
      </c>
      <c r="F219" s="54" t="n">
        <v>0</v>
      </c>
      <c r="G219" s="55" t="n">
        <v>2</v>
      </c>
      <c r="H219" s="55" t="n">
        <v>0</v>
      </c>
      <c r="I219" s="55" t="n"/>
      <c r="J219" s="56" t="n"/>
      <c r="K219" s="56" t="inlineStr">
        <is>
          <t>https://amazon.com/dp/B0FG2SMF6N</t>
        </is>
      </c>
      <c r="L219" s="70">
        <f>HYPERLINK(TABLE219)</f>
        <v/>
      </c>
    </row>
    <row r="220">
      <c r="A220" s="30" t="inlineStr">
        <is>
          <t>Multi-System Auto Diagnostic Tool MB V1.0 for Mercedes-Benz/Sprinter/Smart with Oil Reset (Red)</t>
        </is>
      </c>
      <c r="B220" s="30" t="inlineStr">
        <is>
          <t>B0787ZC4Z1</t>
        </is>
      </c>
      <c r="C220" s="30" t="inlineStr">
        <is>
          <t>Handheld</t>
        </is>
      </c>
      <c r="D220" s="324" t="n">
        <v>164.03</v>
      </c>
      <c r="E220" s="53" t="n">
        <v>187.19</v>
      </c>
      <c r="F220" s="54" t="n">
        <v>0</v>
      </c>
      <c r="G220" s="55" t="n">
        <v>1</v>
      </c>
      <c r="H220" s="55" t="n">
        <v>0</v>
      </c>
      <c r="I220" s="55" t="n">
        <v>14</v>
      </c>
      <c r="J220" s="56" t="n">
        <v>4.4</v>
      </c>
      <c r="K220" s="56" t="inlineStr">
        <is>
          <t>https://amazon.com/dp/B0787ZC4Z1</t>
        </is>
      </c>
      <c r="L220" s="70">
        <f>HYPERLINK(TABLE220)</f>
        <v/>
      </c>
    </row>
    <row r="221">
      <c r="A221" s="30" t="inlineStr">
        <is>
          <t>iCarsoft Auto Diagnostic Scanner TYT V1.0 for Toyota/Lexus/Scion/Isuzu, ABS, SRS, Oil Service Reset ect (Red)</t>
        </is>
      </c>
      <c r="B221" s="30" t="inlineStr">
        <is>
          <t>B07L2XCXN7</t>
        </is>
      </c>
      <c r="C221" s="30" t="inlineStr">
        <is>
          <t>Handheld</t>
        </is>
      </c>
      <c r="D221" s="324" t="n">
        <v>160.3</v>
      </c>
      <c r="E221" s="53" t="n">
        <v>729.21</v>
      </c>
      <c r="F221" s="54" t="n">
        <v>0</v>
      </c>
      <c r="G221" s="55" t="n">
        <v>5</v>
      </c>
      <c r="H221" s="55" t="n">
        <v>0</v>
      </c>
      <c r="I221" s="55" t="n">
        <v>3</v>
      </c>
      <c r="J221" s="56" t="n">
        <v>3.8</v>
      </c>
      <c r="K221" s="56" t="inlineStr">
        <is>
          <t>https://amazon.com/dp/B07L2XCXN7</t>
        </is>
      </c>
      <c r="L221" s="70">
        <f>HYPERLINK(TABLE221)</f>
        <v/>
      </c>
    </row>
    <row r="222">
      <c r="A222" s="30" t="inlineStr">
        <is>
          <t>Bidirectional Scan Tool iCarsoft CR Ultra ECU Coding &amp; TPMS Programming Tool/12V Battery Tester/Topology Map/All Systems OBD2 Scanner Diagnostic Tool 41 Resets DOIP Car Code Reader</t>
        </is>
      </c>
    </row>
    <row r="223" ht="17" customHeight="1" s="290">
      <c r="A223" s="30" t="inlineStr">
        <is>
          <t>iCarsoft MT PRO Motorcycle Diagnostic Tool for Harley/BMW/Kawasaki/Indian etc. All Motorbikes Full System All Maintenance Reset, Actuation Test, Touchscreen Code Reader, Also Car OBD2 Diagnose</t>
        </is>
      </c>
      <c r="B223" s="30" t="inlineStr">
        <is>
          <t>B0FHWPN7LB</t>
        </is>
      </c>
      <c r="C223" s="30" t="inlineStr">
        <is>
          <t>Tablet</t>
        </is>
      </c>
      <c r="D223" s="324" t="n">
        <v>789.99</v>
      </c>
      <c r="E223" s="53" t="n">
        <v>5600.27</v>
      </c>
      <c r="F223" s="54" t="n">
        <v>0</v>
      </c>
      <c r="G223" s="55" t="n">
        <v>7</v>
      </c>
      <c r="H223" s="55" t="n">
        <v>0</v>
      </c>
      <c r="I223" s="55" t="n"/>
      <c r="J223" s="56" t="n"/>
      <c r="K223" s="56" t="inlineStr">
        <is>
          <t>https://amazon.com/dp/B0FHWPN7LB</t>
        </is>
      </c>
      <c r="L223" s="70">
        <f>HYPERLINK(TABLE223)</f>
        <v/>
      </c>
    </row>
    <row r="224" ht="45" customHeight="1" s="290">
      <c r="A224" s="30" t="inlineStr">
        <is>
          <t>iCarsoft Scanner Tool AIRBAG SRS Code Reader Oil Reset i960 911 997 981</t>
        </is>
      </c>
      <c r="B224" s="30" t="inlineStr">
        <is>
          <t>B015DN8OIS</t>
        </is>
      </c>
      <c r="C224" s="30" t="inlineStr">
        <is>
          <t>Tablet</t>
        </is>
      </c>
      <c r="D224" s="324" t="n">
        <v>149.94</v>
      </c>
      <c r="E224" s="53" t="n">
        <v>605.6099999999999</v>
      </c>
      <c r="F224" s="54" t="n">
        <v>0</v>
      </c>
      <c r="G224" s="55" t="n">
        <v>4</v>
      </c>
      <c r="H224" s="55" t="n">
        <v>0</v>
      </c>
      <c r="I224" s="55" t="n">
        <v>88</v>
      </c>
      <c r="J224" s="56" t="n">
        <v>4.2</v>
      </c>
      <c r="K224" s="56" t="inlineStr">
        <is>
          <t>https://amazon.com/dp/B015DN8OIS</t>
        </is>
      </c>
      <c r="L224" s="70">
        <f>HYPERLINK(TABLE224)</f>
        <v/>
      </c>
    </row>
    <row r="225" ht="30" customHeight="1" s="290">
      <c r="A225" s="30" t="inlineStr">
        <is>
          <t>iCarsoft 4-in-1 Bidirectional Diagnostic Tool + Battery Tester + TPMS Programmer +OBD2 Scanner with 26 Reset Service/Endoscope, CR Legend All System Scan Tool with Printer, Lifetime Free Upgrade</t>
        </is>
      </c>
      <c r="B225" s="30" t="inlineStr">
        <is>
          <t>B0DPVMHCSK</t>
        </is>
      </c>
      <c r="C225" s="30" t="inlineStr">
        <is>
          <t>Tablet</t>
        </is>
      </c>
      <c r="D225" s="324" t="n">
        <v>689.95</v>
      </c>
      <c r="E225" s="53" t="n">
        <v>0</v>
      </c>
      <c r="F225" s="54" t="n">
        <v>0</v>
      </c>
      <c r="G225" s="55" t="n">
        <v>0</v>
      </c>
      <c r="H225" s="55" t="n">
        <v>0</v>
      </c>
      <c r="I225" s="55" t="n"/>
      <c r="J225" s="56" t="n"/>
      <c r="K225" s="56" t="inlineStr">
        <is>
          <t>https://amazon.com/dp/B0DPVMHCSK</t>
        </is>
      </c>
      <c r="L225" s="70">
        <f>HYPERLINK(TABLE225)</f>
        <v/>
      </c>
    </row>
    <row r="226" ht="60" customHeight="1" s="290">
      <c r="A226" s="33" t="inlineStr">
        <is>
          <t>Total</t>
        </is>
      </c>
      <c r="B226" s="33" t="n"/>
      <c r="C226" s="33" t="n"/>
      <c r="D226" s="327" t="n"/>
      <c r="E226" s="72">
        <f>SUM(E53:E225)</f>
        <v/>
      </c>
      <c r="F226" s="72">
        <f>SUM(F53:F225)</f>
        <v/>
      </c>
      <c r="G226" s="73" t="n"/>
      <c r="H226" s="73" t="n"/>
      <c r="I226" s="73" t="n"/>
      <c r="J226" s="74" t="n"/>
      <c r="K226" s="33" t="n"/>
    </row>
    <row r="227" ht="45" customHeight="1" s="290">
      <c r="A227" s="30" t="n"/>
      <c r="B227" s="30" t="n"/>
      <c r="C227" s="324" t="n"/>
      <c r="D227" s="53" t="n"/>
      <c r="E227" s="53" t="n"/>
      <c r="F227" s="55" t="n"/>
      <c r="G227" s="55" t="n"/>
      <c r="H227" s="55" t="n"/>
      <c r="I227" s="56" t="n"/>
      <c r="J227" s="30" t="n"/>
    </row>
    <row r="228" ht="60" customHeight="1" s="290">
      <c r="A228" s="30" t="n"/>
      <c r="B228" s="30" t="n"/>
      <c r="C228" s="324" t="n"/>
      <c r="D228" s="53" t="n"/>
      <c r="E228" s="53" t="n"/>
      <c r="F228" s="55" t="n"/>
      <c r="G228" s="55" t="n"/>
      <c r="H228" s="55" t="n"/>
      <c r="I228" s="56" t="n"/>
      <c r="J228" s="30" t="n"/>
    </row>
    <row r="229" ht="45" customHeight="1" s="290">
      <c r="A229" s="283" t="inlineStr">
        <is>
          <t>Rank by Units</t>
        </is>
      </c>
    </row>
    <row r="230" ht="45" customHeight="1" s="290">
      <c r="A230" s="38" t="inlineStr">
        <is>
          <t>Product Name</t>
        </is>
      </c>
      <c r="B230" s="39" t="inlineStr">
        <is>
          <t>ASIN</t>
        </is>
      </c>
      <c r="C230" s="39" t="inlineStr">
        <is>
          <t>Type</t>
        </is>
      </c>
      <c r="D230" s="322" t="inlineStr">
        <is>
          <t>Avg Price</t>
        </is>
      </c>
      <c r="E230" s="41" t="inlineStr">
        <is>
          <t>Estimated 12mo Revenue</t>
        </is>
      </c>
      <c r="F230" s="39" t="inlineStr">
        <is>
          <t>Monthly Rev</t>
        </is>
      </c>
      <c r="G230" s="42" t="inlineStr">
        <is>
          <t>Estimated 12mo Units</t>
        </is>
      </c>
      <c r="H230" s="45" t="inlineStr">
        <is>
          <t>Monthly Units</t>
        </is>
      </c>
      <c r="I230" s="42" t="inlineStr">
        <is>
          <t># of Reviews</t>
        </is>
      </c>
      <c r="J230" s="43" t="inlineStr">
        <is>
          <t xml:space="preserve">Tool Rating </t>
        </is>
      </c>
      <c r="K230" s="43" t="inlineStr">
        <is>
          <t>Column1</t>
        </is>
      </c>
      <c r="L230" s="323" t="inlineStr">
        <is>
          <t>Link</t>
        </is>
      </c>
    </row>
    <row r="231" ht="45" customHeight="1" s="290">
      <c r="A231" s="30" t="inlineStr">
        <is>
          <t>Bidirectional Diagnostic Tool for Most Mercedes-Benz/Sprinter/Smart from 1996-2023 iCarsoft MB V3.0 2026 Version 38+ Reset Service OBD2 Full System Scanner Battery Test Actuation Test AutoVIN</t>
        </is>
      </c>
      <c r="B231" s="30" t="inlineStr">
        <is>
          <t>B0D3DQQK1S</t>
        </is>
      </c>
      <c r="C231" s="30" t="inlineStr">
        <is>
          <t>Tablet</t>
        </is>
      </c>
      <c r="D231" s="324" t="n">
        <v>194.4485950413223</v>
      </c>
      <c r="E231" s="53" t="n">
        <v>580396.8999999999</v>
      </c>
      <c r="F231" s="53" t="n">
        <v>47056.56</v>
      </c>
      <c r="G231" s="55" t="n">
        <v>2676</v>
      </c>
      <c r="H231" s="57" t="n">
        <v>242</v>
      </c>
      <c r="I231" s="55" t="n">
        <v>157</v>
      </c>
      <c r="J231" s="56" t="n">
        <v>3.9</v>
      </c>
      <c r="K231" s="56" t="inlineStr">
        <is>
          <t>https://amazon.com/dp/B0D3DQQK1S</t>
        </is>
      </c>
      <c r="L231" s="70">
        <f>HYPERLINK(Table3258[[#This Row],[Column1]])</f>
        <v/>
      </c>
    </row>
    <row r="232" ht="45" customHeight="1" s="290">
      <c r="A232" s="30" t="inlineStr">
        <is>
          <t>iCarsoft Auto Diagnostic Scanner POR V2.0</t>
        </is>
      </c>
      <c r="B232" s="30" t="inlineStr">
        <is>
          <t>B07F2WF96Y</t>
        </is>
      </c>
      <c r="C232" s="30" t="inlineStr">
        <is>
          <t>Tablet</t>
        </is>
      </c>
      <c r="D232" s="324" t="n">
        <v>120.2065680473373</v>
      </c>
      <c r="E232" s="53" t="n">
        <v>168265.11</v>
      </c>
      <c r="F232" s="53" t="n">
        <v>20314.91</v>
      </c>
      <c r="G232" s="55" t="n">
        <v>1247</v>
      </c>
      <c r="H232" s="57" t="n">
        <v>169</v>
      </c>
      <c r="I232" s="55" t="n">
        <v>784</v>
      </c>
      <c r="J232" s="56" t="n">
        <v>4.1</v>
      </c>
      <c r="K232" s="56" t="inlineStr">
        <is>
          <t>https://amazon.com/dp/B07F2WF96Y</t>
        </is>
      </c>
      <c r="L232" s="70">
        <f>HYPERLINK(Table3258[[#This Row],[Column1]])</f>
        <v/>
      </c>
    </row>
    <row r="233" ht="45" customHeight="1" s="290">
      <c r="A233" s="30" t="inlineStr">
        <is>
          <t>iCarsoft POR V4.0 Bidirectional Diagnostic Tool for Porsche + 2 Extra Car Brands, OBD2 Scanner with 1333 Test Items/ 26 Services (177 Subservices)/ 66 Extra Services/Battery Registration-Free Update</t>
        </is>
      </c>
      <c r="B233" s="30" t="inlineStr">
        <is>
          <t>B0G4M5G2CR</t>
        </is>
      </c>
      <c r="C233" s="30" t="inlineStr">
        <is>
          <t>Tablet</t>
        </is>
      </c>
      <c r="D233" s="324" t="n">
        <v>269.8357142857143</v>
      </c>
      <c r="E233" s="53" t="n">
        <v>459229.4707692307</v>
      </c>
      <c r="F233" s="53" t="n">
        <v>45332.4</v>
      </c>
      <c r="G233" s="55" t="n">
        <v>306</v>
      </c>
      <c r="H233" s="57" t="n">
        <v>168</v>
      </c>
      <c r="I233" s="55" t="n">
        <v>1</v>
      </c>
      <c r="J233" s="56" t="n">
        <v>5</v>
      </c>
      <c r="K233" s="56" t="inlineStr">
        <is>
          <t>https://amazon.com/dp/B0G4M5G2CR</t>
        </is>
      </c>
      <c r="L233" s="70">
        <f>HYPERLINK(Table3258[[#This Row],[Column1]])</f>
        <v/>
      </c>
    </row>
    <row r="234" ht="45" customHeight="1" s="290">
      <c r="A234" s="30" t="inlineStr">
        <is>
          <t>iCarsoft Auto Diagnostic Scanner P700 V2.0 for Porsche with Engine/Transmission/ABS/Airbag Diagnosis Scan,OBD2 Code Reader with Oil Reset EPB ETC+Battery/O2 Sensor/EVAP Test</t>
        </is>
      </c>
      <c r="B234" s="30" t="inlineStr">
        <is>
          <t>B07FP9QJLN</t>
        </is>
      </c>
      <c r="C234" s="30" t="inlineStr">
        <is>
          <t>Tablet</t>
        </is>
      </c>
      <c r="D234" s="324" t="n">
        <v>149.5688034188034</v>
      </c>
      <c r="E234" s="53" t="n">
        <v>104958.29</v>
      </c>
      <c r="F234" s="53" t="n">
        <v>17499.55</v>
      </c>
      <c r="G234" s="55" t="n">
        <v>703</v>
      </c>
      <c r="H234" s="57" t="n">
        <v>117</v>
      </c>
      <c r="I234" s="55" t="n">
        <v>202</v>
      </c>
      <c r="J234" s="56" t="n">
        <v>4.3</v>
      </c>
      <c r="K234" s="56" t="inlineStr">
        <is>
          <t>https://amazon.com/dp/B07FP9QJLN</t>
        </is>
      </c>
      <c r="L234" s="70">
        <f>HYPERLINK(Table3258[[#This Row],[Column1]])</f>
        <v/>
      </c>
    </row>
    <row r="235" ht="45" customHeight="1" s="290">
      <c r="A235" s="30" t="inlineStr">
        <is>
          <t>iCarsoft MB V2.0 for Mercedes Benz OBD2 Scanner, Full System Diagnostic Scan Tool, 8 Resets Auto VIN, Oil/SAS/EPB/ETC/DP-F/BLD/INJ/SAS/TPMS, Free Update, Automotive Code Reader with Battery Test</t>
        </is>
      </c>
      <c r="B235" s="30" t="inlineStr">
        <is>
          <t>B0DX2BSRYM</t>
        </is>
      </c>
      <c r="C235" s="30" t="inlineStr">
        <is>
          <t>Tablet</t>
        </is>
      </c>
      <c r="D235" s="324" t="n">
        <v>146.1356862745098</v>
      </c>
      <c r="E235" s="53" t="n">
        <v>187220.8369230769</v>
      </c>
      <c r="F235" s="53" t="n">
        <v>14905.84</v>
      </c>
      <c r="G235" s="55" t="n">
        <v>1096</v>
      </c>
      <c r="H235" s="57" t="n">
        <v>102</v>
      </c>
      <c r="I235" s="55" t="n">
        <v>154</v>
      </c>
      <c r="J235" s="56" t="n">
        <v>4</v>
      </c>
      <c r="K235" s="56" t="inlineStr">
        <is>
          <t>https://amazon.com/dp/B0DX2BSRYM</t>
        </is>
      </c>
      <c r="L235" s="70">
        <f>HYPERLINK(Table3258[[#This Row],[Column1]])</f>
        <v/>
      </c>
    </row>
    <row r="236" ht="60" customHeight="1" s="290">
      <c r="A236" s="30" t="inlineStr">
        <is>
          <t>iCarsoft E660 2025 Version 4 Systems OBD2 Scanner, ABS SRS Engine Transmission Car Code Reader with 6 Reset Service Clear Fault Codes Battery Test Diagnostic Scan Tools Lifetime Free Upgrade</t>
        </is>
      </c>
      <c r="B236" s="30" t="inlineStr">
        <is>
          <t>B0F9FP9KPH</t>
        </is>
      </c>
      <c r="C236" s="30" t="inlineStr">
        <is>
          <t>Handheld</t>
        </is>
      </c>
      <c r="D236" s="324" t="n">
        <v>133.55475</v>
      </c>
      <c r="E236" s="53" t="n">
        <v>119822.4438461539</v>
      </c>
      <c r="F236" s="53" t="n">
        <v>10684.38</v>
      </c>
      <c r="G236" s="55" t="n">
        <v>661</v>
      </c>
      <c r="H236" s="57" t="n">
        <v>80</v>
      </c>
      <c r="I236" s="55" t="n">
        <v>463</v>
      </c>
      <c r="J236" s="56" t="n">
        <v>4.3</v>
      </c>
      <c r="K236" s="56" t="inlineStr">
        <is>
          <t>https://amazon.com/dp/B0F9FP9KPH</t>
        </is>
      </c>
      <c r="L236" s="70">
        <f>HYPERLINK(Table3258[[#This Row],[Column1]])</f>
        <v/>
      </c>
    </row>
    <row r="237" ht="45" customHeight="1" s="290">
      <c r="A237" s="30" t="inlineStr">
        <is>
          <t>Bidirectional Diagnostic Tool for Porsche/Cayenne, iCarsoft 2026 POR V3.0 All System OBD2 Scanner, 27 Resets +12 Extra Services Battery Registration Code Reader for Porsche, Auto VIN</t>
        </is>
      </c>
      <c r="B237" s="30" t="inlineStr">
        <is>
          <t>B0D3DPDV86</t>
        </is>
      </c>
      <c r="C237" s="30" t="inlineStr">
        <is>
          <t>Tablet</t>
        </is>
      </c>
      <c r="D237" s="324" t="n">
        <v>184.1218461538461</v>
      </c>
      <c r="E237" s="53" t="n">
        <v>505870.76</v>
      </c>
      <c r="F237" s="53" t="n">
        <v>11967.92</v>
      </c>
      <c r="G237" s="55" t="n">
        <v>2445</v>
      </c>
      <c r="H237" s="57" t="n">
        <v>65</v>
      </c>
      <c r="I237" s="55" t="n">
        <v>784</v>
      </c>
      <c r="J237" s="56" t="n">
        <v>4.1</v>
      </c>
      <c r="K237" s="56" t="inlineStr">
        <is>
          <t>https://amazon.com/dp/B0D3DPDV86</t>
        </is>
      </c>
      <c r="L237" s="70">
        <f>HYPERLINK(Table3258[[#This Row],[Column1]])</f>
        <v/>
      </c>
    </row>
    <row r="238" ht="60" customHeight="1" s="290">
      <c r="A238" s="30" t="inlineStr">
        <is>
          <t>iCarsoft MB V4.0 Bidirectional Diagnostic Tool for Mercedes-Benz/Sprinter/Smart and 2 Extra Brands 38 Resets+26 Extra Service, 10 OBD2 Modes, Full System Scanner Battery Test/4-in-1 Live Data/Auto VIN</t>
        </is>
      </c>
      <c r="B238" s="30" t="inlineStr">
        <is>
          <t>B0FS6XSNP6</t>
        </is>
      </c>
      <c r="C238" s="30" t="inlineStr">
        <is>
          <t>Tablet</t>
        </is>
      </c>
      <c r="D238" s="324" t="n">
        <v>268.4403389830508</v>
      </c>
      <c r="E238" s="53" t="n">
        <v>160026.3730769231</v>
      </c>
      <c r="F238" s="53" t="n">
        <v>15837.98</v>
      </c>
      <c r="G238" s="55" t="n">
        <v>268</v>
      </c>
      <c r="H238" s="57" t="n">
        <v>59</v>
      </c>
      <c r="I238" s="55" t="n">
        <v>12</v>
      </c>
      <c r="J238" s="56" t="n">
        <v>3.4</v>
      </c>
      <c r="K238" s="56" t="inlineStr">
        <is>
          <t>https://amazon.com/dp/B0FS6XSNP6</t>
        </is>
      </c>
      <c r="L238" s="70">
        <f>HYPERLINK(Table3258[[#This Row],[Column1]])</f>
        <v/>
      </c>
    </row>
    <row r="239" ht="30" customHeight="1" s="290">
      <c r="A239" s="30" t="inlineStr">
        <is>
          <t>Bidirectional Diagnostic Tool for Porsche/BMW, iCarsoft POR V3.0 (Enhanced Ver) All System OBD2 Scanner Code Reader for Porsche, for BMW, Auto VIN</t>
        </is>
      </c>
      <c r="B239" s="30" t="inlineStr">
        <is>
          <t>B0DWFQ69VV</t>
        </is>
      </c>
      <c r="C239" s="30" t="inlineStr">
        <is>
          <t>Handheld</t>
        </is>
      </c>
      <c r="D239" s="324" t="n">
        <v>162.491568627451</v>
      </c>
      <c r="E239" s="53" t="n">
        <v>51563.52923076924</v>
      </c>
      <c r="F239" s="53" t="n">
        <v>8287.07</v>
      </c>
      <c r="G239" s="55" t="n">
        <v>157</v>
      </c>
      <c r="H239" s="57" t="n">
        <v>51</v>
      </c>
      <c r="I239" s="55" t="n">
        <v>5</v>
      </c>
      <c r="J239" s="56" t="n">
        <v>4.5</v>
      </c>
      <c r="K239" s="56" t="inlineStr">
        <is>
          <t>https://amazon.com/dp/B0DWFQ69VV</t>
        </is>
      </c>
      <c r="L239" s="70">
        <f>HYPERLINK(Table3258[[#This Row],[Column1]])</f>
        <v/>
      </c>
    </row>
    <row r="240" ht="45" customHeight="1" s="290">
      <c r="A240" s="30" t="inlineStr">
        <is>
          <t>iCarsoft POR V2.0 fit for Porsche/Cayenne/911 Full Systems Diagnostic Scan Tool, OBD2 Scanner with 8 Resets, Live Data, Battery Test Module Info, Lifetime F-Ree Update</t>
        </is>
      </c>
      <c r="B240" s="30" t="inlineStr">
        <is>
          <t>B0DXW2DJR6</t>
        </is>
      </c>
      <c r="C240" s="30" t="inlineStr">
        <is>
          <t>Tablet</t>
        </is>
      </c>
      <c r="D240" s="324" t="n">
        <v>169.1276086956522</v>
      </c>
      <c r="E240" s="53" t="n">
        <v>100905.5207692307</v>
      </c>
      <c r="F240" s="53" t="n">
        <v>7779.87</v>
      </c>
      <c r="G240" s="55" t="n">
        <v>349</v>
      </c>
      <c r="H240" s="57" t="n">
        <v>46</v>
      </c>
      <c r="I240" s="55" t="n">
        <v>7</v>
      </c>
      <c r="J240" s="56" t="n">
        <v>3.7</v>
      </c>
      <c r="K240" s="56" t="inlineStr">
        <is>
          <t>https://amazon.com/dp/B0DXW2DJR6</t>
        </is>
      </c>
      <c r="L240" s="70">
        <f>HYPERLINK(Table3258[[#This Row],[Column1]])</f>
        <v/>
      </c>
    </row>
    <row r="241" ht="60" customHeight="1" s="290">
      <c r="A241" s="30" t="inlineStr">
        <is>
          <t>iCarsoft MB V3.0 Bidirectional Diagnostic Tool for Mercedes-Benz/Sprinter/Smart/Maybach 38+ Service All Systems OBD2 Scanner Quick Scan Battery Test Full Actuation Test Auto VIN Free Lifetime Update</t>
        </is>
      </c>
      <c r="B241" s="30" t="inlineStr">
        <is>
          <t>B0FBWTJ9S4</t>
        </is>
      </c>
      <c r="C241" s="30" t="inlineStr">
        <is>
          <t>Tablet</t>
        </is>
      </c>
      <c r="D241" s="324" t="n">
        <v>191.595641025641</v>
      </c>
      <c r="E241" s="53" t="n">
        <v>82907.06923076924</v>
      </c>
      <c r="F241" s="53" t="n">
        <v>7472.23</v>
      </c>
      <c r="G241" s="55" t="n">
        <v>307</v>
      </c>
      <c r="H241" s="57" t="n">
        <v>39</v>
      </c>
      <c r="I241" s="55" t="n">
        <v>17</v>
      </c>
      <c r="J241" s="56" t="n">
        <v>4.2</v>
      </c>
      <c r="K241" s="56" t="inlineStr">
        <is>
          <t>https://amazon.com/dp/B0FBWTJ9S4</t>
        </is>
      </c>
      <c r="L241" s="70">
        <f>HYPERLINK(Table3258[[#This Row],[Column1]])</f>
        <v/>
      </c>
    </row>
    <row r="242" ht="60" customHeight="1" s="290">
      <c r="A242" s="30" t="inlineStr">
        <is>
          <t>iCarsoft MT V6 Motorcycle Diagnostic Scan Tool for Harley, All System Motorcycle OBD2 Scanner with 57Actuation Tests,43 Special Function, Oil/ETC/ABS/ESA/Engine Idle Resets,Battery Test</t>
        </is>
      </c>
      <c r="B242" s="30" t="inlineStr">
        <is>
          <t>B0DFQ4S4SH</t>
        </is>
      </c>
      <c r="C242" s="30" t="inlineStr">
        <is>
          <t>Tablet</t>
        </is>
      </c>
      <c r="D242" s="324" t="n">
        <v>199.8246153846154</v>
      </c>
      <c r="E242" s="53" t="n">
        <v>76468.07846153846</v>
      </c>
      <c r="F242" s="53" t="n">
        <v>7793.16</v>
      </c>
      <c r="G242" s="55" t="n">
        <v>249</v>
      </c>
      <c r="H242" s="57" t="n">
        <v>39</v>
      </c>
      <c r="I242" s="55" t="n">
        <v>21</v>
      </c>
      <c r="J242" s="56" t="n">
        <v>3.2</v>
      </c>
      <c r="K242" s="56" t="inlineStr">
        <is>
          <t>https://amazon.com/dp/B0DFQ4S4SH</t>
        </is>
      </c>
      <c r="L242" s="70">
        <f>HYPERLINK(Table3258[[#This Row],[Column1]])</f>
        <v/>
      </c>
    </row>
    <row r="243" ht="45" customHeight="1" s="290">
      <c r="A243" s="30" t="inlineStr">
        <is>
          <t>iCarsoft 38 PIN Diagnostic Adapter for Benz OBD I Multi Systems diagnose 38 Pin Male to 16 Pin Female OBDII Connector</t>
        </is>
      </c>
      <c r="B243" s="30" t="inlineStr">
        <is>
          <t>B07SX7QHS9</t>
        </is>
      </c>
      <c r="C243" s="30" t="inlineStr">
        <is>
          <t>Cable/Adapter</t>
        </is>
      </c>
      <c r="D243" s="324" t="n">
        <v>58.0972972972973</v>
      </c>
      <c r="E243" s="53" t="n">
        <v>24716.37</v>
      </c>
      <c r="F243" s="53" t="n">
        <v>2149.6</v>
      </c>
      <c r="G243" s="55" t="n">
        <v>432</v>
      </c>
      <c r="H243" s="57" t="n">
        <v>37</v>
      </c>
      <c r="I243" s="55" t="n">
        <v>255</v>
      </c>
      <c r="J243" s="56" t="n">
        <v>4.5</v>
      </c>
      <c r="K243" s="56" t="inlineStr">
        <is>
          <t>https://amazon.com/dp/B07SX7QHS9</t>
        </is>
      </c>
      <c r="L243" s="70">
        <f>HYPERLINK(Table3258[[#This Row],[Column1]])</f>
        <v/>
      </c>
    </row>
    <row r="244" ht="45" customHeight="1" s="290">
      <c r="A244" s="30" t="inlineStr">
        <is>
          <t>iCarsoft CR Pro+ All System Diagnostic Bidirectional Scan Tool for All Cars, 49 Resets+46 Extra Services+Active Test OBD2 Scanner+ECU Coding for BMW/Audi/VW-Oil/ETC/EPB/BMS/TPMS, etc. Free Update</t>
        </is>
      </c>
      <c r="B244" s="30" t="inlineStr">
        <is>
          <t>B0D3HDJQ9P</t>
        </is>
      </c>
      <c r="C244" s="30" t="inlineStr">
        <is>
          <t>Tablet</t>
        </is>
      </c>
      <c r="D244" s="324" t="n">
        <v>299.4294594594595</v>
      </c>
      <c r="E244" s="53" t="n">
        <v>226905.89</v>
      </c>
      <c r="F244" s="53" t="n">
        <v>11078.89</v>
      </c>
      <c r="G244" s="55" t="n">
        <v>747</v>
      </c>
      <c r="H244" s="57" t="n">
        <v>37</v>
      </c>
      <c r="I244" s="55" t="n">
        <v>35</v>
      </c>
      <c r="J244" s="56" t="n">
        <v>4.2</v>
      </c>
      <c r="K244" s="56" t="inlineStr">
        <is>
          <t>https://amazon.com/dp/B0D3HDJQ9P</t>
        </is>
      </c>
      <c r="L244" s="70">
        <f>HYPERLINK(Table3258[[#This Row],[Column1]])</f>
        <v/>
      </c>
    </row>
    <row r="245" ht="45" customHeight="1" s="290">
      <c r="A245" s="30" t="inlineStr">
        <is>
          <t>iCarsoft MB V2.0 OBD2 Scanner Diagnostic Tool for Benz/Sprinter/Smart, Full System Code Reader with 8 Resets, Auto VIN, Oil/SAS/EPB/ETC/BLD/INJ/SAS/TPMS, Free Update, Live Data, Battery Test</t>
        </is>
      </c>
      <c r="B245" s="30" t="inlineStr">
        <is>
          <t>B0FPF9S6RV</t>
        </is>
      </c>
      <c r="C245" s="30" t="inlineStr">
        <is>
          <t>Tablet</t>
        </is>
      </c>
      <c r="D245" s="324" t="n">
        <v>170.3544117647059</v>
      </c>
      <c r="E245" s="53" t="n">
        <v>58367.83384615384</v>
      </c>
      <c r="F245" s="53" t="n">
        <v>5792.05</v>
      </c>
      <c r="G245" s="55" t="n">
        <v>133</v>
      </c>
      <c r="H245" s="57" t="n">
        <v>34</v>
      </c>
      <c r="I245" s="55" t="n">
        <v>5</v>
      </c>
      <c r="J245" s="56" t="n">
        <v>4.5</v>
      </c>
      <c r="K245" s="56" t="inlineStr">
        <is>
          <t>https://amazon.com/dp/B0FPF9S6RV</t>
        </is>
      </c>
      <c r="L245" s="70">
        <f>HYPERLINK(Table3258[[#This Row],[Column1]])</f>
        <v/>
      </c>
    </row>
    <row r="246" ht="30" customHeight="1" s="290">
      <c r="A246" s="30" t="inlineStr">
        <is>
          <t>OBD2 Diagnostic Scan Tool for Mercedes Benz/Sprinter, iCarsoft M900 V2.0 Scanner Code Reader for Engine, Transmission, ABS, Airbag Systems, Oil/SAS/EPB/ETC/INJ Reset,Battery Test</t>
        </is>
      </c>
      <c r="B246" s="30" t="inlineStr">
        <is>
          <t>B07BFPKLMY</t>
        </is>
      </c>
      <c r="C246" s="30" t="inlineStr">
        <is>
          <t>Tablet</t>
        </is>
      </c>
      <c r="D246" s="324" t="n">
        <v>151.7615151515151</v>
      </c>
      <c r="E246" s="53" t="n">
        <v>73636.83</v>
      </c>
      <c r="F246" s="53" t="n">
        <v>5008.13</v>
      </c>
      <c r="G246" s="55" t="n">
        <v>529</v>
      </c>
      <c r="H246" s="57" t="n">
        <v>33</v>
      </c>
      <c r="I246" s="55" t="n">
        <v>154</v>
      </c>
      <c r="J246" s="56" t="n">
        <v>4</v>
      </c>
      <c r="K246" s="56" t="inlineStr">
        <is>
          <t>https://amazon.com/dp/B07BFPKLMY</t>
        </is>
      </c>
      <c r="L246" s="70">
        <f>HYPERLINK(Table3258[[#This Row],[Column1]])</f>
        <v/>
      </c>
    </row>
    <row r="247" ht="45" customHeight="1" s="290">
      <c r="A247" s="30" t="inlineStr">
        <is>
          <t>iCarsoft LR V3.0 2026 Version Bidirectional OBD2 Scanner for Most Land Rover/Jaguar from 1996-2023 Full Systems 37 Service Diagnostic Scan Tool Graphic Data Car Code Reader with Lifetime Free Update</t>
        </is>
      </c>
      <c r="B247" s="30" t="inlineStr">
        <is>
          <t>B0FZ8JJY1T</t>
        </is>
      </c>
      <c r="C247" s="30" t="inlineStr">
        <is>
          <t>Tablet</t>
        </is>
      </c>
      <c r="D247" s="324" t="n">
        <v>218.8990625</v>
      </c>
      <c r="E247" s="53" t="n">
        <v>93506.13230769234</v>
      </c>
      <c r="F247" s="53" t="n">
        <v>7004.77</v>
      </c>
      <c r="G247" s="55" t="n">
        <v>190</v>
      </c>
      <c r="H247" s="57" t="n">
        <v>32</v>
      </c>
      <c r="I247" s="55" t="n">
        <v>5</v>
      </c>
      <c r="J247" s="56" t="n">
        <v>3.8</v>
      </c>
      <c r="K247" s="56" t="inlineStr">
        <is>
          <t>https://amazon.com/dp/B0FZ8JJY1T</t>
        </is>
      </c>
      <c r="L247" s="70">
        <f>HYPERLINK(Table3258[[#This Row],[Column1]])</f>
        <v/>
      </c>
    </row>
    <row r="248" ht="45" customHeight="1" s="290">
      <c r="A248" s="30" t="inlineStr">
        <is>
          <t>iCarsoft VOL V 4.0 Diagnostic Scan Tool for Volvo/SAAB + 2 Car Brand Vehicles, OBD2 Scanner with 29 Resets (317 Sub-Services) +234 Extra Services, 1599 Bidirectional Test Items, All System Diagnose</t>
        </is>
      </c>
      <c r="B248" s="30" t="inlineStr">
        <is>
          <t>B0G4M4L59R</t>
        </is>
      </c>
      <c r="C248" s="30" t="inlineStr">
        <is>
          <t>Tablet</t>
        </is>
      </c>
      <c r="D248" s="324" t="n">
        <v>267.7313793103448</v>
      </c>
      <c r="E248" s="53" t="n">
        <v>86600.80384615385</v>
      </c>
      <c r="F248" s="53" t="n">
        <v>7764.21</v>
      </c>
      <c r="G248" s="55" t="n">
        <v>29</v>
      </c>
      <c r="H248" s="57" t="n">
        <v>29</v>
      </c>
      <c r="I248" s="55" t="n"/>
      <c r="J248" s="56" t="n"/>
      <c r="K248" s="56" t="inlineStr">
        <is>
          <t>https://amazon.com/dp/B0G4M4L59R</t>
        </is>
      </c>
      <c r="L248" s="70">
        <f>HYPERLINK(Table3258[[#This Row],[Column1]])</f>
        <v/>
      </c>
    </row>
    <row r="249" ht="30" customHeight="1" s="290">
      <c r="A249" s="30" t="inlineStr">
        <is>
          <t>iCarsoft MB II OBD2 Scanner for Mercedes Benz/Sprinter/Smart, All System in-Depth Diagnostic Scan Tool, with Oil Reset/SAS/EPB/ETC/DF/BLD/INJ, Battery Test, Live Graph Data</t>
        </is>
      </c>
      <c r="B249" s="30" t="inlineStr">
        <is>
          <t>B0D769KCX6</t>
        </is>
      </c>
      <c r="C249" s="30" t="inlineStr">
        <is>
          <t>Tablet</t>
        </is>
      </c>
      <c r="D249" s="324" t="n">
        <v>145.4282142857143</v>
      </c>
      <c r="E249" s="53" t="n">
        <v>41537.39999999999</v>
      </c>
      <c r="F249" s="53" t="n">
        <v>4071.99</v>
      </c>
      <c r="G249" s="55" t="n">
        <v>266</v>
      </c>
      <c r="H249" s="57" t="n">
        <v>28</v>
      </c>
      <c r="I249" s="55" t="n">
        <v>60</v>
      </c>
      <c r="J249" s="56" t="n">
        <v>3.8</v>
      </c>
      <c r="K249" s="56" t="inlineStr">
        <is>
          <t>https://amazon.com/dp/B0D769KCX6</t>
        </is>
      </c>
      <c r="L249" s="70">
        <f>HYPERLINK(Table3258[[#This Row],[Column1]])</f>
        <v/>
      </c>
    </row>
    <row r="250" ht="45" customHeight="1" s="290">
      <c r="A250" s="30" t="inlineStr">
        <is>
          <t>Heavy Duty Truck Scanner, iCarsoft HD V3.0 (Enhance Version) Multi-System OBD2 Diagnostic Scan Tool for Truck, Car, Mini Van, Light Duty Vehicle,</t>
        </is>
      </c>
      <c r="B250" s="30" t="inlineStr">
        <is>
          <t>B075FGMWTV</t>
        </is>
      </c>
      <c r="C250" s="30" t="inlineStr">
        <is>
          <t>Handheld</t>
        </is>
      </c>
      <c r="D250" s="324" t="n">
        <v>91.00777777777778</v>
      </c>
      <c r="E250" s="53" t="n">
        <v>23462.30538461538</v>
      </c>
      <c r="F250" s="53" t="n">
        <v>2457.21</v>
      </c>
      <c r="G250" s="55" t="n">
        <v>134</v>
      </c>
      <c r="H250" s="57" t="n">
        <v>27</v>
      </c>
      <c r="I250" s="55" t="n">
        <v>109</v>
      </c>
      <c r="J250" s="56" t="n">
        <v>3.8</v>
      </c>
      <c r="K250" s="56" t="inlineStr">
        <is>
          <t>https://amazon.com/dp/B075FGMWTV</t>
        </is>
      </c>
      <c r="L250" s="70">
        <f>HYPERLINK(Table3258[[#This Row],[Column1]])</f>
        <v/>
      </c>
    </row>
    <row r="251" ht="45" customHeight="1" s="290">
      <c r="A251" s="30" t="inlineStr">
        <is>
          <t>iCarsoft LR V3.0 2026 Ver Bidirectional OBD2 Scanner for Most Land Rover/Jaguar from 1996-2023 Full Systems Diagnostic Scan Tool 37 Service/118 Graphic Data Engine Transmission ABS Car Code Reader</t>
        </is>
      </c>
      <c r="B251" s="30" t="inlineStr">
        <is>
          <t>B0DBDDLS9F</t>
        </is>
      </c>
      <c r="C251" s="30" t="inlineStr">
        <is>
          <t>Tablet</t>
        </is>
      </c>
      <c r="D251" s="324" t="n">
        <v>187.6280769230769</v>
      </c>
      <c r="E251" s="53" t="n">
        <v>273399.64</v>
      </c>
      <c r="F251" s="53" t="n">
        <v>4878.33</v>
      </c>
      <c r="G251" s="55" t="n">
        <v>1341</v>
      </c>
      <c r="H251" s="57" t="n">
        <v>26</v>
      </c>
      <c r="I251" s="55" t="n">
        <v>202</v>
      </c>
      <c r="J251" s="56" t="n">
        <v>4.3</v>
      </c>
      <c r="K251" s="56" t="inlineStr">
        <is>
          <t>https://amazon.com/dp/B0DBDDLS9F</t>
        </is>
      </c>
      <c r="L251" s="70">
        <f>HYPERLINK(Table3258[[#This Row],[Column1]])</f>
        <v/>
      </c>
    </row>
    <row r="252" ht="30" customHeight="1" s="290">
      <c r="A252" s="30" t="inlineStr">
        <is>
          <t>iCarsoft LR V4.0 Full Systems Bidirectional Diagnostic Scan Tool for Most Land Rover/Jaguar and Other 2 Car Makes from 1996-2023 Automotive OBD2 Scanner Up to 51 Service Graphic Data Car Code Reader</t>
        </is>
      </c>
      <c r="B252" s="30" t="inlineStr">
        <is>
          <t>B0FS6NB462</t>
        </is>
      </c>
      <c r="C252" s="30" t="inlineStr">
        <is>
          <t>Handheld</t>
        </is>
      </c>
      <c r="D252" s="324" t="n">
        <v>273.8068</v>
      </c>
      <c r="E252" s="53" t="n">
        <v>95545.27769230767</v>
      </c>
      <c r="F252" s="53" t="n">
        <v>6845.17</v>
      </c>
      <c r="G252" s="55" t="n">
        <v>167</v>
      </c>
      <c r="H252" s="57" t="n">
        <v>25</v>
      </c>
      <c r="I252" s="55" t="n">
        <v>4</v>
      </c>
      <c r="J252" s="56" t="n">
        <v>2.9</v>
      </c>
      <c r="K252" s="56" t="inlineStr">
        <is>
          <t>https://amazon.com/dp/B0FS6NB462</t>
        </is>
      </c>
      <c r="L252" s="70">
        <f>HYPERLINK(Table3258[[#This Row],[Column1]])</f>
        <v/>
      </c>
    </row>
    <row r="253" ht="45" customHeight="1" s="290">
      <c r="A253" s="30" t="inlineStr">
        <is>
          <t>iCarsoft MB V4.0 Full System Bidirectional Diagnostic Scan Tool for Most Benz/Sprinter/Smart and Other 2 Car Makes from 1996-2023 Automotive OBD2 Scanner Up to 42 Service Graphic Data Car Code Reader</t>
        </is>
      </c>
      <c r="B253" s="30" t="inlineStr">
        <is>
          <t>B0G4MR79SY</t>
        </is>
      </c>
      <c r="C253" s="30" t="inlineStr">
        <is>
          <t>Handheld</t>
        </is>
      </c>
      <c r="D253" s="324" t="n">
        <v>266.59625</v>
      </c>
      <c r="E253" s="53" t="n">
        <v>86952.84307692311</v>
      </c>
      <c r="F253" s="53" t="n">
        <v>6398.31</v>
      </c>
      <c r="G253" s="55" t="n">
        <v>103</v>
      </c>
      <c r="H253" s="57" t="n">
        <v>24</v>
      </c>
      <c r="I253" s="55" t="n">
        <v>4</v>
      </c>
      <c r="J253" s="56" t="n">
        <v>3</v>
      </c>
      <c r="K253" s="56" t="inlineStr">
        <is>
          <t>https://amazon.com/dp/B0G4MR79SY</t>
        </is>
      </c>
      <c r="L253" s="70">
        <f>HYPERLINK(Table3258[[#This Row],[Column1]])</f>
        <v/>
      </c>
    </row>
    <row r="254" ht="30" customHeight="1" s="290">
      <c r="A254" s="30" t="inlineStr">
        <is>
          <t>iCarsoft CR Genius 5'' Multi-Brand Vehicle Multi-Systems/Quick Test/Actuation Test/Touch Screen Car Diagnostic Scan Tool</t>
        </is>
      </c>
      <c r="B254" s="30" t="inlineStr">
        <is>
          <t>B09RZKRQP5</t>
        </is>
      </c>
      <c r="C254" s="30" t="inlineStr">
        <is>
          <t>Tablet</t>
        </is>
      </c>
      <c r="D254" s="324" t="n">
        <v>277.6604166666667</v>
      </c>
      <c r="E254" s="53" t="n">
        <v>98843.16</v>
      </c>
      <c r="F254" s="53" t="n">
        <v>6663.85</v>
      </c>
      <c r="G254" s="55" t="n">
        <v>307</v>
      </c>
      <c r="H254" s="57" t="n">
        <v>24</v>
      </c>
      <c r="I254" s="55" t="n">
        <v>232</v>
      </c>
      <c r="J254" s="56" t="n">
        <v>4.1</v>
      </c>
      <c r="K254" s="56" t="inlineStr">
        <is>
          <t>https://amazon.com/dp/B09RZKRQP5</t>
        </is>
      </c>
      <c r="L254" s="70">
        <f>HYPERLINK(Table3258[[#This Row],[Column1]])</f>
        <v/>
      </c>
    </row>
    <row r="255" ht="45" customHeight="1" s="290">
      <c r="A255" s="30" t="inlineStr">
        <is>
          <t>iCarsoft MBII for Mercedes Benz, Reads and Clears Trouble Codes, EPB,SAS, ETC Reset</t>
        </is>
      </c>
      <c r="B255" s="30" t="inlineStr">
        <is>
          <t>B074224KTH</t>
        </is>
      </c>
      <c r="C255" s="30" t="inlineStr">
        <is>
          <t>Tablet</t>
        </is>
      </c>
      <c r="D255" s="324" t="n">
        <v>139.2725</v>
      </c>
      <c r="E255" s="53" t="n">
        <v>57061.17999999999</v>
      </c>
      <c r="F255" s="53" t="n">
        <v>3342.54</v>
      </c>
      <c r="G255" s="55" t="n">
        <v>438</v>
      </c>
      <c r="H255" s="57" t="n">
        <v>24</v>
      </c>
      <c r="I255" s="55" t="n">
        <v>591</v>
      </c>
      <c r="J255" s="56" t="n">
        <v>4.2</v>
      </c>
      <c r="K255" s="56" t="inlineStr">
        <is>
          <t>https://amazon.com/dp/B074224KTH</t>
        </is>
      </c>
      <c r="L255" s="70">
        <f>HYPERLINK(Table3258[[#This Row],[Column1]])</f>
        <v/>
      </c>
    </row>
    <row r="256" ht="45" customHeight="1" s="290">
      <c r="A256" s="30" t="inlineStr">
        <is>
          <t>iCarsoft POR-II Porsche OBD-II Scanner Tool Multi-systems ABS SRS</t>
        </is>
      </c>
      <c r="B256" s="30" t="inlineStr">
        <is>
          <t>B011DKBXBK</t>
        </is>
      </c>
      <c r="C256" s="30" t="inlineStr">
        <is>
          <t>Tablet</t>
        </is>
      </c>
      <c r="D256" s="324" t="n">
        <v>119.64</v>
      </c>
      <c r="E256" s="53" t="n">
        <v>28897.44</v>
      </c>
      <c r="F256" s="53" t="n">
        <v>2751.72</v>
      </c>
      <c r="G256" s="55" t="n">
        <v>212</v>
      </c>
      <c r="H256" s="57" t="n">
        <v>23</v>
      </c>
      <c r="I256" s="55" t="n">
        <v>705</v>
      </c>
      <c r="J256" s="56" t="n">
        <v>4.1</v>
      </c>
      <c r="K256" s="56" t="inlineStr">
        <is>
          <t>https://amazon.com/dp/B011DKBXBK</t>
        </is>
      </c>
      <c r="L256" s="70">
        <f>HYPERLINK(Table3258[[#This Row],[Column1]])</f>
        <v/>
      </c>
    </row>
    <row r="257" ht="45" customHeight="1" s="290">
      <c r="A257" s="30" t="inlineStr">
        <is>
          <t>iCarsoft Bidirectional Scan Tool, CR Max OBD2 Diagnostic Scanner for All Vehicles, Full System 49 Resets+46 Extra Services, 40000+Active Tests,ECU Coding, Battery Registration, Oil Reset/ABS,CAN FD</t>
        </is>
      </c>
      <c r="B257" s="30" t="inlineStr">
        <is>
          <t>B0D1BJTGLL</t>
        </is>
      </c>
      <c r="C257" s="30" t="inlineStr">
        <is>
          <t>Tablet</t>
        </is>
      </c>
      <c r="D257" s="324" t="n">
        <v>365.9238095238095</v>
      </c>
      <c r="E257" s="53" t="n">
        <v>133372.8223076923</v>
      </c>
      <c r="F257" s="53" t="n">
        <v>7684.4</v>
      </c>
      <c r="G257" s="55" t="n">
        <v>337</v>
      </c>
      <c r="H257" s="57" t="n">
        <v>21</v>
      </c>
      <c r="I257" s="55" t="n">
        <v>230</v>
      </c>
      <c r="J257" s="56" t="n">
        <v>4.2</v>
      </c>
      <c r="K257" s="56" t="inlineStr">
        <is>
          <t>https://amazon.com/dp/B0D1BJTGLL</t>
        </is>
      </c>
      <c r="L257" s="70">
        <f>HYPERLINK(Table3258[[#This Row],[Column1]])</f>
        <v/>
      </c>
    </row>
    <row r="258" ht="45" customHeight="1" s="290">
      <c r="A258" s="30" t="inlineStr">
        <is>
          <t>OBD2 Scanner Diagnostic Tool for Porsche/Cayenne, iCarsoft POR V2.0 Code Reader Battery Registration for Porsche, All System in-Depth Scan, with Oil Reset/SAS/EPB/BMS/ETC/DP/BLD/INJ, Battery Test</t>
        </is>
      </c>
      <c r="B258" s="30" t="inlineStr">
        <is>
          <t>B0D766QB7N</t>
        </is>
      </c>
      <c r="C258" s="30" t="inlineStr">
        <is>
          <t>Tablet</t>
        </is>
      </c>
      <c r="D258" s="324" t="n">
        <v>142.9355</v>
      </c>
      <c r="E258" s="53" t="n">
        <v>75029.50769230768</v>
      </c>
      <c r="F258" s="53" t="n">
        <v>2858.71</v>
      </c>
      <c r="G258" s="55" t="n">
        <v>416</v>
      </c>
      <c r="H258" s="57" t="n">
        <v>20</v>
      </c>
      <c r="I258" s="55" t="n">
        <v>35</v>
      </c>
      <c r="J258" s="56" t="n">
        <v>3.9</v>
      </c>
      <c r="K258" s="56" t="inlineStr">
        <is>
          <t>https://amazon.com/dp/B0D766QB7N</t>
        </is>
      </c>
      <c r="L258" s="70">
        <f>HYPERLINK(Table3258[[#This Row],[Column1]])</f>
        <v/>
      </c>
    </row>
    <row r="259" ht="30" customHeight="1" s="290">
      <c r="A259" s="30" t="inlineStr">
        <is>
          <t>iCarsoft CR Max BT Wireless OBD2 Scanner, All System Car Diagnostic Tool, 49 Reset+Extra 46 Service, 40000+Bidirectional Tests, ECU Coding, Battery Registration,CANFD, Auto VIN, Free Update</t>
        </is>
      </c>
      <c r="B259" s="30" t="inlineStr">
        <is>
          <t>B0D1BTBQZN</t>
        </is>
      </c>
      <c r="C259" s="30" t="inlineStr">
        <is>
          <t>Tablet</t>
        </is>
      </c>
      <c r="D259" s="324" t="n">
        <v>416.338947368421</v>
      </c>
      <c r="E259" s="53" t="n">
        <v>119633.85</v>
      </c>
      <c r="F259" s="53" t="n">
        <v>7910.44</v>
      </c>
      <c r="G259" s="55" t="n">
        <v>263</v>
      </c>
      <c r="H259" s="57" t="n">
        <v>19</v>
      </c>
      <c r="I259" s="55" t="n">
        <v>76</v>
      </c>
      <c r="J259" s="56" t="n">
        <v>4.3</v>
      </c>
      <c r="K259" s="56" t="inlineStr">
        <is>
          <t>https://amazon.com/dp/B0D1BTBQZN</t>
        </is>
      </c>
      <c r="L259" s="70">
        <f>HYPERLINK(Table3258[[#This Row],[Column1]])</f>
        <v/>
      </c>
    </row>
    <row r="260" ht="30" customHeight="1" s="290">
      <c r="A260" s="30" t="inlineStr">
        <is>
          <t>iCarsoft CR Plus OBD2 Scanner Diagnostic Tool, Code Reader for ABS Transmission Engine Airbag System. Car Scan Tool with EVAP and O2 Sensor Test,On-Board,Freeze Frame,Oil Reset-Free Update</t>
        </is>
      </c>
      <c r="B260" s="30" t="inlineStr">
        <is>
          <t>B0D1CS59GX</t>
        </is>
      </c>
      <c r="C260" s="30" t="inlineStr">
        <is>
          <t>Tablet</t>
        </is>
      </c>
      <c r="D260" s="324" t="n">
        <v>203.9894444444444</v>
      </c>
      <c r="E260" s="53" t="n">
        <v>48352.04000000001</v>
      </c>
      <c r="F260" s="53" t="n">
        <v>3671.81</v>
      </c>
      <c r="G260" s="55" t="n">
        <v>231</v>
      </c>
      <c r="H260" s="57" t="n">
        <v>18</v>
      </c>
      <c r="I260" s="55" t="n">
        <v>10</v>
      </c>
      <c r="J260" s="56" t="n">
        <v>4.1</v>
      </c>
      <c r="K260" s="56" t="inlineStr">
        <is>
          <t>https://amazon.com/dp/B0D1CS59GX</t>
        </is>
      </c>
      <c r="L260" s="70">
        <f>HYPERLINK(Table3258[[#This Row],[Column1]])</f>
        <v/>
      </c>
    </row>
    <row r="261" ht="45" customHeight="1" s="290">
      <c r="A261" s="30" t="inlineStr">
        <is>
          <t>iCarsoft Professional Multi-System Auto Diagnostic Tool LR V2.0 Compatible for Landrover/Jaguar ABS SRS Oil Reset Update for LR II</t>
        </is>
      </c>
      <c r="B261" s="30" t="inlineStr">
        <is>
          <t>B0791CF7T7</t>
        </is>
      </c>
      <c r="C261" s="30" t="inlineStr">
        <is>
          <t>Tablet</t>
        </is>
      </c>
      <c r="D261" s="324" t="n">
        <v>129.6738888888889</v>
      </c>
      <c r="E261" s="53" t="n">
        <v>21470.6</v>
      </c>
      <c r="F261" s="53" t="n">
        <v>2334.13</v>
      </c>
      <c r="G261" s="55" t="n">
        <v>159</v>
      </c>
      <c r="H261" s="57" t="n">
        <v>18</v>
      </c>
      <c r="I261" s="55" t="n">
        <v>438</v>
      </c>
      <c r="J261" s="56" t="n">
        <v>4.2</v>
      </c>
      <c r="K261" s="56" t="inlineStr">
        <is>
          <t>https://amazon.com/dp/B0791CF7T7</t>
        </is>
      </c>
      <c r="L261" s="70">
        <f>HYPERLINK(Table3258[[#This Row],[Column1]])</f>
        <v/>
      </c>
    </row>
    <row r="262" ht="30" customHeight="1" s="290">
      <c r="A262" s="30" t="inlineStr">
        <is>
          <t>iCarsoft VOL V2.0 OBD2 Scanner for Volvo/SAAB, Auto in-Depth Full Systems Scan OBD2 Diagnostic Tool, 118 Graph Data/Battery Test/Reset, ABS SRS Engine Transmission Code Reader</t>
        </is>
      </c>
      <c r="B262" s="30" t="inlineStr">
        <is>
          <t>B0DJRBLN3Y</t>
        </is>
      </c>
      <c r="C262" s="30" t="inlineStr">
        <is>
          <t>Tablet</t>
        </is>
      </c>
      <c r="D262" s="324" t="n">
        <v>159.96375</v>
      </c>
      <c r="E262" s="53" t="n">
        <v>20600.64153846154</v>
      </c>
      <c r="F262" s="53" t="n">
        <v>2559.42</v>
      </c>
      <c r="G262" s="55" t="n">
        <v>109</v>
      </c>
      <c r="H262" s="57" t="n">
        <v>16</v>
      </c>
      <c r="I262" s="55" t="n">
        <v>785</v>
      </c>
      <c r="J262" s="56" t="n">
        <v>4</v>
      </c>
      <c r="K262" s="56" t="inlineStr">
        <is>
          <t>https://amazon.com/dp/B0DJRBLN3Y</t>
        </is>
      </c>
      <c r="L262" s="70">
        <f>HYPERLINK(Table3258[[#This Row],[Column1]])</f>
        <v/>
      </c>
    </row>
    <row r="263" ht="45" customHeight="1" s="290">
      <c r="A263" s="30" t="inlineStr">
        <is>
          <t>iCarsoft POR V3.0(Upgraded) Bidirectional Diagnostic Tool for Porsche, 27 Resets (234Sub-Resets) + 66 Extra Services + 1333Test Items, All System OBD2 Scanner, Battery Registration Code Reader</t>
        </is>
      </c>
      <c r="B263" s="30" t="inlineStr">
        <is>
          <t>B0FRF2ZMMG</t>
        </is>
      </c>
      <c r="C263" s="30" t="inlineStr">
        <is>
          <t>Tablet</t>
        </is>
      </c>
      <c r="D263" s="324" t="n">
        <v>223.2713333333333</v>
      </c>
      <c r="E263" s="53" t="n">
        <v>47989.57307692309</v>
      </c>
      <c r="F263" s="53" t="n">
        <v>3349.07</v>
      </c>
      <c r="G263" s="55" t="n">
        <v>91</v>
      </c>
      <c r="H263" s="57" t="n">
        <v>15</v>
      </c>
      <c r="I263" s="55" t="n">
        <v>1</v>
      </c>
      <c r="J263" s="56" t="n">
        <v>5</v>
      </c>
      <c r="K263" s="56" t="inlineStr">
        <is>
          <t>https://amazon.com/dp/B0FRF2ZMMG</t>
        </is>
      </c>
      <c r="L263" s="70">
        <f>HYPERLINK(Table3258[[#This Row],[Column1]])</f>
        <v/>
      </c>
    </row>
    <row r="264" ht="45" customHeight="1" s="290">
      <c r="A264" s="30" t="inlineStr">
        <is>
          <t>iCarsoft LR V3.0 for Land Rover/Jaguar Diagnostic Tool with auto VIN/Quick Test/Actuation Test</t>
        </is>
      </c>
      <c r="B264" s="30" t="inlineStr">
        <is>
          <t>B08R9MG5JM</t>
        </is>
      </c>
      <c r="C264" s="30" t="inlineStr">
        <is>
          <t>Tablet</t>
        </is>
      </c>
      <c r="D264" s="324" t="n">
        <v>171.7313333333333</v>
      </c>
      <c r="E264" s="53" t="n">
        <v>59752.15</v>
      </c>
      <c r="F264" s="53" t="n">
        <v>2575.97</v>
      </c>
      <c r="G264" s="55" t="n">
        <v>327</v>
      </c>
      <c r="H264" s="57" t="n">
        <v>15</v>
      </c>
      <c r="I264" s="55" t="n">
        <v>348</v>
      </c>
      <c r="J264" s="56" t="n">
        <v>3.9</v>
      </c>
      <c r="K264" s="56" t="inlineStr">
        <is>
          <t>https://amazon.com/dp/B08R9MG5JM</t>
        </is>
      </c>
      <c r="L264" s="70">
        <f>HYPERLINK(Table3258[[#This Row],[Column1]])</f>
        <v/>
      </c>
    </row>
    <row r="265" ht="45" customHeight="1" s="290">
      <c r="A265" s="30" t="inlineStr">
        <is>
          <t>iCarsoft POR V3.0 for Porsche/Cayenne Diagnostic Tool with auto VIN/Quick Test</t>
        </is>
      </c>
      <c r="B265" s="30" t="inlineStr">
        <is>
          <t>B08ZHWHKPP</t>
        </is>
      </c>
      <c r="C265" s="30" t="inlineStr">
        <is>
          <t>Tablet</t>
        </is>
      </c>
      <c r="D265" s="324" t="n">
        <v>182.366</v>
      </c>
      <c r="E265" s="53" t="n">
        <v>42975.75000000001</v>
      </c>
      <c r="F265" s="53" t="n">
        <v>2735.49</v>
      </c>
      <c r="G265" s="55" t="n">
        <v>229</v>
      </c>
      <c r="H265" s="57" t="n">
        <v>15</v>
      </c>
      <c r="I265" s="55" t="n">
        <v>152</v>
      </c>
      <c r="J265" s="56" t="n">
        <v>4</v>
      </c>
      <c r="K265" s="56" t="inlineStr">
        <is>
          <t>https://amazon.com/dp/B08ZHWHKPP</t>
        </is>
      </c>
      <c r="L265" s="70">
        <f>HYPERLINK(Table3258[[#This Row],[Column1]])</f>
        <v/>
      </c>
    </row>
    <row r="266" ht="45" customHeight="1" s="290">
      <c r="A266" s="30" t="inlineStr">
        <is>
          <t>iCarsoft Genuine Mercedes Benz I980 Professional Diagnostic Scanner Tool</t>
        </is>
      </c>
      <c r="B266" s="30" t="inlineStr">
        <is>
          <t>B00IUIDFSS</t>
        </is>
      </c>
      <c r="C266" s="30" t="inlineStr">
        <is>
          <t>Handheld</t>
        </is>
      </c>
      <c r="D266" s="324" t="n">
        <v>109.5392857142857</v>
      </c>
      <c r="E266" s="53" t="n">
        <v>18773.38</v>
      </c>
      <c r="F266" s="53" t="n">
        <v>1533.55</v>
      </c>
      <c r="G266" s="55" t="n">
        <v>168</v>
      </c>
      <c r="H266" s="57" t="n">
        <v>14</v>
      </c>
      <c r="I266" s="55" t="n">
        <v>1101</v>
      </c>
      <c r="J266" s="56" t="n">
        <v>4.2</v>
      </c>
      <c r="K266" s="56" t="inlineStr">
        <is>
          <t>https://amazon.com/dp/B00IUIDFSS</t>
        </is>
      </c>
      <c r="L266" s="70">
        <f>HYPERLINK(Table3258[[#This Row],[Column1]])</f>
        <v/>
      </c>
    </row>
    <row r="267" ht="30" customHeight="1" s="290">
      <c r="A267" s="30" t="inlineStr">
        <is>
          <t>iCarsoft MT V6 Motorcycle Diagnostic Scan Tool for Ducati, All System Diagnose Motorcycle Scanner with 101 Active Tests, 85 Maintenance Services, Read/Clear Codes,Battery Test,for 99% Ducati Models</t>
        </is>
      </c>
      <c r="B267" s="30" t="inlineStr">
        <is>
          <t>B0FPQMYTNG</t>
        </is>
      </c>
      <c r="C267" s="30" t="inlineStr">
        <is>
          <t>Tablet</t>
        </is>
      </c>
      <c r="D267" s="324" t="n">
        <v>193.6321428571428</v>
      </c>
      <c r="E267" s="53" t="n">
        <v>25249.63461538461</v>
      </c>
      <c r="F267" s="53" t="n">
        <v>2710.85</v>
      </c>
      <c r="G267" s="55" t="n">
        <v>26</v>
      </c>
      <c r="H267" s="57" t="n">
        <v>14</v>
      </c>
      <c r="I267" s="55" t="n">
        <v>1</v>
      </c>
      <c r="J267" s="56" t="n">
        <v>2</v>
      </c>
      <c r="K267" s="56" t="inlineStr">
        <is>
          <t>https://amazon.com/dp/B0FPQMYTNG</t>
        </is>
      </c>
      <c r="L267" s="70">
        <f>HYPERLINK(Table3258[[#This Row],[Column1]])</f>
        <v/>
      </c>
    </row>
    <row r="268" ht="30" customHeight="1" s="290">
      <c r="A268" s="30" t="inlineStr">
        <is>
          <t>iCarsoft POR V4.0 Bidirectional Diagnostic Tool for Porsche, All System Full Active Tests 27 Services OBD2 Scanner for Porsche, Code Reader, Auto VIN</t>
        </is>
      </c>
      <c r="B268" s="30" t="inlineStr">
        <is>
          <t>B0FKN6LJRN</t>
        </is>
      </c>
      <c r="C268" s="30" t="inlineStr">
        <is>
          <t>Tablet</t>
        </is>
      </c>
      <c r="D268" s="324" t="n">
        <v>253.6707142857143</v>
      </c>
      <c r="E268" s="53" t="n">
        <v>82848.86692307694</v>
      </c>
      <c r="F268" s="53" t="n">
        <v>3551.39</v>
      </c>
      <c r="G268" s="55" t="n">
        <v>236</v>
      </c>
      <c r="H268" s="57" t="n">
        <v>14</v>
      </c>
      <c r="I268" s="55" t="n">
        <v>11</v>
      </c>
      <c r="J268" s="56" t="n">
        <v>3.6</v>
      </c>
      <c r="K268" s="56" t="inlineStr">
        <is>
          <t>https://amazon.com/dp/B0FKN6LJRN</t>
        </is>
      </c>
      <c r="L268" s="70">
        <f>HYPERLINK(Table3258[[#This Row],[Column1]])</f>
        <v/>
      </c>
    </row>
    <row r="269" ht="30" customHeight="1" s="290">
      <c r="A269" s="30" t="inlineStr">
        <is>
          <t>iCarsoft CR Max - Wireless Professional Car Scanner Diagnostic Case for EU-Protocol Vehicles - Original Model with European Warranties</t>
        </is>
      </c>
      <c r="B269" s="30" t="inlineStr">
        <is>
          <t>B09B2M6T6N</t>
        </is>
      </c>
      <c r="C269" s="30" t="inlineStr">
        <is>
          <t>Handheld</t>
        </is>
      </c>
      <c r="D269" s="324" t="n">
        <v>398.5623076923077</v>
      </c>
      <c r="E269" s="53" t="n">
        <v>54257.19076923076</v>
      </c>
      <c r="F269" s="53" t="n">
        <v>5181.31</v>
      </c>
      <c r="G269" s="55" t="n">
        <v>82</v>
      </c>
      <c r="H269" s="57" t="n">
        <v>13</v>
      </c>
      <c r="I269" s="55" t="n">
        <v>608</v>
      </c>
      <c r="J269" s="56" t="n">
        <v>4.3</v>
      </c>
      <c r="K269" s="56" t="inlineStr">
        <is>
          <t>https://amazon.com/dp/B09B2M6T6N</t>
        </is>
      </c>
      <c r="L269" s="70">
        <f>HYPERLINK(Table3258[[#This Row],[Column1]])</f>
        <v/>
      </c>
    </row>
    <row r="270" ht="45" customHeight="1" s="290">
      <c r="A270" s="30" t="inlineStr">
        <is>
          <t>iCarsoft CR MAX 2026 Ver Bidirectional Scan Tool All System Diagnosis 49+ Services 47+ Special Functions Full Active Test OBD2 Scanner Diagnostic Tool Car Code Reader ECU Coding CAN FD Free Update</t>
        </is>
      </c>
      <c r="B270" s="30" t="inlineStr">
        <is>
          <t>B0DXLCFJ1L</t>
        </is>
      </c>
      <c r="C270" s="30" t="inlineStr">
        <is>
          <t>Tablet</t>
        </is>
      </c>
      <c r="D270" s="324" t="n">
        <v>342.5846153846154</v>
      </c>
      <c r="E270" s="53" t="n">
        <v>141980.27</v>
      </c>
      <c r="F270" s="53" t="n">
        <v>4453.6</v>
      </c>
      <c r="G270" s="55" t="n">
        <v>374</v>
      </c>
      <c r="H270" s="57" t="n">
        <v>13</v>
      </c>
      <c r="I270" s="55" t="n">
        <v>48</v>
      </c>
      <c r="J270" s="56" t="n">
        <v>4.1</v>
      </c>
      <c r="K270" s="56" t="inlineStr">
        <is>
          <t>https://amazon.com/dp/B0DXLCFJ1L</t>
        </is>
      </c>
      <c r="L270" s="70">
        <f>HYPERLINK(Table3258[[#This Row],[Column1]])</f>
        <v/>
      </c>
    </row>
    <row r="271" ht="45" customHeight="1" s="290">
      <c r="A271" s="30" t="inlineStr">
        <is>
          <t>iCarsoft US V3.0 for GM/Ford/Chrysler/Jeep Bi-Directional Scan Tool, Full System Diagnostic Code Reader Scanner, 37 Reset Functions, AUTOVIN, Full OBD2, Lifetime Free Update- 2025</t>
        </is>
      </c>
      <c r="B271" s="30" t="inlineStr">
        <is>
          <t>B07FPS53NG</t>
        </is>
      </c>
      <c r="C271" s="30" t="inlineStr">
        <is>
          <t>Tablet</t>
        </is>
      </c>
      <c r="D271" s="324" t="n">
        <v>235.3653846153846</v>
      </c>
      <c r="E271" s="53" t="n">
        <v>27809.57</v>
      </c>
      <c r="F271" s="53" t="n">
        <v>3059.75</v>
      </c>
      <c r="G271" s="55" t="n">
        <v>122</v>
      </c>
      <c r="H271" s="57" t="n">
        <v>13</v>
      </c>
      <c r="I271" s="55" t="n">
        <v>98</v>
      </c>
      <c r="J271" s="56" t="n">
        <v>4.1</v>
      </c>
      <c r="K271" s="56" t="inlineStr">
        <is>
          <t>https://amazon.com/dp/B07FPS53NG</t>
        </is>
      </c>
      <c r="L271" s="70">
        <f>HYPERLINK(Table3258[[#This Row],[Column1]])</f>
        <v/>
      </c>
    </row>
    <row r="272" ht="30" customHeight="1" s="290">
      <c r="A272" s="30" t="inlineStr">
        <is>
          <t>iCarsoft MB V3.0 Bidirectional Scan Tool for Most Mercedes-Benz/Sprinter/Smart 38+ Reset Service All System Scanner Full Active Test Quick Auto VIN Diagnostic Tool Car Code Reader with 38 Pin for Benz</t>
        </is>
      </c>
      <c r="B272" s="30" t="inlineStr">
        <is>
          <t>B0DV5F3G46</t>
        </is>
      </c>
      <c r="C272" s="30" t="inlineStr">
        <is>
          <t>Tablet</t>
        </is>
      </c>
      <c r="D272" s="324" t="n">
        <v>234.5661538461539</v>
      </c>
      <c r="E272" s="53" t="n">
        <v>90665.47999999998</v>
      </c>
      <c r="F272" s="53" t="n">
        <v>3049.36</v>
      </c>
      <c r="G272" s="55" t="n">
        <v>368</v>
      </c>
      <c r="H272" s="57" t="n">
        <v>13</v>
      </c>
      <c r="I272" s="55" t="n">
        <v>17</v>
      </c>
      <c r="J272" s="56" t="n">
        <v>4.1</v>
      </c>
      <c r="K272" s="56" t="inlineStr">
        <is>
          <t>https://amazon.com/dp/B0DV5F3G46</t>
        </is>
      </c>
      <c r="L272" s="70">
        <f>HYPERLINK(Table3258[[#This Row],[Column1]])</f>
        <v/>
      </c>
    </row>
    <row r="273" ht="45" customHeight="1" s="290">
      <c r="A273" s="30" t="inlineStr">
        <is>
          <t>iCarsoft MT V6 Motorcycle Diagnostic Tool for BMW Full System 115 Reset /197 Actuation Test, Motorbike+Car OBD2 Scanner Code Reader with ABS Bleeding, Throttle Valve Reset, Battery Test, AutoVIN</t>
        </is>
      </c>
      <c r="B273" s="30" t="inlineStr">
        <is>
          <t>B0DGCGXZBJ</t>
        </is>
      </c>
      <c r="C273" s="30" t="inlineStr">
        <is>
          <t>Tablet</t>
        </is>
      </c>
      <c r="D273" s="324" t="n">
        <v>200.6853846153846</v>
      </c>
      <c r="E273" s="53" t="n">
        <v>38132.44</v>
      </c>
      <c r="F273" s="53" t="n">
        <v>2608.91</v>
      </c>
      <c r="G273" s="55" t="n">
        <v>156</v>
      </c>
      <c r="H273" s="57" t="n">
        <v>13</v>
      </c>
      <c r="I273" s="55" t="n">
        <v>7</v>
      </c>
      <c r="J273" s="56" t="n">
        <v>2.2</v>
      </c>
      <c r="K273" s="56" t="inlineStr">
        <is>
          <t>https://amazon.com/dp/B0DGCGXZBJ</t>
        </is>
      </c>
      <c r="L273" s="70">
        <f>HYPERLINK(Table3258[[#This Row],[Column1]])</f>
        <v/>
      </c>
    </row>
    <row r="274" ht="30" customHeight="1" s="290">
      <c r="A274" s="30" t="inlineStr">
        <is>
          <t>OBD2 Scanner AUTO Diagnostic Tool iCarsoft MB V1.0 for Benz/Sprinter/Smart, Full System ABS/SRS/Transmission/Check Engine Car Code Reader, MIL/SAS/Oil Reset/Battery Test/Live Data</t>
        </is>
      </c>
      <c r="B274" s="30" t="inlineStr">
        <is>
          <t>B07FCLPFNZ</t>
        </is>
      </c>
      <c r="C274" s="30" t="inlineStr">
        <is>
          <t>Handheld</t>
        </is>
      </c>
      <c r="D274" s="324" t="n">
        <v>128.3</v>
      </c>
      <c r="E274" s="53" t="n">
        <v>32584.54</v>
      </c>
      <c r="F274" s="53" t="n">
        <v>1539.6</v>
      </c>
      <c r="G274" s="55" t="n">
        <v>263</v>
      </c>
      <c r="H274" s="57" t="n">
        <v>12</v>
      </c>
      <c r="I274" s="55" t="n">
        <v>55</v>
      </c>
      <c r="J274" s="56" t="n">
        <v>3.9</v>
      </c>
      <c r="K274" s="56" t="inlineStr">
        <is>
          <t>https://amazon.com/dp/B07FCLPFNZ</t>
        </is>
      </c>
      <c r="L274" s="70">
        <f>HYPERLINK(Table3258[[#This Row],[Column1]])</f>
        <v/>
      </c>
    </row>
    <row r="275" ht="45" customHeight="1" s="290">
      <c r="A275" s="30" t="inlineStr">
        <is>
          <t>Auto Diagnostic Scanner iCarsoft VOL V2.0 for Volvo/SAAB with ABS Scan,Oil Reset, ABS Bleeding, Injector Coding ect</t>
        </is>
      </c>
      <c r="B275" s="30" t="inlineStr">
        <is>
          <t>B07F36NJ5K</t>
        </is>
      </c>
      <c r="C275" s="30" t="inlineStr">
        <is>
          <t>Tablet</t>
        </is>
      </c>
      <c r="D275" s="324" t="n">
        <v>135.57</v>
      </c>
      <c r="E275" s="53" t="n">
        <v>18238.22</v>
      </c>
      <c r="F275" s="53" t="n">
        <v>1626.84</v>
      </c>
      <c r="G275" s="55" t="n">
        <v>130</v>
      </c>
      <c r="H275" s="57" t="n">
        <v>12</v>
      </c>
      <c r="I275" s="55" t="n">
        <v>239</v>
      </c>
      <c r="J275" s="56" t="n">
        <v>3.8</v>
      </c>
      <c r="K275" s="56" t="inlineStr">
        <is>
          <t>https://amazon.com/dp/B07F36NJ5K</t>
        </is>
      </c>
      <c r="L275" s="70">
        <f>HYPERLINK(Table3258[[#This Row],[Column1]])</f>
        <v/>
      </c>
    </row>
    <row r="276" ht="60" customHeight="1" s="290">
      <c r="A276" s="30" t="inlineStr">
        <is>
          <t>iCarsoft BMM V4.0 Bidirectional OBD2 Scanner for BMW/Rolls-Royce/Mini+ 2 Extra Brand, Diagnostic Scan Tool with ECU Coding 14 Resets, Full System Code Reader, Battery Registration, 4-in-1 Live Data</t>
        </is>
      </c>
      <c r="B276" s="30" t="inlineStr">
        <is>
          <t>B0FWXN93N5</t>
        </is>
      </c>
      <c r="C276" s="30" t="inlineStr">
        <is>
          <t>Tablet</t>
        </is>
      </c>
      <c r="D276" s="324" t="n">
        <v>252.5818181818182</v>
      </c>
      <c r="E276" s="53" t="n">
        <v>27556.90538461539</v>
      </c>
      <c r="F276" s="53" t="n">
        <v>2778.4</v>
      </c>
      <c r="G276" s="55" t="n">
        <v>28</v>
      </c>
      <c r="H276" s="57" t="n">
        <v>11</v>
      </c>
      <c r="I276" s="55" t="n"/>
      <c r="J276" s="56" t="n"/>
      <c r="K276" s="56" t="inlineStr">
        <is>
          <t>https://amazon.com/dp/B0FWXN93N5</t>
        </is>
      </c>
      <c r="L276" s="70">
        <f>HYPERLINK(Table3258[[#This Row],[Column1]])</f>
        <v/>
      </c>
    </row>
    <row r="277" ht="45" customHeight="1" s="290">
      <c r="A277" s="30" t="inlineStr">
        <is>
          <t>Auto Diagnostic Scanner iCarsoft FD V1.0 for Ford/Holden, ABS, SRS, Oil Service Reset ect (Red)</t>
        </is>
      </c>
      <c r="B277" s="30" t="inlineStr">
        <is>
          <t>B07L4FQK8V</t>
        </is>
      </c>
      <c r="C277" s="30" t="inlineStr">
        <is>
          <t>Handheld</t>
        </is>
      </c>
      <c r="D277" s="324" t="n">
        <v>88.75272727272727</v>
      </c>
      <c r="E277" s="53" t="n">
        <v>13090.39615384615</v>
      </c>
      <c r="F277" s="53" t="n">
        <v>976.28</v>
      </c>
      <c r="G277" s="55" t="n">
        <v>90</v>
      </c>
      <c r="H277" s="57" t="n">
        <v>11</v>
      </c>
      <c r="I277" s="55" t="n">
        <v>25</v>
      </c>
      <c r="J277" s="56" t="n">
        <v>4</v>
      </c>
      <c r="K277" s="56" t="inlineStr">
        <is>
          <t>https://amazon.com/dp/B07L4FQK8V</t>
        </is>
      </c>
      <c r="L277" s="70">
        <f>HYPERLINK(Table3258[[#This Row],[Column1]])</f>
        <v/>
      </c>
    </row>
    <row r="278" ht="45" customHeight="1" s="290">
      <c r="A278" s="30" t="inlineStr">
        <is>
          <t>iCarsoft i906 Compatible for Volvo/Saab OBD2 Diagnostic Scanner Multi-System Engine ABS SRS</t>
        </is>
      </c>
      <c r="B278" s="30" t="inlineStr">
        <is>
          <t>B00S8KJHBM</t>
        </is>
      </c>
      <c r="C278" s="30" t="inlineStr">
        <is>
          <t>Handheld</t>
        </is>
      </c>
      <c r="D278" s="324" t="n">
        <v>102.5018181818182</v>
      </c>
      <c r="E278" s="53" t="n">
        <v>20082.02</v>
      </c>
      <c r="F278" s="53" t="n">
        <v>1127.52</v>
      </c>
      <c r="G278" s="55" t="n">
        <v>194</v>
      </c>
      <c r="H278" s="57" t="n">
        <v>11</v>
      </c>
      <c r="I278" s="55" t="n">
        <v>219</v>
      </c>
      <c r="J278" s="56" t="n">
        <v>4.2</v>
      </c>
      <c r="K278" s="56" t="inlineStr">
        <is>
          <t>https://amazon.com/dp/B00S8KJHBM</t>
        </is>
      </c>
      <c r="L278" s="70">
        <f>HYPERLINK(Table3258[[#This Row],[Column1]])</f>
        <v/>
      </c>
    </row>
    <row r="279" ht="45" customHeight="1" s="290">
      <c r="A279" s="30" t="inlineStr">
        <is>
          <t>iCarsoft HD V3.0 Heavy Duty Diesel Truck Diagnostic Scanner Tool Code Reader</t>
        </is>
      </c>
      <c r="B279" s="30" t="inlineStr">
        <is>
          <t>B08V8Q2WH4</t>
        </is>
      </c>
      <c r="C279" s="30" t="inlineStr">
        <is>
          <t>Handheld</t>
        </is>
      </c>
      <c r="D279" s="324" t="n">
        <v>107.9863636363636</v>
      </c>
      <c r="E279" s="53" t="n">
        <v>20017.11</v>
      </c>
      <c r="F279" s="53" t="n">
        <v>1187.85</v>
      </c>
      <c r="G279" s="55" t="n">
        <v>194</v>
      </c>
      <c r="H279" s="57" t="n">
        <v>11</v>
      </c>
      <c r="I279" s="55" t="n">
        <v>313</v>
      </c>
      <c r="J279" s="56" t="n">
        <v>4.1</v>
      </c>
      <c r="K279" s="56" t="inlineStr">
        <is>
          <t>https://amazon.com/dp/B08V8Q2WH4</t>
        </is>
      </c>
      <c r="L279" s="70">
        <f>HYPERLINK(Table3258[[#This Row],[Column1]])</f>
        <v/>
      </c>
    </row>
    <row r="280" ht="45" customHeight="1" s="290">
      <c r="A280" s="30" t="inlineStr">
        <is>
          <t>iCarsoft OBD2 Scanner POR V1.0 for Porsche/Cayenne/Macan/911, All System Diagnostic Tool Oil/SAS Reset Battery Test 10 OBD2/EOBD Modes CAN Car Scan Code Reader/DTC/Live Data/Freeze Frame</t>
        </is>
      </c>
      <c r="B280" s="30" t="inlineStr">
        <is>
          <t>B0DMN93FH3</t>
        </is>
      </c>
      <c r="C280" s="30" t="inlineStr">
        <is>
          <t>Handheld</t>
        </is>
      </c>
      <c r="D280" s="324" t="n">
        <v>125.184</v>
      </c>
      <c r="E280" s="53" t="n">
        <v>22387.74</v>
      </c>
      <c r="F280" s="53" t="n">
        <v>1251.84</v>
      </c>
      <c r="G280" s="55" t="n">
        <v>172</v>
      </c>
      <c r="H280" s="57" t="n">
        <v>10</v>
      </c>
      <c r="I280" s="55" t="n">
        <v>12</v>
      </c>
      <c r="J280" s="56" t="n">
        <v>4.4</v>
      </c>
      <c r="K280" s="56" t="inlineStr">
        <is>
          <t>https://amazon.com/dp/B0DMN93FH3</t>
        </is>
      </c>
      <c r="L280" s="70">
        <f>HYPERLINK(Table3258[[#This Row],[Column1]])</f>
        <v/>
      </c>
    </row>
    <row r="281" ht="45" customHeight="1" s="290">
      <c r="A281" s="30" t="inlineStr">
        <is>
          <t>iCarsoft MT V6 Motorcycle Diagnostic Scan Tool for Harley, 57 Reset Services, 43 Actuation Test, Battery Test, All Motorbike System Diagnose, Read/Clear Codes, Live Data,Also Car OBD2 Diagnose</t>
        </is>
      </c>
      <c r="B281" s="30" t="inlineStr">
        <is>
          <t>B0FRFFNCZ9</t>
        </is>
      </c>
      <c r="C281" s="30" t="inlineStr">
        <is>
          <t>Tablet</t>
        </is>
      </c>
      <c r="D281" s="324" t="n">
        <v>218.659</v>
      </c>
      <c r="E281" s="53" t="n">
        <v>23252.26769230769</v>
      </c>
      <c r="F281" s="53" t="n">
        <v>2186.59</v>
      </c>
      <c r="G281" s="55" t="n">
        <v>14</v>
      </c>
      <c r="H281" s="57" t="n">
        <v>10</v>
      </c>
      <c r="I281" s="55" t="n">
        <v>2</v>
      </c>
      <c r="J281" s="56" t="n">
        <v>5</v>
      </c>
      <c r="K281" s="56" t="inlineStr">
        <is>
          <t>https://amazon.com/dp/B0FRFFNCZ9</t>
        </is>
      </c>
      <c r="L281" s="70">
        <f>HYPERLINK(Table3258[[#This Row],[Column1]])</f>
        <v/>
      </c>
    </row>
    <row r="282" ht="45" customHeight="1" s="290">
      <c r="A282" s="30" t="inlineStr">
        <is>
          <t>iCarsoft Heavy Duty Truck Scanner HD V3.0 All System Diesel Diagnostic Scan Tool Battery Test Code Reader for Freightliner, Paccar, International, Mack, Volvo, Hino, Isuzu, Cummins Heavy Duty Trucks</t>
        </is>
      </c>
      <c r="B282" s="30" t="inlineStr">
        <is>
          <t>B075FL11NQ</t>
        </is>
      </c>
      <c r="C282" s="30" t="inlineStr">
        <is>
          <t>Handheld</t>
        </is>
      </c>
      <c r="D282" s="324" t="n">
        <v>109.24</v>
      </c>
      <c r="E282" s="53" t="n">
        <v>33922.97</v>
      </c>
      <c r="F282" s="53" t="n">
        <v>1092.4</v>
      </c>
      <c r="G282" s="55" t="n">
        <v>270</v>
      </c>
      <c r="H282" s="57" t="n">
        <v>10</v>
      </c>
      <c r="I282" s="55" t="n">
        <v>110</v>
      </c>
      <c r="J282" s="56" t="n">
        <v>3.8</v>
      </c>
      <c r="K282" s="56" t="inlineStr">
        <is>
          <t>https://amazon.com/dp/B075FL11NQ</t>
        </is>
      </c>
      <c r="L282" s="70">
        <f>HYPERLINK(Table3258[[#This Row],[Column1]])</f>
        <v/>
      </c>
    </row>
    <row r="283" ht="45" customHeight="1" s="290">
      <c r="A283" s="30" t="inlineStr">
        <is>
          <t>iCarsoft VOL V3.0 for Volvo/Saab Diagnostic Tool with auto VIN/Quick Test/Actuation Test</t>
        </is>
      </c>
      <c r="B283" s="30" t="inlineStr">
        <is>
          <t>B08V8L1VXB</t>
        </is>
      </c>
      <c r="C283" s="30" t="inlineStr">
        <is>
          <t>Tablet</t>
        </is>
      </c>
      <c r="D283" s="324" t="n">
        <v>168.7288888888889</v>
      </c>
      <c r="E283" s="53" t="n">
        <v>22091.21769230769</v>
      </c>
      <c r="F283" s="53" t="n">
        <v>1518.56</v>
      </c>
      <c r="G283" s="55" t="n">
        <v>113</v>
      </c>
      <c r="H283" s="57" t="n">
        <v>9</v>
      </c>
      <c r="I283" s="55" t="n">
        <v>64</v>
      </c>
      <c r="J283" s="56" t="n">
        <v>3.7</v>
      </c>
      <c r="K283" s="56" t="inlineStr">
        <is>
          <t>https://amazon.com/dp/B08V8L1VXB</t>
        </is>
      </c>
      <c r="L283" s="70">
        <f>HYPERLINK(Table3258[[#This Row],[Column1]])</f>
        <v/>
      </c>
    </row>
    <row r="284" ht="30" customHeight="1" s="290">
      <c r="A284" s="30" t="inlineStr">
        <is>
          <t>OBD2 Scanner Diagnostic Tool for Most Porsche from 1996-2019, iCarsoft POR II Car Code Reader, Full System Diagnosis Car Scan Tool with Oil Reset/EPB/DP/ETC/SAS, Live Data Graph-Free Update/Repair</t>
        </is>
      </c>
      <c r="B284" s="30" t="inlineStr">
        <is>
          <t>B0D769KZ59</t>
        </is>
      </c>
      <c r="C284" s="30" t="inlineStr">
        <is>
          <t>Tablet</t>
        </is>
      </c>
      <c r="D284" s="324" t="n">
        <v>168.5322222222222</v>
      </c>
      <c r="E284" s="53" t="n">
        <v>16498.03384615385</v>
      </c>
      <c r="F284" s="53" t="n">
        <v>1516.79</v>
      </c>
      <c r="G284" s="55" t="n">
        <v>90</v>
      </c>
      <c r="H284" s="57" t="n">
        <v>9</v>
      </c>
      <c r="I284" s="55" t="n">
        <v>21</v>
      </c>
      <c r="J284" s="56" t="n">
        <v>3.9</v>
      </c>
      <c r="K284" s="56" t="inlineStr">
        <is>
          <t>https://amazon.com/dp/B0D769KZ59</t>
        </is>
      </c>
      <c r="L284" s="70">
        <f>HYPERLINK(Table3258[[#This Row],[Column1]])</f>
        <v/>
      </c>
    </row>
    <row r="285" ht="45" customHeight="1" s="290">
      <c r="A285" s="30" t="inlineStr">
        <is>
          <t>OBD2 Scanner for Toyota/Honda (Acura) /Lexus, iCarsoft JP V3.0 All Reset+Full System Diagnostic Scan Car Code Reader for Nissan/Infiniti/Mitsubishi/Mazda/Suzuki/Hyundai</t>
        </is>
      </c>
      <c r="B285" s="30" t="inlineStr">
        <is>
          <t>B0FKGHKXHC</t>
        </is>
      </c>
      <c r="C285" s="30" t="inlineStr">
        <is>
          <t>Tablet</t>
        </is>
      </c>
      <c r="D285" s="324" t="n">
        <v>228.3966666666667</v>
      </c>
      <c r="E285" s="53" t="n">
        <v>15662.72692307692</v>
      </c>
      <c r="F285" s="53" t="n">
        <v>2055.57</v>
      </c>
      <c r="G285" s="55" t="n">
        <v>36</v>
      </c>
      <c r="H285" s="57" t="n">
        <v>9</v>
      </c>
      <c r="I285" s="55" t="n">
        <v>1</v>
      </c>
      <c r="J285" s="56" t="n">
        <v>5</v>
      </c>
      <c r="K285" s="56" t="inlineStr">
        <is>
          <t>https://amazon.com/dp/B0FKGHKXHC</t>
        </is>
      </c>
      <c r="L285" s="70">
        <f>HYPERLINK(Table3258[[#This Row],[Column1]])</f>
        <v/>
      </c>
    </row>
    <row r="286" ht="30" customHeight="1" s="290">
      <c r="A286" s="30" t="inlineStr">
        <is>
          <t>iCarsoft CR MAX 2026 Version Bidirectional Scan Tools Full System Diagnosis 49 Services All Active Test OBD2 Scanner Diagnostic Tool Car Code Reader ECU Coding CAN FD Free Update for 10000+ Vehicles</t>
        </is>
      </c>
      <c r="B286" s="30" t="inlineStr">
        <is>
          <t>B0FZ89PCWN</t>
        </is>
      </c>
      <c r="C286" s="30" t="inlineStr">
        <is>
          <t>Tablet</t>
        </is>
      </c>
      <c r="D286" s="324" t="n">
        <v>451.39</v>
      </c>
      <c r="E286" s="53" t="n">
        <v>49478.79384615386</v>
      </c>
      <c r="F286" s="53" t="n">
        <v>4062.51</v>
      </c>
      <c r="G286" s="55" t="n">
        <v>45</v>
      </c>
      <c r="H286" s="57" t="n">
        <v>9</v>
      </c>
      <c r="I286" s="55" t="n">
        <v>1</v>
      </c>
      <c r="J286" s="56" t="n">
        <v>5</v>
      </c>
      <c r="K286" s="56" t="inlineStr">
        <is>
          <t>https://amazon.com/dp/B0FZ89PCWN</t>
        </is>
      </c>
      <c r="L286" s="70">
        <f>HYPERLINK(Table3258[[#This Row],[Column1]])</f>
        <v/>
      </c>
    </row>
    <row r="287" ht="45" customHeight="1" s="290">
      <c r="A287" s="30" t="inlineStr">
        <is>
          <t>iCarsoft VAWS V3.0 2026 Bidirectional Scan Tool for VW, Audi, Bentley, Bugatti, Seat, MAN LD, Skoda and etc, 40 Special Services Full Systems OBD2 Diagnostic Scanner ECU Coding in-Depth Code Reader</t>
        </is>
      </c>
      <c r="B287" s="30" t="inlineStr">
        <is>
          <t>B0DNMJSBM3</t>
        </is>
      </c>
      <c r="C287" s="30" t="inlineStr">
        <is>
          <t>Tablet</t>
        </is>
      </c>
      <c r="D287" s="324" t="n">
        <v>227.085</v>
      </c>
      <c r="E287" s="53" t="n">
        <v>45328.77</v>
      </c>
      <c r="F287" s="53" t="n">
        <v>1816.68</v>
      </c>
      <c r="G287" s="55" t="n">
        <v>206</v>
      </c>
      <c r="H287" s="57" t="n">
        <v>8</v>
      </c>
      <c r="I287" s="55" t="n">
        <v>40</v>
      </c>
      <c r="J287" s="56" t="n">
        <v>4.1</v>
      </c>
      <c r="K287" s="56" t="inlineStr">
        <is>
          <t>https://amazon.com/dp/B0DNMJSBM3</t>
        </is>
      </c>
      <c r="L287" s="70">
        <f>HYPERLINK(Table3258[[#This Row],[Column1]])</f>
        <v/>
      </c>
    </row>
    <row r="288" ht="45" customHeight="1" s="290">
      <c r="A288" s="30" t="inlineStr">
        <is>
          <t>iCarsoft CR MAX P Bidirectional Scan Tools 10-inch Full System Diagnostic Tool Up to 51 Services All Active Test OBD2 Scanner ECU Coding CAN FD/DoIP Free Update Car Code Reader for 10000+ Vehicles</t>
        </is>
      </c>
      <c r="B288" s="30" t="inlineStr">
        <is>
          <t>B0GLFPC298</t>
        </is>
      </c>
      <c r="C288" s="30" t="inlineStr">
        <is>
          <t>Tablet</t>
        </is>
      </c>
      <c r="D288" s="324" t="n">
        <v>663.10375</v>
      </c>
      <c r="E288" s="53" t="n">
        <v>61116.25769230769</v>
      </c>
      <c r="F288" s="53" t="n">
        <v>5304.83</v>
      </c>
      <c r="G288" s="55" t="n">
        <v>11</v>
      </c>
      <c r="H288" s="57" t="n">
        <v>8</v>
      </c>
      <c r="I288" s="55" t="n"/>
      <c r="J288" s="56" t="n"/>
      <c r="K288" s="56" t="inlineStr">
        <is>
          <t>https://amazon.com/dp/B0GLFPC298</t>
        </is>
      </c>
      <c r="L288" s="70">
        <f>HYPERLINK(Table3258[[#This Row],[Column1]])</f>
        <v/>
      </c>
    </row>
    <row r="289" ht="45" customHeight="1" s="290">
      <c r="A289" s="30" t="inlineStr">
        <is>
          <t>iCarsoft CR V2.0 Diagnostic Scan Tool for Multi-Brand Vehicles (10-19 Vehicle Choices) +Oil Reset +EPB+BMS+DPF+SAS+ETC+BLD+IN|J</t>
        </is>
      </c>
      <c r="B289" s="30" t="inlineStr">
        <is>
          <t>B07KR4KR4Z</t>
        </is>
      </c>
      <c r="C289" s="30" t="inlineStr">
        <is>
          <t>Tablet</t>
        </is>
      </c>
      <c r="D289" s="324" t="n">
        <v>157.1885714285714</v>
      </c>
      <c r="E289" s="53" t="n">
        <v>12033.01</v>
      </c>
      <c r="F289" s="53" t="n">
        <v>1100.32</v>
      </c>
      <c r="G289" s="55" t="n">
        <v>70</v>
      </c>
      <c r="H289" s="57" t="n">
        <v>7</v>
      </c>
      <c r="I289" s="55" t="n">
        <v>99</v>
      </c>
      <c r="J289" s="56" t="n">
        <v>4.1</v>
      </c>
      <c r="K289" s="56" t="inlineStr">
        <is>
          <t>https://amazon.com/dp/B07KR4KR4Z</t>
        </is>
      </c>
      <c r="L289" s="70">
        <f>HYPERLINK(Table3258[[#This Row],[Column1]])</f>
        <v/>
      </c>
    </row>
    <row r="290" ht="30" customHeight="1" s="290">
      <c r="A290" s="30" t="inlineStr">
        <is>
          <t>iCarsoft LR V2.0 Enhanced Ver Car Scan Tool for Land Rover/Jaguar and for Benz/Sprinter/Smart, All Systems in-Depth Diagnostic OBD2 Scanner Max 9 Service Battery Test 118 Live Data Fault Code Reader</t>
        </is>
      </c>
      <c r="B290" s="30" t="inlineStr">
        <is>
          <t>B0F6B9HLZ1</t>
        </is>
      </c>
      <c r="C290" s="30" t="inlineStr">
        <is>
          <t>Handheld</t>
        </is>
      </c>
      <c r="D290" s="324" t="n">
        <v>146.1314285714286</v>
      </c>
      <c r="E290" s="53" t="n">
        <v>11633.82538461538</v>
      </c>
      <c r="F290" s="53" t="n">
        <v>1022.92</v>
      </c>
      <c r="G290" s="55" t="n">
        <v>45</v>
      </c>
      <c r="H290" s="57" t="n">
        <v>7</v>
      </c>
      <c r="I290" s="55" t="n">
        <v>2</v>
      </c>
      <c r="J290" s="56" t="n">
        <v>5</v>
      </c>
      <c r="K290" s="56" t="inlineStr">
        <is>
          <t>https://amazon.com/dp/B0F6B9HLZ1</t>
        </is>
      </c>
      <c r="L290" s="70">
        <f>HYPERLINK(Table3258[[#This Row],[Column1]])</f>
        <v/>
      </c>
    </row>
    <row r="291" ht="45" customHeight="1" s="290">
      <c r="A291" s="30" t="inlineStr">
        <is>
          <t>Full System Diagnostic Scan Tool for GM Ford Chrysler Jeep, iCarsoft US V2.0 Diagnose OBD2 Code Reader-Reset/Calibration, Battery Registration for Buick/Chevrolet/Cadillac/GMC -16PIN OBDII Adapter</t>
        </is>
      </c>
      <c r="B291" s="30" t="inlineStr">
        <is>
          <t>B0DBQFYCQK</t>
        </is>
      </c>
      <c r="C291" s="30" t="inlineStr">
        <is>
          <t>Tablet</t>
        </is>
      </c>
      <c r="D291" s="324" t="n">
        <v>133.7528571428572</v>
      </c>
      <c r="E291" s="53" t="n">
        <v>20651.1</v>
      </c>
      <c r="F291" s="53" t="n">
        <v>936.27</v>
      </c>
      <c r="G291" s="55" t="n">
        <v>111</v>
      </c>
      <c r="H291" s="57" t="n">
        <v>7</v>
      </c>
      <c r="I291" s="55" t="n">
        <v>90</v>
      </c>
      <c r="J291" s="56" t="n">
        <v>4</v>
      </c>
      <c r="K291" s="56" t="inlineStr">
        <is>
          <t>https://amazon.com/dp/B0DBQFYCQK</t>
        </is>
      </c>
      <c r="L291" s="70">
        <f>HYPERLINK(Table3258[[#This Row],[Column1]])</f>
        <v/>
      </c>
    </row>
    <row r="292" ht="30" customHeight="1" s="290">
      <c r="A292" s="30" t="inlineStr">
        <is>
          <t>iCarsoft VAWS V4.0 Full System Bidirectional Diagnostic Scan Tool for Most V.A.G Models Such as VW/Audi/ect and Other 2 Car Make from 1996-2023 OBD2 Scanner Up to 51 Service Live Data Car Code Reader</t>
        </is>
      </c>
      <c r="B292" s="30" t="inlineStr">
        <is>
          <t>B0G38N7YV1</t>
        </is>
      </c>
      <c r="C292" s="30" t="inlineStr">
        <is>
          <t>Handheld</t>
        </is>
      </c>
      <c r="D292" s="324" t="n">
        <v>275.5028571428571</v>
      </c>
      <c r="E292" s="53" t="n">
        <v>25655.73846153846</v>
      </c>
      <c r="F292" s="53" t="n">
        <v>1928.52</v>
      </c>
      <c r="G292" s="55" t="n">
        <v>43</v>
      </c>
      <c r="H292" s="57" t="n">
        <v>7</v>
      </c>
      <c r="I292" s="55" t="n"/>
      <c r="J292" s="56" t="n"/>
      <c r="K292" s="56" t="inlineStr">
        <is>
          <t>https://amazon.com/dp/B0G38N7YV1</t>
        </is>
      </c>
      <c r="L292" s="70">
        <f>HYPERLINK(Table3258[[#This Row],[Column1]])</f>
        <v/>
      </c>
    </row>
    <row r="293" ht="45" customHeight="1" s="290">
      <c r="A293" s="30" t="inlineStr">
        <is>
          <t>iCarsoft VOL V3.0(New Ver) Bidirectional Diagnostic Scan Tool for Volvo/SAAB OBD2 Scanner, All System Diagnose, 29 Resets(239 Sub-Services) /Actuation Test/Battery Registration Tool-Free Update</t>
        </is>
      </c>
      <c r="B293" s="30" t="inlineStr">
        <is>
          <t>B0FNK4SW44</t>
        </is>
      </c>
      <c r="C293" s="30" t="inlineStr">
        <is>
          <t>Tablet</t>
        </is>
      </c>
      <c r="D293" s="324" t="n">
        <v>224.9166666666667</v>
      </c>
      <c r="E293" s="53" t="n">
        <v>17279.66846153847</v>
      </c>
      <c r="F293" s="53" t="n">
        <v>1349.5</v>
      </c>
      <c r="G293" s="55" t="n">
        <v>33</v>
      </c>
      <c r="H293" s="57" t="n">
        <v>6</v>
      </c>
      <c r="I293" s="55" t="n">
        <v>10</v>
      </c>
      <c r="J293" s="56" t="n">
        <v>4.1</v>
      </c>
      <c r="K293" s="56" t="inlineStr">
        <is>
          <t>https://amazon.com/dp/B0FNK4SW44</t>
        </is>
      </c>
      <c r="L293" s="70">
        <f>HYPERLINK(Table3258[[#This Row],[Column1]])</f>
        <v/>
      </c>
    </row>
    <row r="294" ht="45" customHeight="1" s="290">
      <c r="A294" s="30" t="inlineStr">
        <is>
          <t>iCarsoft MT V6 Motorcycle Diagnostic Tool for BMW Full System/115 Reset/197 Actuation Test, Motorbike OBD2 Scanner+Car Engine Code Reader, ABS Bleeding/Throttle Valve adaptation/10-Pin Adapter</t>
        </is>
      </c>
      <c r="B294" s="30" t="inlineStr">
        <is>
          <t>B0FDK6TQY5</t>
        </is>
      </c>
      <c r="C294" s="30" t="inlineStr">
        <is>
          <t>Handheld</t>
        </is>
      </c>
      <c r="D294" s="324" t="n">
        <v>199.5116666666667</v>
      </c>
      <c r="E294" s="53" t="n">
        <v>9985.513076923076</v>
      </c>
      <c r="F294" s="53" t="n">
        <v>1197.07</v>
      </c>
      <c r="G294" s="55" t="n">
        <v>30</v>
      </c>
      <c r="H294" s="57" t="n">
        <v>6</v>
      </c>
      <c r="I294" s="55" t="n">
        <v>5</v>
      </c>
      <c r="J294" s="56" t="n">
        <v>2.1</v>
      </c>
      <c r="K294" s="56" t="inlineStr">
        <is>
          <t>https://amazon.com/dp/B0FDK6TQY5</t>
        </is>
      </c>
      <c r="L294" s="70">
        <f>HYPERLINK(Table3258[[#This Row],[Column1]])</f>
        <v/>
      </c>
    </row>
    <row r="295" ht="30" customHeight="1" s="290">
      <c r="A295" s="30" t="inlineStr">
        <is>
          <t>iCarsoft MT V6 for Indian Motorcycle Full System Diagnostic Tool Motorbike and Car 2-in-1 OBD2 Scanner Engine Code Reader with 33+ Active Test of Engine, AutoVIN, Battery Test, Lifetime Free Update</t>
        </is>
      </c>
      <c r="B295" s="30" t="inlineStr">
        <is>
          <t>B0F6CGKV6K</t>
        </is>
      </c>
      <c r="C295" s="30" t="inlineStr">
        <is>
          <t>Tablet</t>
        </is>
      </c>
      <c r="D295" s="324" t="n">
        <v>231.1</v>
      </c>
      <c r="E295" s="53" t="n">
        <v>13619.63384615384</v>
      </c>
      <c r="F295" s="53" t="n">
        <v>1386.6</v>
      </c>
      <c r="G295" s="55" t="n">
        <v>37</v>
      </c>
      <c r="H295" s="57" t="n">
        <v>6</v>
      </c>
      <c r="I295" s="55" t="n">
        <v>2</v>
      </c>
      <c r="J295" s="56" t="n">
        <v>1</v>
      </c>
      <c r="K295" s="56" t="inlineStr">
        <is>
          <t>https://amazon.com/dp/B0F6CGKV6K</t>
        </is>
      </c>
      <c r="L295" s="70">
        <f>HYPERLINK(Table3258[[#This Row],[Column1]])</f>
        <v/>
      </c>
    </row>
    <row r="296" ht="45" customHeight="1" s="290">
      <c r="A296" s="30" t="inlineStr">
        <is>
          <t>iCarsoft i820 Obdii/Eobd and Can Check Engine Light Auto Diagnostic Tool New Version</t>
        </is>
      </c>
      <c r="B296" s="30" t="inlineStr">
        <is>
          <t>B071CLFHFQ</t>
        </is>
      </c>
      <c r="C296" s="30" t="inlineStr">
        <is>
          <t>Handheld</t>
        </is>
      </c>
      <c r="D296" s="324" t="n">
        <v>90.55666666666669</v>
      </c>
      <c r="E296" s="53" t="n">
        <v>2549.518461538461</v>
      </c>
      <c r="F296" s="53" t="n">
        <v>543.34</v>
      </c>
      <c r="G296" s="55" t="n">
        <v>6</v>
      </c>
      <c r="H296" s="57" t="n">
        <v>6</v>
      </c>
      <c r="I296" s="55" t="n">
        <v>19</v>
      </c>
      <c r="J296" s="56" t="n">
        <v>3.8</v>
      </c>
      <c r="K296" s="56" t="inlineStr">
        <is>
          <t>https://amazon.com/dp/B071CLFHFQ</t>
        </is>
      </c>
      <c r="L296" s="70">
        <f>HYPERLINK(Table3258[[#This Row],[Column1]])</f>
        <v/>
      </c>
    </row>
    <row r="297" ht="60" customHeight="1" s="290">
      <c r="A297" s="30" t="inlineStr">
        <is>
          <t>iCarsoft VAWS V2.0 2026 Ver OBD2 Scanner All System Diagnostic Tool for VW, Audi, Bentley, Bugatti, Seat, Man LD, Skoda and etc, 9 Special Services 118 Live Data Battery Test Check Engine Code Reader</t>
        </is>
      </c>
      <c r="B297" s="30" t="inlineStr">
        <is>
          <t>B079LZRK5Y</t>
        </is>
      </c>
      <c r="C297" s="30" t="inlineStr">
        <is>
          <t>Tablet</t>
        </is>
      </c>
      <c r="D297" s="324" t="n">
        <v>157.484</v>
      </c>
      <c r="E297" s="53" t="n">
        <v>19614.16</v>
      </c>
      <c r="F297" s="53" t="n">
        <v>787.42</v>
      </c>
      <c r="G297" s="55" t="n">
        <v>119</v>
      </c>
      <c r="H297" s="57" t="n">
        <v>5</v>
      </c>
      <c r="I297" s="55" t="n">
        <v>29</v>
      </c>
      <c r="J297" s="56" t="n">
        <v>4.5</v>
      </c>
      <c r="K297" s="56" t="inlineStr">
        <is>
          <t>https://amazon.com/dp/B079LZRK5Y</t>
        </is>
      </c>
      <c r="L297" s="70">
        <f>HYPERLINK(Table3258[[#This Row],[Column1]])</f>
        <v/>
      </c>
    </row>
    <row r="298" ht="45" customHeight="1" s="290">
      <c r="A298" s="30" t="inlineStr">
        <is>
          <t>Bidirectional Diagnostic Tool for Land Rover/Volvo, iCarsoft VOL V3.0 (Enhanced Ver) All System Active Test 42 Resets for Land Rove, 39 Resets for Volvo, OBD2 Scanner Code Reader</t>
        </is>
      </c>
      <c r="B298" s="30" t="inlineStr">
        <is>
          <t>B0F6VHLQ3Y</t>
        </is>
      </c>
      <c r="C298" s="30" t="inlineStr">
        <is>
          <t>Tablet</t>
        </is>
      </c>
      <c r="D298" s="324" t="n">
        <v>201.498</v>
      </c>
      <c r="E298" s="53" t="n">
        <v>11249.52230769231</v>
      </c>
      <c r="F298" s="53" t="n">
        <v>1007.49</v>
      </c>
      <c r="G298" s="55" t="n">
        <v>38</v>
      </c>
      <c r="H298" s="57" t="n">
        <v>5</v>
      </c>
      <c r="I298" s="55" t="n">
        <v>438</v>
      </c>
      <c r="J298" s="56" t="n">
        <v>4.2</v>
      </c>
      <c r="K298" s="56" t="inlineStr">
        <is>
          <t>https://amazon.com/dp/B0F6VHLQ3Y</t>
        </is>
      </c>
      <c r="L298" s="70">
        <f>HYPERLINK(Table3258[[#This Row],[Column1]])</f>
        <v/>
      </c>
    </row>
    <row r="299" ht="45" customHeight="1" s="290">
      <c r="A299" s="30" t="inlineStr">
        <is>
          <t>iCarsoft Wireless Bidirectional Diagnostic Tool, CR Eagle ECU Coding &amp; TPMS Programming &amp; Battery Registration, All System 49 Reset,10000+Extra Services OBD2 Scanner with 4 Sensors/Endoscope</t>
        </is>
      </c>
      <c r="B299" s="30" t="inlineStr">
        <is>
          <t>B0F1TD28WF</t>
        </is>
      </c>
      <c r="C299" s="30" t="inlineStr">
        <is>
          <t>Tablet</t>
        </is>
      </c>
      <c r="D299" s="324" t="n">
        <v>846.96</v>
      </c>
      <c r="E299" s="53" t="n">
        <v>47251.92846153846</v>
      </c>
      <c r="F299" s="53" t="n">
        <v>4234.8</v>
      </c>
      <c r="G299" s="55" t="n">
        <v>35</v>
      </c>
      <c r="H299" s="57" t="n">
        <v>5</v>
      </c>
      <c r="I299" s="55" t="n">
        <v>1</v>
      </c>
      <c r="J299" s="56" t="n">
        <v>2</v>
      </c>
      <c r="K299" s="56" t="inlineStr">
        <is>
          <t>https://amazon.com/dp/B0F1TD28WF</t>
        </is>
      </c>
      <c r="L299" s="70">
        <f>HYPERLINK(Table3258[[#This Row],[Column1]])</f>
        <v/>
      </c>
    </row>
    <row r="300" ht="45" customHeight="1" s="290">
      <c r="A300" s="30" t="inlineStr">
        <is>
          <t>iCarsoft DE V4.0 Full System Bidirectional Diagnostic Scan Tool for Most Mercedes-Benz, BMW, V.A.G and Porsche Manufacturing Group Car Models OBD2 Scanner Up to 42 Service Live Data Car Code Reader</t>
        </is>
      </c>
      <c r="B300" s="30" t="inlineStr">
        <is>
          <t>B0FS6CLZQY</t>
        </is>
      </c>
      <c r="C300" s="30" t="inlineStr">
        <is>
          <t>Handheld</t>
        </is>
      </c>
      <c r="D300" s="324" t="n">
        <v>276.424</v>
      </c>
      <c r="E300" s="53" t="n">
        <v>21351.99153846153</v>
      </c>
      <c r="F300" s="53" t="n">
        <v>1382.12</v>
      </c>
      <c r="G300" s="55" t="n">
        <v>43</v>
      </c>
      <c r="H300" s="57" t="n">
        <v>5</v>
      </c>
      <c r="I300" s="55" t="n"/>
      <c r="J300" s="56" t="n"/>
      <c r="K300" s="56" t="inlineStr">
        <is>
          <t>https://amazon.com/dp/B0FS6CLZQY</t>
        </is>
      </c>
      <c r="L300" s="70">
        <f>HYPERLINK(Table3258[[#This Row],[Column1]])</f>
        <v/>
      </c>
    </row>
    <row r="301" ht="45" customHeight="1" s="290">
      <c r="A301" s="30" t="inlineStr">
        <is>
          <t>iCarsoft CR Max BT (Enhanced) Wireless Bidirectional Diagnostic Tool, ECU Adaptation/Teach-in, 49+ Reset All System Touchscreen Battery Registration ECU Coding OBD2 Scanner with 38Pin + 20Pin Adapter</t>
        </is>
      </c>
      <c r="B301" s="30" t="inlineStr">
        <is>
          <t>B0DRJM17KL</t>
        </is>
      </c>
      <c r="C301" s="30" t="inlineStr">
        <is>
          <t>Tablet</t>
        </is>
      </c>
      <c r="D301" s="324" t="n">
        <v>478.542</v>
      </c>
      <c r="E301" s="53" t="n">
        <v>50005.79</v>
      </c>
      <c r="F301" s="53" t="n">
        <v>2392.71</v>
      </c>
      <c r="G301" s="55" t="n">
        <v>97</v>
      </c>
      <c r="H301" s="57" t="n">
        <v>5</v>
      </c>
      <c r="I301" s="55" t="n">
        <v>603</v>
      </c>
      <c r="J301" s="56" t="n">
        <v>4.3</v>
      </c>
      <c r="K301" s="56" t="inlineStr">
        <is>
          <t>https://amazon.com/dp/B0DRJM17KL</t>
        </is>
      </c>
      <c r="L301" s="70">
        <f>HYPERLINK(Table3258[[#This Row],[Column1]])</f>
        <v/>
      </c>
    </row>
    <row r="302" ht="45" customHeight="1" s="290">
      <c r="A302" s="30" t="inlineStr">
        <is>
          <t>iCarsoft BMM V1.0 2025 Version for BMW/MINI/RollsRoyce OBD2 Scanner Code Reader, Full Systems Diagnostic Scan Tool, Oil Reset + SAS Calibration Services, Lifetime Free Update</t>
        </is>
      </c>
      <c r="B302" s="30" t="inlineStr">
        <is>
          <t>B0F37X7TN5</t>
        </is>
      </c>
      <c r="C302" s="30" t="inlineStr">
        <is>
          <t>Tablet</t>
        </is>
      </c>
      <c r="D302" s="324" t="n">
        <v>122.482</v>
      </c>
      <c r="E302" s="53" t="n">
        <v>4482.96923076923</v>
      </c>
      <c r="F302" s="53" t="n">
        <v>612.41</v>
      </c>
      <c r="G302" s="55" t="n">
        <v>8</v>
      </c>
      <c r="H302" s="57" t="n">
        <v>5</v>
      </c>
      <c r="I302" s="55" t="n">
        <v>2</v>
      </c>
      <c r="J302" s="56" t="n">
        <v>2.4</v>
      </c>
      <c r="K302" s="56" t="inlineStr">
        <is>
          <t>https://amazon.com/dp/B0F37X7TN5</t>
        </is>
      </c>
      <c r="L302" s="70">
        <f>HYPERLINK(Table3258[[#This Row],[Column1]])</f>
        <v/>
      </c>
    </row>
    <row r="303" ht="30" customHeight="1" s="290">
      <c r="A303" s="30" t="inlineStr">
        <is>
          <t>Bidirectional OBD2 Diagnostic Tool for BMW/Mini/Mercedes-Benz/Audi/Porsche/Volkswagen etc,2025 iCarsoft EU MAX Code Reader Scanner, All System, 44 Services</t>
        </is>
      </c>
      <c r="B303" s="30" t="inlineStr">
        <is>
          <t>B0D3H41895</t>
        </is>
      </c>
      <c r="C303" s="30" t="inlineStr">
        <is>
          <t>Tablet</t>
        </is>
      </c>
      <c r="D303" s="324" t="n">
        <v>224.578</v>
      </c>
      <c r="E303" s="53" t="n">
        <v>14817.03384615384</v>
      </c>
      <c r="F303" s="53" t="n">
        <v>1122.89</v>
      </c>
      <c r="G303" s="55" t="n">
        <v>53</v>
      </c>
      <c r="H303" s="57" t="n">
        <v>5</v>
      </c>
      <c r="I303" s="55" t="n">
        <v>5</v>
      </c>
      <c r="J303" s="56" t="n">
        <v>4.2</v>
      </c>
      <c r="K303" s="56" t="inlineStr">
        <is>
          <t>https://amazon.com/dp/B0D3H41895</t>
        </is>
      </c>
      <c r="L303" s="70">
        <f>HYPERLINK(Table3258[[#This Row],[Column1]])</f>
        <v/>
      </c>
    </row>
    <row r="304" ht="45" customHeight="1" s="290">
      <c r="A304" s="30" t="inlineStr">
        <is>
          <t>iCarsoft DE V4.0 Bidirectional Diagnostic Scan Tool for Most Mercedes-Benz, BMW, V.A.G, Porsche Group Car Models from 1996-2023 All System OBD2 Scanner 44 Service Live Data Code Reader Free Update</t>
        </is>
      </c>
      <c r="B304" s="30" t="inlineStr">
        <is>
          <t>B0GBVY2B12</t>
        </is>
      </c>
      <c r="C304" s="30" t="inlineStr">
        <is>
          <t>Handheld</t>
        </is>
      </c>
      <c r="D304" s="324" t="n">
        <v>275.68</v>
      </c>
      <c r="E304" s="53" t="n">
        <v>14710.50230769231</v>
      </c>
      <c r="F304" s="53" t="n">
        <v>1378.4</v>
      </c>
      <c r="G304" s="55" t="n">
        <v>7</v>
      </c>
      <c r="H304" s="57" t="n">
        <v>5</v>
      </c>
      <c r="I304" s="55" t="n"/>
      <c r="J304" s="56" t="n"/>
      <c r="K304" s="56" t="inlineStr">
        <is>
          <t>https://amazon.com/dp/B0GBVY2B12</t>
        </is>
      </c>
      <c r="L304" s="70">
        <f>HYPERLINK(Table3258[[#This Row],[Column1]])</f>
        <v/>
      </c>
    </row>
    <row r="305" ht="60" customHeight="1" s="290">
      <c r="A305" s="30" t="inlineStr">
        <is>
          <t>iCarsoft i900 General Motors Gm Obd2 Car Truck Diagnostic Scanner Tool Reset Erase Fault Code</t>
        </is>
      </c>
      <c r="B305" s="30" t="inlineStr">
        <is>
          <t>B00NLM7W5U</t>
        </is>
      </c>
      <c r="C305" s="30" t="inlineStr">
        <is>
          <t>Handheld</t>
        </is>
      </c>
      <c r="D305" s="324" t="n">
        <v>93.548</v>
      </c>
      <c r="E305" s="53" t="n">
        <v>4407.08</v>
      </c>
      <c r="F305" s="53" t="n">
        <v>467.74</v>
      </c>
      <c r="G305" s="55" t="n">
        <v>38</v>
      </c>
      <c r="H305" s="57" t="n">
        <v>5</v>
      </c>
      <c r="I305" s="55" t="n">
        <v>139</v>
      </c>
      <c r="J305" s="56" t="n">
        <v>4.1</v>
      </c>
      <c r="K305" s="56" t="inlineStr">
        <is>
          <t>https://amazon.com/dp/B00NLM7W5U</t>
        </is>
      </c>
      <c r="L305" s="70">
        <f>HYPERLINK(Table3258[[#This Row],[Column1]])</f>
        <v/>
      </c>
    </row>
    <row r="306" ht="45" customHeight="1" s="290">
      <c r="A306" s="30" t="inlineStr">
        <is>
          <t>iCarsoft CR MAX 2025 Bidirectional Scan Tool All System 49+ Services and 47+ Special Functions Full Active Test OBD2 Scanner Diagnostic Tool Car Code Reader CAN FD with 38 Pin for Benz 20 Pin for BMW</t>
        </is>
      </c>
      <c r="B306" s="30" t="inlineStr">
        <is>
          <t>B0DNPHMWL2</t>
        </is>
      </c>
      <c r="C306" s="30" t="inlineStr">
        <is>
          <t>Tablet</t>
        </is>
      </c>
      <c r="D306" s="324" t="n">
        <v>391.42</v>
      </c>
      <c r="E306" s="53" t="n">
        <v>56137.97</v>
      </c>
      <c r="F306" s="53" t="n">
        <v>1957.1</v>
      </c>
      <c r="G306" s="55" t="n">
        <v>116</v>
      </c>
      <c r="H306" s="57" t="n">
        <v>5</v>
      </c>
      <c r="I306" s="55" t="n">
        <v>48</v>
      </c>
      <c r="J306" s="56" t="n">
        <v>4.1</v>
      </c>
      <c r="K306" s="56" t="inlineStr">
        <is>
          <t>https://amazon.com/dp/B0DNPHMWL2</t>
        </is>
      </c>
      <c r="L306" s="70">
        <f>HYPERLINK(Table3258[[#This Row],[Column1]])</f>
        <v/>
      </c>
    </row>
    <row r="307" ht="30" customHeight="1" s="290">
      <c r="A307" s="30" t="inlineStr">
        <is>
          <t>iCarsoft Auto Diagnostic Scanner BMM V1.0 for BMW&amp;Mini Test Oil Reset, SAS Reset New Version of i910 (red)</t>
        </is>
      </c>
      <c r="B307" s="30" t="inlineStr">
        <is>
          <t>B075FKTX16</t>
        </is>
      </c>
      <c r="C307" s="30" t="inlineStr">
        <is>
          <t>Handheld</t>
        </is>
      </c>
      <c r="D307" s="324" t="n">
        <v>68.71599999999999</v>
      </c>
      <c r="E307" s="53" t="n">
        <v>9325.631538461539</v>
      </c>
      <c r="F307" s="53" t="n">
        <v>343.58</v>
      </c>
      <c r="G307" s="55" t="n">
        <v>88</v>
      </c>
      <c r="H307" s="57" t="n">
        <v>5</v>
      </c>
      <c r="I307" s="55" t="n">
        <v>34</v>
      </c>
      <c r="J307" s="56" t="n">
        <v>3.6</v>
      </c>
      <c r="K307" s="56" t="inlineStr">
        <is>
          <t>https://amazon.com/dp/B075FKTX16</t>
        </is>
      </c>
      <c r="L307" s="70">
        <f>HYPERLINK(Table3258[[#This Row],[Column1]])</f>
        <v/>
      </c>
    </row>
    <row r="308" ht="45" customHeight="1" s="290">
      <c r="A308" s="30" t="inlineStr">
        <is>
          <t>iCarsoft CR Pro Diagnostic Scan Tool,Professional Multi-Brand Multi-System Car Diagnostic Tools</t>
        </is>
      </c>
      <c r="B308" s="30" t="inlineStr">
        <is>
          <t>B07MS14X7K</t>
        </is>
      </c>
      <c r="C308" s="30" t="inlineStr">
        <is>
          <t>Tablet</t>
        </is>
      </c>
      <c r="D308" s="324" t="n">
        <v>195.358</v>
      </c>
      <c r="E308" s="53" t="n">
        <v>13514.42</v>
      </c>
      <c r="F308" s="53" t="n">
        <v>976.79</v>
      </c>
      <c r="G308" s="55" t="n">
        <v>58</v>
      </c>
      <c r="H308" s="57" t="n">
        <v>5</v>
      </c>
      <c r="I308" s="55" t="n">
        <v>786</v>
      </c>
      <c r="J308" s="56" t="n">
        <v>4</v>
      </c>
      <c r="K308" s="56" t="inlineStr">
        <is>
          <t>https://amazon.com/dp/B07MS14X7K</t>
        </is>
      </c>
      <c r="L308" s="70">
        <f>HYPERLINK(Table3258[[#This Row],[Column1]])</f>
        <v/>
      </c>
    </row>
    <row r="309" ht="45" customHeight="1" s="290">
      <c r="A309" s="30" t="inlineStr">
        <is>
          <t>iCarsoft CR Max + Free Screen Protector - Professional Multibrand Automotive Diagnostic Scanner - Read/Erase Faults Codes - Reset Oil Service - Coding &amp; Programming</t>
        </is>
      </c>
      <c r="B309" s="30" t="inlineStr">
        <is>
          <t>B09RGBD8BQ</t>
        </is>
      </c>
      <c r="C309" s="30" t="inlineStr">
        <is>
          <t>Tablet</t>
        </is>
      </c>
      <c r="D309" s="324" t="n">
        <v>406.3575</v>
      </c>
      <c r="E309" s="53" t="n">
        <v>19557.39</v>
      </c>
      <c r="F309" s="53" t="n">
        <v>1625.43</v>
      </c>
      <c r="G309" s="55" t="n">
        <v>57</v>
      </c>
      <c r="H309" s="57" t="n">
        <v>4</v>
      </c>
      <c r="I309" s="55" t="n">
        <v>107</v>
      </c>
      <c r="J309" s="56" t="n">
        <v>3.8</v>
      </c>
      <c r="K309" s="56" t="inlineStr">
        <is>
          <t>https://amazon.com/dp/B09RGBD8BQ</t>
        </is>
      </c>
      <c r="L309" s="70">
        <f>HYPERLINK(Table3258[[#This Row],[Column1]])</f>
        <v/>
      </c>
    </row>
    <row r="310" ht="45" customHeight="1" s="290">
      <c r="A310" s="30" t="inlineStr">
        <is>
          <t>iCarsoft HD V3.0 Heavy Duty Truck Multi-Systems Scanner, OBD2 Scanner for Diesel Trucks, 2-in-1 Code Reader for Truck &amp; Car with Full OBD2 Modes, Diagnostic Tool with 16/6/9 Pin Adapter</t>
        </is>
      </c>
      <c r="B310" s="30" t="inlineStr">
        <is>
          <t>B0F9XZXSYZ</t>
        </is>
      </c>
      <c r="C310" s="30" t="inlineStr">
        <is>
          <t>Handheld</t>
        </is>
      </c>
      <c r="D310" s="324" t="n">
        <v>104.145</v>
      </c>
      <c r="E310" s="53" t="n">
        <v>3749.341538461538</v>
      </c>
      <c r="F310" s="53" t="n">
        <v>416.58</v>
      </c>
      <c r="G310" s="55" t="n">
        <v>21</v>
      </c>
      <c r="H310" s="57" t="n">
        <v>4</v>
      </c>
      <c r="I310" s="55" t="n">
        <v>2</v>
      </c>
      <c r="J310" s="56" t="n">
        <v>2</v>
      </c>
      <c r="K310" s="56" t="inlineStr">
        <is>
          <t>https://amazon.com/dp/B0F9XZXSYZ</t>
        </is>
      </c>
      <c r="L310" s="70">
        <f>HYPERLINK(Table3258[[#This Row],[Column1]])</f>
        <v/>
      </c>
    </row>
    <row r="311" ht="45" customHeight="1" s="290">
      <c r="A311" s="30" t="inlineStr">
        <is>
          <t>iCarsoft CR Pro Multi-Systems Diagnostic Scan Tool for Multi-Brand Vehicles +Oil Reset+EPB+BMS++SAS+ETC+BLD+INJ</t>
        </is>
      </c>
      <c r="B311" s="30" t="inlineStr">
        <is>
          <t>B07KR4GZXN</t>
        </is>
      </c>
      <c r="C311" s="30" t="inlineStr">
        <is>
          <t>Tablet</t>
        </is>
      </c>
      <c r="D311" s="324" t="n">
        <v>257.765</v>
      </c>
      <c r="E311" s="53" t="n">
        <v>12481.62</v>
      </c>
      <c r="F311" s="53" t="n">
        <v>1031.06</v>
      </c>
      <c r="G311" s="55" t="n">
        <v>50</v>
      </c>
      <c r="H311" s="57" t="n">
        <v>4</v>
      </c>
      <c r="I311" s="55" t="n">
        <v>689</v>
      </c>
      <c r="J311" s="56" t="n">
        <v>3.9</v>
      </c>
      <c r="K311" s="56" t="inlineStr">
        <is>
          <t>https://amazon.com/dp/B07KR4GZXN</t>
        </is>
      </c>
      <c r="L311" s="70">
        <f>HYPERLINK(Table3258[[#This Row],[Column1]])</f>
        <v/>
      </c>
    </row>
    <row r="312" ht="45" customHeight="1" s="290">
      <c r="A312" s="30" t="inlineStr">
        <is>
          <t>iCarsoft OBD2 Scanner for Volvo/Saab, VOL V1.0 All Systems in-Depth Diagnostic Tool, Oil/SAS Reset/Live Data, ABS Airbag Engine Transmission Code Reader 10 OBD2/EOBD/CAN Scan Tool</t>
        </is>
      </c>
      <c r="B312" s="30" t="inlineStr">
        <is>
          <t>B0DMNMDHLC</t>
        </is>
      </c>
      <c r="C312" s="30" t="inlineStr">
        <is>
          <t>Handheld</t>
        </is>
      </c>
      <c r="D312" s="324" t="n">
        <v>121.615</v>
      </c>
      <c r="E312" s="53" t="n">
        <v>10088.44</v>
      </c>
      <c r="F312" s="53" t="n">
        <v>486.46</v>
      </c>
      <c r="G312" s="55" t="n">
        <v>80</v>
      </c>
      <c r="H312" s="57" t="n">
        <v>4</v>
      </c>
      <c r="I312" s="55" t="n">
        <v>25</v>
      </c>
      <c r="J312" s="56" t="n">
        <v>4</v>
      </c>
      <c r="K312" s="56" t="inlineStr">
        <is>
          <t>https://amazon.com/dp/B0DMNMDHLC</t>
        </is>
      </c>
      <c r="L312" s="70">
        <f>HYPERLINK(Table3258[[#This Row],[Column1]])</f>
        <v/>
      </c>
    </row>
    <row r="313" ht="45" customHeight="1" s="290">
      <c r="A313" s="30" t="inlineStr">
        <is>
          <t>iCarsoft 2025 BMM V2.0 OBD2 Scanner for BMW/Mini/Rolls-Royce, Full System Diagnostic Tool Code Reader with 9 Resets-Oil/SAS/EPB/BMS/ETC/D.P.F/BLD/INJ/TPMS, AutoVIN Battery Test, Lifetime Update</t>
        </is>
      </c>
      <c r="B313" s="30" t="inlineStr">
        <is>
          <t>B0DZCHFKB2</t>
        </is>
      </c>
      <c r="C313" s="30" t="inlineStr">
        <is>
          <t>Tablet</t>
        </is>
      </c>
      <c r="D313" s="324" t="n">
        <v>179.8825</v>
      </c>
      <c r="E313" s="53" t="n">
        <v>7446.466153846153</v>
      </c>
      <c r="F313" s="53" t="n">
        <v>719.53</v>
      </c>
      <c r="G313" s="55" t="n">
        <v>30</v>
      </c>
      <c r="H313" s="57" t="n">
        <v>4</v>
      </c>
      <c r="I313" s="55" t="n">
        <v>118</v>
      </c>
      <c r="J313" s="56" t="n">
        <v>3.7</v>
      </c>
      <c r="K313" s="56" t="inlineStr">
        <is>
          <t>https://amazon.com/dp/B0DZCHFKB2</t>
        </is>
      </c>
      <c r="L313" s="70">
        <f>HYPERLINK(Table3258[[#This Row],[Column1]])</f>
        <v/>
      </c>
    </row>
    <row r="314" ht="45" customHeight="1" s="290">
      <c r="A314" s="30" t="inlineStr">
        <is>
          <t>iCarsoft JP V4.0 Bidirectional Diagnostic Tool for Japanese/Korean Cars (Honda/Toyota/Nissan/Kia etc), All System 47 Services + Active Test OBD2 Scanner, Battery Registration</t>
        </is>
      </c>
      <c r="B314" s="30" t="inlineStr">
        <is>
          <t>B0G39N8Q3C</t>
        </is>
      </c>
      <c r="C314" s="30" t="inlineStr">
        <is>
          <t>Tablet</t>
        </is>
      </c>
      <c r="D314" s="324" t="n">
        <v>270.47</v>
      </c>
      <c r="E314" s="53" t="n">
        <v>13053.48615384616</v>
      </c>
      <c r="F314" s="53" t="n">
        <v>1081.88</v>
      </c>
      <c r="G314" s="55" t="n">
        <v>14</v>
      </c>
      <c r="H314" s="57" t="n">
        <v>4</v>
      </c>
      <c r="I314" s="55" t="n"/>
      <c r="J314" s="56" t="n"/>
      <c r="K314" s="56" t="inlineStr">
        <is>
          <t>https://amazon.com/dp/B0G39N8Q3C</t>
        </is>
      </c>
      <c r="L314" s="70">
        <f>HYPERLINK(Table3258[[#This Row],[Column1]])</f>
        <v/>
      </c>
    </row>
    <row r="315" ht="30" customHeight="1" s="290">
      <c r="A315" s="30" t="inlineStr">
        <is>
          <t>iCarsoft OBD2 Scanner for Landrover/Jaguar 9 Reset Functions Oil Reset BMS TPMS etc, Full System Diagnostic Tool with Airbag Transmission Scan, Battery Test/Live Data, LR V2.0 Car Code Reader</t>
        </is>
      </c>
      <c r="B315" s="30" t="inlineStr">
        <is>
          <t>B0D9XZYH44</t>
        </is>
      </c>
      <c r="C315" s="30" t="inlineStr">
        <is>
          <t>Tablet</t>
        </is>
      </c>
      <c r="D315" s="324" t="n">
        <v>153.0433333333333</v>
      </c>
      <c r="E315" s="53" t="n">
        <v>31041.39</v>
      </c>
      <c r="F315" s="53" t="n">
        <v>459.13</v>
      </c>
      <c r="G315" s="55" t="n">
        <v>186</v>
      </c>
      <c r="H315" s="57" t="n">
        <v>3</v>
      </c>
      <c r="I315" s="55" t="n">
        <v>13</v>
      </c>
      <c r="J315" s="56" t="n">
        <v>3.8</v>
      </c>
      <c r="K315" s="56" t="inlineStr">
        <is>
          <t>https://amazon.com/dp/B0D9XZYH44</t>
        </is>
      </c>
      <c r="L315" s="70">
        <f>HYPERLINK(Table3258[[#This Row],[Column1]])</f>
        <v/>
      </c>
    </row>
    <row r="316" ht="45" customHeight="1" s="290">
      <c r="A316" s="30" t="inlineStr">
        <is>
          <t>iCarsoft LR II Compatible for Landrover/Jaguar OBD II Scanner Tool Multi Systems ABS SRS Oil Reset</t>
        </is>
      </c>
      <c r="B316" s="30" t="inlineStr">
        <is>
          <t>B010ODE238</t>
        </is>
      </c>
      <c r="C316" s="30" t="inlineStr">
        <is>
          <t>Tablet</t>
        </is>
      </c>
      <c r="D316" s="324" t="n">
        <v>130.82</v>
      </c>
      <c r="E316" s="53" t="n">
        <v>2384.05</v>
      </c>
      <c r="F316" s="53" t="n">
        <v>392.46</v>
      </c>
      <c r="G316" s="55" t="n">
        <v>16</v>
      </c>
      <c r="H316" s="57" t="n">
        <v>3</v>
      </c>
      <c r="I316" s="55" t="n">
        <v>178</v>
      </c>
      <c r="J316" s="56" t="n">
        <v>4.2</v>
      </c>
      <c r="K316" s="56" t="inlineStr">
        <is>
          <t>https://amazon.com/dp/B010ODE238</t>
        </is>
      </c>
      <c r="L316" s="70">
        <f>HYPERLINK(Table3258[[#This Row],[Column1]])</f>
        <v/>
      </c>
    </row>
    <row r="317" ht="45" customHeight="1" s="290">
      <c r="A317" s="30" t="inlineStr">
        <is>
          <t>iCarsoft CR Pro+ | Outil Diagnostic Automobile Multimarques OBD2 | Lecture et effacements Codes défauts | Reset FAP | Codage Injecteurs | Purge ABS et autres fonctions</t>
        </is>
      </c>
      <c r="B317" s="30" t="inlineStr">
        <is>
          <t>B0BHZL5CB6</t>
        </is>
      </c>
      <c r="C317" s="30" t="inlineStr">
        <is>
          <t>Tablet</t>
        </is>
      </c>
      <c r="D317" s="324" t="n">
        <v>205.92</v>
      </c>
      <c r="E317" s="53" t="n">
        <v>17872.26</v>
      </c>
      <c r="F317" s="53" t="n">
        <v>617.76</v>
      </c>
      <c r="G317" s="55" t="n">
        <v>73</v>
      </c>
      <c r="H317" s="57" t="n">
        <v>3</v>
      </c>
      <c r="I317" s="55" t="n">
        <v>118</v>
      </c>
      <c r="J317" s="56" t="n">
        <v>4.2</v>
      </c>
      <c r="K317" s="56" t="inlineStr">
        <is>
          <t>https://amazon.com/dp/B0BHZL5CB6</t>
        </is>
      </c>
      <c r="L317" s="70">
        <f>HYPERLINK(Table3258[[#This Row],[Column1]])</f>
        <v/>
      </c>
    </row>
    <row r="318" ht="30" customHeight="1" s="290">
      <c r="A318" s="30" t="inlineStr">
        <is>
          <t>iCarsoft i800 Plus OBD2 Scanner Diagnostic Tool with Component Test/118 Live Data/Reset CEL/Battery Test/Freeze Frame/VIN, Code Reader for All Cars Full OBD2 Functions, Fuel System Scan Tool para Auto</t>
        </is>
      </c>
      <c r="B318" s="30" t="inlineStr">
        <is>
          <t>B0C4KTVRW8</t>
        </is>
      </c>
      <c r="C318" s="30" t="inlineStr">
        <is>
          <t>Handheld</t>
        </is>
      </c>
      <c r="D318" s="324" t="n">
        <v>73.85666666666667</v>
      </c>
      <c r="E318" s="53" t="n">
        <v>2896.58</v>
      </c>
      <c r="F318" s="53" t="n">
        <v>221.57</v>
      </c>
      <c r="G318" s="55" t="n">
        <v>44</v>
      </c>
      <c r="H318" s="57" t="n">
        <v>3</v>
      </c>
      <c r="I318" s="55" t="n">
        <v>19</v>
      </c>
      <c r="J318" s="56" t="n">
        <v>4.1</v>
      </c>
      <c r="K318" s="56" t="inlineStr">
        <is>
          <t>https://amazon.com/dp/B0C4KTVRW8</t>
        </is>
      </c>
      <c r="L318" s="70">
        <f>HYPERLINK(Table3258[[#This Row],[Column1]])</f>
        <v/>
      </c>
    </row>
    <row r="319" ht="45" customHeight="1" s="290">
      <c r="A319" s="30" t="inlineStr">
        <is>
          <t>Motorcycle Bidirectional Diagnostic Scan Tool for Kawasaki, iCarsoft MT V6 All System Motor OBD2 Scanner- All Actuation Tests, Special Functions, Battery Test, Also for Car OBD2 Diagnose-Upgraded Ver</t>
        </is>
      </c>
      <c r="B319" s="30" t="inlineStr">
        <is>
          <t>B0F62P4KTL</t>
        </is>
      </c>
      <c r="C319" s="30" t="inlineStr">
        <is>
          <t>Tablet</t>
        </is>
      </c>
      <c r="D319" s="324" t="n">
        <v>178.8433333333333</v>
      </c>
      <c r="E319" s="53" t="n">
        <v>8873.836923076924</v>
      </c>
      <c r="F319" s="53" t="n">
        <v>536.53</v>
      </c>
      <c r="G319" s="55" t="n">
        <v>34</v>
      </c>
      <c r="H319" s="57" t="n">
        <v>3</v>
      </c>
      <c r="I319" s="55" t="n">
        <v>4</v>
      </c>
      <c r="J319" s="56" t="n">
        <v>2.7</v>
      </c>
      <c r="K319" s="56" t="inlineStr">
        <is>
          <t>https://amazon.com/dp/B0F62P4KTL</t>
        </is>
      </c>
      <c r="L319" s="70">
        <f>HYPERLINK(Table3258[[#This Row],[Column1]])</f>
        <v/>
      </c>
    </row>
    <row r="320" ht="45" customHeight="1" s="290">
      <c r="A320" s="30" t="inlineStr">
        <is>
          <t>iCarsoft VDSP2000 USB Videoscope, 0.21'' Camera Len, Waterproof HD Borescope Inspection Camera, 39.37'',LED Light, Industrial HD Endoscope Work with CR Ultra,CR Unicorn,CR Unicorn S, CR MAX, CR MAX BT</t>
        </is>
      </c>
      <c r="B320" s="30" t="inlineStr">
        <is>
          <t>B0FRD886R8</t>
        </is>
      </c>
      <c r="C320" s="30" t="inlineStr">
        <is>
          <t>Other</t>
        </is>
      </c>
      <c r="D320" s="324" t="n">
        <v>43.22</v>
      </c>
      <c r="E320" s="53" t="n">
        <v>1954.109230769232</v>
      </c>
      <c r="F320" s="53" t="n">
        <v>129.66</v>
      </c>
      <c r="G320" s="55" t="n">
        <v>22</v>
      </c>
      <c r="H320" s="57" t="n">
        <v>3</v>
      </c>
      <c r="I320" s="55" t="n"/>
      <c r="J320" s="56" t="n"/>
      <c r="K320" s="56" t="inlineStr">
        <is>
          <t>https://amazon.com/dp/B0FRD886R8</t>
        </is>
      </c>
      <c r="L320" s="70">
        <f>HYPERLINK(Table3258[[#This Row],[Column1]])</f>
        <v/>
      </c>
    </row>
    <row r="321" ht="45" customHeight="1" s="290">
      <c r="A321" s="30" t="inlineStr">
        <is>
          <t>iCarsoft 14-Pin OBDII Diagnostic Cable Adapter for Sprinter - 14 Pin to 16 Pin Connector, Car Male to Female OBD2 Cord</t>
        </is>
      </c>
      <c r="B321" s="30" t="inlineStr">
        <is>
          <t>B0DRYV74PS</t>
        </is>
      </c>
      <c r="C321" s="30" t="inlineStr">
        <is>
          <t>Cable/Adapter</t>
        </is>
      </c>
      <c r="D321" s="324" t="n">
        <v>18.38333333333333</v>
      </c>
      <c r="E321" s="53" t="n">
        <v>685.2061538461537</v>
      </c>
      <c r="F321" s="53" t="n">
        <v>55.15</v>
      </c>
      <c r="G321" s="55" t="n">
        <v>19</v>
      </c>
      <c r="H321" s="57" t="n">
        <v>3</v>
      </c>
      <c r="I321" s="55" t="n"/>
      <c r="J321" s="56" t="n"/>
      <c r="K321" s="56" t="inlineStr">
        <is>
          <t>https://amazon.com/dp/B0DRYV74PS</t>
        </is>
      </c>
      <c r="L321" s="70">
        <f>HYPERLINK(Table3258[[#This Row],[Column1]])</f>
        <v/>
      </c>
    </row>
    <row r="322" ht="45" customHeight="1" s="290">
      <c r="A322" s="30" t="inlineStr">
        <is>
          <t>iCarsoft MT V6 for Honda Motorcycle Full System Diagnostic Tool 7 Service Motorbike and Car 2-in-1 OBD2 Scanner Engine Code Reader with AutoVIN, Battery Test, Lifetime Free Update</t>
        </is>
      </c>
      <c r="B322" s="30" t="inlineStr">
        <is>
          <t>B0F6C7X9GP</t>
        </is>
      </c>
      <c r="C322" s="30" t="inlineStr">
        <is>
          <t>Handheld</t>
        </is>
      </c>
      <c r="D322" s="324" t="n">
        <v>232.78</v>
      </c>
      <c r="E322" s="53" t="n">
        <v>4269.776153846154</v>
      </c>
      <c r="F322" s="53" t="n">
        <v>698.34</v>
      </c>
      <c r="G322" s="55" t="n">
        <v>8</v>
      </c>
      <c r="H322" s="57" t="n">
        <v>3</v>
      </c>
      <c r="I322" s="55" t="n"/>
      <c r="J322" s="56" t="n"/>
      <c r="K322" s="56" t="inlineStr">
        <is>
          <t>https://amazon.com/dp/B0F6C7X9GP</t>
        </is>
      </c>
      <c r="L322" s="70">
        <f>HYPERLINK(Table3258[[#This Row],[Column1]])</f>
        <v/>
      </c>
    </row>
    <row r="323" ht="60" customHeight="1" s="290">
      <c r="A323" s="30" t="inlineStr">
        <is>
          <t>iCarsoft VAWS V2.0</t>
        </is>
      </c>
      <c r="B323" s="30" t="inlineStr">
        <is>
          <t>B07B8C8J8N</t>
        </is>
      </c>
      <c r="C323" s="30" t="inlineStr">
        <is>
          <t>Tablet</t>
        </is>
      </c>
      <c r="D323" s="324" t="n">
        <v>146.6066666666667</v>
      </c>
      <c r="E323" s="53" t="n">
        <v>6359.820000000001</v>
      </c>
      <c r="F323" s="53" t="n">
        <v>439.82</v>
      </c>
      <c r="G323" s="55" t="n">
        <v>45</v>
      </c>
      <c r="H323" s="57" t="n">
        <v>3</v>
      </c>
      <c r="I323" s="55" t="n">
        <v>229</v>
      </c>
      <c r="J323" s="56" t="n">
        <v>4</v>
      </c>
      <c r="K323" s="56" t="inlineStr">
        <is>
          <t>https://amazon.com/dp/B07B8C8J8N</t>
        </is>
      </c>
      <c r="L323" s="70">
        <f>HYPERLINK(Table3258[[#This Row],[Column1]])</f>
        <v/>
      </c>
    </row>
    <row r="324" ht="45" customHeight="1" s="290">
      <c r="A324" s="30" t="inlineStr">
        <is>
          <t>iCarsoft FR V4.0 Bidirectional Scan Tool for French Brand Cars (Peugeo/Dacia/Citroen/Renault/Fiat)+ 2 Extra Car Brands, 45+ Resets,4000+Active Test Items, All Systems Diagnose OBD2 Scanner,Live Data</t>
        </is>
      </c>
      <c r="B324" s="30" t="inlineStr">
        <is>
          <t>B0FS6G6D23</t>
        </is>
      </c>
      <c r="C324" s="30" t="inlineStr">
        <is>
          <t>Tablet</t>
        </is>
      </c>
      <c r="D324" s="324" t="n">
        <v>301.0033333333333</v>
      </c>
      <c r="E324" s="53" t="n">
        <v>9240.171538461538</v>
      </c>
      <c r="F324" s="53" t="n">
        <v>903.01</v>
      </c>
      <c r="G324" s="55" t="n">
        <v>9</v>
      </c>
      <c r="H324" s="57" t="n">
        <v>3</v>
      </c>
      <c r="I324" s="55" t="n">
        <v>3</v>
      </c>
      <c r="J324" s="56" t="n">
        <v>3.7</v>
      </c>
      <c r="K324" s="56" t="inlineStr">
        <is>
          <t>https://amazon.com/dp/B0FS6G6D23</t>
        </is>
      </c>
      <c r="L324" s="70">
        <f>HYPERLINK(Table3258[[#This Row],[Column1]])</f>
        <v/>
      </c>
    </row>
    <row r="325" ht="45" customHeight="1" s="290">
      <c r="A325" s="30" t="inlineStr">
        <is>
          <t>iCarsoft POR II-D OBD2 Full System Diagnostic Tool for Porsche, with Oil/EPB/DP/ETC/SAS Reset, Real-Time Data Display &amp; Free Lifetime Update</t>
        </is>
      </c>
      <c r="B325" s="30" t="inlineStr">
        <is>
          <t>B0DZ65TH1G</t>
        </is>
      </c>
      <c r="C325" s="30" t="inlineStr">
        <is>
          <t>Tablet</t>
        </is>
      </c>
      <c r="D325" s="324" t="n">
        <v>141.2266666666667</v>
      </c>
      <c r="E325" s="53" t="n">
        <v>4809.446153846154</v>
      </c>
      <c r="F325" s="53" t="n">
        <v>423.68</v>
      </c>
      <c r="G325" s="55" t="n">
        <v>20</v>
      </c>
      <c r="H325" s="57" t="n">
        <v>3</v>
      </c>
      <c r="I325" s="55" t="n"/>
      <c r="J325" s="56" t="n"/>
      <c r="K325" s="56" t="inlineStr">
        <is>
          <t>https://amazon.com/dp/B0DZ65TH1G</t>
        </is>
      </c>
      <c r="L325" s="70">
        <f>HYPERLINK(Table3258[[#This Row],[Column1]])</f>
        <v/>
      </c>
    </row>
    <row r="326" ht="45" customHeight="1" s="290">
      <c r="A326" s="30" t="inlineStr">
        <is>
          <t>iCarsoft VAWS V3.0 Enhanced Ver Bidirectional Scan Tool for VW, Audi, Bentley, Bugatti, Seat, Skoda and for Porsche, All Systems Diagnostic OBD2 Scanner Max 42 Service Full Active Test Code Reader</t>
        </is>
      </c>
      <c r="B326" s="30" t="inlineStr">
        <is>
          <t>B0F6BB5RWX</t>
        </is>
      </c>
      <c r="C326" s="30" t="inlineStr">
        <is>
          <t>Tablet</t>
        </is>
      </c>
      <c r="D326" s="324" t="n">
        <v>235.9666666666667</v>
      </c>
      <c r="E326" s="53" t="n">
        <v>17106.65461538462</v>
      </c>
      <c r="F326" s="53" t="n">
        <v>707.9</v>
      </c>
      <c r="G326" s="55" t="n">
        <v>58</v>
      </c>
      <c r="H326" s="57" t="n">
        <v>3</v>
      </c>
      <c r="I326" s="55" t="n">
        <v>38</v>
      </c>
      <c r="J326" s="56" t="n">
        <v>4.1</v>
      </c>
      <c r="K326" s="56" t="inlineStr">
        <is>
          <t>https://amazon.com/dp/B0F6BB5RWX</t>
        </is>
      </c>
      <c r="L326" s="70">
        <f>HYPERLINK(Table3258[[#This Row],[Column1]])</f>
        <v/>
      </c>
    </row>
    <row r="327" ht="45" customHeight="1" s="290">
      <c r="A327" s="30" t="inlineStr">
        <is>
          <t>iCarsoft POR V3.0(Enhanced) Bidirectional Diagnostic Tool for Porsche/BMW, All System, 27 Resets (234 Sub-Resets) + Extra Services +1333 Test Items for Porsche, 16 Reset +ECU Coding for BMW</t>
        </is>
      </c>
      <c r="B327" s="30" t="inlineStr">
        <is>
          <t>B0FRFKT73F</t>
        </is>
      </c>
      <c r="C327" s="30" t="inlineStr">
        <is>
          <t>Tablet</t>
        </is>
      </c>
      <c r="D327" s="324" t="n">
        <v>207.4666666666667</v>
      </c>
      <c r="E327" s="53" t="n">
        <v>8261.231538461536</v>
      </c>
      <c r="F327" s="53" t="n">
        <v>622.4</v>
      </c>
      <c r="G327" s="55" t="n">
        <v>19</v>
      </c>
      <c r="H327" s="57" t="n">
        <v>3</v>
      </c>
      <c r="I327" s="55" t="n">
        <v>152</v>
      </c>
      <c r="J327" s="56" t="n">
        <v>4</v>
      </c>
      <c r="K327" s="56" t="inlineStr">
        <is>
          <t>https://amazon.com/dp/B0FRFKT73F</t>
        </is>
      </c>
      <c r="L327" s="70">
        <f>HYPERLINK(Table3258[[#This Row],[Column1]])</f>
        <v/>
      </c>
    </row>
    <row r="328" ht="60" customHeight="1" s="290">
      <c r="A328" s="30" t="inlineStr">
        <is>
          <t>iCarsoft VAWS V4.0 Bidirectional Diagnostic Scan Tool for Most V.A.G Models as VW/Audi/ect and Other 2 Car Make All System OBD2 Scanner Up to 51 Service Live Data Code Reader AUTO VIN Free Update</t>
        </is>
      </c>
      <c r="B328" s="30" t="inlineStr">
        <is>
          <t>B0GC5BF6MQ</t>
        </is>
      </c>
      <c r="C328" s="30" t="inlineStr">
        <is>
          <t>Handheld</t>
        </is>
      </c>
      <c r="D328" s="324" t="n">
        <v>235.0033333333333</v>
      </c>
      <c r="E328" s="53" t="n">
        <v>8144.343076923078</v>
      </c>
      <c r="F328" s="53" t="n">
        <v>705.01</v>
      </c>
      <c r="G328" s="55" t="n">
        <v>4</v>
      </c>
      <c r="H328" s="57" t="n">
        <v>3</v>
      </c>
      <c r="I328" s="55" t="n"/>
      <c r="J328" s="56" t="n"/>
      <c r="K328" s="56" t="inlineStr">
        <is>
          <t>https://amazon.com/dp/B0GC5BF6MQ</t>
        </is>
      </c>
      <c r="L328" s="70">
        <f>HYPERLINK(Table3258[[#This Row],[Column1]])</f>
        <v/>
      </c>
    </row>
    <row r="329" ht="30" customHeight="1" s="290">
      <c r="A329" s="30" t="inlineStr">
        <is>
          <t>MB V3.0 for Mercedes-Benz/Sprinter/Smart Diagnostic Tool with auto VIN/Quick Test</t>
        </is>
      </c>
      <c r="B329" s="30" t="inlineStr">
        <is>
          <t>B08ZH9T8C7</t>
        </is>
      </c>
      <c r="C329" s="30" t="inlineStr">
        <is>
          <t>Tablet</t>
        </is>
      </c>
      <c r="D329" s="324" t="n">
        <v>170.0866666666667</v>
      </c>
      <c r="E329" s="53" t="n">
        <v>53722.16923076924</v>
      </c>
      <c r="F329" s="53" t="n">
        <v>510.26</v>
      </c>
      <c r="G329" s="55" t="n">
        <v>316</v>
      </c>
      <c r="H329" s="57" t="n">
        <v>3</v>
      </c>
      <c r="I329" s="55" t="n">
        <v>406</v>
      </c>
      <c r="J329" s="56" t="n">
        <v>3.8</v>
      </c>
      <c r="K329" s="56" t="inlineStr">
        <is>
          <t>https://amazon.com/dp/B08ZH9T8C7</t>
        </is>
      </c>
      <c r="L329" s="70">
        <f>HYPERLINK(Table3258[[#This Row],[Column1]])</f>
        <v/>
      </c>
    </row>
    <row r="330" ht="30" customHeight="1" s="290">
      <c r="A330" s="30" t="inlineStr">
        <is>
          <t>iCarsoft MT V6 Plus Motorcycle Scanner with Bidirectional Control for 21 Brands, Full System Motorcycle Diagnostic Tool, Full Resets/Actuation Test, Motorbike Code Reader+Car OBD2 Diagnostics 2 in 1</t>
        </is>
      </c>
      <c r="B330" s="30" t="inlineStr">
        <is>
          <t>B0G6CWLGQM</t>
        </is>
      </c>
      <c r="C330" s="30" t="inlineStr">
        <is>
          <t>Tablet</t>
        </is>
      </c>
      <c r="D330" s="324" t="n">
        <v>328.0833333333333</v>
      </c>
      <c r="E330" s="53" t="n">
        <v>11886.71153846154</v>
      </c>
      <c r="F330" s="53" t="n">
        <v>984.25</v>
      </c>
      <c r="G330" s="55" t="n">
        <v>3</v>
      </c>
      <c r="H330" s="57" t="n">
        <v>3</v>
      </c>
      <c r="I330" s="55" t="n">
        <v>1</v>
      </c>
      <c r="J330" s="56" t="n">
        <v>5</v>
      </c>
      <c r="K330" s="56" t="inlineStr">
        <is>
          <t>https://amazon.com/dp/B0G6CWLGQM</t>
        </is>
      </c>
      <c r="L330" s="70">
        <f>HYPERLINK(Table3258[[#This Row],[Column1]])</f>
        <v/>
      </c>
    </row>
    <row r="331" ht="45" customHeight="1" s="290">
      <c r="A331" s="30" t="inlineStr">
        <is>
          <t>iCarsoft Original OBD2 Main Test Cable, 16 Pin OBDII Diagnostic Test Cable, Work with iCarsoft Scanner</t>
        </is>
      </c>
      <c r="B331" s="30" t="inlineStr">
        <is>
          <t>B0G7QSH2LS</t>
        </is>
      </c>
      <c r="C331" s="30" t="inlineStr">
        <is>
          <t>Handheld</t>
        </is>
      </c>
      <c r="D331" s="324" t="n">
        <v>42.12</v>
      </c>
      <c r="E331" s="53" t="n">
        <v>1462.25</v>
      </c>
      <c r="F331" s="53" t="n">
        <v>126.36</v>
      </c>
      <c r="G331" s="55" t="n">
        <v>8</v>
      </c>
      <c r="H331" s="57" t="n">
        <v>3</v>
      </c>
      <c r="I331" s="55" t="n"/>
      <c r="J331" s="56" t="n"/>
      <c r="K331" s="56" t="inlineStr">
        <is>
          <t>https://amazon.com/dp/B0G7QSH2LS</t>
        </is>
      </c>
      <c r="L331" s="70">
        <f>HYPERLINK(Table3258[[#This Row],[Column1]])</f>
        <v/>
      </c>
    </row>
    <row r="332" ht="45" customHeight="1" s="290">
      <c r="A332" s="30" t="inlineStr">
        <is>
          <t>iCarsoft OBD II Diagnostic Tool EU Pro</t>
        </is>
      </c>
      <c r="B332" s="30" t="inlineStr">
        <is>
          <t>B07KR2QTX1</t>
        </is>
      </c>
      <c r="C332" s="30" t="inlineStr">
        <is>
          <t>Tablet</t>
        </is>
      </c>
      <c r="D332" s="324" t="n">
        <v>139.455</v>
      </c>
      <c r="E332" s="53" t="n">
        <v>5745.200000000001</v>
      </c>
      <c r="F332" s="53" t="n">
        <v>278.91</v>
      </c>
      <c r="G332" s="55" t="n">
        <v>34</v>
      </c>
      <c r="H332" s="57" t="n">
        <v>2</v>
      </c>
      <c r="I332" s="55" t="n">
        <v>186</v>
      </c>
      <c r="J332" s="56" t="n">
        <v>4</v>
      </c>
      <c r="K332" s="56" t="inlineStr">
        <is>
          <t>https://amazon.com/dp/B07KR2QTX1</t>
        </is>
      </c>
      <c r="L332" s="70">
        <f>HYPERLINK(Table3258[[#This Row],[Column1]])</f>
        <v/>
      </c>
    </row>
    <row r="333" ht="30" customHeight="1" s="290">
      <c r="A333" s="30" t="inlineStr">
        <is>
          <t>iCarsoft CR Genius(2005) OBD2 Scanner for All Vehicle, All System Scan Tool, Powerful Bidirectional Actuation Test/Full Reset/Battery Test Registration Car Code Reader, Touchscreen, Auto VIN/Scan</t>
        </is>
      </c>
      <c r="B333" s="30" t="inlineStr">
        <is>
          <t>B0DYDQ77GH</t>
        </is>
      </c>
      <c r="C333" s="30" t="inlineStr">
        <is>
          <t>Tablet</t>
        </is>
      </c>
      <c r="D333" s="324" t="n">
        <v>245.675</v>
      </c>
      <c r="E333" s="53" t="n">
        <v>1965.19</v>
      </c>
      <c r="F333" s="53" t="n">
        <v>491.35</v>
      </c>
      <c r="G333" s="55" t="n">
        <v>7</v>
      </c>
      <c r="H333" s="57" t="n">
        <v>2</v>
      </c>
      <c r="I333" s="55" t="n"/>
      <c r="J333" s="56" t="n"/>
      <c r="K333" s="56" t="inlineStr">
        <is>
          <t>https://amazon.com/dp/B0DYDQ77GH</t>
        </is>
      </c>
      <c r="L333" s="70">
        <f>HYPERLINK(Table3258[[#This Row],[Column1]])</f>
        <v/>
      </c>
    </row>
    <row r="334" ht="45" customHeight="1" s="290">
      <c r="A334" s="30" t="inlineStr">
        <is>
          <t>CR Pro S Full System Bidirectional Diagnostic Tool for All Cars, 49 Resets Touchscreen OBD2 Scanner,4000+ Active Tests/Live Data/Battery Registration Code Reader, ECU Coding for Audi/BMW/VW</t>
        </is>
      </c>
      <c r="B334" s="30" t="inlineStr">
        <is>
          <t>B0FS6TKHCP</t>
        </is>
      </c>
      <c r="C334" s="30" t="inlineStr">
        <is>
          <t>Tablet</t>
        </is>
      </c>
      <c r="D334" s="324" t="n">
        <v>419.27</v>
      </c>
      <c r="E334" s="53" t="n">
        <v>13660.65538461538</v>
      </c>
      <c r="F334" s="53" t="n">
        <v>838.54</v>
      </c>
      <c r="G334" s="55" t="n">
        <v>20</v>
      </c>
      <c r="H334" s="57" t="n">
        <v>2</v>
      </c>
      <c r="I334" s="55" t="n"/>
      <c r="J334" s="56" t="n"/>
      <c r="K334" s="56" t="inlineStr">
        <is>
          <t>https://amazon.com/dp/B0FS6TKHCP</t>
        </is>
      </c>
      <c r="L334" s="70">
        <f>HYPERLINK(Table3258[[#This Row],[Column1]])</f>
        <v/>
      </c>
    </row>
    <row r="335" ht="30" customHeight="1" s="290">
      <c r="A335" s="30" t="inlineStr">
        <is>
          <t>iCarsoft for Volvo/SAAB OBD-II Multi Systems Scanner Tool, SRS ABS Engine Oil Reset, EPB i906-II New Version</t>
        </is>
      </c>
      <c r="B335" s="30" t="inlineStr">
        <is>
          <t>B010ODE03K</t>
        </is>
      </c>
      <c r="C335" s="30" t="inlineStr">
        <is>
          <t>Tablet</t>
        </is>
      </c>
      <c r="D335" s="324" t="n">
        <v>127.92</v>
      </c>
      <c r="E335" s="53" t="n">
        <v>2280.64</v>
      </c>
      <c r="F335" s="53" t="n">
        <v>255.84</v>
      </c>
      <c r="G335" s="55" t="n">
        <v>11</v>
      </c>
      <c r="H335" s="57" t="n">
        <v>2</v>
      </c>
      <c r="I335" s="55" t="n">
        <v>109</v>
      </c>
      <c r="J335" s="56" t="n">
        <v>3.9</v>
      </c>
      <c r="K335" s="56" t="inlineStr">
        <is>
          <t>https://amazon.com/dp/B010ODE03K</t>
        </is>
      </c>
      <c r="L335" s="70">
        <f>HYPERLINK(Table3258[[#This Row],[Column1]])</f>
        <v/>
      </c>
    </row>
    <row r="336" ht="30" customHeight="1" s="290">
      <c r="A336" s="30" t="inlineStr">
        <is>
          <t>iCarsoft CR Ultra P Bidirectional Scan Tool with ECU Coding Topology Map 41+ Resets, All System Automotive Diagnostic Scanner, Upgraded Ver. of CR Ultra, Full Active Test/CANFD/DoIP/3Years Free Update</t>
        </is>
      </c>
      <c r="B336" s="30" t="inlineStr">
        <is>
          <t>B0FRMFBS1L</t>
        </is>
      </c>
      <c r="C336" s="30" t="inlineStr">
        <is>
          <t>Tablet</t>
        </is>
      </c>
      <c r="D336" s="324" t="n">
        <v>1499.935</v>
      </c>
      <c r="E336" s="53" t="n">
        <v>31455.01615384617</v>
      </c>
      <c r="F336" s="53" t="n">
        <v>2999.87</v>
      </c>
      <c r="G336" s="55" t="n">
        <v>6</v>
      </c>
      <c r="H336" s="57" t="n">
        <v>2</v>
      </c>
      <c r="I336" s="55" t="n"/>
      <c r="J336" s="56" t="n"/>
      <c r="K336" s="56" t="inlineStr">
        <is>
          <t>https://amazon.com/dp/B0FRMFBS1L</t>
        </is>
      </c>
      <c r="L336" s="70">
        <f>HYPERLINK(Table3258[[#This Row],[Column1]])</f>
        <v/>
      </c>
    </row>
    <row r="337" ht="30" customHeight="1" s="290">
      <c r="A337" s="30" t="inlineStr">
        <is>
          <t>iCarsoft Obd2 Scanner, Code Reader Car Diagnostic Tool BMM V2.0 for BMW/Mini, with Oil Service Reset, EPB, BMS, DPF, SAS, ETC, OBD II, Updated Version of i910-II</t>
        </is>
      </c>
      <c r="B337" s="30" t="inlineStr">
        <is>
          <t>B0791C1VVD</t>
        </is>
      </c>
      <c r="C337" s="30" t="inlineStr">
        <is>
          <t>Tablet</t>
        </is>
      </c>
      <c r="D337" s="324" t="n">
        <v>146.045</v>
      </c>
      <c r="E337" s="53" t="n">
        <v>12071.08</v>
      </c>
      <c r="F337" s="53" t="n">
        <v>292.09</v>
      </c>
      <c r="G337" s="55" t="n">
        <v>85</v>
      </c>
      <c r="H337" s="57" t="n">
        <v>2</v>
      </c>
      <c r="I337" s="55" t="n">
        <v>290</v>
      </c>
      <c r="J337" s="56" t="n">
        <v>4.2</v>
      </c>
      <c r="K337" s="56" t="inlineStr">
        <is>
          <t>https://amazon.com/dp/B0791C1VVD</t>
        </is>
      </c>
      <c r="L337" s="70">
        <f>HYPERLINK(Table3258[[#This Row],[Column1]])</f>
        <v/>
      </c>
    </row>
    <row r="338" ht="45" customHeight="1" s="290">
      <c r="A338" s="30" t="inlineStr">
        <is>
          <t>iCarsoft CR Pro 2025 Ver OBD2 Scanner Diagnostic Tool All System Car Scan Tool Battery Test Live Data Graph with 9 Service Oil Reset EPB BMS ETC SAS DP-F ABS TPMS Injector Coding Fault Code Reader</t>
        </is>
      </c>
      <c r="B338" s="30" t="inlineStr">
        <is>
          <t>B0F6B9YVK5</t>
        </is>
      </c>
      <c r="C338" s="30" t="inlineStr">
        <is>
          <t>Tablet</t>
        </is>
      </c>
      <c r="D338" s="324" t="n">
        <v>212.72</v>
      </c>
      <c r="E338" s="53" t="n">
        <v>5372.993846153847</v>
      </c>
      <c r="F338" s="53" t="n">
        <v>425.44</v>
      </c>
      <c r="G338" s="55" t="n">
        <v>18</v>
      </c>
      <c r="H338" s="57" t="n">
        <v>2</v>
      </c>
      <c r="I338" s="55" t="n">
        <v>38</v>
      </c>
      <c r="J338" s="56" t="n">
        <v>3.7</v>
      </c>
      <c r="K338" s="56" t="inlineStr">
        <is>
          <t>https://amazon.com/dp/B0F6B9YVK5</t>
        </is>
      </c>
      <c r="L338" s="70">
        <f>HYPERLINK(Table3258[[#This Row],[Column1]])</f>
        <v/>
      </c>
    </row>
    <row r="339" ht="30" customHeight="1" s="290">
      <c r="A339" s="30" t="inlineStr">
        <is>
          <t>iCarsoft OBD2 Scanner Diagnostic Tool for BMW/VW/Audi, BMM V2.0 (Enhanced Ver) All System 9 Maintenance Resets Battery Registration/Battery Test Code Reader Auto VIN -16PIN OBDII Adapter</t>
        </is>
      </c>
      <c r="B339" s="30" t="inlineStr">
        <is>
          <t>B0F6XKVXS1</t>
        </is>
      </c>
      <c r="C339" s="30" t="inlineStr">
        <is>
          <t>Handheld</t>
        </is>
      </c>
      <c r="D339" s="324" t="n">
        <v>154.135</v>
      </c>
      <c r="E339" s="53" t="n">
        <v>2403.837692307692</v>
      </c>
      <c r="F339" s="53" t="n">
        <v>308.27</v>
      </c>
      <c r="G339" s="55" t="n">
        <v>6</v>
      </c>
      <c r="H339" s="57" t="n">
        <v>2</v>
      </c>
      <c r="I339" s="55" t="n">
        <v>118</v>
      </c>
      <c r="J339" s="56" t="n">
        <v>3.8</v>
      </c>
      <c r="K339" s="56" t="inlineStr">
        <is>
          <t>https://amazon.com/dp/B0F6XKVXS1</t>
        </is>
      </c>
      <c r="L339" s="70">
        <f>HYPERLINK(Table3258[[#This Row],[Column1]])</f>
        <v/>
      </c>
    </row>
    <row r="340" ht="30" customHeight="1" s="290">
      <c r="A340" s="30" t="inlineStr">
        <is>
          <t>car Scanner</t>
        </is>
      </c>
      <c r="B340" s="30" t="inlineStr">
        <is>
          <t>B09YMFLHD5</t>
        </is>
      </c>
      <c r="C340" s="30" t="inlineStr">
        <is>
          <t>Tablet</t>
        </is>
      </c>
      <c r="D340" s="324" t="n">
        <v>367.53</v>
      </c>
      <c r="E340" s="53" t="n">
        <v>19267.45</v>
      </c>
      <c r="F340" s="53" t="n">
        <v>735.0599999999999</v>
      </c>
      <c r="G340" s="55" t="n">
        <v>51</v>
      </c>
      <c r="H340" s="57" t="n">
        <v>2</v>
      </c>
      <c r="I340" s="55" t="n">
        <v>200</v>
      </c>
      <c r="J340" s="56" t="n">
        <v>4</v>
      </c>
      <c r="K340" s="56" t="inlineStr">
        <is>
          <t>https://amazon.com/dp/B09YMFLHD5</t>
        </is>
      </c>
      <c r="L340" s="70">
        <f>HYPERLINK(Table3258[[#This Row],[Column1]])</f>
        <v/>
      </c>
    </row>
    <row r="341" ht="45" customHeight="1" s="290">
      <c r="A341" s="30" t="inlineStr">
        <is>
          <t>Heavy Duty Truck Scanner, iCarsoft HD V3.0 Multi-System OBD2 Diagnostic Scan Tool for Truck, Car, Mini Van, Light Duty Vehicle, Code Reader,Battery Test, Graphic Data Display-Red</t>
        </is>
      </c>
      <c r="B341" s="30" t="inlineStr">
        <is>
          <t>B07FP96X2D</t>
        </is>
      </c>
      <c r="C341" s="30" t="inlineStr">
        <is>
          <t>Handheld</t>
        </is>
      </c>
      <c r="D341" s="324" t="n">
        <v>122.81</v>
      </c>
      <c r="E341" s="53" t="n">
        <v>13258.53</v>
      </c>
      <c r="F341" s="53" t="n">
        <v>245.62</v>
      </c>
      <c r="G341" s="55" t="n">
        <v>108</v>
      </c>
      <c r="H341" s="57" t="n">
        <v>2</v>
      </c>
      <c r="I341" s="55" t="n">
        <v>34</v>
      </c>
      <c r="J341" s="56" t="n">
        <v>3.6</v>
      </c>
      <c r="K341" s="56" t="inlineStr">
        <is>
          <t>https://amazon.com/dp/B07FP96X2D</t>
        </is>
      </c>
      <c r="L341" s="70">
        <f>HYPERLINK(Table3258[[#This Row],[Column1]])</f>
        <v/>
      </c>
    </row>
    <row r="342" ht="30" customHeight="1" s="290">
      <c r="A342" s="30" t="inlineStr">
        <is>
          <t>iCarsoft JP V2.0 Diagnostic Scan Tool for Japanese Vehicles Toyota/Lexus/Scion/Isuzu/Nissan/Infiniti/Mitsubishi/Honda(Acura)/Mazda/Subaru +Oil Reset +EPB+BMS+DPF+SAS+ETC+BLD+INJ</t>
        </is>
      </c>
      <c r="B342" s="30" t="inlineStr">
        <is>
          <t>B07KR4L69G</t>
        </is>
      </c>
      <c r="C342" s="30" t="inlineStr">
        <is>
          <t>Tablet</t>
        </is>
      </c>
      <c r="D342" s="324" t="n">
        <v>125.58</v>
      </c>
      <c r="E342" s="53" t="n">
        <v>9483.02</v>
      </c>
      <c r="F342" s="53" t="n">
        <v>251.16</v>
      </c>
      <c r="G342" s="55" t="n">
        <v>62</v>
      </c>
      <c r="H342" s="57" t="n">
        <v>2</v>
      </c>
      <c r="I342" s="55" t="n">
        <v>50</v>
      </c>
      <c r="J342" s="56" t="n">
        <v>3.6</v>
      </c>
      <c r="K342" s="56" t="inlineStr">
        <is>
          <t>https://amazon.com/dp/B07KR4L69G</t>
        </is>
      </c>
      <c r="L342" s="70">
        <f>HYPERLINK(Table3258[[#This Row],[Column1]])</f>
        <v/>
      </c>
    </row>
    <row r="343" ht="45" customHeight="1" s="290">
      <c r="A343" s="30" t="inlineStr">
        <is>
          <t>iCarsoft BMM V3.0(New Ver) Diagnostic Scan Tool for BMW OBD2 Scanner, All System Bi-Directional Tests/ECU Coding Code Reader, All Resets/Battery Registration- for BMW Mini Rolls-Royce-Free Update</t>
        </is>
      </c>
      <c r="B343" s="30" t="inlineStr">
        <is>
          <t>B00NS16FIO</t>
        </is>
      </c>
      <c r="C343" s="30" t="inlineStr">
        <is>
          <t>Handheld</t>
        </is>
      </c>
      <c r="D343" s="324" t="n">
        <v>232.59</v>
      </c>
      <c r="E343" s="53" t="n">
        <v>6689.018461538464</v>
      </c>
      <c r="F343" s="53" t="n">
        <v>465.18</v>
      </c>
      <c r="G343" s="55" t="n">
        <v>18</v>
      </c>
      <c r="H343" s="57" t="n">
        <v>2</v>
      </c>
      <c r="I343" s="55" t="n">
        <v>11</v>
      </c>
      <c r="J343" s="56" t="n">
        <v>4.2</v>
      </c>
      <c r="K343" s="56" t="inlineStr">
        <is>
          <t>https://amazon.com/dp/B00NS16FIO</t>
        </is>
      </c>
      <c r="L343" s="70">
        <f>HYPERLINK(Table3258[[#This Row],[Column1]])</f>
        <v/>
      </c>
    </row>
    <row r="344" ht="30" customHeight="1" s="290">
      <c r="A344" s="30" t="inlineStr">
        <is>
          <t>iCarsoft OBD2 Scanner POR V1.0 for Porsche/Macan, All System Diagnostic Scan Tool Oil/SAS Reset Check Engine Light I/M Readiness Battery Test OBD2/CAN Car Code Reader/PCM Live Data</t>
        </is>
      </c>
      <c r="B344" s="30" t="inlineStr">
        <is>
          <t>B0DMN9WKSD</t>
        </is>
      </c>
      <c r="C344" s="30" t="inlineStr">
        <is>
          <t>Handheld</t>
        </is>
      </c>
      <c r="D344" s="324" t="n">
        <v>153.95</v>
      </c>
      <c r="E344" s="53" t="n">
        <v>13189.71</v>
      </c>
      <c r="F344" s="53" t="n">
        <v>307.9</v>
      </c>
      <c r="G344" s="55" t="n">
        <v>105</v>
      </c>
      <c r="H344" s="57" t="n">
        <v>2</v>
      </c>
      <c r="I344" s="55" t="n">
        <v>3</v>
      </c>
      <c r="J344" s="56" t="n">
        <v>2.9</v>
      </c>
      <c r="K344" s="56" t="inlineStr">
        <is>
          <t>https://amazon.com/dp/B0DMN9WKSD</t>
        </is>
      </c>
      <c r="L344" s="70">
        <f>HYPERLINK(Table3258[[#This Row],[Column1]])</f>
        <v/>
      </c>
    </row>
    <row r="345" ht="30" customHeight="1" s="290">
      <c r="A345" s="30" t="inlineStr">
        <is>
          <t>iCarsoft CR V3.0 (2026) Scan Tool Bidirectional OBD2 Scanner Diagnostic Tool for All Cars, 45 Reset,All System Diagnose, 4000+ Active Test, Battery Test-Customizable Diagnosis for 10 Car Brands</t>
        </is>
      </c>
      <c r="B345" s="30" t="inlineStr">
        <is>
          <t>B0F2HL8P5G</t>
        </is>
      </c>
      <c r="C345" s="30" t="inlineStr">
        <is>
          <t>Tablet</t>
        </is>
      </c>
      <c r="D345" s="324" t="n">
        <v>226.305</v>
      </c>
      <c r="E345" s="53" t="n">
        <v>4992.533846153846</v>
      </c>
      <c r="F345" s="53" t="n">
        <v>452.61</v>
      </c>
      <c r="G345" s="55" t="n">
        <v>18</v>
      </c>
      <c r="H345" s="57" t="n">
        <v>2</v>
      </c>
      <c r="I345" s="55" t="n">
        <v>5</v>
      </c>
      <c r="J345" s="56" t="n">
        <v>4.1</v>
      </c>
      <c r="K345" s="56" t="inlineStr">
        <is>
          <t>https://amazon.com/dp/B0F2HL8P5G</t>
        </is>
      </c>
      <c r="L345" s="70">
        <f>HYPERLINK(Table3258[[#This Row],[Column1]])</f>
        <v/>
      </c>
    </row>
    <row r="346" ht="60" customHeight="1" s="290">
      <c r="A346" s="30" t="inlineStr">
        <is>
          <t>iCarsoft OBD2 Scanner for Ford/Holden, FD V1.0 All System in-Depth Diagnostic Scan Tool, Oil/SAS Reset/Live Data, ABS Airbag Engine Transmission Code Reader OBD2/EOBD/CAN Scan Tool</t>
        </is>
      </c>
      <c r="B346" s="30" t="inlineStr">
        <is>
          <t>B0DMNZN2MZ</t>
        </is>
      </c>
      <c r="C346" s="30" t="inlineStr">
        <is>
          <t>Handheld</t>
        </is>
      </c>
      <c r="D346" s="324" t="n">
        <v>129.91</v>
      </c>
      <c r="E346" s="53" t="n">
        <v>2488.99</v>
      </c>
      <c r="F346" s="53" t="n">
        <v>129.91</v>
      </c>
      <c r="G346" s="55" t="n">
        <v>20</v>
      </c>
      <c r="H346" s="57" t="n">
        <v>1</v>
      </c>
      <c r="I346" s="55" t="n">
        <v>42</v>
      </c>
      <c r="J346" s="56" t="n">
        <v>3.8</v>
      </c>
      <c r="K346" s="56" t="inlineStr">
        <is>
          <t>https://amazon.com/dp/B0DMNZN2MZ</t>
        </is>
      </c>
      <c r="L346" s="70">
        <f>HYPERLINK(Table3258[[#This Row],[Column1]])</f>
        <v/>
      </c>
    </row>
    <row r="347" ht="30" customHeight="1" s="290">
      <c r="A347" s="30" t="inlineStr">
        <is>
          <t>iCarsoft MT V6 for Suzuki Motorcycle Bidirectional Diagnostic Tool Full System Scan Code Reader with 9 Reset/12 Active Test, Motorbike &amp; Car OBD2 Scanner/Live Data/Battery Test/AutoVIN</t>
        </is>
      </c>
      <c r="B347" s="30" t="inlineStr">
        <is>
          <t>B0F6D3JTPH</t>
        </is>
      </c>
      <c r="C347" s="30" t="inlineStr">
        <is>
          <t>Handheld</t>
        </is>
      </c>
      <c r="D347" s="324" t="n">
        <v>203.79</v>
      </c>
      <c r="E347" s="53" t="n">
        <v>2323.611538461539</v>
      </c>
      <c r="F347" s="53" t="n">
        <v>203.79</v>
      </c>
      <c r="G347" s="55" t="n">
        <v>7</v>
      </c>
      <c r="H347" s="57" t="n">
        <v>1</v>
      </c>
      <c r="I347" s="55" t="n">
        <v>2</v>
      </c>
      <c r="J347" s="56" t="n">
        <v>3</v>
      </c>
      <c r="K347" s="56" t="inlineStr">
        <is>
          <t>https://amazon.com/dp/B0F6D3JTPH</t>
        </is>
      </c>
      <c r="L347" s="70">
        <f>HYPERLINK(Table3258[[#This Row],[Column1]])</f>
        <v/>
      </c>
    </row>
    <row r="348" ht="45" customHeight="1" s="290">
      <c r="A348" s="30" t="inlineStr">
        <is>
          <t>ICarsoft i980 OBD2 Scanner for Ben.z/Sprinter/Smart, ALL System Steering Angle Reset/Oil Reset Car Diagnostic Tool Car Code Reader- Battery Test/Live Data</t>
        </is>
      </c>
      <c r="B348" s="30" t="inlineStr">
        <is>
          <t>B0F62S9ZR5</t>
        </is>
      </c>
      <c r="C348" s="30" t="inlineStr">
        <is>
          <t>Handheld</t>
        </is>
      </c>
      <c r="D348" s="324" t="n">
        <v>145.37</v>
      </c>
      <c r="E348" s="53" t="n">
        <v>1487.246923076923</v>
      </c>
      <c r="F348" s="53" t="n">
        <v>145.37</v>
      </c>
      <c r="G348" s="55" t="n">
        <v>1</v>
      </c>
      <c r="H348" s="57" t="n">
        <v>1</v>
      </c>
      <c r="I348" s="55" t="n"/>
      <c r="J348" s="56" t="n"/>
      <c r="K348" s="56" t="inlineStr">
        <is>
          <t>https://amazon.com/dp/B0F62S9ZR5</t>
        </is>
      </c>
      <c r="L348" s="70">
        <f>HYPERLINK(Table3258[[#This Row],[Column1]])</f>
        <v/>
      </c>
    </row>
    <row r="349" ht="45" customHeight="1" s="290">
      <c r="A349" s="30" t="inlineStr">
        <is>
          <t>iCarsoft Bidirectional Scan Tool CR Pro+ Enhanced Version with 38 Pin Adapter for Benz Wider Compatibility 49 Reset Service Diagnostic Tool Full Systems Code Reader In-depth Scan Tool for Control Unit</t>
        </is>
      </c>
      <c r="B349" s="30" t="inlineStr">
        <is>
          <t>B0DV5KLWXX</t>
        </is>
      </c>
      <c r="C349" s="30" t="inlineStr">
        <is>
          <t>Tablet</t>
        </is>
      </c>
      <c r="D349" s="324" t="n">
        <v>263.96</v>
      </c>
      <c r="E349" s="53" t="n">
        <v>4984.18</v>
      </c>
      <c r="F349" s="53" t="n">
        <v>263.96</v>
      </c>
      <c r="G349" s="55" t="n">
        <v>15</v>
      </c>
      <c r="H349" s="57" t="n">
        <v>1</v>
      </c>
      <c r="I349" s="55" t="n">
        <v>1</v>
      </c>
      <c r="J349" s="56" t="n">
        <v>5</v>
      </c>
      <c r="K349" s="56" t="inlineStr">
        <is>
          <t>https://amazon.com/dp/B0DV5KLWXX</t>
        </is>
      </c>
      <c r="L349" s="70">
        <f>HYPERLINK(Table3258[[#This Row],[Column1]])</f>
        <v/>
      </c>
    </row>
    <row r="350" ht="30" customHeight="1" s="290">
      <c r="A350" s="30" t="inlineStr">
        <is>
          <t>iCarsoft Professional Multi-System OBD II Scanner VAWS V1.0 with Oil Service Reset for Audi/VW/Seat/Skoda (red)</t>
        </is>
      </c>
      <c r="B350" s="30" t="inlineStr">
        <is>
          <t>B07B8NP6DL</t>
        </is>
      </c>
      <c r="C350" s="30" t="inlineStr">
        <is>
          <t>Handheld</t>
        </is>
      </c>
      <c r="D350" s="324" t="n">
        <v>99.93000000000001</v>
      </c>
      <c r="E350" s="53" t="n">
        <v>2162.2</v>
      </c>
      <c r="F350" s="53" t="n">
        <v>99.93000000000001</v>
      </c>
      <c r="G350" s="55" t="n">
        <v>21</v>
      </c>
      <c r="H350" s="57" t="n">
        <v>1</v>
      </c>
      <c r="I350" s="55" t="n">
        <v>3</v>
      </c>
      <c r="J350" s="56" t="n">
        <v>5</v>
      </c>
      <c r="K350" s="56" t="inlineStr">
        <is>
          <t>https://amazon.com/dp/B07B8NP6DL</t>
        </is>
      </c>
      <c r="L350" s="70">
        <f>HYPERLINK(Table3258[[#This Row],[Column1]])</f>
        <v/>
      </c>
    </row>
    <row r="351" ht="45" customHeight="1" s="290">
      <c r="A351" s="30" t="inlineStr">
        <is>
          <t>iCarsoft VAWS V1.0 OBD2 Scanner Full Systems Diagnostic Tool for VW/Audi/Skoda, Vehicle Code Reader with Oil Reset/SAS Reset, Automotive OBD II Scanner Fault Diagnosis with Live Data Battery Test</t>
        </is>
      </c>
      <c r="B351" s="30" t="inlineStr">
        <is>
          <t>B0FP1CTGPH</t>
        </is>
      </c>
      <c r="C351" s="30" t="inlineStr">
        <is>
          <t>Handheld</t>
        </is>
      </c>
      <c r="D351" s="324" t="n">
        <v>129.94</v>
      </c>
      <c r="E351" s="53" t="n">
        <v>1209.441538461539</v>
      </c>
      <c r="F351" s="53" t="n">
        <v>129.94</v>
      </c>
      <c r="G351" s="55" t="n">
        <v>1</v>
      </c>
      <c r="H351" s="57" t="n">
        <v>1</v>
      </c>
      <c r="I351" s="55" t="n"/>
      <c r="J351" s="56" t="n"/>
      <c r="K351" s="56" t="inlineStr">
        <is>
          <t>https://amazon.com/dp/B0FP1CTGPH</t>
        </is>
      </c>
      <c r="L351" s="70">
        <f>HYPERLINK(Table3258[[#This Row],[Column1]])</f>
        <v/>
      </c>
    </row>
    <row r="352" ht="30" customHeight="1" s="290">
      <c r="A352" s="30" t="inlineStr">
        <is>
          <t>iCarsoft CR Max BT Wireless Scan Tool, OBD2 Diagnostic Touchscreen Scanner, 4-in-1 Live Graphing, Lifetime Free Update</t>
        </is>
      </c>
      <c r="B352" s="30" t="inlineStr">
        <is>
          <t>B00S5AB54W</t>
        </is>
      </c>
      <c r="C352" s="30" t="inlineStr">
        <is>
          <t>Handheld</t>
        </is>
      </c>
      <c r="D352" s="324" t="n">
        <v>462.18</v>
      </c>
      <c r="E352" s="53" t="n">
        <v>18592.8</v>
      </c>
      <c r="F352" s="53" t="n">
        <v>462.18</v>
      </c>
      <c r="G352" s="55" t="n">
        <v>46</v>
      </c>
      <c r="H352" s="57" t="n">
        <v>1</v>
      </c>
      <c r="I352" s="55" t="n">
        <v>121</v>
      </c>
      <c r="J352" s="56" t="n">
        <v>4.2</v>
      </c>
      <c r="K352" s="56" t="inlineStr">
        <is>
          <t>https://amazon.com/dp/B00S5AB54W</t>
        </is>
      </c>
      <c r="L352" s="70">
        <f>HYPERLINK(Table3258[[#This Row],[Column1]])</f>
        <v/>
      </c>
    </row>
    <row r="353" ht="45" customHeight="1" s="290">
      <c r="A353" s="30" t="inlineStr">
        <is>
          <t>iCarsoft HD V4.0 Heavy Duty Truck Scanner with 8 Reset, Full System Diagnostic Tool, D P -F Re-gen/Injector Coding/Li-mit Setting, 2 in 1 Code Reader for Car &amp; Truck Cummins/Detroit/Caterpillar/Hino</t>
        </is>
      </c>
      <c r="B353" s="30" t="inlineStr">
        <is>
          <t>B0FFYC134P</t>
        </is>
      </c>
      <c r="C353" s="30" t="inlineStr">
        <is>
          <t>Tablet</t>
        </is>
      </c>
      <c r="D353" s="324" t="n">
        <v>399.96</v>
      </c>
      <c r="E353" s="53" t="n">
        <v>10206.29923076923</v>
      </c>
      <c r="F353" s="53" t="n">
        <v>399.96</v>
      </c>
      <c r="G353" s="55" t="n">
        <v>18</v>
      </c>
      <c r="H353" s="57" t="n">
        <v>1</v>
      </c>
      <c r="I353" s="55" t="n">
        <v>5</v>
      </c>
      <c r="J353" s="56" t="n">
        <v>3.3</v>
      </c>
      <c r="K353" s="56" t="inlineStr">
        <is>
          <t>https://amazon.com/dp/B0FFYC134P</t>
        </is>
      </c>
      <c r="L353" s="70">
        <f>HYPERLINK(Table3258[[#This Row],[Column1]])</f>
        <v/>
      </c>
    </row>
    <row r="354" ht="45" customHeight="1" s="290">
      <c r="A354" s="30" t="inlineStr">
        <is>
          <t>Auto Diagnostic Scanner iCarsoft POR V1.0 for Porsche with Airbag Scan,Oil Service Reset, SAS Reset ect</t>
        </is>
      </c>
      <c r="B354" s="30" t="inlineStr">
        <is>
          <t>B07F3918N7</t>
        </is>
      </c>
      <c r="C354" s="30" t="inlineStr">
        <is>
          <t>Handheld</t>
        </is>
      </c>
      <c r="D354" s="324" t="n">
        <v>157.56</v>
      </c>
      <c r="E354" s="53" t="n">
        <v>9695.65</v>
      </c>
      <c r="F354" s="53" t="n">
        <v>157.56</v>
      </c>
      <c r="G354" s="55" t="n">
        <v>91</v>
      </c>
      <c r="H354" s="57" t="n">
        <v>1</v>
      </c>
      <c r="I354" s="55" t="n">
        <v>120</v>
      </c>
      <c r="J354" s="56" t="n">
        <v>4.2</v>
      </c>
      <c r="K354" s="56" t="inlineStr">
        <is>
          <t>https://amazon.com/dp/B07F3918N7</t>
        </is>
      </c>
      <c r="L354" s="70">
        <f>HYPERLINK(Table3258[[#This Row],[Column1]])</f>
        <v/>
      </c>
    </row>
    <row r="355" ht="30" customHeight="1" s="290">
      <c r="A355" s="30" t="inlineStr">
        <is>
          <t>iCarsoft OBD2 Scanner CR Pro+, Car Diagnostic Tool with Full System Diagnostic, 49 Maintenance Services, Actuation/Bi-Directional Test/Battery Test/Auto VIN/IMMO, Lifetime Update</t>
        </is>
      </c>
      <c r="B355" s="30" t="inlineStr">
        <is>
          <t>B0762MG1W7</t>
        </is>
      </c>
      <c r="C355" s="30" t="inlineStr">
        <is>
          <t>Tablet</t>
        </is>
      </c>
      <c r="D355" s="324" t="n">
        <v>329.96</v>
      </c>
      <c r="E355" s="53" t="n">
        <v>3680.323076923076</v>
      </c>
      <c r="F355" s="53" t="n">
        <v>329.96</v>
      </c>
      <c r="G355" s="55" t="n">
        <v>1</v>
      </c>
      <c r="H355" s="57" t="n">
        <v>1</v>
      </c>
      <c r="I355" s="55" t="n">
        <v>22</v>
      </c>
      <c r="J355" s="56" t="n">
        <v>4.2</v>
      </c>
      <c r="K355" s="56" t="inlineStr">
        <is>
          <t>https://amazon.com/dp/B0762MG1W7</t>
        </is>
      </c>
      <c r="L355" s="70">
        <f>HYPERLINK(Table3258[[#This Row],[Column1]])</f>
        <v/>
      </c>
    </row>
    <row r="356" ht="45" customHeight="1" s="290">
      <c r="A356" s="30" t="inlineStr">
        <is>
          <t>iCarsoft CR Pro Enhanced Version OBD2 Scanner Diagnostic Tool, 15 Special Service All System Car Scan Tool Battery Test Live Data Graph Fault Code Reader</t>
        </is>
      </c>
      <c r="B356" s="30" t="inlineStr">
        <is>
          <t>B0F6CC4RWB</t>
        </is>
      </c>
      <c r="C356" s="30" t="inlineStr">
        <is>
          <t>Tablet</t>
        </is>
      </c>
      <c r="D356" s="324" t="n">
        <v>158.61</v>
      </c>
      <c r="E356" s="53" t="n">
        <v>1124.116923076923</v>
      </c>
      <c r="F356" s="53" t="n">
        <v>158.61</v>
      </c>
      <c r="G356" s="55" t="n">
        <v>3</v>
      </c>
      <c r="H356" s="57" t="n">
        <v>1</v>
      </c>
      <c r="I356" s="55" t="n">
        <v>38</v>
      </c>
      <c r="J356" s="56" t="n">
        <v>3.7</v>
      </c>
      <c r="K356" s="56" t="inlineStr">
        <is>
          <t>https://amazon.com/dp/B0F6CC4RWB</t>
        </is>
      </c>
      <c r="L356" s="70">
        <f>HYPERLINK(Table3258[[#This Row],[Column1]])</f>
        <v/>
      </c>
    </row>
    <row r="357" ht="45" customHeight="1" s="290">
      <c r="A357" s="30" t="inlineStr">
        <is>
          <t>iCarsoft OBD2 Scanner Diagnostic Tool MB II with Oil/ABS Bleeding/SAS Reset, Full OBDII Modes Full Systems Car Code Reader with Battery Test, Live Data, Full ODB2 Scan Tool, Lifetime Free Updates</t>
        </is>
      </c>
      <c r="B357" s="30" t="inlineStr">
        <is>
          <t>B0DZ2MPR83</t>
        </is>
      </c>
      <c r="C357" s="30" t="inlineStr">
        <is>
          <t>Tablet</t>
        </is>
      </c>
      <c r="D357" s="324" t="n">
        <v>149.94</v>
      </c>
      <c r="E357" s="53" t="n">
        <v>1545.515384615384</v>
      </c>
      <c r="F357" s="53" t="n">
        <v>149.94</v>
      </c>
      <c r="G357" s="55" t="n">
        <v>2</v>
      </c>
      <c r="H357" s="57" t="n">
        <v>1</v>
      </c>
      <c r="I357" s="55" t="n"/>
      <c r="J357" s="56" t="n"/>
      <c r="K357" s="56" t="inlineStr">
        <is>
          <t>https://amazon.com/dp/B0DZ2MPR83</t>
        </is>
      </c>
      <c r="L357" s="70">
        <f>HYPERLINK(Table3258[[#This Row],[Column1]])</f>
        <v/>
      </c>
    </row>
    <row r="358" ht="45" customHeight="1" s="290">
      <c r="A358" s="30" t="inlineStr">
        <is>
          <t>iCarsoft JP V2.0 Diagnostic Tool for Daewoo/Toyota/Honda/Mitsubishi/Suzuki/Mazda/Hyundai, Full System OBD2 Scanner with 9 Service Function, Oil/EPB/BMS/ETC/SAS/BLD/INJ/TPMS/DPfilter</t>
        </is>
      </c>
      <c r="B358" s="30" t="inlineStr">
        <is>
          <t>B0FL7VL8N2</t>
        </is>
      </c>
      <c r="C358" s="30" t="inlineStr">
        <is>
          <t>Tablet</t>
        </is>
      </c>
      <c r="D358" s="324" t="n">
        <v>169.96</v>
      </c>
      <c r="E358" s="53" t="n">
        <v>6416.756923076926</v>
      </c>
      <c r="F358" s="53" t="n">
        <v>169.96</v>
      </c>
      <c r="G358" s="55" t="n">
        <v>32</v>
      </c>
      <c r="H358" s="57" t="n">
        <v>1</v>
      </c>
      <c r="I358" s="55" t="n"/>
      <c r="J358" s="56" t="n"/>
      <c r="K358" s="56" t="inlineStr">
        <is>
          <t>https://amazon.com/dp/B0FL7VL8N2</t>
        </is>
      </c>
      <c r="L358" s="70">
        <f>HYPERLINK(Table3258[[#This Row],[Column1]])</f>
        <v/>
      </c>
    </row>
    <row r="359" ht="30" customHeight="1" s="290">
      <c r="A359" s="30" t="inlineStr">
        <is>
          <t>iCarsoft CR Elite(2005) OBD2 Scanner for All Vehicle, Engine/Transmission/ABS/Airbag System Scan Tool with Oil Reset/EPB/BMS/ETC/Sterring Angle/D.P.F/ABS Reset/Injector Coding/Battery Test</t>
        </is>
      </c>
      <c r="B359" s="30" t="inlineStr">
        <is>
          <t>B0DYDPX7FF</t>
        </is>
      </c>
      <c r="C359" s="30" t="inlineStr">
        <is>
          <t>Tablet</t>
        </is>
      </c>
      <c r="D359" s="324" t="n">
        <v>233.57</v>
      </c>
      <c r="E359" s="53" t="n">
        <v>3267.79</v>
      </c>
      <c r="F359" s="53" t="n">
        <v>233.57</v>
      </c>
      <c r="G359" s="55" t="n">
        <v>16</v>
      </c>
      <c r="H359" s="57" t="n">
        <v>1</v>
      </c>
      <c r="I359" s="55" t="n">
        <v>1</v>
      </c>
      <c r="J359" s="56" t="n">
        <v>4</v>
      </c>
      <c r="K359" s="56" t="inlineStr">
        <is>
          <t>https://amazon.com/dp/B0DYDPX7FF</t>
        </is>
      </c>
      <c r="L359" s="70">
        <f>HYPERLINK(Table3258[[#This Row],[Column1]])</f>
        <v/>
      </c>
    </row>
    <row r="360" ht="30" customHeight="1" s="290">
      <c r="A360" s="30" t="inlineStr">
        <is>
          <t>Bidirectional Diagnostic Tool for BMW/Rolls-Royce, iCarsoft BMM V3.0(Enhanced VER) Full Resets/Battery Registration/ECU Coding All System OBD2 Scanner Code Reader with 16PIN+20PIN Diagnostic Adapters</t>
        </is>
      </c>
      <c r="B360" s="30" t="inlineStr">
        <is>
          <t>B0F6TNGTWY</t>
        </is>
      </c>
      <c r="C360" s="30" t="inlineStr">
        <is>
          <t>Tablet</t>
        </is>
      </c>
      <c r="D360" s="324" t="n">
        <v>181.84</v>
      </c>
      <c r="E360" s="53" t="n">
        <v>5277.473846153845</v>
      </c>
      <c r="F360" s="53" t="n">
        <v>181.84</v>
      </c>
      <c r="G360" s="55" t="n">
        <v>22</v>
      </c>
      <c r="H360" s="57" t="n">
        <v>1</v>
      </c>
      <c r="I360" s="55" t="n">
        <v>10</v>
      </c>
      <c r="J360" s="56" t="n">
        <v>4.3</v>
      </c>
      <c r="K360" s="56" t="inlineStr">
        <is>
          <t>https://amazon.com/dp/B0F6TNGTWY</t>
        </is>
      </c>
      <c r="L360" s="70">
        <f>HYPERLINK(Table3258[[#This Row],[Column1]])</f>
        <v/>
      </c>
    </row>
    <row r="361" ht="30" customHeight="1" s="290">
      <c r="A361" s="30" t="inlineStr">
        <is>
          <t>‌iCarsoft CR Pro-D OBD2 Scanner Professional Full-System Diagnostic Tool with Oil Reset, EPB, ABS, TPMS, Live Data &amp; Battery Test for Most Vehicles‌‌ Compact Design with Free Lifetime Updates</t>
        </is>
      </c>
      <c r="B361" s="30" t="inlineStr">
        <is>
          <t>B0DXVXFBCG</t>
        </is>
      </c>
      <c r="C361" s="30" t="inlineStr">
        <is>
          <t>Tablet</t>
        </is>
      </c>
      <c r="D361" s="324" t="n">
        <v>238.2</v>
      </c>
      <c r="E361" s="53" t="n">
        <v>2876.723076923076</v>
      </c>
      <c r="F361" s="53" t="n">
        <v>238.2</v>
      </c>
      <c r="G361" s="55" t="n">
        <v>1</v>
      </c>
      <c r="H361" s="57" t="n">
        <v>1</v>
      </c>
      <c r="I361" s="55" t="n"/>
      <c r="J361" s="56" t="n"/>
      <c r="K361" s="56" t="inlineStr">
        <is>
          <t>https://amazon.com/dp/B0DXVXFBCG</t>
        </is>
      </c>
      <c r="L361" s="70">
        <f>HYPERLINK(Table3258[[#This Row],[Column1]])</f>
        <v/>
      </c>
    </row>
    <row r="362" ht="60" customHeight="1" s="290">
      <c r="A362" s="30" t="inlineStr">
        <is>
          <t>iCarsoft CR Elite P 4 Systems OBD2 Scanner Diagnostic Tool, Bidirectional Scan Tool with 49+ Reset,ABS SRS Engine Transmission Car Code Reader/CAN FD/Battery Test/4 in 1 Live Data/Lifetime Free Update</t>
        </is>
      </c>
      <c r="B362" s="30" t="inlineStr">
        <is>
          <t>B0FS7FY2RN</t>
        </is>
      </c>
      <c r="C362" s="30" t="inlineStr">
        <is>
          <t>Tablet</t>
        </is>
      </c>
      <c r="D362" s="324" t="n">
        <v>319.99</v>
      </c>
      <c r="E362" s="53" t="n">
        <v>1690.92</v>
      </c>
      <c r="F362" s="53" t="n">
        <v>0</v>
      </c>
      <c r="G362" s="55" t="n">
        <v>5</v>
      </c>
      <c r="H362" s="57" t="n">
        <v>0</v>
      </c>
      <c r="I362" s="55" t="n"/>
      <c r="J362" s="56" t="n"/>
      <c r="K362" s="56" t="inlineStr">
        <is>
          <t>https://amazon.com/dp/B0FS7FY2RN</t>
        </is>
      </c>
      <c r="L362" s="70">
        <f>HYPERLINK(Table3258[[#This Row],[Column1]])</f>
        <v/>
      </c>
    </row>
    <row r="363" ht="45" customHeight="1" s="290">
      <c r="A363" s="30" t="inlineStr">
        <is>
          <t>Bidirectional Scan Tool iCarsoft CR MAX OBD2 Scanner Diagnostic Tool with CAN FD, 49 Reset, Active Test for Cooling Fan/MIL/ABS Pump, Full Systems Code Reader, 4-in-1 Graphic Live Data</t>
        </is>
      </c>
      <c r="B363" s="30" t="inlineStr">
        <is>
          <t>B0DXVLF1WX</t>
        </is>
      </c>
      <c r="C363" s="30" t="inlineStr">
        <is>
          <t>Tablet</t>
        </is>
      </c>
      <c r="D363" s="324" t="n">
        <v>369.95</v>
      </c>
      <c r="E363" s="53" t="n">
        <v>726.28</v>
      </c>
      <c r="F363" s="53" t="n">
        <v>0</v>
      </c>
      <c r="G363" s="55" t="n">
        <v>2</v>
      </c>
      <c r="H363" s="57" t="n">
        <v>0</v>
      </c>
      <c r="I363" s="55" t="n"/>
      <c r="J363" s="56" t="n"/>
      <c r="K363" s="56" t="inlineStr">
        <is>
          <t>https://amazon.com/dp/B0DXVLF1WX</t>
        </is>
      </c>
      <c r="L363" s="70">
        <f>HYPERLINK(Table3258[[#This Row],[Column1]])</f>
        <v/>
      </c>
    </row>
    <row r="364" ht="30" customHeight="1" s="290">
      <c r="A364" s="30" t="inlineStr">
        <is>
          <t>iCarsoft CR Ultra Advanced Automotive Diagnostic Tool</t>
        </is>
      </c>
      <c r="B364" s="30" t="inlineStr">
        <is>
          <t>B097RKCJSN</t>
        </is>
      </c>
      <c r="C364" s="30" t="inlineStr">
        <is>
          <t>Tablet</t>
        </is>
      </c>
      <c r="D364" s="324" t="n">
        <v>1150</v>
      </c>
      <c r="E364" s="53" t="n">
        <v>0</v>
      </c>
      <c r="F364" s="53" t="n">
        <v>0</v>
      </c>
      <c r="G364" s="55" t="n">
        <v>0</v>
      </c>
      <c r="H364" s="57" t="n">
        <v>0</v>
      </c>
      <c r="I364" s="55" t="n">
        <v>4</v>
      </c>
      <c r="J364" s="56" t="n">
        <v>3.5</v>
      </c>
      <c r="K364" s="56" t="inlineStr">
        <is>
          <t>https://amazon.com/dp/B097RKCJSN</t>
        </is>
      </c>
      <c r="L364" s="70">
        <f>HYPERLINK(Table3258[[#This Row],[Column1]])</f>
        <v/>
      </c>
    </row>
    <row r="365" ht="30" customHeight="1" s="290">
      <c r="A365" s="30" t="inlineStr">
        <is>
          <t>iCarsoft MT V6 Motorcycle OBD2 Scanner for Aprilia, Full-System Motorcycle Bidirectional Diagnostic Tool with 88 Resets &amp; 122 Active Test, Battery Test, 2 in 1 Motor Scan Tool+Car OBD2 Diagnostics</t>
        </is>
      </c>
      <c r="B365" s="30" t="inlineStr">
        <is>
          <t>B0G6D72SDY</t>
        </is>
      </c>
      <c r="C365" s="30" t="inlineStr">
        <is>
          <t>Tablet</t>
        </is>
      </c>
      <c r="D365" s="324" t="n">
        <v>199.99</v>
      </c>
      <c r="E365" s="53" t="n">
        <v>0</v>
      </c>
      <c r="F365" s="53" t="n">
        <v>0</v>
      </c>
      <c r="G365" s="55" t="n">
        <v>0</v>
      </c>
      <c r="H365" s="57" t="n">
        <v>0</v>
      </c>
      <c r="I365" s="55" t="n"/>
      <c r="J365" s="56" t="n"/>
      <c r="K365" s="56" t="inlineStr">
        <is>
          <t>https://amazon.com/dp/B0G6D72SDY</t>
        </is>
      </c>
      <c r="L365" s="70">
        <f>HYPERLINK(Table3258[[#This Row],[Column1]])</f>
        <v/>
      </c>
    </row>
    <row r="366" ht="45" customHeight="1" s="290">
      <c r="A366" s="30" t="inlineStr">
        <is>
          <t>iCarsoft i900 OBD2 Scanner for US Brand Vehicles, All System in-Depth Diagnostic Scan Tool for Ford/Jeep/Chevrolet/Cadillac, Oil Reset/Steering Angle Reset, Live Data OBDII Engine Code Reader</t>
        </is>
      </c>
      <c r="B366" s="30" t="inlineStr">
        <is>
          <t>B0F62YNX9J</t>
        </is>
      </c>
      <c r="C366" s="30" t="inlineStr">
        <is>
          <t>Tablet</t>
        </is>
      </c>
      <c r="D366" s="324" t="n">
        <v>109</v>
      </c>
      <c r="E366" s="53" t="n">
        <v>633.9300000000001</v>
      </c>
      <c r="F366" s="53" t="n">
        <v>0</v>
      </c>
      <c r="G366" s="55" t="n">
        <v>5</v>
      </c>
      <c r="H366" s="57" t="n">
        <v>0</v>
      </c>
      <c r="I366" s="55" t="n"/>
      <c r="J366" s="56" t="n"/>
      <c r="K366" s="56" t="inlineStr">
        <is>
          <t>https://amazon.com/dp/B0F62YNX9J</t>
        </is>
      </c>
      <c r="L366" s="70">
        <f>HYPERLINK(Table3258[[#This Row],[Column1]])</f>
        <v/>
      </c>
    </row>
    <row r="367" ht="45" customHeight="1" s="290">
      <c r="A367" s="30" t="inlineStr">
        <is>
          <t>OBD2 Scanner iCarsoft CR V2.0 Diagnostic Tool with 8 Resets ABS Bleeding/SAS Calibration/Oil/EPB/ETC Reset, Full Systems Code Reader Scan Tools, ABS SRS Engine Transmission Battery Test Car Scanner</t>
        </is>
      </c>
      <c r="B367" s="30" t="inlineStr">
        <is>
          <t>B0DXW2B99V</t>
        </is>
      </c>
      <c r="C367" s="30" t="inlineStr">
        <is>
          <t>Tablet</t>
        </is>
      </c>
      <c r="D367" s="324" t="n">
        <v>189.95</v>
      </c>
      <c r="E367" s="53" t="n">
        <v>379.86</v>
      </c>
      <c r="F367" s="53" t="n">
        <v>0</v>
      </c>
      <c r="G367" s="55" t="n">
        <v>2</v>
      </c>
      <c r="H367" s="57" t="n">
        <v>0</v>
      </c>
      <c r="I367" s="55" t="n"/>
      <c r="J367" s="56" t="n"/>
      <c r="K367" s="56" t="inlineStr">
        <is>
          <t>https://amazon.com/dp/B0DXW2B99V</t>
        </is>
      </c>
      <c r="L367" s="70">
        <f>HYPERLINK(Table3258[[#This Row],[Column1]])</f>
        <v/>
      </c>
    </row>
    <row r="368" ht="45" customHeight="1" s="290">
      <c r="A368" s="30" t="inlineStr">
        <is>
          <t>Auto Diagnostic Scan Tool iCarsoft OP V2.0 for OPEL/Vauxhall +Oil Reset +EPB+SAS+ETCS</t>
        </is>
      </c>
      <c r="B368" s="30" t="inlineStr">
        <is>
          <t>B07HNZ3X8Z</t>
        </is>
      </c>
      <c r="C368" s="30" t="inlineStr">
        <is>
          <t>Tablet</t>
        </is>
      </c>
      <c r="D368" s="324" t="n">
        <v>145.95</v>
      </c>
      <c r="E368" s="53" t="n">
        <v>437.55</v>
      </c>
      <c r="F368" s="53" t="n">
        <v>0</v>
      </c>
      <c r="G368" s="55" t="n">
        <v>2</v>
      </c>
      <c r="H368" s="57" t="n">
        <v>0</v>
      </c>
      <c r="I368" s="55" t="n">
        <v>6</v>
      </c>
      <c r="J368" s="56" t="n">
        <v>4.3</v>
      </c>
      <c r="K368" s="56" t="inlineStr">
        <is>
          <t>https://amazon.com/dp/B07HNZ3X8Z</t>
        </is>
      </c>
      <c r="L368" s="70">
        <f>HYPERLINK(Table3258[[#This Row],[Column1]])</f>
        <v/>
      </c>
    </row>
    <row r="369" ht="60" customHeight="1" s="290">
      <c r="A369" s="30" t="inlineStr">
        <is>
          <t>iCarsoft CR MAX Professional Multi-Brand Car Diagnostic Tool for Fault Analysis, Read and Clear All System Fault Codes Such as Engine, Transmission, ABS and Airbag, Black</t>
        </is>
      </c>
      <c r="B369" s="30" t="inlineStr">
        <is>
          <t>B09WNCML7X</t>
        </is>
      </c>
      <c r="C369" s="30" t="inlineStr">
        <is>
          <t>Tablet</t>
        </is>
      </c>
      <c r="D369" s="324" t="n">
        <v>409.99</v>
      </c>
      <c r="E369" s="53" t="n">
        <v>0</v>
      </c>
      <c r="F369" s="53" t="n">
        <v>0</v>
      </c>
      <c r="G369" s="55" t="n">
        <v>0</v>
      </c>
      <c r="H369" s="57" t="n">
        <v>0</v>
      </c>
      <c r="I369" s="55" t="n">
        <v>76</v>
      </c>
      <c r="J369" s="56" t="n">
        <v>4.3</v>
      </c>
      <c r="K369" s="56" t="inlineStr">
        <is>
          <t>https://amazon.com/dp/B09WNCML7X</t>
        </is>
      </c>
      <c r="L369" s="70">
        <f>HYPERLINK(Table3258[[#This Row],[Column1]])</f>
        <v/>
      </c>
    </row>
    <row r="370" ht="45" customHeight="1" s="290">
      <c r="A370" s="30" t="inlineStr">
        <is>
          <t>iCarsoft Original OBD2 Adapter for Chrysler 12+8 Programming Cable Connector, Bypass Gateway Protocol Cable</t>
        </is>
      </c>
      <c r="B370" s="30" t="inlineStr">
        <is>
          <t>B0FHJB2BFZ</t>
        </is>
      </c>
      <c r="C370" s="30" t="inlineStr">
        <is>
          <t>Cable/Adapter</t>
        </is>
      </c>
      <c r="D370" s="324" t="n">
        <v>69.98999999999999</v>
      </c>
      <c r="E370" s="53" t="n">
        <v>0</v>
      </c>
      <c r="F370" s="53" t="n">
        <v>0</v>
      </c>
      <c r="G370" s="55" t="n">
        <v>0</v>
      </c>
      <c r="H370" s="57" t="n">
        <v>0</v>
      </c>
      <c r="I370" s="55" t="n"/>
      <c r="J370" s="56" t="n"/>
      <c r="K370" s="56" t="inlineStr">
        <is>
          <t>https://amazon.com/dp/B0FHJB2BFZ</t>
        </is>
      </c>
      <c r="L370" s="70">
        <f>HYPERLINK(Table3258[[#This Row],[Column1]])</f>
        <v/>
      </c>
    </row>
    <row r="371" ht="30" customHeight="1" s="290">
      <c r="A371" s="30" t="inlineStr">
        <is>
          <t>iCarsoft i800 Obdii/Eobd and Can Engine Fault Code Scanner New Version</t>
        </is>
      </c>
      <c r="B371" s="30" t="inlineStr">
        <is>
          <t>B01N3616JH</t>
        </is>
      </c>
      <c r="C371" s="30" t="inlineStr">
        <is>
          <t>Handheld</t>
        </is>
      </c>
      <c r="D371" s="324" t="n">
        <v>46.95</v>
      </c>
      <c r="E371" s="53" t="n">
        <v>0</v>
      </c>
      <c r="F371" s="53" t="n">
        <v>0</v>
      </c>
      <c r="G371" s="55" t="n">
        <v>0</v>
      </c>
      <c r="H371" s="57" t="n">
        <v>0</v>
      </c>
      <c r="I371" s="55" t="n">
        <v>3</v>
      </c>
      <c r="J371" s="56" t="n">
        <v>3.5</v>
      </c>
      <c r="K371" s="56" t="inlineStr">
        <is>
          <t>https://amazon.com/dp/B01N3616JH</t>
        </is>
      </c>
      <c r="L371" s="70">
        <f>HYPERLINK(Table3258[[#This Row],[Column1]])</f>
        <v/>
      </c>
    </row>
    <row r="372" ht="45" customHeight="1" s="290">
      <c r="A372" s="30" t="inlineStr">
        <is>
          <t>iCarsoft CR V2.0 Full Systems OBD2 Scanner Diagnostic Tool with 9 Reset, Allow to Diagnose 10 Car Brands, Live Data/Battery Test/BMS Reset/Auto VIN/Scanner for Car, Lifetime Free Update</t>
        </is>
      </c>
      <c r="B372" s="30" t="inlineStr">
        <is>
          <t>B0G4GHLSFB</t>
        </is>
      </c>
      <c r="C372" s="30" t="inlineStr">
        <is>
          <t>Tablet</t>
        </is>
      </c>
      <c r="D372" s="324" t="n">
        <v>219.99</v>
      </c>
      <c r="E372" s="53" t="n">
        <v>219.96</v>
      </c>
      <c r="F372" s="53" t="n">
        <v>0</v>
      </c>
      <c r="G372" s="55" t="n">
        <v>1</v>
      </c>
      <c r="H372" s="57" t="n">
        <v>0</v>
      </c>
      <c r="I372" s="55" t="n"/>
      <c r="J372" s="56" t="n"/>
      <c r="K372" s="56" t="inlineStr">
        <is>
          <t>https://amazon.com/dp/B0G4GHLSFB</t>
        </is>
      </c>
      <c r="L372" s="70">
        <f>HYPERLINK(Table3258[[#This Row],[Column1]])</f>
        <v/>
      </c>
    </row>
    <row r="373" ht="30" customHeight="1" s="290">
      <c r="A373" s="30" t="inlineStr">
        <is>
          <t>iCarsoft Auto Diagnostic Scanner BCC V1.0 for Chrysler/Jeep/GM (Chevrolet/Buick/Cadillac/GMC),Oil Service Reset, SAS Reset ect</t>
        </is>
      </c>
      <c r="B373" s="30" t="inlineStr">
        <is>
          <t>B07L1LWR85</t>
        </is>
      </c>
      <c r="C373" s="30" t="inlineStr">
        <is>
          <t>Handheld</t>
        </is>
      </c>
      <c r="D373" s="324" t="n">
        <v>85.17</v>
      </c>
      <c r="E373" s="53" t="n">
        <v>0</v>
      </c>
      <c r="F373" s="53" t="n">
        <v>0</v>
      </c>
      <c r="G373" s="55" t="n">
        <v>0</v>
      </c>
      <c r="H373" s="57" t="n">
        <v>0</v>
      </c>
      <c r="I373" s="55" t="n">
        <v>1</v>
      </c>
      <c r="J373" s="56" t="n">
        <v>5</v>
      </c>
      <c r="K373" s="56" t="inlineStr">
        <is>
          <t>https://amazon.com/dp/B07L1LWR85</t>
        </is>
      </c>
      <c r="L373" s="70">
        <f>HYPERLINK(Table3258[[#This Row],[Column1]])</f>
        <v/>
      </c>
    </row>
    <row r="374" ht="30" customHeight="1" s="290">
      <c r="A374" s="30" t="inlineStr">
        <is>
          <t>iCarsoft OBD2 Scanner CR Plus(New Ver) Diagnostic Tool for Engine ABS Transmission Airbag-Oil Reset/EPB/BMS/ETC/Steering Angle/DP Filter/ABS Bleeding/Injector Coding/TPMS,Battery Registration</t>
        </is>
      </c>
      <c r="B374" s="30" t="inlineStr">
        <is>
          <t>B0FQHTKTVB</t>
        </is>
      </c>
      <c r="C374" s="30" t="inlineStr">
        <is>
          <t>Tablet</t>
        </is>
      </c>
      <c r="D374" s="324" t="n">
        <v>209.99</v>
      </c>
      <c r="E374" s="53" t="n">
        <v>399.95</v>
      </c>
      <c r="F374" s="53" t="n">
        <v>0</v>
      </c>
      <c r="G374" s="55" t="n">
        <v>1</v>
      </c>
      <c r="H374" s="57" t="n">
        <v>0</v>
      </c>
      <c r="I374" s="55" t="n"/>
      <c r="J374" s="56" t="n"/>
      <c r="K374" s="56" t="inlineStr">
        <is>
          <t>https://amazon.com/dp/B0FQHTKTVB</t>
        </is>
      </c>
      <c r="L374" s="70">
        <f>HYPERLINK(Table3258[[#This Row],[Column1]])</f>
        <v/>
      </c>
    </row>
    <row r="375" ht="45" customHeight="1" s="290">
      <c r="A375" s="30" t="inlineStr">
        <is>
          <t>Auto Diagnostic Scanner iCarsoft POR V1.0 for Porsche with Airbag Scan,Oil Service Reset, SAS Reset ect</t>
        </is>
      </c>
      <c r="B375" s="30" t="inlineStr">
        <is>
          <t>B07F377NXQ</t>
        </is>
      </c>
      <c r="C375" s="30" t="inlineStr">
        <is>
          <t>Handheld</t>
        </is>
      </c>
      <c r="D375" s="324" t="n">
        <v>141.89</v>
      </c>
      <c r="E375" s="53" t="n">
        <v>3395.83</v>
      </c>
      <c r="F375" s="53" t="n">
        <v>0</v>
      </c>
      <c r="G375" s="55" t="n">
        <v>29</v>
      </c>
      <c r="H375" s="57" t="n">
        <v>0</v>
      </c>
      <c r="I375" s="55" t="n">
        <v>65</v>
      </c>
      <c r="J375" s="56" t="n">
        <v>4.2</v>
      </c>
      <c r="K375" s="56" t="inlineStr">
        <is>
          <t>https://amazon.com/dp/B07F377NXQ</t>
        </is>
      </c>
      <c r="L375" s="70">
        <f>HYPERLINK(Table3258[[#This Row],[Column1]])</f>
        <v/>
      </c>
    </row>
    <row r="376" ht="45" customHeight="1" s="290">
      <c r="A376" s="30" t="inlineStr">
        <is>
          <t>iCarsoft OBD2 Scanner MB V2.0 Enhanced Ver 2 in 1 for Mercedes Benz/for Land Rover/for Jaguar, TPMS/Oil Reset Full Systems Diagnostic Tool 8 Resets Car Code Reader, Auto VIN,Battery Test, SAS/EPB/DP</t>
        </is>
      </c>
      <c r="B376" s="30" t="inlineStr">
        <is>
          <t>B0DZNX96YR</t>
        </is>
      </c>
      <c r="C376" s="30" t="inlineStr">
        <is>
          <t>Tablet</t>
        </is>
      </c>
      <c r="D376" s="324" t="n">
        <v>189.99</v>
      </c>
      <c r="E376" s="53" t="n">
        <v>1034.26</v>
      </c>
      <c r="F376" s="53" t="n">
        <v>0</v>
      </c>
      <c r="G376" s="55" t="n">
        <v>6</v>
      </c>
      <c r="H376" s="57" t="n">
        <v>0</v>
      </c>
      <c r="I376" s="55" t="n"/>
      <c r="J376" s="56" t="n"/>
      <c r="K376" s="56" t="inlineStr">
        <is>
          <t>https://amazon.com/dp/B0DZNX96YR</t>
        </is>
      </c>
      <c r="L376" s="70">
        <f>HYPERLINK(Table3258[[#This Row],[Column1]])</f>
        <v/>
      </c>
    </row>
    <row r="377" ht="45" customHeight="1" s="290">
      <c r="A377" s="30" t="inlineStr">
        <is>
          <t>iCarsoft OP V3.0 Pro Car Diagnostic Tool for Opel and Vauxhall</t>
        </is>
      </c>
      <c r="B377" s="30" t="inlineStr">
        <is>
          <t>B0B5MTBR9L</t>
        </is>
      </c>
      <c r="C377" s="30" t="inlineStr">
        <is>
          <t>Tablet</t>
        </is>
      </c>
      <c r="D377" s="324" t="n">
        <v>121.67</v>
      </c>
      <c r="E377" s="53" t="n">
        <v>0</v>
      </c>
      <c r="F377" s="53" t="n">
        <v>0</v>
      </c>
      <c r="G377" s="55" t="n">
        <v>0</v>
      </c>
      <c r="H377" s="57" t="n">
        <v>0</v>
      </c>
      <c r="I377" s="55" t="n">
        <v>664</v>
      </c>
      <c r="J377" s="56" t="n">
        <v>4.3</v>
      </c>
      <c r="K377" s="56" t="inlineStr">
        <is>
          <t>https://amazon.com/dp/B0B5MTBR9L</t>
        </is>
      </c>
      <c r="L377" s="70">
        <f>HYPERLINK(Table3258[[#This Row],[Column1]])</f>
        <v/>
      </c>
    </row>
    <row r="378" ht="45" customHeight="1" s="290">
      <c r="A378" s="30" t="inlineStr">
        <is>
          <t>iCarsoft LR V4.0 Bidirectional Diagnostic Scan Tool for Most Land Rover/Jaguar and Other 2 Car Makes from 1996-2023 All System OBD2 Scanner Up to 51 Service Live Data Code Reader AUTO VIN Free Update</t>
        </is>
      </c>
      <c r="B378" s="30" t="inlineStr">
        <is>
          <t>B0GC526PYX</t>
        </is>
      </c>
      <c r="C378" s="30" t="inlineStr">
        <is>
          <t>Handheld</t>
        </is>
      </c>
      <c r="D378" s="324" t="n">
        <v>254.16</v>
      </c>
      <c r="E378" s="53" t="n">
        <v>3752.4</v>
      </c>
      <c r="F378" s="53" t="n">
        <v>0</v>
      </c>
      <c r="G378" s="55" t="n">
        <v>14</v>
      </c>
      <c r="H378" s="57" t="n">
        <v>0</v>
      </c>
      <c r="I378" s="55" t="n"/>
      <c r="J378" s="56" t="n"/>
      <c r="K378" s="56" t="inlineStr">
        <is>
          <t>https://amazon.com/dp/B0GC526PYX</t>
        </is>
      </c>
      <c r="L378" s="70">
        <f>HYPERLINK(Table3258[[#This Row],[Column1]])</f>
        <v/>
      </c>
    </row>
    <row r="379" ht="45" customHeight="1" s="290">
      <c r="A379" s="30" t="inlineStr">
        <is>
          <t>iCarsoft PORV1.0 Code Reader OBD2 Scanner</t>
        </is>
      </c>
      <c r="B379" s="30" t="inlineStr">
        <is>
          <t>B0D9LVQGR7</t>
        </is>
      </c>
      <c r="C379" s="30" t="inlineStr">
        <is>
          <t>Tablet</t>
        </is>
      </c>
      <c r="D379" s="324" t="n">
        <v>119.95</v>
      </c>
      <c r="E379" s="53" t="n">
        <v>0</v>
      </c>
      <c r="F379" s="53" t="n">
        <v>0</v>
      </c>
      <c r="G379" s="55" t="n">
        <v>0</v>
      </c>
      <c r="H379" s="57" t="n">
        <v>0</v>
      </c>
      <c r="I379" s="55" t="n">
        <v>66</v>
      </c>
      <c r="J379" s="56" t="n">
        <v>4.2</v>
      </c>
      <c r="K379" s="56" t="inlineStr">
        <is>
          <t>https://amazon.com/dp/B0D9LVQGR7</t>
        </is>
      </c>
      <c r="L379" s="70">
        <f>HYPERLINK(Table3258[[#This Row],[Column1]])</f>
        <v/>
      </c>
    </row>
    <row r="380" ht="45" customHeight="1" s="290">
      <c r="A380" s="30" t="inlineStr">
        <is>
          <t>iCarsoft CR Elite Universal Diagnostic Scan Tool for Multi-Brand Vehicles +Oil Reset+EPB+BMS+DPF+SAS+ETC+BLD+INJ</t>
        </is>
      </c>
      <c r="B380" s="30" t="inlineStr">
        <is>
          <t>B07TLMDCDT</t>
        </is>
      </c>
      <c r="C380" s="30" t="inlineStr">
        <is>
          <t>Tablet</t>
        </is>
      </c>
      <c r="D380" s="324" t="n">
        <v>215</v>
      </c>
      <c r="E380" s="53" t="n">
        <v>280</v>
      </c>
      <c r="F380" s="53" t="n">
        <v>0</v>
      </c>
      <c r="G380" s="55" t="n">
        <v>1</v>
      </c>
      <c r="H380" s="57" t="n">
        <v>0</v>
      </c>
      <c r="I380" s="55" t="n">
        <v>22</v>
      </c>
      <c r="J380" s="56" t="n">
        <v>4</v>
      </c>
      <c r="K380" s="56" t="inlineStr">
        <is>
          <t>https://amazon.com/dp/B07TLMDCDT</t>
        </is>
      </c>
      <c r="L380" s="70">
        <f>HYPERLINK(Table3258[[#This Row],[Column1]])</f>
        <v/>
      </c>
    </row>
    <row r="381" ht="45" customHeight="1" s="290">
      <c r="A381" s="30" t="inlineStr">
        <is>
          <t>iCarsoft OBD2 Scanner for Porsche/BMW/Mini, POR V2.0 Enhanced Version 2-IN-1 In-depth Diagnostic Tool 9 Reset, Full Systems Car Code Reader OIL/TPMS/BMS/EPB/BLD/SAS/DP- F/ETC/INJ/Auto VIN Battery Test</t>
        </is>
      </c>
      <c r="B381" s="30" t="inlineStr">
        <is>
          <t>B0DWXPMVKC</t>
        </is>
      </c>
      <c r="C381" s="30" t="inlineStr">
        <is>
          <t>Tablet</t>
        </is>
      </c>
      <c r="D381" s="324" t="n">
        <v>189.99</v>
      </c>
      <c r="E381" s="53" t="n">
        <v>427.41</v>
      </c>
      <c r="F381" s="53" t="n">
        <v>0</v>
      </c>
      <c r="G381" s="55" t="n">
        <v>2</v>
      </c>
      <c r="H381" s="57" t="n">
        <v>0</v>
      </c>
      <c r="I381" s="55" t="n"/>
      <c r="J381" s="56" t="n"/>
      <c r="K381" s="56" t="inlineStr">
        <is>
          <t>https://amazon.com/dp/B0DWXPMVKC</t>
        </is>
      </c>
      <c r="L381" s="70">
        <f>HYPERLINK(Table3258[[#This Row],[Column1]])</f>
        <v/>
      </c>
    </row>
    <row r="382" ht="60" customHeight="1" s="290">
      <c r="A382" s="30" t="inlineStr">
        <is>
          <t>iCarsoft All Systems OBDII Scan Tool for Toyota/Corolla/Nissan/Honda/Hyundai/Kia, TYT V1.0 (2025) Oil Reset + SAS Calibration Services for Japanese/Korean Cars Auto VIN/Scan, Lifetime Free Update</t>
        </is>
      </c>
      <c r="B382" s="30" t="inlineStr">
        <is>
          <t>B0F43R9NHW</t>
        </is>
      </c>
      <c r="C382" s="30" t="inlineStr">
        <is>
          <t>Tablet</t>
        </is>
      </c>
      <c r="D382" s="324" t="n">
        <v>109.99</v>
      </c>
      <c r="E382" s="53" t="n">
        <v>1405.9</v>
      </c>
      <c r="F382" s="53" t="n">
        <v>0</v>
      </c>
      <c r="G382" s="55" t="n">
        <v>12</v>
      </c>
      <c r="H382" s="57" t="n">
        <v>0</v>
      </c>
      <c r="I382" s="55" t="n">
        <v>4</v>
      </c>
      <c r="J382" s="56" t="n">
        <v>3.8</v>
      </c>
      <c r="K382" s="56" t="inlineStr">
        <is>
          <t>https://amazon.com/dp/B0F43R9NHW</t>
        </is>
      </c>
      <c r="L382" s="70">
        <f>HYPERLINK(Table3258[[#This Row],[Column1]])</f>
        <v/>
      </c>
    </row>
    <row r="383" ht="45" customHeight="1" s="290">
      <c r="A383" s="30" t="inlineStr">
        <is>
          <t>iCarsoft US V3.0 for American Vehicles</t>
        </is>
      </c>
      <c r="B383" s="30" t="inlineStr">
        <is>
          <t>B09Y8KDWV1</t>
        </is>
      </c>
      <c r="C383" s="30" t="inlineStr">
        <is>
          <t>Tablet</t>
        </is>
      </c>
      <c r="D383" s="324" t="n">
        <v>174.01</v>
      </c>
      <c r="E383" s="53" t="n">
        <v>716.5400000000001</v>
      </c>
      <c r="F383" s="53" t="n">
        <v>0</v>
      </c>
      <c r="G383" s="55" t="n">
        <v>4</v>
      </c>
      <c r="H383" s="57" t="n">
        <v>0</v>
      </c>
      <c r="I383" s="55" t="n">
        <v>8</v>
      </c>
      <c r="J383" s="56" t="n">
        <v>3.6</v>
      </c>
      <c r="K383" s="56" t="inlineStr">
        <is>
          <t>https://amazon.com/dp/B09Y8KDWV1</t>
        </is>
      </c>
      <c r="L383" s="70">
        <f>HYPERLINK(Table3258[[#This Row],[Column1]])</f>
        <v/>
      </c>
    </row>
    <row r="384" ht="45" customHeight="1" s="290">
      <c r="A384" s="30" t="inlineStr">
        <is>
          <t>iCarsoft LR V3.0-D OBD2 Scanner for Land Rover &amp; Jaguar Vehicles Auto VIN, Full-System Diagnosis, 35+ Resets, ABS/SRS/Transmission Code Reader, Bidirectional Control &amp; Live Data Graphs‌</t>
        </is>
      </c>
      <c r="B384" s="30" t="inlineStr">
        <is>
          <t>B0DXVXVCHJ</t>
        </is>
      </c>
      <c r="C384" s="30" t="inlineStr">
        <is>
          <t>Tablet</t>
        </is>
      </c>
      <c r="D384" s="324" t="n">
        <v>189.95</v>
      </c>
      <c r="E384" s="53" t="n">
        <v>0</v>
      </c>
      <c r="F384" s="53" t="n">
        <v>0</v>
      </c>
      <c r="G384" s="55" t="n">
        <v>0</v>
      </c>
      <c r="H384" s="57" t="n">
        <v>0</v>
      </c>
      <c r="I384" s="55" t="n"/>
      <c r="J384" s="56" t="n"/>
      <c r="K384" s="56" t="inlineStr">
        <is>
          <t>https://amazon.com/dp/B0DXVXVCHJ</t>
        </is>
      </c>
      <c r="L384" s="70">
        <f>HYPERLINK(Table3258[[#This Row],[Column1]])</f>
        <v/>
      </c>
    </row>
    <row r="385" ht="30" customHeight="1" s="290">
      <c r="A385" s="30" t="inlineStr">
        <is>
          <t>iCarsoft MT V6 Motorcycle Diagnostic Scan Tool for K.TM, All System Motorbike OBD Scanner, Oil/ETC/ABS/Engine Idle Maintenance Tool for K.TM, Actuation Test, Battery Test</t>
        </is>
      </c>
      <c r="B385" s="30" t="inlineStr">
        <is>
          <t>B0FG2SMF6N</t>
        </is>
      </c>
      <c r="C385" s="30" t="inlineStr">
        <is>
          <t>Handheld</t>
        </is>
      </c>
      <c r="D385" s="324" t="n">
        <v>199.99</v>
      </c>
      <c r="E385" s="53" t="n">
        <v>546.13</v>
      </c>
      <c r="F385" s="53" t="n">
        <v>0</v>
      </c>
      <c r="G385" s="55" t="n">
        <v>2</v>
      </c>
      <c r="H385" s="57" t="n">
        <v>0</v>
      </c>
      <c r="I385" s="55" t="n"/>
      <c r="J385" s="56" t="n"/>
      <c r="K385" s="56" t="inlineStr">
        <is>
          <t>https://amazon.com/dp/B0FG2SMF6N</t>
        </is>
      </c>
      <c r="L385" s="70">
        <f>HYPERLINK(Table3258[[#This Row],[Column1]])</f>
        <v/>
      </c>
    </row>
    <row r="386" ht="45" customHeight="1" s="290">
      <c r="A386" s="30" t="inlineStr">
        <is>
          <t>Bidirectional OBD2 Scanner Diagnostic Tool, iCarsoft CR V3.0 Vehicle Scan Tool 45 Reset+38 Extra Services,All System, Active Test Code Reader, Auto VIN, Free Update</t>
        </is>
      </c>
      <c r="B386" s="30" t="inlineStr">
        <is>
          <t>B0D1CRWLFH</t>
        </is>
      </c>
      <c r="C386" s="30" t="inlineStr">
        <is>
          <t>Tablet</t>
        </is>
      </c>
      <c r="D386" s="324" t="n">
        <v>319.99</v>
      </c>
      <c r="E386" s="53" t="n">
        <v>4648.29</v>
      </c>
      <c r="F386" s="53" t="n">
        <v>0</v>
      </c>
      <c r="G386" s="55" t="n">
        <v>15</v>
      </c>
      <c r="H386" s="57" t="n">
        <v>0</v>
      </c>
      <c r="I386" s="55" t="n">
        <v>22</v>
      </c>
      <c r="J386" s="56" t="n">
        <v>3.4</v>
      </c>
      <c r="K386" s="56" t="inlineStr">
        <is>
          <t>https://amazon.com/dp/B0D1CRWLFH</t>
        </is>
      </c>
      <c r="L386" s="70">
        <f>HYPERLINK(Table3258[[#This Row],[Column1]])</f>
        <v/>
      </c>
    </row>
    <row r="387" ht="45" customHeight="1" s="290">
      <c r="A387" s="30" t="inlineStr">
        <is>
          <t>iCarsoft MT V6 Plus Motorcycle Diagnostic Tool for Harley/BMW/Kawasaki/Indian etc, 21 Brands, Motorbike Full System All Maintenance Reset, Actuation Test, Moto Code Reader+Car OBD2 Diagnostics 2 in 1</t>
        </is>
      </c>
      <c r="B387" s="30" t="inlineStr">
        <is>
          <t>B0FNM3PLRY</t>
        </is>
      </c>
      <c r="C387" s="30" t="inlineStr">
        <is>
          <t>Tablet</t>
        </is>
      </c>
      <c r="D387" s="324" t="n">
        <v>299.99</v>
      </c>
      <c r="E387" s="53" t="n">
        <v>14528.25</v>
      </c>
      <c r="F387" s="53" t="n">
        <v>0</v>
      </c>
      <c r="G387" s="55" t="n">
        <v>48</v>
      </c>
      <c r="H387" s="57" t="n">
        <v>0</v>
      </c>
      <c r="I387" s="55" t="n">
        <v>5</v>
      </c>
      <c r="J387" s="56" t="n">
        <v>2.6</v>
      </c>
      <c r="K387" s="56" t="inlineStr">
        <is>
          <t>https://amazon.com/dp/B0FNM3PLRY</t>
        </is>
      </c>
      <c r="L387" s="70">
        <f>HYPERLINK(Table3258[[#This Row],[Column1]])</f>
        <v/>
      </c>
    </row>
    <row r="388" ht="30" customHeight="1" s="290">
      <c r="A388" s="30" t="inlineStr">
        <is>
          <t>iCarsoft CR V2.0 OBD2 Scanner for Porsche/BMW/VAG/Volvo,etc,8 Resets/Full Systems/Battery Reset, Auto Diagnostic Tool ABS SRS SAS Transmission Code Reader, 118 Live Data Check Engine Light Scan Tool</t>
        </is>
      </c>
      <c r="B388" s="30" t="inlineStr">
        <is>
          <t>B0DCNNS8N3</t>
        </is>
      </c>
      <c r="C388" s="30" t="inlineStr">
        <is>
          <t>Tablet</t>
        </is>
      </c>
      <c r="D388" s="324" t="n">
        <v>229.99</v>
      </c>
      <c r="E388" s="53" t="n">
        <v>9727.360000000001</v>
      </c>
      <c r="F388" s="53" t="n">
        <v>0</v>
      </c>
      <c r="G388" s="55" t="n">
        <v>47</v>
      </c>
      <c r="H388" s="57" t="n">
        <v>0</v>
      </c>
      <c r="I388" s="55" t="n">
        <v>4</v>
      </c>
      <c r="J388" s="56" t="n">
        <v>3.6</v>
      </c>
      <c r="K388" s="56" t="inlineStr">
        <is>
          <t>https://amazon.com/dp/B0DCNNS8N3</t>
        </is>
      </c>
      <c r="L388" s="70">
        <f>HYPERLINK(Table3258[[#This Row],[Column1]])</f>
        <v/>
      </c>
    </row>
    <row r="389" ht="30" customHeight="1" s="290">
      <c r="A389" s="30" t="inlineStr">
        <is>
          <t>iCarsoft VAWS V3.0 for VW/Audi/Seat/Skoda Diagnostic Tool with auto VIN/Quick Test/Actuation Test</t>
        </is>
      </c>
      <c r="B389" s="30" t="inlineStr">
        <is>
          <t>B08R9L5ZT6</t>
        </is>
      </c>
      <c r="C389" s="30" t="inlineStr">
        <is>
          <t>Tablet</t>
        </is>
      </c>
      <c r="D389" s="324" t="n">
        <v>203.06</v>
      </c>
      <c r="E389" s="53" t="n">
        <v>4843.209999999999</v>
      </c>
      <c r="F389" s="53" t="n">
        <v>0</v>
      </c>
      <c r="G389" s="55" t="n">
        <v>22</v>
      </c>
      <c r="H389" s="57" t="n">
        <v>0</v>
      </c>
      <c r="I389" s="55" t="n">
        <v>90</v>
      </c>
      <c r="J389" s="56" t="n">
        <v>3.8</v>
      </c>
      <c r="K389" s="56" t="inlineStr">
        <is>
          <t>https://amazon.com/dp/B08R9L5ZT6</t>
        </is>
      </c>
      <c r="L389" s="70">
        <f>HYPERLINK(Table3258[[#This Row],[Column1]])</f>
        <v/>
      </c>
    </row>
    <row r="390" ht="17" customHeight="1" s="290">
      <c r="A390" s="30" t="inlineStr">
        <is>
          <t>iCarsoft JP V3.0 OBD2 Scanner for Toyota/Honda (Acura) /Lexus, All Reset+Full System Diagnostic Scan Tool Car Code Reader for Nissan/Infiniti/Mitsubishi/Mazda/Suzuki/Hyundai -2025</t>
        </is>
      </c>
      <c r="B390" s="30" t="inlineStr">
        <is>
          <t>B01NGU0YAG</t>
        </is>
      </c>
      <c r="C390" s="30" t="inlineStr">
        <is>
          <t>Tablet</t>
        </is>
      </c>
      <c r="D390" s="324" t="n">
        <v>229.99</v>
      </c>
      <c r="E390" s="53" t="n">
        <v>8860.4</v>
      </c>
      <c r="F390" s="53" t="n">
        <v>0</v>
      </c>
      <c r="G390" s="55" t="n">
        <v>36</v>
      </c>
      <c r="H390" s="57" t="n">
        <v>0</v>
      </c>
      <c r="I390" s="55" t="n">
        <v>15</v>
      </c>
      <c r="J390" s="56" t="n">
        <v>3.7</v>
      </c>
      <c r="K390" s="56" t="inlineStr">
        <is>
          <t>https://amazon.com/dp/B01NGU0YAG</t>
        </is>
      </c>
      <c r="L390" s="70">
        <f>HYPERLINK(Table3258[[#This Row],[Column1]])</f>
        <v/>
      </c>
    </row>
    <row r="391" ht="17" customHeight="1" s="290">
      <c r="A391" s="30" t="inlineStr">
        <is>
          <t>iCarsoft CR V3.0 Free for 3 Vehicle Groups auto VIN/Quick Test/Actuation Test/Android OS/Touch Screen</t>
        </is>
      </c>
      <c r="B391" s="30" t="inlineStr">
        <is>
          <t>B08V93JFKC</t>
        </is>
      </c>
      <c r="C391" s="30" t="inlineStr">
        <is>
          <t>Tablet</t>
        </is>
      </c>
      <c r="D391" s="324" t="n">
        <v>258.97</v>
      </c>
      <c r="E391" s="53" t="n">
        <v>4292.43</v>
      </c>
      <c r="F391" s="53" t="n">
        <v>0</v>
      </c>
      <c r="G391" s="55" t="n">
        <v>18</v>
      </c>
      <c r="H391" s="57" t="n">
        <v>0</v>
      </c>
      <c r="I391" s="55" t="n">
        <v>15</v>
      </c>
      <c r="J391" s="56" t="n">
        <v>3.8</v>
      </c>
      <c r="K391" s="56" t="inlineStr">
        <is>
          <t>https://amazon.com/dp/B08V93JFKC</t>
        </is>
      </c>
      <c r="L391" s="70">
        <f>HYPERLINK(Table3258[[#This Row],[Column1]])</f>
        <v/>
      </c>
    </row>
    <row r="392">
      <c r="A392" s="30" t="inlineStr">
        <is>
          <t>iCarsoft VOL V 4.0 Bidirectional Diagnostic Scan Tool for Volvo/SAAB + 2 Car Brand Vehicles, All System, 29 Resets(239 Sub-Services) for Volvo/SAAB, Actuation Test, Battery Registration OBD2 Scanner</t>
        </is>
      </c>
      <c r="B392" s="30" t="inlineStr">
        <is>
          <t>B0FS6LTW3P</t>
        </is>
      </c>
      <c r="C392" s="30" t="inlineStr">
        <is>
          <t>Tablet</t>
        </is>
      </c>
      <c r="D392" s="324" t="n">
        <v>269.99</v>
      </c>
      <c r="E392" s="53" t="n">
        <v>7472.299999999999</v>
      </c>
      <c r="F392" s="53" t="n">
        <v>0</v>
      </c>
      <c r="G392" s="55" t="n">
        <v>28</v>
      </c>
      <c r="H392" s="57" t="n">
        <v>0</v>
      </c>
      <c r="I392" s="55" t="n">
        <v>2</v>
      </c>
      <c r="J392" s="56" t="n">
        <v>3</v>
      </c>
      <c r="K392" s="56" t="inlineStr">
        <is>
          <t>https://amazon.com/dp/B0FS6LTW3P</t>
        </is>
      </c>
      <c r="L392" s="70">
        <f>HYPERLINK(Table3258[[#This Row],[Column1]])</f>
        <v/>
      </c>
    </row>
    <row r="393">
      <c r="A393" s="30" t="inlineStr">
        <is>
          <t>iCarsoft Auto Diagnostic Scanner VOL V1.0 for Volvo/SAAB with Airbag Scan,Oil Service Reset, SAS Reset ect</t>
        </is>
      </c>
      <c r="B393" s="30" t="inlineStr">
        <is>
          <t>B07F363S3Q</t>
        </is>
      </c>
      <c r="C393" s="30" t="inlineStr">
        <is>
          <t>Handheld</t>
        </is>
      </c>
      <c r="D393" s="324" t="n">
        <v>113.95</v>
      </c>
      <c r="E393" s="53" t="n">
        <v>703.0599999999999</v>
      </c>
      <c r="F393" s="53" t="n">
        <v>0</v>
      </c>
      <c r="G393" s="55" t="n">
        <v>6</v>
      </c>
      <c r="H393" s="57" t="n">
        <v>0</v>
      </c>
      <c r="I393" s="55" t="n">
        <v>10</v>
      </c>
      <c r="J393" s="56" t="n">
        <v>4.1</v>
      </c>
      <c r="K393" s="56" t="inlineStr">
        <is>
          <t>https://amazon.com/dp/B07F363S3Q</t>
        </is>
      </c>
      <c r="L393" s="70">
        <f>HYPERLINK(Table3258[[#This Row],[Column1]])</f>
        <v/>
      </c>
    </row>
    <row r="394">
      <c r="A394" s="30" t="inlineStr">
        <is>
          <t>iCarsoft Scanner Tool AIRBAG SRS Code Reader Oil Reset i960 911 997 981</t>
        </is>
      </c>
      <c r="B394" s="30" t="inlineStr">
        <is>
          <t>B015DN8OIS</t>
        </is>
      </c>
      <c r="C394" s="30" t="inlineStr">
        <is>
          <t>Tablet</t>
        </is>
      </c>
      <c r="D394" s="324" t="n">
        <v>149.94</v>
      </c>
      <c r="E394" s="53" t="n">
        <v>605.6099999999999</v>
      </c>
      <c r="F394" s="53" t="n">
        <v>0</v>
      </c>
      <c r="G394" s="55" t="n">
        <v>4</v>
      </c>
      <c r="H394" s="57" t="n">
        <v>0</v>
      </c>
      <c r="I394" s="55" t="n">
        <v>88</v>
      </c>
      <c r="J394" s="56" t="n">
        <v>4.2</v>
      </c>
      <c r="K394" s="56" t="inlineStr">
        <is>
          <t>https://amazon.com/dp/B015DN8OIS</t>
        </is>
      </c>
      <c r="L394" s="70">
        <f>HYPERLINK(Table3258[[#This Row],[Column1]])</f>
        <v/>
      </c>
    </row>
    <row r="395">
      <c r="A395" s="30" t="inlineStr">
        <is>
          <t>iCarsoft US V2.0 Diagnostic Scan Tool for American Vehicles Ford/GM (Cherolet/Buick/Cadillac/GMC)/Chrysler/Jeep/Holden +Oil Reset +EPB+BMS+DPF+SAS+ETC+BLD+INJ</t>
        </is>
      </c>
      <c r="B395" s="30" t="inlineStr">
        <is>
          <t>B07KR42RTT</t>
        </is>
      </c>
      <c r="C395" s="30" t="inlineStr">
        <is>
          <t>Tablet</t>
        </is>
      </c>
      <c r="D395" s="324" t="n">
        <v>149.95</v>
      </c>
      <c r="E395" s="53" t="n">
        <v>3514.3</v>
      </c>
      <c r="F395" s="53" t="n">
        <v>0</v>
      </c>
      <c r="G395" s="55" t="n">
        <v>25</v>
      </c>
      <c r="H395" s="57" t="n">
        <v>0</v>
      </c>
      <c r="I395" s="55" t="n">
        <v>77</v>
      </c>
      <c r="J395" s="56" t="n">
        <v>3.9</v>
      </c>
      <c r="K395" s="56" t="inlineStr">
        <is>
          <t>https://amazon.com/dp/B07KR42RTT</t>
        </is>
      </c>
      <c r="L395" s="70">
        <f>HYPERLINK(Table3258[[#This Row],[Column1]])</f>
        <v/>
      </c>
    </row>
    <row r="396">
      <c r="A396" s="30" t="inlineStr">
        <is>
          <t>iCarsoft POR V3.0 Scanner for Porsche, 27 Reset Servics OBD2 Scanner Code Reader,ABS Bleeding, SAS/Oil/BMS Reset,4-in-1 Graph Data,Actuation Test, Lifelong Updates</t>
        </is>
      </c>
      <c r="B396" s="30" t="inlineStr">
        <is>
          <t>B0DXVQL3YF</t>
        </is>
      </c>
      <c r="C396" s="30" t="inlineStr">
        <is>
          <t>Tablet</t>
        </is>
      </c>
      <c r="D396" s="324" t="n">
        <v>189.95</v>
      </c>
      <c r="E396" s="53" t="n">
        <v>2215.7</v>
      </c>
      <c r="F396" s="53" t="n">
        <v>0</v>
      </c>
      <c r="G396" s="55" t="n">
        <v>11</v>
      </c>
      <c r="H396" s="57" t="n">
        <v>0</v>
      </c>
      <c r="I396" s="55" t="n">
        <v>11</v>
      </c>
      <c r="J396" s="56" t="n">
        <v>3.8</v>
      </c>
      <c r="K396" s="56" t="inlineStr">
        <is>
          <t>https://amazon.com/dp/B0DXVQL3YF</t>
        </is>
      </c>
      <c r="L396" s="70">
        <f>HYPERLINK(Table3258[[#This Row],[Column1]])</f>
        <v/>
      </c>
    </row>
    <row r="397">
      <c r="A397" s="30" t="inlineStr">
        <is>
          <t>iCarsoft Bidirectional Scan Tool CR Max Enhanced Ver, OBD2 Scanner All System Diagnostic Tool with CAN FD ECU Coding 38-Pin Adapter for Benz, 49 Resets+46 Services Code Reader-Oil/EPB/SAS/BMS/TCM/ETC</t>
        </is>
      </c>
      <c r="B397" s="30" t="inlineStr">
        <is>
          <t>B0DW99LD7K</t>
        </is>
      </c>
      <c r="C397" s="30" t="inlineStr">
        <is>
          <t>Tablet</t>
        </is>
      </c>
      <c r="D397" s="324" t="n">
        <v>421.99</v>
      </c>
      <c r="E397" s="53" t="n">
        <v>8455.630000000001</v>
      </c>
      <c r="F397" s="53" t="n">
        <v>0</v>
      </c>
      <c r="G397" s="55" t="n">
        <v>24</v>
      </c>
      <c r="H397" s="57" t="n">
        <v>0</v>
      </c>
      <c r="I397" s="55" t="n">
        <v>5</v>
      </c>
      <c r="J397" s="56" t="n">
        <v>3.4</v>
      </c>
      <c r="K397" s="56" t="inlineStr">
        <is>
          <t>https://amazon.com/dp/B0DW99LD7K</t>
        </is>
      </c>
      <c r="L397" s="70">
        <f>HYPERLINK(Table3258[[#This Row],[Column1]])</f>
        <v/>
      </c>
    </row>
    <row r="398">
      <c r="A398" s="30" t="inlineStr">
        <is>
          <t>iCarsoft BMM V4.0 Bi-Directional Scan Tool for BMW/MINI/Rolls Royce, Full System Diagnostic Tool, 14+ Reset Service, OBD2 Scanner, Auto VIN, 2 Extra Brands Available, Lifetime Free Update</t>
        </is>
      </c>
      <c r="B398" s="30" t="inlineStr">
        <is>
          <t>B0GC86F17Q</t>
        </is>
      </c>
      <c r="C398" s="30" t="inlineStr">
        <is>
          <t>Tablet</t>
        </is>
      </c>
      <c r="D398" s="324" t="n">
        <v>249.99</v>
      </c>
      <c r="E398" s="53" t="n">
        <v>0</v>
      </c>
      <c r="F398" s="53" t="n">
        <v>0</v>
      </c>
      <c r="G398" s="55" t="n">
        <v>0</v>
      </c>
      <c r="H398" s="57" t="n">
        <v>0</v>
      </c>
      <c r="I398" s="55" t="n"/>
      <c r="J398" s="56" t="n"/>
      <c r="K398" s="56" t="inlineStr">
        <is>
          <t>https://amazon.com/dp/B0GC86F17Q</t>
        </is>
      </c>
      <c r="L398" s="70">
        <f>HYPERLINK(TABLE398)</f>
        <v/>
      </c>
    </row>
    <row r="399">
      <c r="A399" s="30" t="inlineStr">
        <is>
          <t>Multi-System Auto Diagnostic Tool MB V1.0 for Mercedes-Benz/Sprinter/Smart with Oil Reset (Red)</t>
        </is>
      </c>
      <c r="B399" s="30" t="inlineStr">
        <is>
          <t>B0787ZC4Z1</t>
        </is>
      </c>
      <c r="C399" s="30" t="inlineStr">
        <is>
          <t>Handheld</t>
        </is>
      </c>
      <c r="D399" s="324" t="n">
        <v>164.03</v>
      </c>
      <c r="E399" s="53" t="n">
        <v>187.19</v>
      </c>
      <c r="F399" s="53" t="n">
        <v>0</v>
      </c>
      <c r="G399" s="55" t="n">
        <v>1</v>
      </c>
      <c r="H399" s="57" t="n">
        <v>0</v>
      </c>
      <c r="I399" s="55" t="n">
        <v>14</v>
      </c>
      <c r="J399" s="56" t="n">
        <v>4.4</v>
      </c>
      <c r="K399" s="56" t="inlineStr">
        <is>
          <t>https://amazon.com/dp/B0787ZC4Z1</t>
        </is>
      </c>
      <c r="L399" s="70">
        <f>HYPERLINK(TABLE399)</f>
        <v/>
      </c>
    </row>
    <row r="400">
      <c r="A400" s="30" t="inlineStr">
        <is>
          <t>iCarsoft Auto Diagnostic Scanner TYT V1.0 for Toyota/Lexus/Scion/Isuzu, ABS, SRS, Oil Service Reset ect (Red)</t>
        </is>
      </c>
      <c r="B400" s="30" t="inlineStr">
        <is>
          <t>B07L2XCXN7</t>
        </is>
      </c>
      <c r="C400" s="30" t="inlineStr">
        <is>
          <t>Handheld</t>
        </is>
      </c>
      <c r="D400" s="324" t="n">
        <v>160.3</v>
      </c>
      <c r="E400" s="53" t="n">
        <v>729.21</v>
      </c>
      <c r="F400" s="53" t="n">
        <v>0</v>
      </c>
      <c r="G400" s="55" t="n">
        <v>5</v>
      </c>
      <c r="H400" s="57" t="n">
        <v>0</v>
      </c>
      <c r="I400" s="55" t="n">
        <v>3</v>
      </c>
      <c r="J400" s="56" t="n">
        <v>3.8</v>
      </c>
      <c r="K400" s="56" t="inlineStr">
        <is>
          <t>https://amazon.com/dp/B07L2XCXN7</t>
        </is>
      </c>
      <c r="L400" s="70">
        <f>HYPERLINK(TABLE400)</f>
        <v/>
      </c>
    </row>
    <row r="401">
      <c r="A401" s="30" t="inlineStr">
        <is>
          <t>Bidirectional Scan Tool iCarsoft CR Ultra ECU Coding &amp; TPMS Programming Tool/12V Battery Tester/Topology Map/All Systems OBD2 Scanner Diagnostic Tool 41 Resets DOIP Car Code Reader</t>
        </is>
      </c>
      <c r="B401" s="30" t="inlineStr">
        <is>
          <t>B0DXJVF9FX</t>
        </is>
      </c>
      <c r="C401" s="30" t="inlineStr">
        <is>
          <t>Tablet</t>
        </is>
      </c>
      <c r="D401" s="324" t="n">
        <v>1399.99</v>
      </c>
      <c r="E401" s="53" t="n">
        <v>8560.27</v>
      </c>
      <c r="F401" s="53" t="n">
        <v>0</v>
      </c>
      <c r="G401" s="55" t="n">
        <v>5</v>
      </c>
      <c r="H401" s="57" t="n">
        <v>0</v>
      </c>
      <c r="I401" s="55" t="n">
        <v>1</v>
      </c>
      <c r="J401" s="56" t="n">
        <v>5</v>
      </c>
      <c r="K401" s="56" t="inlineStr">
        <is>
          <t>https://amazon.com/dp/B0DXJVF9FX</t>
        </is>
      </c>
      <c r="L401" s="70">
        <f>HYPERLINK(TABLE401)</f>
        <v/>
      </c>
    </row>
    <row r="402">
      <c r="A402" s="30" t="inlineStr">
        <is>
          <t>iCarsoft MT PRO Motorcycle Diagnostic Tool for Harley/BMW/Kawasaki/Indian etc. All Motorbikes Full System All Maintenance Reset, Actuation Test, Touchscreen Code Reader, Also Car OBD2 Diagnose</t>
        </is>
      </c>
      <c r="B402" s="30" t="inlineStr">
        <is>
          <t>B0FHWPN7LB</t>
        </is>
      </c>
      <c r="C402" s="30" t="inlineStr">
        <is>
          <t>Tablet</t>
        </is>
      </c>
      <c r="D402" s="324" t="n">
        <v>789.99</v>
      </c>
      <c r="E402" s="53" t="n">
        <v>5600.27</v>
      </c>
      <c r="F402" s="53" t="n">
        <v>0</v>
      </c>
      <c r="G402" s="55" t="n">
        <v>7</v>
      </c>
      <c r="H402" s="57" t="n">
        <v>0</v>
      </c>
      <c r="I402" s="55" t="n"/>
      <c r="J402" s="56" t="n"/>
      <c r="K402" s="56" t="inlineStr">
        <is>
          <t>https://amazon.com/dp/B0FHWPN7LB</t>
        </is>
      </c>
      <c r="L402" s="70">
        <f>HYPERLINK(TABLE402)</f>
        <v/>
      </c>
    </row>
    <row r="403">
      <c r="A403" s="30" t="inlineStr">
        <is>
          <t>iCarsoft 4-in-1 Bidirectional Diagnostic Tool + Battery Tester + TPMS Programmer +OBD2 Scanner with 26 Reset Service/Endoscope, CR Legend All System Scan Tool with Printer, Lifetime Free Upgrade</t>
        </is>
      </c>
      <c r="B403" s="30" t="inlineStr">
        <is>
          <t>B0DPVMHCSK</t>
        </is>
      </c>
      <c r="C403" s="30" t="inlineStr">
        <is>
          <t>Tablet</t>
        </is>
      </c>
      <c r="D403" s="324" t="n">
        <v>689.95</v>
      </c>
      <c r="E403" s="53" t="n">
        <v>0</v>
      </c>
      <c r="F403" s="53" t="n">
        <v>0</v>
      </c>
      <c r="G403" s="55" t="n">
        <v>0</v>
      </c>
      <c r="H403" s="57" t="n">
        <v>0</v>
      </c>
      <c r="I403" s="55" t="n"/>
      <c r="J403" s="56" t="n"/>
      <c r="K403" s="56" t="inlineStr">
        <is>
          <t>https://amazon.com/dp/B0DPVMHCSK</t>
        </is>
      </c>
      <c r="L403" s="70">
        <f>HYPERLINK(TABLE403)</f>
        <v/>
      </c>
    </row>
    <row r="404">
      <c r="A404" s="33" t="inlineStr">
        <is>
          <t>Total</t>
        </is>
      </c>
      <c r="B404" s="33" t="n"/>
      <c r="C404" s="327" t="n"/>
      <c r="D404" s="72" t="n"/>
      <c r="E404" s="72" t="n"/>
      <c r="F404" s="72" t="n"/>
      <c r="G404" s="73">
        <f>SUM(G231:G403)</f>
        <v/>
      </c>
      <c r="H404" s="73">
        <f>SUM(H231:H403)</f>
        <v/>
      </c>
      <c r="I404" s="73" t="n"/>
      <c r="J404" s="74" t="n"/>
      <c r="K404" s="75" t="n"/>
    </row>
  </sheetData>
  <mergeCells count="3">
    <mergeCell ref="A51:L51"/>
    <mergeCell ref="A1:M5"/>
    <mergeCell ref="A222:L222"/>
  </mergeCells>
  <conditionalFormatting sqref="C8:M16">
    <cfRule type="expression" priority="2" dxfId="30">
      <formula>C8&lt;0</formula>
    </cfRule>
  </conditionalFormatting>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6.xml><?xml version="1.0" encoding="utf-8"?>
<worksheet xmlns="http://schemas.openxmlformats.org/spreadsheetml/2006/main">
  <sheetPr>
    <outlinePr summaryBelow="1" summaryRight="1"/>
    <pageSetUpPr/>
  </sheetPr>
  <dimension ref="A1:Q632"/>
  <sheetViews>
    <sheetView zoomScaleNormal="100" workbookViewId="0">
      <selection activeCell="L28" sqref="L28"/>
    </sheetView>
  </sheetViews>
  <sheetFormatPr baseColWidth="10" defaultColWidth="10.83203125" defaultRowHeight="16"/>
  <cols>
    <col width="50.6640625" customWidth="1" style="284" min="1" max="1"/>
    <col width="12.6640625" customWidth="1" style="284" min="2" max="2"/>
    <col width="12.6640625" customWidth="1" style="320" min="3" max="3"/>
    <col width="11.1640625" customWidth="1" style="296" min="4" max="4"/>
    <col width="24.83203125" bestFit="1" customWidth="1" style="284" min="5" max="5"/>
    <col width="17.6640625" bestFit="1" customWidth="1" style="286" min="6" max="6"/>
    <col width="21.6640625" bestFit="1" customWidth="1" style="286" min="7" max="7"/>
    <col width="19.1640625" bestFit="1" customWidth="1" style="286" min="8" max="8"/>
    <col width="13.5" bestFit="1" customWidth="1" style="287" min="9" max="9"/>
    <col width="12.6640625" bestFit="1" customWidth="1" style="284" min="10" max="10"/>
    <col hidden="1" width="18.1640625" customWidth="1" style="284" min="11" max="11"/>
    <col width="35.6640625" customWidth="1" style="284" min="12" max="12"/>
    <col width="15.6640625" customWidth="1" style="284" min="13" max="13"/>
    <col width="10.83203125" customWidth="1" style="284" min="14" max="16384"/>
  </cols>
  <sheetData>
    <row r="1">
      <c r="A1" s="282" t="inlineStr">
        <is>
          <t>LAUNCH Monthly Summary</t>
        </is>
      </c>
    </row>
    <row r="2"/>
    <row r="3"/>
    <row r="4"/>
    <row r="5"/>
    <row r="6">
      <c r="A6" s="29" t="n"/>
      <c r="B6" s="29" t="n"/>
      <c r="C6" s="321" t="n"/>
      <c r="D6" s="47" t="n"/>
      <c r="E6" s="48" t="n"/>
      <c r="F6" s="48" t="n"/>
      <c r="G6" s="48" t="n"/>
      <c r="H6" s="48" t="n"/>
      <c r="I6" s="49" t="n"/>
      <c r="J6" s="50" t="n"/>
    </row>
    <row r="7" ht="32" customHeight="1" s="290">
      <c r="A7" s="80" t="n"/>
      <c r="B7" s="81" t="inlineStr">
        <is>
          <t>Avg Price</t>
        </is>
      </c>
      <c r="C7" s="81" t="inlineStr">
        <is>
          <t>Avg Price MoM</t>
        </is>
      </c>
      <c r="D7" s="82" t="inlineStr">
        <is>
          <t>Avg Price YoY</t>
        </is>
      </c>
      <c r="E7" s="81" t="inlineStr">
        <is>
          <t>Quantity/Mo</t>
        </is>
      </c>
      <c r="F7" s="84" t="inlineStr">
        <is>
          <t>Qty by %</t>
        </is>
      </c>
      <c r="G7" s="84" t="inlineStr">
        <is>
          <t>Qty MoM</t>
        </is>
      </c>
      <c r="H7" s="82" t="inlineStr">
        <is>
          <t>Qty YoY</t>
        </is>
      </c>
      <c r="I7" s="309" t="inlineStr">
        <is>
          <t>Revenue/Mo</t>
        </is>
      </c>
      <c r="J7" s="126" t="inlineStr">
        <is>
          <t>Revenue by %</t>
        </is>
      </c>
      <c r="K7" s="173" t="n"/>
      <c r="L7" s="126" t="inlineStr">
        <is>
          <t>Revenue MoM</t>
        </is>
      </c>
      <c r="M7" s="310" t="inlineStr">
        <is>
          <t>Revenue YoY</t>
        </is>
      </c>
      <c r="N7" s="286" t="n"/>
      <c r="O7" s="286" t="n"/>
      <c r="P7" s="49" t="n"/>
      <c r="Q7" s="50" t="n"/>
    </row>
    <row r="8">
      <c r="A8" s="93" t="inlineStr">
        <is>
          <t>Tablet $800+</t>
        </is>
      </c>
      <c r="B8" s="298" t="n">
        <v>1381.684868421053</v>
      </c>
      <c r="C8" s="270" t="n">
        <v>0.06394336559880265</v>
      </c>
      <c r="D8" s="271" t="n">
        <v>0.08083768174178974</v>
      </c>
      <c r="E8" s="269" t="n">
        <v>684</v>
      </c>
      <c r="F8" s="270" t="n">
        <v>0.08042328042328042</v>
      </c>
      <c r="G8" s="270" t="n">
        <v>-0.1230769230769231</v>
      </c>
      <c r="H8" s="271" t="n">
        <v>-0.09999999999999998</v>
      </c>
      <c r="I8" s="95" t="n">
        <v>945072.45</v>
      </c>
      <c r="J8" s="128" t="n">
        <v>0.3576550675190784</v>
      </c>
      <c r="K8" s="169" t="n"/>
      <c r="L8" s="169" t="n">
        <v>-0.06700351016720385</v>
      </c>
      <c r="M8" s="169" t="n">
        <v>-0.02724608643238924</v>
      </c>
      <c r="N8" s="286" t="n"/>
      <c r="O8" s="286" t="n"/>
      <c r="P8" s="49" t="n"/>
      <c r="Q8" s="50" t="n"/>
    </row>
    <row r="9">
      <c r="A9" s="93" t="inlineStr">
        <is>
          <t>Tablet $400-$800</t>
        </is>
      </c>
      <c r="B9" s="298" t="n">
        <v>542.1755302013422</v>
      </c>
      <c r="C9" s="270" t="n">
        <v>0.05258320414291462</v>
      </c>
      <c r="D9" s="271" t="n">
        <v>-0.0281814539984937</v>
      </c>
      <c r="E9" s="269" t="n">
        <v>1490</v>
      </c>
      <c r="F9" s="270" t="n">
        <v>0.175191064079953</v>
      </c>
      <c r="G9" s="270" t="n">
        <v>0.09237536656891487</v>
      </c>
      <c r="H9" s="271" t="n">
        <v>0.1313591495823843</v>
      </c>
      <c r="I9" s="95" t="n">
        <v>807841.5399999999</v>
      </c>
      <c r="J9" s="128" t="n">
        <v>0.3057211333728078</v>
      </c>
      <c r="K9" s="169" t="n"/>
      <c r="L9" s="169" t="n">
        <v>0.1498159634698994</v>
      </c>
      <c r="M9" s="169" t="n">
        <v>0.09947580375265352</v>
      </c>
      <c r="N9" s="286" t="n"/>
      <c r="O9" s="286" t="n"/>
      <c r="P9" s="49" t="n"/>
      <c r="Q9" s="50" t="n"/>
    </row>
    <row r="10">
      <c r="A10" s="96" t="inlineStr">
        <is>
          <t>Tablet $400-</t>
        </is>
      </c>
      <c r="B10" s="299" t="n">
        <v>179.9341824798545</v>
      </c>
      <c r="C10" s="274" t="n">
        <v>0.006396301024444773</v>
      </c>
      <c r="D10" s="275" t="n">
        <v>0.03461899718162664</v>
      </c>
      <c r="E10" s="273" t="n">
        <v>3847</v>
      </c>
      <c r="F10" s="274" t="n">
        <v>0.4523221634332745</v>
      </c>
      <c r="G10" s="274" t="n">
        <v>-0.06376247262107571</v>
      </c>
      <c r="H10" s="275" t="n">
        <v>-0.03268795574553685</v>
      </c>
      <c r="I10" s="98" t="n">
        <v>692206.8</v>
      </c>
      <c r="J10" s="127" t="n">
        <v>0.2619600960658257</v>
      </c>
      <c r="K10" s="171" t="n"/>
      <c r="L10" s="171" t="n">
        <v>-0.05777401556557815</v>
      </c>
      <c r="M10" s="171" t="n">
        <v>0.0007994171882619305</v>
      </c>
      <c r="N10" s="286" t="n"/>
      <c r="O10" s="286" t="n"/>
      <c r="P10" s="49" t="n"/>
      <c r="Q10" s="50" t="n"/>
    </row>
    <row r="11">
      <c r="A11" s="101" t="inlineStr">
        <is>
          <t>Total Tablet</t>
        </is>
      </c>
      <c r="B11" s="300" t="n">
        <v>406.0987859159608</v>
      </c>
      <c r="C11" s="112" t="n">
        <v>0.03638865947769099</v>
      </c>
      <c r="D11" s="104" t="n">
        <v>0.02526052035895021</v>
      </c>
      <c r="E11" s="116" t="n">
        <v>6021</v>
      </c>
      <c r="F11" s="112" t="n">
        <v>0.707936507936508</v>
      </c>
      <c r="G11" s="112" t="n">
        <v>-0.03710219094834477</v>
      </c>
      <c r="H11" s="104" t="n">
        <v>-0.005450941526263575</v>
      </c>
      <c r="I11" s="103" t="n">
        <v>2445120.79</v>
      </c>
      <c r="J11" s="129" t="n">
        <v>0.9253362969577119</v>
      </c>
      <c r="K11" s="170" t="n"/>
      <c r="L11" s="170" t="n">
        <v>-0.002063630462949551</v>
      </c>
      <c r="M11" s="170" t="n">
        <v>0.01967188521328689</v>
      </c>
      <c r="N11" s="286" t="n"/>
      <c r="O11" s="286" t="n"/>
      <c r="P11" s="49" t="n"/>
      <c r="Q11" s="50" t="n"/>
    </row>
    <row r="12">
      <c r="A12" s="93" t="inlineStr">
        <is>
          <t>Handheld $75+</t>
        </is>
      </c>
      <c r="B12" s="298" t="n">
        <v>147.0352508361204</v>
      </c>
      <c r="C12" s="270" t="n">
        <v>-0.03608382078342898</v>
      </c>
      <c r="D12" s="271" t="n">
        <v>-0.06849813931744686</v>
      </c>
      <c r="E12" s="269" t="n">
        <v>897</v>
      </c>
      <c r="F12" s="270" t="n">
        <v>0.1054673721340388</v>
      </c>
      <c r="G12" s="270" t="n">
        <v>0.03579676674364896</v>
      </c>
      <c r="H12" s="271" t="n">
        <v>0.04789719626168232</v>
      </c>
      <c r="I12" s="95" t="n">
        <v>131890.62</v>
      </c>
      <c r="J12" s="128" t="n">
        <v>0.04991294434752924</v>
      </c>
      <c r="K12" s="169" t="n"/>
      <c r="L12" s="169" t="n">
        <v>-0.00157873815558407</v>
      </c>
      <c r="M12" s="169" t="n">
        <v>-0.02388181187821237</v>
      </c>
      <c r="N12" s="286" t="n"/>
      <c r="O12" s="286" t="n"/>
      <c r="P12" s="49" t="n"/>
      <c r="Q12" s="50" t="n"/>
    </row>
    <row r="13">
      <c r="A13" s="96" t="inlineStr">
        <is>
          <t>Handheld $75-</t>
        </is>
      </c>
      <c r="B13" s="299" t="n">
        <v>28.57767156862745</v>
      </c>
      <c r="C13" s="274" t="n">
        <v>0.2110353023086518</v>
      </c>
      <c r="D13" s="275" t="n">
        <v>-0.1416348475074793</v>
      </c>
      <c r="E13" s="273" t="n">
        <v>816</v>
      </c>
      <c r="F13" s="274" t="n">
        <v>0.09594356261022928</v>
      </c>
      <c r="G13" s="274" t="n">
        <v>0.7071129707112971</v>
      </c>
      <c r="H13" s="275" t="n">
        <v>-0.4241354975299929</v>
      </c>
      <c r="I13" s="98" t="n">
        <v>23319.38</v>
      </c>
      <c r="J13" s="127" t="n">
        <v>0.008825031804072849</v>
      </c>
      <c r="K13" s="171" t="n"/>
      <c r="L13" s="171" t="n">
        <v>1.067374072560376</v>
      </c>
      <c r="M13" s="171" t="n">
        <v>-0.5056979785223028</v>
      </c>
      <c r="N13" s="286" t="n"/>
      <c r="O13" s="286" t="n"/>
      <c r="P13" s="49" t="n"/>
      <c r="Q13" s="50" t="n"/>
    </row>
    <row r="14">
      <c r="A14" s="101" t="inlineStr">
        <is>
          <t>Total Handheld</t>
        </is>
      </c>
      <c r="B14" s="300" t="n">
        <v>90.60712200817279</v>
      </c>
      <c r="C14" s="112" t="n">
        <v>-0.1510205003527822</v>
      </c>
      <c r="D14" s="104" t="n">
        <v>0.237853862447382</v>
      </c>
      <c r="E14" s="116" t="n">
        <v>1713</v>
      </c>
      <c r="F14" s="112" t="n">
        <v>0.2014109347442681</v>
      </c>
      <c r="G14" s="112" t="n">
        <v>0.2764530551415798</v>
      </c>
      <c r="H14" s="104" t="n">
        <v>-0.1987839101964453</v>
      </c>
      <c r="I14" s="103" t="n">
        <v>155210</v>
      </c>
      <c r="J14" s="129" t="n">
        <v>0.05873797615160209</v>
      </c>
      <c r="K14" s="170" t="n"/>
      <c r="L14" s="170" t="n">
        <v>0.08368247607726076</v>
      </c>
      <c r="M14" s="170" t="n">
        <v>-0.008211568581681261</v>
      </c>
      <c r="N14" s="286" t="n"/>
      <c r="O14" s="286" t="n"/>
      <c r="P14" s="49" t="n"/>
      <c r="Q14" s="50" t="n"/>
    </row>
    <row r="15" customFormat="1" s="191">
      <c r="A15" s="78" t="inlineStr">
        <is>
          <t>Total Dongle</t>
        </is>
      </c>
      <c r="B15" s="301" t="n">
        <v>37.38622222222222</v>
      </c>
      <c r="C15" s="113" t="n">
        <v>-0.0823755541592488</v>
      </c>
      <c r="D15" s="107" t="n"/>
      <c r="E15" s="99" t="n">
        <v>45</v>
      </c>
      <c r="F15" s="113" t="n">
        <v>0.005291005291005291</v>
      </c>
      <c r="G15" s="113" t="n">
        <v>-0.09999999999999998</v>
      </c>
      <c r="H15" s="107" t="n"/>
      <c r="I15" s="76" t="n">
        <v>1682.38</v>
      </c>
      <c r="J15" s="130" t="n">
        <v>0.0006366831796787084</v>
      </c>
      <c r="K15" s="174" t="n"/>
      <c r="L15" s="174" t="n">
        <v>-0.1741379987433239</v>
      </c>
      <c r="M15" s="174" t="n"/>
      <c r="N15" s="188" t="n"/>
      <c r="O15" s="188" t="n"/>
      <c r="P15" s="189" t="n"/>
      <c r="Q15" s="190" t="n"/>
    </row>
    <row r="16" customFormat="1" s="191">
      <c r="A16" s="78" t="inlineStr">
        <is>
          <t>Total Other Tools</t>
        </is>
      </c>
      <c r="B16" s="329" t="n">
        <v>55.64734159779614</v>
      </c>
      <c r="C16" s="247" t="n">
        <v>0.2863257116387428</v>
      </c>
      <c r="D16" s="248" t="n">
        <v>0.2634719219445452</v>
      </c>
      <c r="E16" s="99" t="n">
        <v>726</v>
      </c>
      <c r="F16" s="247" t="n">
        <v>0.0853615520282187</v>
      </c>
      <c r="G16" s="247" t="n">
        <v>0.1433070866141732</v>
      </c>
      <c r="H16" s="248" t="n">
        <v>0.4235294117647059</v>
      </c>
      <c r="I16" s="76" t="n">
        <v>40399.97</v>
      </c>
      <c r="J16" s="249" t="n">
        <v>0.01528904371100728</v>
      </c>
      <c r="K16" s="249" t="n"/>
      <c r="L16" s="249" t="n">
        <v>0.4706653018105942</v>
      </c>
      <c r="M16" s="249" t="n">
        <v>0.798589441826941</v>
      </c>
      <c r="N16" s="188" t="n"/>
      <c r="O16" s="188" t="n"/>
      <c r="P16" s="189" t="n"/>
      <c r="Q16" s="190" t="n"/>
    </row>
    <row r="17">
      <c r="A17" s="86" t="inlineStr">
        <is>
          <t>Total</t>
        </is>
      </c>
      <c r="B17" s="302" t="n">
        <v>310.9105889975262</v>
      </c>
      <c r="C17" s="109" t="n">
        <v>-0.01873755404964117</v>
      </c>
      <c r="D17" s="108" t="n">
        <v>0.05647250345576227</v>
      </c>
      <c r="E17" s="100" t="n">
        <v>8489</v>
      </c>
      <c r="F17" s="109" t="n">
        <v>0.9981187536743092</v>
      </c>
      <c r="G17" s="109" t="n">
        <v>0.02548924861077562</v>
      </c>
      <c r="H17" s="108" t="n">
        <v>-0.04024872809496893</v>
      </c>
      <c r="I17" s="85" t="n">
        <v>2639319.99</v>
      </c>
      <c r="J17" s="109" t="n">
        <v>0.9988294222605932</v>
      </c>
      <c r="K17" s="172" t="n"/>
      <c r="L17" s="172" t="n">
        <v>0.006274088387605126</v>
      </c>
      <c r="M17" s="172" t="n">
        <v>0.01395082892435995</v>
      </c>
      <c r="N17" s="286" t="n"/>
      <c r="O17" s="286" t="n"/>
      <c r="P17" s="49" t="n"/>
      <c r="Q17" s="50" t="n"/>
    </row>
    <row r="18">
      <c r="A18" s="29" t="n"/>
      <c r="B18" s="29" t="n"/>
      <c r="C18" s="321" t="n"/>
      <c r="D18" s="47" t="n"/>
      <c r="E18" s="48" t="n"/>
      <c r="F18" s="48" t="n"/>
      <c r="G18" s="48" t="n"/>
      <c r="H18" s="48" t="n"/>
      <c r="I18" s="49" t="n"/>
      <c r="J18" s="50" t="n"/>
    </row>
    <row r="19">
      <c r="A19" s="29" t="n"/>
      <c r="B19" s="29" t="n"/>
      <c r="C19" s="321" t="n"/>
      <c r="D19" s="47" t="n"/>
      <c r="E19" s="48" t="n"/>
      <c r="F19" s="48" t="n"/>
      <c r="G19" s="48" t="n"/>
      <c r="H19" s="48" t="n"/>
      <c r="I19" s="49" t="n"/>
      <c r="J19" s="50" t="n"/>
    </row>
    <row r="20">
      <c r="A20" s="29" t="n"/>
      <c r="B20" s="29" t="n"/>
      <c r="C20" s="321" t="n"/>
      <c r="D20" s="47" t="n"/>
      <c r="E20" s="48" t="n"/>
      <c r="F20" s="48" t="n"/>
      <c r="G20" s="48" t="n"/>
      <c r="H20" s="48" t="n"/>
      <c r="I20" s="49" t="n"/>
      <c r="J20" s="50" t="n"/>
    </row>
    <row r="21">
      <c r="A21" s="29" t="n"/>
      <c r="B21" s="29" t="n"/>
      <c r="C21" s="321" t="n"/>
      <c r="D21" s="47" t="n"/>
      <c r="E21" s="48" t="n"/>
      <c r="F21" s="48" t="n"/>
      <c r="G21" s="48" t="n"/>
      <c r="H21" s="48" t="n"/>
      <c r="I21" s="49" t="n"/>
      <c r="J21" s="50" t="n"/>
    </row>
    <row r="22">
      <c r="A22" s="29" t="n"/>
      <c r="B22" s="29" t="n"/>
      <c r="C22" s="321" t="n"/>
      <c r="D22" s="47" t="n"/>
      <c r="E22" s="48" t="n"/>
      <c r="F22" s="48" t="n"/>
      <c r="G22" s="48" t="n"/>
      <c r="H22" s="48" t="n"/>
      <c r="I22" s="49" t="n"/>
      <c r="J22" s="50" t="n"/>
    </row>
    <row r="23">
      <c r="A23" s="29" t="n"/>
      <c r="B23" s="29" t="n"/>
      <c r="C23" s="321" t="n"/>
      <c r="D23" s="47" t="n"/>
      <c r="E23" s="48" t="n"/>
      <c r="F23" s="48" t="n"/>
      <c r="G23" s="48" t="n"/>
      <c r="H23" s="48" t="n"/>
      <c r="I23" s="49" t="n"/>
      <c r="J23" s="50" t="n"/>
    </row>
    <row r="24">
      <c r="A24" s="29" t="n"/>
      <c r="B24" s="29" t="n"/>
      <c r="C24" s="321" t="n"/>
      <c r="D24" s="47" t="n"/>
      <c r="E24" s="48" t="n"/>
      <c r="F24" s="48" t="n"/>
      <c r="G24" s="48" t="n"/>
      <c r="H24" s="48" t="n"/>
      <c r="I24" s="49" t="n"/>
      <c r="J24" s="50" t="n"/>
    </row>
    <row r="25">
      <c r="A25" s="29" t="n"/>
      <c r="B25" s="29" t="n"/>
      <c r="C25" s="321" t="n"/>
      <c r="D25" s="47" t="n"/>
      <c r="E25" s="48" t="n"/>
      <c r="F25" s="48" t="n"/>
      <c r="G25" s="48" t="n"/>
      <c r="H25" s="48" t="n"/>
      <c r="I25" s="49" t="n"/>
      <c r="J25" s="50" t="n"/>
    </row>
    <row r="26">
      <c r="A26" s="29" t="n"/>
      <c r="B26" s="29" t="n"/>
      <c r="C26" s="321" t="n"/>
      <c r="D26" s="47" t="n"/>
      <c r="E26" s="48" t="n"/>
      <c r="F26" s="48" t="n"/>
      <c r="G26" s="48" t="n"/>
      <c r="H26" s="48" t="n"/>
      <c r="I26" s="49" t="n"/>
      <c r="J26" s="50" t="n"/>
    </row>
    <row r="27">
      <c r="A27" s="29" t="n"/>
      <c r="B27" s="29" t="n"/>
      <c r="C27" s="321" t="n"/>
      <c r="D27" s="47" t="n"/>
      <c r="E27" s="48" t="n"/>
      <c r="F27" s="48" t="n"/>
      <c r="G27" s="48" t="n"/>
      <c r="H27" s="48" t="n"/>
      <c r="I27" s="49" t="n"/>
      <c r="J27" s="50" t="n"/>
    </row>
    <row r="28">
      <c r="A28" s="29" t="n"/>
      <c r="B28" s="29" t="n"/>
      <c r="C28" s="321" t="n"/>
      <c r="D28" s="47" t="n"/>
      <c r="E28" s="48" t="n"/>
      <c r="F28" s="48" t="n"/>
      <c r="G28" s="48" t="n"/>
      <c r="H28" s="48" t="n"/>
      <c r="I28" s="49" t="n"/>
      <c r="J28" s="50" t="n"/>
    </row>
    <row r="29">
      <c r="A29" s="29" t="n"/>
      <c r="B29" s="29" t="n"/>
      <c r="C29" s="321" t="n"/>
      <c r="D29" s="47" t="n"/>
      <c r="E29" s="48" t="n"/>
      <c r="F29" s="48" t="n"/>
      <c r="G29" s="48" t="n"/>
      <c r="H29" s="48" t="n"/>
      <c r="I29" s="49" t="n"/>
      <c r="J29" s="50" t="n"/>
    </row>
    <row r="30">
      <c r="A30" s="29" t="n"/>
      <c r="B30" s="29" t="n"/>
      <c r="C30" s="321" t="n"/>
      <c r="D30" s="47" t="n"/>
      <c r="E30" s="48" t="n"/>
      <c r="F30" s="48" t="n"/>
      <c r="G30" s="48" t="n"/>
      <c r="H30" s="48" t="n"/>
      <c r="I30" s="49" t="n"/>
      <c r="J30" s="50" t="n"/>
    </row>
    <row r="31">
      <c r="A31" s="29" t="n"/>
      <c r="B31" s="29" t="n"/>
      <c r="C31" s="321" t="n"/>
      <c r="D31" s="47" t="n"/>
      <c r="E31" s="48" t="n"/>
      <c r="F31" s="48" t="n"/>
      <c r="G31" s="48" t="n"/>
      <c r="H31" s="48" t="n"/>
      <c r="I31" s="49" t="n"/>
      <c r="J31" s="50" t="n"/>
    </row>
    <row r="32">
      <c r="A32" s="29" t="n"/>
      <c r="B32" s="29" t="n"/>
      <c r="C32" s="321" t="n"/>
      <c r="D32" s="47" t="n"/>
      <c r="E32" s="48" t="n"/>
      <c r="F32" s="48" t="n"/>
      <c r="G32" s="48" t="n"/>
      <c r="H32" s="48" t="n"/>
      <c r="I32" s="49" t="n"/>
      <c r="J32" s="50" t="n"/>
    </row>
    <row r="33">
      <c r="A33" s="29" t="n"/>
      <c r="B33" s="29" t="n"/>
      <c r="C33" s="321" t="n"/>
      <c r="D33" s="47" t="n"/>
      <c r="E33" s="48" t="n"/>
      <c r="F33" s="48" t="n"/>
      <c r="G33" s="48" t="n"/>
      <c r="H33" s="48" t="n"/>
      <c r="I33" s="49" t="n"/>
      <c r="J33" s="50" t="n"/>
    </row>
    <row r="50">
      <c r="A50" s="283" t="inlineStr">
        <is>
          <t>Rank by Revenue</t>
        </is>
      </c>
    </row>
    <row r="51" ht="17" customHeight="1" s="290">
      <c r="A51" s="38" t="inlineStr">
        <is>
          <t>Product Name</t>
        </is>
      </c>
      <c r="B51" s="39" t="inlineStr">
        <is>
          <t>ASIN</t>
        </is>
      </c>
      <c r="C51" s="39" t="inlineStr">
        <is>
          <t>Type</t>
        </is>
      </c>
      <c r="D51" s="322" t="inlineStr">
        <is>
          <t>Avg Price</t>
        </is>
      </c>
      <c r="E51" s="41" t="inlineStr">
        <is>
          <t>Estimated 12mo Revenue</t>
        </is>
      </c>
      <c r="F51" s="39" t="inlineStr">
        <is>
          <t>Monthly Rev</t>
        </is>
      </c>
      <c r="G51" s="42" t="inlineStr">
        <is>
          <t>Estimated 12mo Units</t>
        </is>
      </c>
      <c r="H51" s="45" t="inlineStr">
        <is>
          <t>Monthly Units</t>
        </is>
      </c>
      <c r="I51" s="42" t="inlineStr">
        <is>
          <t># of Reviews</t>
        </is>
      </c>
      <c r="J51" s="43" t="inlineStr">
        <is>
          <t xml:space="preserve">Tool Rating </t>
        </is>
      </c>
      <c r="K51" s="43" t="inlineStr">
        <is>
          <t>Column1</t>
        </is>
      </c>
      <c r="L51" s="323" t="inlineStr">
        <is>
          <t>Link</t>
        </is>
      </c>
    </row>
    <row r="52" ht="45" customHeight="1" s="290">
      <c r="A52" s="30" t="inlineStr">
        <is>
          <t>Launch X431 PRO3 V+ Elite, 2026 SmartlinkC 2.0 Bidirectional Scan Tool with J2534 Portocol, HD Trucks Scanner, 10.1 inch, Topology Map, 60+Service, Online Code, CANFD/DoIP/D-PDU, FCA, 2 Yrs Update</t>
        </is>
      </c>
      <c r="B52" s="30" t="inlineStr">
        <is>
          <t>B0DTTTJWYH</t>
        </is>
      </c>
      <c r="C52" s="30" t="inlineStr">
        <is>
          <t>Tablet</t>
        </is>
      </c>
      <c r="D52" s="324" t="n">
        <v>1343.731951219512</v>
      </c>
      <c r="E52" s="53" t="n">
        <v>862064.9300000001</v>
      </c>
      <c r="F52" s="54" t="n">
        <v>165279.03</v>
      </c>
      <c r="G52" s="55" t="n">
        <v>645</v>
      </c>
      <c r="H52" s="55" t="n">
        <v>123</v>
      </c>
      <c r="I52" s="55" t="n">
        <v>96</v>
      </c>
      <c r="J52" s="56" t="n">
        <v>4.6</v>
      </c>
      <c r="K52" s="56" t="inlineStr">
        <is>
          <t>https://amazon.com/dp/B0DTTTJWYH</t>
        </is>
      </c>
      <c r="L52" s="70">
        <f>HYPERLINK(Table3660[[#This Row],[Column1]])</f>
        <v/>
      </c>
    </row>
    <row r="53" ht="60" customHeight="1" s="290">
      <c r="A53" s="30" t="inlineStr">
        <is>
          <t>LAUNCH X431 PRO3S+ Elite, 2026 All-in-One Bidirectional Scan Tool with J2534 Protocols, HD Trucks Scanner, Topology Map, 60+Service, ECU Code Full Function Scanner, CANFD/DoIP/D-PDU/FCA, 2 Yrs Update</t>
        </is>
      </c>
      <c r="B53" s="30" t="inlineStr">
        <is>
          <t>B0D7VS8SHS</t>
        </is>
      </c>
      <c r="C53" s="30" t="inlineStr">
        <is>
          <t>Tablet</t>
        </is>
      </c>
      <c r="D53" s="324" t="n">
        <v>1260.146721311475</v>
      </c>
      <c r="E53" s="53" t="n">
        <v>2197220.45</v>
      </c>
      <c r="F53" s="54" t="n">
        <v>153737.9</v>
      </c>
      <c r="G53" s="55" t="n">
        <v>1724</v>
      </c>
      <c r="H53" s="55" t="n">
        <v>122</v>
      </c>
      <c r="I53" s="55" t="n">
        <v>157</v>
      </c>
      <c r="J53" s="56" t="n">
        <v>4.3</v>
      </c>
      <c r="K53" s="56" t="inlineStr">
        <is>
          <t>https://amazon.com/dp/B0D7VS8SHS</t>
        </is>
      </c>
      <c r="L53" s="70">
        <f>HYPERLINK(Table3660[[#This Row],[Column1]])</f>
        <v/>
      </c>
    </row>
    <row r="54" ht="45" customHeight="1" s="290">
      <c r="A54" s="30" t="inlineStr">
        <is>
          <t>LAUNCH X431 CRP919XBT OBD2 Scanner, 2026 Wireless Bidirectional Scan Tool with ECU Coding, 35+ Services, All Systems Diagnostic, FCA AutoAuth, 2Yrs Free Update, V.A.G Guide, CANFD, Upgraded of CRP919X</t>
        </is>
      </c>
      <c r="B54" s="30" t="inlineStr">
        <is>
          <t>B0CJDTPDPB</t>
        </is>
      </c>
      <c r="C54" s="30" t="inlineStr">
        <is>
          <t>Tablet</t>
        </is>
      </c>
      <c r="D54" s="324" t="n">
        <v>502.6669836065574</v>
      </c>
      <c r="E54" s="53" t="n">
        <v>1280623.858461539</v>
      </c>
      <c r="F54" s="54" t="n">
        <v>153313.43</v>
      </c>
      <c r="G54" s="55" t="n">
        <v>1981</v>
      </c>
      <c r="H54" s="55" t="n">
        <v>305</v>
      </c>
      <c r="I54" s="55" t="n">
        <v>381</v>
      </c>
      <c r="J54" s="56" t="n">
        <v>4.4</v>
      </c>
      <c r="K54" s="56" t="inlineStr">
        <is>
          <t>https://amazon.com/dp/B0CJDTPDPB</t>
        </is>
      </c>
      <c r="L54" s="70">
        <f>HYPERLINK(Table3660[[#This Row],[Column1]])</f>
        <v/>
      </c>
    </row>
    <row r="55" ht="45" customHeight="1" s="290">
      <c r="A55" s="30" t="inlineStr">
        <is>
          <t>LAUNCH X431 PRO3S+ Smartlink HD Heavy Duty Truck Scanner,2026 Diesel&amp;Gasoline Bidirectional Diagnostic Scan Tool with J2534 Protocols,Topology Map,60+Service,ECU Code,CANFD &amp;DOIP,2 Yrs Free Update</t>
        </is>
      </c>
      <c r="B55" s="30" t="inlineStr">
        <is>
          <t>B08V59JNYP</t>
        </is>
      </c>
      <c r="C55" s="30" t="inlineStr">
        <is>
          <t>Tablet</t>
        </is>
      </c>
      <c r="D55" s="324" t="n">
        <v>1909.047012987013</v>
      </c>
      <c r="E55" s="53" t="n">
        <v>1847936.39</v>
      </c>
      <c r="F55" s="54" t="n">
        <v>146996.62</v>
      </c>
      <c r="G55" s="55" t="n">
        <v>996</v>
      </c>
      <c r="H55" s="55" t="n">
        <v>77</v>
      </c>
      <c r="I55" s="55" t="n">
        <v>180</v>
      </c>
      <c r="J55" s="56" t="n">
        <v>4.2</v>
      </c>
      <c r="K55" s="56" t="inlineStr">
        <is>
          <t>https://amazon.com/dp/B08V59JNYP</t>
        </is>
      </c>
      <c r="L55" s="70">
        <f>HYPERLINK(Table3660[[#This Row],[Column1]])</f>
        <v/>
      </c>
    </row>
    <row r="56" ht="45" customHeight="1" s="290">
      <c r="A56" s="30" t="inlineStr">
        <is>
          <t>Launch X431 PROS Elite 2026 New Bidirectional Scan Tool, 38+ Services, ECU Coding, All-in-One Full System Diagnostic Scanner, Support CANFD&amp;DoIP, FCA AutoAuth, V.A.G Guided, 2 Years Free Update</t>
        </is>
      </c>
      <c r="B56" s="30" t="inlineStr">
        <is>
          <t>B092YL7M8P</t>
        </is>
      </c>
      <c r="C56" s="30" t="inlineStr">
        <is>
          <t>Tablet</t>
        </is>
      </c>
      <c r="D56" s="324" t="n">
        <v>629.9384186046512</v>
      </c>
      <c r="E56" s="53" t="n">
        <v>1068912.49</v>
      </c>
      <c r="F56" s="54" t="n">
        <v>135436.76</v>
      </c>
      <c r="G56" s="55" t="n">
        <v>1714</v>
      </c>
      <c r="H56" s="55" t="n">
        <v>215</v>
      </c>
      <c r="I56" s="55" t="n">
        <v>386</v>
      </c>
      <c r="J56" s="56" t="n">
        <v>4.5</v>
      </c>
      <c r="K56" s="56" t="inlineStr">
        <is>
          <t>https://amazon.com/dp/B092YL7M8P</t>
        </is>
      </c>
      <c r="L56" s="70">
        <f>HYPERLINK(Table3660[[#This Row],[Column1]])</f>
        <v/>
      </c>
    </row>
    <row r="57" ht="45" customHeight="1" s="290">
      <c r="A57" s="30" t="inlineStr">
        <is>
          <t>Launch OBD2 Scanner CRP123X V3.0 Elite, 2026 Lifetime Free WiFi Update Scan Tool, FCA SGW, CANFD&amp;DoIP, SAS/Throttle/Brake/BMS/D-P-F/Oil/ABS Service Multi Systems Car Scanner, Battery Test, Auto VIN</t>
        </is>
      </c>
      <c r="B57" s="30" t="inlineStr">
        <is>
          <t>B07RLF8FBC</t>
        </is>
      </c>
      <c r="C57" s="30" t="inlineStr">
        <is>
          <t>Tablet</t>
        </is>
      </c>
      <c r="D57" s="324" t="n">
        <v>175.4881313868613</v>
      </c>
      <c r="E57" s="53" t="n">
        <v>1866898.47</v>
      </c>
      <c r="F57" s="54" t="n">
        <v>120209.37</v>
      </c>
      <c r="G57" s="55" t="n">
        <v>11367</v>
      </c>
      <c r="H57" s="55" t="n">
        <v>685</v>
      </c>
      <c r="I57" s="55" t="n">
        <v>3475</v>
      </c>
      <c r="J57" s="56" t="n">
        <v>4.4</v>
      </c>
      <c r="K57" s="56" t="inlineStr">
        <is>
          <t>https://amazon.com/dp/B07RLF8FBC</t>
        </is>
      </c>
      <c r="L57" s="70">
        <f>HYPERLINK(Table3660[[#This Row],[Column1]])</f>
        <v/>
      </c>
    </row>
    <row r="58" ht="45" customHeight="1" s="290">
      <c r="A58" s="30" t="inlineStr">
        <is>
          <t>Launch X431 PAD VII Elite, 2026 Top Intelligent Diagnostic Scanner, J2534 Protocol, Topology Map, Remote Diagnosis with Smartlink C, 2-Year Free Update, Bi-Directional Scan,60+ Service</t>
        </is>
      </c>
      <c r="B58" s="30" t="inlineStr">
        <is>
          <t>B0B1HT1J23</t>
        </is>
      </c>
      <c r="C58" s="30" t="inlineStr">
        <is>
          <t>Tablet</t>
        </is>
      </c>
      <c r="D58" s="324" t="n">
        <v>2692.295</v>
      </c>
      <c r="E58" s="53" t="n">
        <v>793527.1199999999</v>
      </c>
      <c r="F58" s="54" t="n">
        <v>80768.85000000001</v>
      </c>
      <c r="G58" s="55" t="n">
        <v>294</v>
      </c>
      <c r="H58" s="55" t="n">
        <v>30</v>
      </c>
      <c r="I58" s="55" t="n">
        <v>130</v>
      </c>
      <c r="J58" s="56" t="n">
        <v>4.2</v>
      </c>
      <c r="K58" s="56" t="inlineStr">
        <is>
          <t>https://amazon.com/dp/B0B1HT1J23</t>
        </is>
      </c>
      <c r="L58" s="70">
        <f>HYPERLINK(Table3660[[#This Row],[Column1]])</f>
        <v/>
      </c>
    </row>
    <row r="59" ht="60" customHeight="1" s="290">
      <c r="A59" s="30" t="inlineStr">
        <is>
          <t>LAUNCH OBD2 Scanner CRP123I V3.0 Elite, 2026 Lifetime Free WiFi Update Scan Tool, FCA SGW, CANFD&amp;DoIP, SAS/Throttle/Brake/BMS/DPF/Oil/ABS Service Multi Systems Car Scanner, Battery Test, Auto VIN</t>
        </is>
      </c>
      <c r="B59" s="30" t="inlineStr">
        <is>
          <t>B07QW18S12</t>
        </is>
      </c>
      <c r="C59" s="30" t="inlineStr">
        <is>
          <t>Tablet</t>
        </is>
      </c>
      <c r="D59" s="324" t="n">
        <v>158.969527027027</v>
      </c>
      <c r="E59" s="53" t="n">
        <v>883939.4592307692</v>
      </c>
      <c r="F59" s="54" t="n">
        <v>70582.47</v>
      </c>
      <c r="G59" s="55" t="n">
        <v>4933</v>
      </c>
      <c r="H59" s="55" t="n">
        <v>444</v>
      </c>
      <c r="I59" s="55" t="n">
        <v>3343</v>
      </c>
      <c r="J59" s="56" t="n">
        <v>4.4</v>
      </c>
      <c r="K59" s="56" t="inlineStr">
        <is>
          <t>https://amazon.com/dp/B07QW18S12</t>
        </is>
      </c>
      <c r="L59" s="70">
        <f>HYPERLINK(Table3660[[#This Row],[Column1]])</f>
        <v/>
      </c>
    </row>
    <row r="60" ht="60" customHeight="1" s="290">
      <c r="A60" s="30" t="inlineStr">
        <is>
          <t>LAUNCH X431 CRP919E OBD2 Scanner, 2026 Bidirectional Scan Tool as CRP919EBT, CANFD/DoIP/FCA SGW, ECU Code, 35+ Service, Active Tests, All-in-One Full System Diagnosis, BST360 &amp; i-TPMS, 2 Year Update</t>
        </is>
      </c>
      <c r="B60" s="30" t="inlineStr">
        <is>
          <t>B0DKHKQBDW</t>
        </is>
      </c>
      <c r="C60" s="30" t="inlineStr">
        <is>
          <t>Tablet</t>
        </is>
      </c>
      <c r="D60" s="324" t="n">
        <v>446.4362337662337</v>
      </c>
      <c r="E60" s="53" t="n">
        <v>637297.4199999999</v>
      </c>
      <c r="F60" s="54" t="n">
        <v>68751.17999999999</v>
      </c>
      <c r="G60" s="55" t="n">
        <v>1448</v>
      </c>
      <c r="H60" s="55" t="n">
        <v>154</v>
      </c>
      <c r="I60" s="55" t="n">
        <v>174</v>
      </c>
      <c r="J60" s="56" t="n">
        <v>4.3</v>
      </c>
      <c r="K60" s="56" t="inlineStr">
        <is>
          <t>https://amazon.com/dp/B0DKHKQBDW</t>
        </is>
      </c>
      <c r="L60" s="70">
        <f>HYPERLINK(Table3660[[#This Row],[Column1]])</f>
        <v/>
      </c>
    </row>
    <row r="61" ht="45" customHeight="1" s="290">
      <c r="A61" s="30" t="inlineStr">
        <is>
          <t>LAUNCH X431 PRO V 5.0,2026 New Gen. OEM Bluetooth Bidirectional Scan Tool w/Canfd Doip,Same as Pro3s+ 5.0,Online Code &amp; 38+ Reset for All Cars,2 Yrs Free Update</t>
        </is>
      </c>
      <c r="B61" s="30" t="inlineStr">
        <is>
          <t>B01GRN4BRQ</t>
        </is>
      </c>
      <c r="C61" s="30" t="inlineStr">
        <is>
          <t>Tablet</t>
        </is>
      </c>
      <c r="D61" s="324" t="n">
        <v>791.61</v>
      </c>
      <c r="E61" s="53" t="n">
        <v>928559.4800000001</v>
      </c>
      <c r="F61" s="54" t="n">
        <v>64912.02</v>
      </c>
      <c r="G61" s="55" t="n">
        <v>1209</v>
      </c>
      <c r="H61" s="55" t="n">
        <v>82</v>
      </c>
      <c r="I61" s="55" t="n">
        <v>1044</v>
      </c>
      <c r="J61" s="56" t="n">
        <v>4.3</v>
      </c>
      <c r="K61" s="56" t="inlineStr">
        <is>
          <t>https://amazon.com/dp/B01GRN4BRQ</t>
        </is>
      </c>
      <c r="L61" s="70">
        <f>HYPERLINK(Table3660[[#This Row],[Column1]])</f>
        <v/>
      </c>
    </row>
    <row r="62" ht="45" customHeight="1" s="290">
      <c r="A62" s="30" t="inlineStr">
        <is>
          <t>LAUNCH CRP123 V2.0 OBD2 Scanner-2026 New Model Engine/ABS/SRS/Transmission Diagnostic Scan Tool SRS Airbag Code Reader,3 Reset Oil Service/Throttle Relearn/SAS Reset,Lifetime Free Update</t>
        </is>
      </c>
      <c r="B62" s="30" t="inlineStr">
        <is>
          <t>B073GW5MTS</t>
        </is>
      </c>
      <c r="C62" s="30" t="inlineStr">
        <is>
          <t>Tablet</t>
        </is>
      </c>
      <c r="D62" s="324" t="n">
        <v>123.3720119521912</v>
      </c>
      <c r="E62" s="53" t="n">
        <v>649778.4400000001</v>
      </c>
      <c r="F62" s="54" t="n">
        <v>61932.75</v>
      </c>
      <c r="G62" s="55" t="n">
        <v>5178</v>
      </c>
      <c r="H62" s="55" t="n">
        <v>502</v>
      </c>
      <c r="I62" s="55" t="n">
        <v>4044</v>
      </c>
      <c r="J62" s="56" t="n">
        <v>4.3</v>
      </c>
      <c r="K62" s="56" t="inlineStr">
        <is>
          <t>https://amazon.com/dp/B073GW5MTS</t>
        </is>
      </c>
      <c r="L62" s="70">
        <f>HYPERLINK(Table3660[[#This Row],[Column1]])</f>
        <v/>
      </c>
    </row>
    <row r="63" ht="45" customHeight="1" s="290">
      <c r="A63" s="30" t="inlineStr">
        <is>
          <t>LAUNCH X431 CRP919EBT 2026 Wireless Bidirectional Scan Tool, All-in-One Full System OBD2 Scanner, ECU Coding, 35+ Services, CANFD&amp;DOIP, FCA AutoAuth, VAG Guide, 2Yrs Free Update, Upgraded of CRP919E</t>
        </is>
      </c>
      <c r="B63" s="30" t="inlineStr">
        <is>
          <t>B0C6TC2ZF3</t>
        </is>
      </c>
      <c r="C63" s="30" t="inlineStr">
        <is>
          <t>Tablet</t>
        </is>
      </c>
      <c r="D63" s="324" t="n">
        <v>497.8381578947369</v>
      </c>
      <c r="E63" s="53" t="n">
        <v>1033924.47</v>
      </c>
      <c r="F63" s="54" t="n">
        <v>56753.55</v>
      </c>
      <c r="G63" s="55" t="n">
        <v>2136</v>
      </c>
      <c r="H63" s="55" t="n">
        <v>114</v>
      </c>
      <c r="I63" s="55" t="n">
        <v>262</v>
      </c>
      <c r="J63" s="56" t="n">
        <v>4.5</v>
      </c>
      <c r="K63" s="56" t="inlineStr">
        <is>
          <t>https://amazon.com/dp/B0C6TC2ZF3</t>
        </is>
      </c>
      <c r="L63" s="70">
        <f>HYPERLINK(Table3660[[#This Row],[Column1]])</f>
        <v/>
      </c>
    </row>
    <row r="64" ht="45" customHeight="1" s="290">
      <c r="A64" s="30" t="inlineStr">
        <is>
          <t>2026 LAUNCH Creader Elite V3.0 fit for Toyota Lexus Bi-Directional Scan Tool, Full System OBD2 Scanner, All Reset Service Code Reader, AUTOVIN, ECU Code, Battery Registration, Lifetime Free Update</t>
        </is>
      </c>
      <c r="B64" s="30" t="inlineStr">
        <is>
          <t>B0D626T9HK</t>
        </is>
      </c>
      <c r="C64" s="30" t="inlineStr">
        <is>
          <t>Tablet</t>
        </is>
      </c>
      <c r="D64" s="324" t="n">
        <v>194.0606474820144</v>
      </c>
      <c r="E64" s="53" t="n">
        <v>538897.6476923076</v>
      </c>
      <c r="F64" s="54" t="n">
        <v>53948.86</v>
      </c>
      <c r="G64" s="55" t="n">
        <v>2877</v>
      </c>
      <c r="H64" s="55" t="n">
        <v>278</v>
      </c>
      <c r="I64" s="55" t="n">
        <v>640</v>
      </c>
      <c r="J64" s="56" t="n">
        <v>3.9</v>
      </c>
      <c r="K64" s="56" t="inlineStr">
        <is>
          <t>https://amazon.com/dp/B0D626T9HK</t>
        </is>
      </c>
      <c r="L64" s="70">
        <f>HYPERLINK(Table3660[[#This Row],[Column1]])</f>
        <v/>
      </c>
    </row>
    <row r="65" ht="45" customHeight="1" s="290">
      <c r="A65" s="30" t="inlineStr">
        <is>
          <t>LAUNCH Creader Elite Bi-Directional OBD2 Scanner for Toyota Lexus, 2026 Full System Diagnostic Scan Tool, All Reset Service Code Reader, Battery Registration,AUTO VIN,Lifetime Free Update</t>
        </is>
      </c>
      <c r="B65" s="30" t="inlineStr">
        <is>
          <t>B0D176ZCXQ</t>
        </is>
      </c>
      <c r="C65" s="30" t="inlineStr">
        <is>
          <t>Handheld</t>
        </is>
      </c>
      <c r="D65" s="324" t="n">
        <v>144.6528205128205</v>
      </c>
      <c r="E65" s="53" t="n">
        <v>277266.21</v>
      </c>
      <c r="F65" s="54" t="n">
        <v>50773.14</v>
      </c>
      <c r="G65" s="55" t="n">
        <v>1980</v>
      </c>
      <c r="H65" s="55" t="n">
        <v>351</v>
      </c>
      <c r="I65" s="55" t="n">
        <v>357</v>
      </c>
      <c r="J65" s="56" t="n">
        <v>4.3</v>
      </c>
      <c r="K65" s="56" t="inlineStr">
        <is>
          <t>https://amazon.com/dp/B0D176ZCXQ</t>
        </is>
      </c>
      <c r="L65" s="70">
        <f>HYPERLINK(Table3660[[#This Row],[Column1]])</f>
        <v/>
      </c>
    </row>
    <row r="66" ht="60" customHeight="1" s="290">
      <c r="A66" s="30" t="inlineStr">
        <is>
          <t>Launch CRP129HD Heavy Duty Truck Scanner with DPF Regen, Speed Limit Adjust Reset, Full System Diesel Semi Truck Diagnostic Tool &amp; Code Reader for Cummins Detroit Allison International Paccar</t>
        </is>
      </c>
      <c r="B66" s="30" t="inlineStr">
        <is>
          <t>B07Y1VNQPG</t>
        </is>
      </c>
      <c r="C66" s="30" t="inlineStr">
        <is>
          <t>Tablet</t>
        </is>
      </c>
      <c r="D66" s="324" t="n">
        <v>481.9239805825243</v>
      </c>
      <c r="E66" s="53" t="n">
        <v>432460.67</v>
      </c>
      <c r="F66" s="54" t="n">
        <v>49638.17</v>
      </c>
      <c r="G66" s="55" t="n">
        <v>850</v>
      </c>
      <c r="H66" s="55" t="n">
        <v>103</v>
      </c>
      <c r="I66" s="55" t="n">
        <v>1554</v>
      </c>
      <c r="J66" s="56" t="n">
        <v>4.4</v>
      </c>
      <c r="K66" s="56" t="inlineStr">
        <is>
          <t>https://amazon.com/dp/B07Y1VNQPG</t>
        </is>
      </c>
      <c r="L66" s="70">
        <f>HYPERLINK(Table3660[[#This Row],[Column1]])</f>
        <v/>
      </c>
    </row>
    <row r="67" ht="45" customHeight="1" s="290">
      <c r="A67" s="30" t="inlineStr">
        <is>
          <t>Launch X431 PADVII Elite, 2026 Full Function Diagnostic Scanner, J2534 J2534 Protocol, HD Trucks, EVs, Topology Map, 60+Service,Online Coding, Bidirectional Scan Tool,</t>
        </is>
      </c>
      <c r="B67" s="30" t="inlineStr">
        <is>
          <t>B09PDVDKXW</t>
        </is>
      </c>
      <c r="C67" s="30" t="inlineStr">
        <is>
          <t>Tablet</t>
        </is>
      </c>
      <c r="D67" s="324" t="n">
        <v>2749.40125</v>
      </c>
      <c r="E67" s="53" t="n">
        <v>419145.36</v>
      </c>
      <c r="F67" s="54" t="n">
        <v>43990.42</v>
      </c>
      <c r="G67" s="55" t="n">
        <v>162</v>
      </c>
      <c r="H67" s="55" t="n">
        <v>16</v>
      </c>
      <c r="I67" s="55" t="n">
        <v>5188</v>
      </c>
      <c r="J67" s="56" t="n">
        <v>4.4</v>
      </c>
      <c r="K67" s="56" t="inlineStr">
        <is>
          <t>https://amazon.com/dp/B09PDVDKXW</t>
        </is>
      </c>
      <c r="L67" s="70">
        <f>HYPERLINK(Table3660[[#This Row],[Column1]])</f>
        <v/>
      </c>
    </row>
    <row r="68" ht="45" customHeight="1" s="290">
      <c r="A68" s="30" t="inlineStr">
        <is>
          <t>LAUNCH X431 PRO Elite 2026 New Bidirectional Scan Tool, 38+ Reset, ECU Coding, All-in-One Full System Diagnostic Scanner, CANFD&amp;DoIP, FCA AutoAuth, VAG Guide,Same as Pro3s+ 5.0,2 Years Free Update</t>
        </is>
      </c>
      <c r="B68" s="30" t="inlineStr">
        <is>
          <t>B0C6TGKYLF</t>
        </is>
      </c>
      <c r="C68" s="30" t="inlineStr">
        <is>
          <t>Tablet</t>
        </is>
      </c>
      <c r="D68" s="324" t="n">
        <v>635.9860869565217</v>
      </c>
      <c r="E68" s="53" t="n">
        <v>532813.33</v>
      </c>
      <c r="F68" s="54" t="n">
        <v>43883.04</v>
      </c>
      <c r="G68" s="55" t="n">
        <v>853</v>
      </c>
      <c r="H68" s="55" t="n">
        <v>69</v>
      </c>
      <c r="I68" s="55" t="n">
        <v>248</v>
      </c>
      <c r="J68" s="56" t="n">
        <v>4.3</v>
      </c>
      <c r="K68" s="56" t="inlineStr">
        <is>
          <t>https://amazon.com/dp/B0C6TGKYLF</t>
        </is>
      </c>
      <c r="L68" s="70">
        <f>HYPERLINK(Table3660[[#This Row],[Column1]])</f>
        <v/>
      </c>
    </row>
    <row r="69" ht="45" customHeight="1" s="290">
      <c r="A69" s="30" t="inlineStr">
        <is>
          <t>2026 LAUNCH Creader Elite V2.0 fit for GM Bi-Directional Scan Tool, All Reset Full System Diagnostic Scanner, AUTOVIN, Full OBD2 Code Reader for Buick/Chevrolet/Cadillac/GMC, Lifetime Free Update</t>
        </is>
      </c>
      <c r="B69" s="30" t="inlineStr">
        <is>
          <t>B0CRT4GJMX</t>
        </is>
      </c>
      <c r="C69" s="30" t="inlineStr">
        <is>
          <t>Tablet</t>
        </is>
      </c>
      <c r="D69" s="324" t="n">
        <v>186.7348148148148</v>
      </c>
      <c r="E69" s="53" t="n">
        <v>506064.15</v>
      </c>
      <c r="F69" s="54" t="n">
        <v>40334.72</v>
      </c>
      <c r="G69" s="55" t="n">
        <v>2892</v>
      </c>
      <c r="H69" s="55" t="n">
        <v>216</v>
      </c>
      <c r="I69" s="55" t="n">
        <v>253</v>
      </c>
      <c r="J69" s="56" t="n">
        <v>4.1</v>
      </c>
      <c r="K69" s="56" t="inlineStr">
        <is>
          <t>https://amazon.com/dp/B0CRT4GJMX</t>
        </is>
      </c>
      <c r="L69" s="70">
        <f>HYPERLINK(Table3660[[#This Row],[Column1]])</f>
        <v/>
      </c>
    </row>
    <row r="70" ht="60" customHeight="1" s="290">
      <c r="A70" s="30" t="inlineStr">
        <is>
          <t>Launch X431 PRO3 (V+) V5.0 2026 Upgraded Bidirectional Scan Tool, OEM Topology Map, Scan HD Trucks, AutoAuth for FCA SGW, ECU Coding, 55+ Services, All System Diagnose, 2-Year Free Update, CAN FD</t>
        </is>
      </c>
      <c r="B70" s="30" t="inlineStr">
        <is>
          <t>B0CYLYFJW9</t>
        </is>
      </c>
      <c r="C70" s="30" t="inlineStr">
        <is>
          <t>Tablet</t>
        </is>
      </c>
      <c r="D70" s="324" t="n">
        <v>1072.371621621622</v>
      </c>
      <c r="E70" s="53" t="n">
        <v>612406.14</v>
      </c>
      <c r="F70" s="54" t="n">
        <v>39677.75</v>
      </c>
      <c r="G70" s="55" t="n">
        <v>592</v>
      </c>
      <c r="H70" s="55" t="n">
        <v>37</v>
      </c>
      <c r="I70" s="55" t="n">
        <v>142</v>
      </c>
      <c r="J70" s="56" t="n">
        <v>4.2</v>
      </c>
      <c r="K70" s="56" t="inlineStr">
        <is>
          <t>https://amazon.com/dp/B0CYLYFJW9</t>
        </is>
      </c>
      <c r="L70" s="70">
        <f>HYPERLINK(Table3660[[#This Row],[Column1]])</f>
        <v/>
      </c>
    </row>
    <row r="71" ht="45" customHeight="1" s="290">
      <c r="A71" s="30" t="inlineStr">
        <is>
          <t>Launch X431 CRP919XBT Wireless Bidirectional Scan Tool with ECU Code, CANFD&amp;DoIP, 2026 All System OBD2 Diagnostic Scanner, FCA AutoAuth, VAG Guided, 35+ Resets, 2 Yrs Free Update, Upgraded of CRP919X</t>
        </is>
      </c>
      <c r="B71" s="30" t="inlineStr">
        <is>
          <t>B0C5D1YM1F</t>
        </is>
      </c>
      <c r="C71" s="30" t="inlineStr">
        <is>
          <t>Tablet</t>
        </is>
      </c>
      <c r="D71" s="324" t="n">
        <v>505.906338028169</v>
      </c>
      <c r="E71" s="53" t="n">
        <v>401114.89</v>
      </c>
      <c r="F71" s="54" t="n">
        <v>35919.35</v>
      </c>
      <c r="G71" s="55" t="n">
        <v>828</v>
      </c>
      <c r="H71" s="55" t="n">
        <v>71</v>
      </c>
      <c r="I71" s="55" t="n">
        <v>553</v>
      </c>
      <c r="J71" s="56" t="n">
        <v>4.3</v>
      </c>
      <c r="K71" s="56" t="inlineStr">
        <is>
          <t>https://amazon.com/dp/B0C5D1YM1F</t>
        </is>
      </c>
      <c r="L71" s="70">
        <f>HYPERLINK(Table3660[[#This Row],[Column1]])</f>
        <v/>
      </c>
    </row>
    <row r="72" ht="60" customHeight="1" s="290">
      <c r="A72" s="30" t="inlineStr">
        <is>
          <t>Launch X431 PROS V 5.0 2026 Newly Bidirectional Scan Tool Bluetooth Launch Scanner with DBSCar VII Connector 38+ Reset for All Cars Online ECU Code CANFD FCA AutoAuth VAG Guide 2 Yrs F-Ree Update</t>
        </is>
      </c>
      <c r="B72" s="30" t="inlineStr">
        <is>
          <t>B0CLS8B1BK</t>
        </is>
      </c>
      <c r="C72" s="30" t="inlineStr">
        <is>
          <t>Tablet</t>
        </is>
      </c>
      <c r="D72" s="324" t="n">
        <v>839.754358974359</v>
      </c>
      <c r="E72" s="53" t="n">
        <v>1007256.67</v>
      </c>
      <c r="F72" s="54" t="n">
        <v>32750.42</v>
      </c>
      <c r="G72" s="55" t="n">
        <v>1328</v>
      </c>
      <c r="H72" s="55" t="n">
        <v>39</v>
      </c>
      <c r="I72" s="55" t="n">
        <v>251</v>
      </c>
      <c r="J72" s="56" t="n">
        <v>4.4</v>
      </c>
      <c r="K72" s="56" t="inlineStr">
        <is>
          <t>https://amazon.com/dp/B0CLS8B1BK</t>
        </is>
      </c>
      <c r="L72" s="70">
        <f>HYPERLINK(Table3660[[#This Row],[Column1]])</f>
        <v/>
      </c>
    </row>
    <row r="73" ht="60" customHeight="1" s="290">
      <c r="A73" s="30" t="inlineStr">
        <is>
          <t>LAUNCH X431 PRO3S+SMARTLINK HD Heavy Duty Truck Scanner,2026 Diesel&amp;Gasoline Bidirectional Diagnostic Scan Tool,60+Service,ECU Code,Topology Mapping,AutoAuth FCA SGW,2 YSR Free Update</t>
        </is>
      </c>
      <c r="B73" s="30" t="inlineStr">
        <is>
          <t>B098XDBRK4</t>
        </is>
      </c>
      <c r="C73" s="30" t="inlineStr">
        <is>
          <t>Tablet</t>
        </is>
      </c>
      <c r="D73" s="324" t="n">
        <v>1816.024117647059</v>
      </c>
      <c r="E73" s="53" t="n">
        <v>516285.3799999999</v>
      </c>
      <c r="F73" s="54" t="n">
        <v>30872.41</v>
      </c>
      <c r="G73" s="55" t="n">
        <v>268</v>
      </c>
      <c r="H73" s="55" t="n">
        <v>17</v>
      </c>
      <c r="I73" s="55" t="n">
        <v>47</v>
      </c>
      <c r="J73" s="56" t="n">
        <v>4.4</v>
      </c>
      <c r="K73" s="56" t="inlineStr">
        <is>
          <t>https://amazon.com/dp/B098XDBRK4</t>
        </is>
      </c>
      <c r="L73" s="70">
        <f>HYPERLINK(Table3660[[#This Row],[Column1]])</f>
        <v/>
      </c>
    </row>
    <row r="74" ht="45" customHeight="1" s="290">
      <c r="A74" s="30" t="inlineStr">
        <is>
          <t>Launch X431 PRO3S+ V5.0,2026 Upgrade All-in-One Bidirectional Scan Tool,HD Trucks Scan,Topology Map,ECU Code,55+ Service,Full System,CANFD&amp;DOIP,DBSCar VII VCI 2-Year Update</t>
        </is>
      </c>
      <c r="B74" s="30" t="inlineStr">
        <is>
          <t>B092894STV</t>
        </is>
      </c>
      <c r="C74" s="30" t="inlineStr">
        <is>
          <t>Tablet</t>
        </is>
      </c>
      <c r="D74" s="324" t="n">
        <v>1115.912692307692</v>
      </c>
      <c r="E74" s="53" t="n">
        <v>1332698.63</v>
      </c>
      <c r="F74" s="54" t="n">
        <v>29013.73</v>
      </c>
      <c r="G74" s="55" t="n">
        <v>1273</v>
      </c>
      <c r="H74" s="55" t="n">
        <v>26</v>
      </c>
      <c r="I74" s="55" t="n">
        <v>674</v>
      </c>
      <c r="J74" s="56" t="n">
        <v>4.2</v>
      </c>
      <c r="K74" s="56" t="inlineStr">
        <is>
          <t>https://amazon.com/dp/B092894STV</t>
        </is>
      </c>
      <c r="L74" s="70">
        <f>HYPERLINK(Table3660[[#This Row],[Column1]])</f>
        <v/>
      </c>
    </row>
    <row r="75" ht="45" customHeight="1" s="290">
      <c r="A75" s="30" t="inlineStr">
        <is>
          <t>2026 LAUNCH Creader Elite V3.0 for Honda Acura OBD2 Scanner, Full Systems Bi-Directional Scan Tool, All Reset Services, Full OBD2 Code Reader, AUTOVIN, Battery Registration, Lifetime Free Update</t>
        </is>
      </c>
      <c r="B75" s="30" t="inlineStr">
        <is>
          <t>B0D626W3Y4</t>
        </is>
      </c>
      <c r="C75" s="30" t="inlineStr">
        <is>
          <t>Tablet</t>
        </is>
      </c>
      <c r="D75" s="324" t="n">
        <v>192.5002684563758</v>
      </c>
      <c r="E75" s="53" t="n">
        <v>196304.38</v>
      </c>
      <c r="F75" s="54" t="n">
        <v>28682.54</v>
      </c>
      <c r="G75" s="55" t="n">
        <v>1137</v>
      </c>
      <c r="H75" s="55" t="n">
        <v>149</v>
      </c>
      <c r="I75" s="55" t="n">
        <v>641</v>
      </c>
      <c r="J75" s="56" t="n">
        <v>3.9</v>
      </c>
      <c r="K75" s="56" t="inlineStr">
        <is>
          <t>https://amazon.com/dp/B0D626W3Y4</t>
        </is>
      </c>
      <c r="L75" s="70">
        <f>HYPERLINK(Table3660[[#This Row],[Column1]])</f>
        <v/>
      </c>
    </row>
    <row r="76" ht="45" customHeight="1" s="290">
      <c r="A76" s="30" t="inlineStr">
        <is>
          <t>OBD2 Scanner LAUNCH CRP129X V3.0 Elite Scan Tool, Upgrade of CRP123X, 12 Reset Services, ABS/SRS/Transmission/Check Engine Car Code Reader, Lifetime Free Update, FCA AutoAuth &amp; Auto VIN, CANFD &amp; DoIP</t>
        </is>
      </c>
      <c r="B76" s="30" t="inlineStr">
        <is>
          <t>B07RMYN7ZL</t>
        </is>
      </c>
      <c r="C76" s="30" t="inlineStr">
        <is>
          <t>Tablet</t>
        </is>
      </c>
      <c r="D76" s="324" t="n">
        <v>264.0227272727273</v>
      </c>
      <c r="E76" s="53" t="n">
        <v>401399.91</v>
      </c>
      <c r="F76" s="54" t="n">
        <v>26138.25</v>
      </c>
      <c r="G76" s="55" t="n">
        <v>1675</v>
      </c>
      <c r="H76" s="55" t="n">
        <v>99</v>
      </c>
      <c r="I76" s="55" t="n">
        <v>1978</v>
      </c>
      <c r="J76" s="56" t="n">
        <v>4.4</v>
      </c>
      <c r="K76" s="56" t="inlineStr">
        <is>
          <t>https://amazon.com/dp/B07RMYN7ZL</t>
        </is>
      </c>
      <c r="L76" s="70">
        <f>HYPERLINK(Table3660[[#This Row],[Column1]])</f>
        <v/>
      </c>
    </row>
    <row r="77" ht="45" customHeight="1" s="290">
      <c r="A77" s="30" t="inlineStr">
        <is>
          <t>LAUNCH X431 PRO3S+ V5.0,2026 Upgrade Bluetooth Bi-Directional Scan Tool,HD Trucks Scan,OEM Topology Map,Online Code,55+ Service,CAN FD Connector,VAG Guided,AutoAuth FCA SGW,2 Yrs Free Update</t>
        </is>
      </c>
      <c r="B77" s="30" t="inlineStr">
        <is>
          <t>B09L1514WP</t>
        </is>
      </c>
      <c r="C77" s="30" t="inlineStr">
        <is>
          <t>Tablet</t>
        </is>
      </c>
      <c r="D77" s="324" t="n">
        <v>1125.928260869565</v>
      </c>
      <c r="E77" s="53" t="n">
        <v>166510.47</v>
      </c>
      <c r="F77" s="54" t="n">
        <v>25896.35</v>
      </c>
      <c r="G77" s="55" t="n">
        <v>153</v>
      </c>
      <c r="H77" s="55" t="n">
        <v>23</v>
      </c>
      <c r="I77" s="55" t="n">
        <v>84</v>
      </c>
      <c r="J77" s="56" t="n">
        <v>4.1</v>
      </c>
      <c r="K77" s="56" t="inlineStr">
        <is>
          <t>https://amazon.com/dp/B09L1514WP</t>
        </is>
      </c>
      <c r="L77" s="70">
        <f>HYPERLINK(Table3660[[#This Row],[Column1]])</f>
        <v/>
      </c>
    </row>
    <row r="78" ht="45" customHeight="1" s="290">
      <c r="A78" s="30" t="inlineStr">
        <is>
          <t>Launch X431 CRP919X OBD2 Scanner, 2026 US Ver. ECU Coding Car Scanner, Bidirectional Scan Tool, CANFD/DOIP, FCA Autoauth, 35+ Service,10.0 OS As X431, 4000+ Active Test,OE All System Diagnostic Tool</t>
        </is>
      </c>
      <c r="B78" s="30" t="inlineStr">
        <is>
          <t>B0DTPTB8MS</t>
        </is>
      </c>
      <c r="C78" s="30" t="inlineStr">
        <is>
          <t>Tablet</t>
        </is>
      </c>
      <c r="D78" s="324" t="n">
        <v>447.0414285714286</v>
      </c>
      <c r="E78" s="53" t="n">
        <v>360909.36</v>
      </c>
      <c r="F78" s="54" t="n">
        <v>25034.32</v>
      </c>
      <c r="G78" s="55" t="n">
        <v>842</v>
      </c>
      <c r="H78" s="55" t="n">
        <v>56</v>
      </c>
      <c r="I78" s="55" t="n">
        <v>71</v>
      </c>
      <c r="J78" s="56" t="n">
        <v>4.5</v>
      </c>
      <c r="K78" s="56" t="inlineStr">
        <is>
          <t>https://amazon.com/dp/B0DTPTB8MS</t>
        </is>
      </c>
      <c r="L78" s="70">
        <f>HYPERLINK(Table3660[[#This Row],[Column1]])</f>
        <v/>
      </c>
    </row>
    <row r="79" ht="45" customHeight="1" s="290">
      <c r="A79" s="30" t="inlineStr">
        <is>
          <t>LAUNCH X431 CRP919EBT OBD2 Scanner, Advanced Wireless Bluetooth Bidirectional Scan Tool, ECU Code, CANFD/DOIP, FCA AutoAuth, 35+ Resets, VAG Guided, All Systems for all Vehicles, Upgraded of CRP919E</t>
        </is>
      </c>
      <c r="B79" s="30" t="inlineStr">
        <is>
          <t>B0DKFFP66V</t>
        </is>
      </c>
      <c r="C79" s="30" t="inlineStr">
        <is>
          <t>Tablet</t>
        </is>
      </c>
      <c r="D79" s="324" t="n">
        <v>526.5897674418604</v>
      </c>
      <c r="E79" s="53" t="n">
        <v>464914.77</v>
      </c>
      <c r="F79" s="54" t="n">
        <v>22643.36</v>
      </c>
      <c r="G79" s="55" t="n">
        <v>956</v>
      </c>
      <c r="H79" s="55" t="n">
        <v>43</v>
      </c>
      <c r="I79" s="55" t="n">
        <v>146</v>
      </c>
      <c r="J79" s="56" t="n">
        <v>4.6</v>
      </c>
      <c r="K79" s="56" t="inlineStr">
        <is>
          <t>https://amazon.com/dp/B0DKFFP66V</t>
        </is>
      </c>
      <c r="L79" s="70">
        <f>HYPERLINK(Table3660[[#This Row],[Column1]])</f>
        <v/>
      </c>
    </row>
    <row r="80" ht="45" customHeight="1" s="290">
      <c r="A80" s="30" t="inlineStr">
        <is>
          <t>2026 LAUNCH Creader Elite V2.0 fit for Mercedes-Benz MB Sprinter Maybach Bi-Directional Scan Tool, OBD2 Scanner, Full System Diagnostic, All Reset Service, ECU Code, Auto Vin, Lifetime Free Update</t>
        </is>
      </c>
      <c r="B80" s="30" t="inlineStr">
        <is>
          <t>B0CMG7Q7YP</t>
        </is>
      </c>
      <c r="C80" s="30" t="inlineStr">
        <is>
          <t>Tablet</t>
        </is>
      </c>
      <c r="D80" s="324" t="n">
        <v>191.3456756756757</v>
      </c>
      <c r="E80" s="53" t="n">
        <v>262237.54</v>
      </c>
      <c r="F80" s="54" t="n">
        <v>21239.37</v>
      </c>
      <c r="G80" s="55" t="n">
        <v>1538</v>
      </c>
      <c r="H80" s="55" t="n">
        <v>111</v>
      </c>
      <c r="I80" s="55" t="n">
        <v>640</v>
      </c>
      <c r="J80" s="56" t="n">
        <v>3.9</v>
      </c>
      <c r="K80" s="56" t="inlineStr">
        <is>
          <t>https://amazon.com/dp/B0CMG7Q7YP</t>
        </is>
      </c>
      <c r="L80" s="70">
        <f>HYPERLINK(Table3660[[#This Row],[Column1]])</f>
        <v/>
      </c>
    </row>
    <row r="81" ht="45" customHeight="1" s="290">
      <c r="A81" s="30" t="inlineStr">
        <is>
          <t>2026 LAUNCH Creader Elite for Mercedes-Benz MB Sprinter Maybach Full System OBD2 Scanner, Bidirectional Diagnostic Scan Tool, All Service Code Reader,ECU Code, AutoVin, Lifetime Free Update</t>
        </is>
      </c>
      <c r="B81" s="30" t="inlineStr">
        <is>
          <t>B09XWVNBB6</t>
        </is>
      </c>
      <c r="C81" s="30" t="inlineStr">
        <is>
          <t>Handheld</t>
        </is>
      </c>
      <c r="D81" s="324" t="n">
        <v>166.6150793650794</v>
      </c>
      <c r="E81" s="53" t="n">
        <v>212241.94</v>
      </c>
      <c r="F81" s="54" t="n">
        <v>20993.5</v>
      </c>
      <c r="G81" s="55" t="n">
        <v>1492</v>
      </c>
      <c r="H81" s="55" t="n">
        <v>126</v>
      </c>
      <c r="I81" s="55" t="n">
        <v>550</v>
      </c>
      <c r="J81" s="56" t="n">
        <v>4</v>
      </c>
      <c r="K81" s="56" t="inlineStr">
        <is>
          <t>https://amazon.com/dp/B09XWVNBB6</t>
        </is>
      </c>
      <c r="L81" s="70">
        <f>HYPERLINK(Table3660[[#This Row],[Column1]])</f>
        <v/>
      </c>
    </row>
    <row r="82" ht="60" customHeight="1" s="290">
      <c r="A82" s="30" t="inlineStr">
        <is>
          <t>Launch Scanner X431 1MM* Plus Car Tool with X-PROG3 (Valued $800), Engine/Gearbox ECU Clé, All-in-One Diagnostic Tool, ECU Coding as PAD, 39+ Services, All-System Scan, 2-Year Update, Black, Android</t>
        </is>
      </c>
      <c r="B82" s="30" t="inlineStr">
        <is>
          <t>B0F2HNM2VH</t>
        </is>
      </c>
      <c r="C82" s="30" t="inlineStr">
        <is>
          <t>Tablet</t>
        </is>
      </c>
      <c r="D82" s="324" t="n">
        <v>1581.762307692308</v>
      </c>
      <c r="E82" s="53" t="n">
        <v>588837.8599999999</v>
      </c>
      <c r="F82" s="54" t="n">
        <v>20562.91</v>
      </c>
      <c r="G82" s="55" t="n">
        <v>412</v>
      </c>
      <c r="H82" s="55" t="n">
        <v>13</v>
      </c>
      <c r="I82" s="55" t="n">
        <v>55</v>
      </c>
      <c r="J82" s="56" t="n">
        <v>4</v>
      </c>
      <c r="K82" s="56" t="inlineStr">
        <is>
          <t>https://amazon.com/dp/B0F2HNM2VH</t>
        </is>
      </c>
      <c r="L82" s="70">
        <f>HYPERLINK(Table3660[[#This Row],[Column1]])</f>
        <v/>
      </c>
    </row>
    <row r="83" ht="60" customHeight="1" s="290">
      <c r="A83" s="30" t="inlineStr">
        <is>
          <t>LAUNCH Creader Elite V2.0 for BMW OBD2 Scanner, Full System Diagnostic Bi-Directional Scan Tool, ECU Code, All Services, Active Tests, Battery Registration Tool for BMW Mini RR, Lifetime Free Update</t>
        </is>
      </c>
      <c r="B83" s="30" t="inlineStr">
        <is>
          <t>B0F4QHR93X</t>
        </is>
      </c>
      <c r="C83" s="30" t="inlineStr">
        <is>
          <t>Tablet</t>
        </is>
      </c>
      <c r="D83" s="324" t="n">
        <v>199.6461386138614</v>
      </c>
      <c r="E83" s="53" t="n">
        <v>109586.5261538461</v>
      </c>
      <c r="F83" s="54" t="n">
        <v>20164.26</v>
      </c>
      <c r="G83" s="55" t="n">
        <v>387</v>
      </c>
      <c r="H83" s="55" t="n">
        <v>101</v>
      </c>
      <c r="I83" s="55" t="n">
        <v>17</v>
      </c>
      <c r="J83" s="56" t="n">
        <v>4.1</v>
      </c>
      <c r="K83" s="56" t="inlineStr">
        <is>
          <t>https://amazon.com/dp/B0F4QHR93X</t>
        </is>
      </c>
      <c r="L83" s="70">
        <f>HYPERLINK(Table3660[[#This Row],[Column1]])</f>
        <v/>
      </c>
    </row>
    <row r="84" ht="60" customHeight="1" s="290">
      <c r="A84" s="30" t="inlineStr">
        <is>
          <t>LAUNCH CRP129E V2.0 Elite OBD2 Scanner Diagnostic Tool, 12 Reset Scan Tool, FCA AutoAuth, ABS SRS Transmission Engine Code Reader, Oil/Brake/SAS/DPF/TPMS/BMS Reset, Lifetime Free Update, Auto VIN</t>
        </is>
      </c>
      <c r="B84" s="30" t="inlineStr">
        <is>
          <t>B0DKH5871C</t>
        </is>
      </c>
      <c r="C84" s="30" t="inlineStr">
        <is>
          <t>Tablet</t>
        </is>
      </c>
      <c r="D84" s="324" t="n">
        <v>223.8860674157303</v>
      </c>
      <c r="E84" s="53" t="n">
        <v>231820.11</v>
      </c>
      <c r="F84" s="54" t="n">
        <v>19925.86</v>
      </c>
      <c r="G84" s="55" t="n">
        <v>993</v>
      </c>
      <c r="H84" s="55" t="n">
        <v>89</v>
      </c>
      <c r="I84" s="55" t="n">
        <v>72</v>
      </c>
      <c r="J84" s="56" t="n">
        <v>4.4</v>
      </c>
      <c r="K84" s="56" t="inlineStr">
        <is>
          <t>https://amazon.com/dp/B0DKH5871C</t>
        </is>
      </c>
      <c r="L84" s="70">
        <f>HYPERLINK(Table3660[[#This Row],[Column1]])</f>
        <v/>
      </c>
    </row>
    <row r="85" ht="45" customHeight="1" s="290">
      <c r="A85" s="30" t="inlineStr">
        <is>
          <t>Launch X431 PRO Dyno 2026 Upgrade Bidirectional Scan Tool for 99.99% of Cars, ECU Coding, Active Tests, 38+ Services, All System Diagnostic Scanner, CAN-FD, FCA AutoAuth, 2 Years Free Update</t>
        </is>
      </c>
      <c r="B85" s="30" t="inlineStr">
        <is>
          <t>B0CH2TFY41</t>
        </is>
      </c>
      <c r="C85" s="30" t="inlineStr">
        <is>
          <t>Tablet</t>
        </is>
      </c>
      <c r="D85" s="324" t="n">
        <v>814.3713636363635</v>
      </c>
      <c r="E85" s="53" t="n">
        <v>227987.92</v>
      </c>
      <c r="F85" s="54" t="n">
        <v>17916.17</v>
      </c>
      <c r="G85" s="55" t="n">
        <v>280</v>
      </c>
      <c r="H85" s="55" t="n">
        <v>22</v>
      </c>
      <c r="I85" s="55" t="n">
        <v>97</v>
      </c>
      <c r="J85" s="56" t="n">
        <v>4.6</v>
      </c>
      <c r="K85" s="56" t="inlineStr">
        <is>
          <t>https://amazon.com/dp/B0CH2TFY41</t>
        </is>
      </c>
      <c r="L85" s="70">
        <f>HYPERLINK(Table3660[[#This Row],[Column1]])</f>
        <v/>
      </c>
    </row>
    <row r="86" ht="45" customHeight="1" s="290">
      <c r="A86" s="30" t="inlineStr">
        <is>
          <t>LAUNCH X431 PRO Elite 2026 New Bidirectional Scan Tool, 38+ Services, ECU Code, All-in-One Full System Diagnostic Scanner with CANFD &amp; DoIP,FCA AutoAuth,V.A.G Guide,2 Years Free Update</t>
        </is>
      </c>
      <c r="B86" s="30" t="inlineStr">
        <is>
          <t>B0D1V2X5KG</t>
        </is>
      </c>
      <c r="C86" s="30" t="inlineStr">
        <is>
          <t>Tablet</t>
        </is>
      </c>
      <c r="D86" s="324" t="n">
        <v>681.3457692307693</v>
      </c>
      <c r="E86" s="53" t="n">
        <v>79623.15000000001</v>
      </c>
      <c r="F86" s="54" t="n">
        <v>17714.99</v>
      </c>
      <c r="G86" s="55" t="n">
        <v>120</v>
      </c>
      <c r="H86" s="55" t="n">
        <v>26</v>
      </c>
      <c r="I86" s="55" t="n">
        <v>248</v>
      </c>
      <c r="J86" s="56" t="n">
        <v>4.3</v>
      </c>
      <c r="K86" s="56" t="inlineStr">
        <is>
          <t>https://amazon.com/dp/B0D1V2X5KG</t>
        </is>
      </c>
      <c r="L86" s="70">
        <f>HYPERLINK(Table3660[[#This Row],[Column1]])</f>
        <v/>
      </c>
    </row>
    <row r="87" ht="45" customHeight="1" s="290">
      <c r="A87" s="30" t="inlineStr">
        <is>
          <t>Launch Creader Elite for BMW OBD2 Scanner, 2025 Full Systems Diagnostic Bi-Directional Scan Tool, All Reset Service, ECU Code, Battery Registration Tool for BMW Mini Rolls-Royce,Lifetime Free Update</t>
        </is>
      </c>
      <c r="B87" s="30" t="inlineStr">
        <is>
          <t>B0DKHL1H22</t>
        </is>
      </c>
      <c r="C87" s="30" t="inlineStr">
        <is>
          <t>Handheld</t>
        </is>
      </c>
      <c r="D87" s="324" t="n">
        <v>169.7656701030928</v>
      </c>
      <c r="E87" s="53" t="n">
        <v>260082.87</v>
      </c>
      <c r="F87" s="54" t="n">
        <v>16467.27</v>
      </c>
      <c r="G87" s="55" t="n">
        <v>1571</v>
      </c>
      <c r="H87" s="55" t="n">
        <v>97</v>
      </c>
      <c r="I87" s="55" t="n">
        <v>76</v>
      </c>
      <c r="J87" s="56" t="n">
        <v>4</v>
      </c>
      <c r="K87" s="56" t="inlineStr">
        <is>
          <t>https://amazon.com/dp/B0DKHL1H22</t>
        </is>
      </c>
      <c r="L87" s="70">
        <f>HYPERLINK(Table3660[[#This Row],[Column1]])</f>
        <v/>
      </c>
    </row>
    <row r="88" ht="45" customHeight="1" s="290">
      <c r="A88" s="30" t="inlineStr">
        <is>
          <t>LAUNCH Scanner CRP129X V2.0 (Upgrade of CRP123X/CRP129X), 12 Reset Scan Tool,Lifetime Free Update,FCA SGW Car Scanner,ABS SRS Transmission,Check Engine Code Reader,AutoVIN,Battery Test, 5 Years Backup</t>
        </is>
      </c>
      <c r="B88" s="30" t="inlineStr">
        <is>
          <t>B07RK9GCK3</t>
        </is>
      </c>
      <c r="C88" s="30" t="inlineStr">
        <is>
          <t>Tablet</t>
        </is>
      </c>
      <c r="D88" s="324" t="n">
        <v>236.1228985507246</v>
      </c>
      <c r="E88" s="53" t="n">
        <v>348187.01</v>
      </c>
      <c r="F88" s="54" t="n">
        <v>16292.48</v>
      </c>
      <c r="G88" s="55" t="n">
        <v>1508</v>
      </c>
      <c r="H88" s="55" t="n">
        <v>69</v>
      </c>
      <c r="I88" s="55" t="n">
        <v>2365</v>
      </c>
      <c r="J88" s="56" t="n">
        <v>4.3</v>
      </c>
      <c r="K88" s="56" t="inlineStr">
        <is>
          <t>https://amazon.com/dp/B07RK9GCK3</t>
        </is>
      </c>
      <c r="L88" s="70">
        <f>HYPERLINK(Table3660[[#This Row],[Column1]])</f>
        <v/>
      </c>
    </row>
    <row r="89" ht="45" customHeight="1" s="290">
      <c r="A89" s="30" t="inlineStr">
        <is>
          <t>LAUNCH Creader Elite V3.0 for BMW OBD2 Scanner, 2026 Full Systems Bi-Directional Scan Tool, All Reset Services, ECU Code, CAN-FD &amp; DOIP, Battery Registration Tool for BMW Mini RR, Lifetime Free Update</t>
        </is>
      </c>
      <c r="B89" s="30" t="inlineStr">
        <is>
          <t>B0DKHL6YHJ</t>
        </is>
      </c>
      <c r="C89" s="30" t="inlineStr">
        <is>
          <t>Tablet</t>
        </is>
      </c>
      <c r="D89" s="324" t="n">
        <v>197.2075308641975</v>
      </c>
      <c r="E89" s="53" t="n">
        <v>174643.35</v>
      </c>
      <c r="F89" s="54" t="n">
        <v>15973.81</v>
      </c>
      <c r="G89" s="55" t="n">
        <v>952</v>
      </c>
      <c r="H89" s="55" t="n">
        <v>81</v>
      </c>
      <c r="I89" s="55" t="n">
        <v>100</v>
      </c>
      <c r="J89" s="56" t="n">
        <v>4.3</v>
      </c>
      <c r="K89" s="56" t="inlineStr">
        <is>
          <t>https://amazon.com/dp/B0DKHL6YHJ</t>
        </is>
      </c>
      <c r="L89" s="70">
        <f>HYPERLINK(Table3660[[#This Row],[Column1]])</f>
        <v/>
      </c>
    </row>
    <row r="90" ht="45" customHeight="1" s="290">
      <c r="A90" s="30" t="inlineStr">
        <is>
          <t>Launch CRP129I V3.0 OBD2 Scanner Diagnostic Tool, 2026 New Code Reader for Cars and Trucks, ABS SRS Transmission Engine Code Reader, 12 Reset, Oil/EPB/SAS/TPMS/Injector Code, Lifetime Free Update</t>
        </is>
      </c>
      <c r="B90" s="30" t="inlineStr">
        <is>
          <t>B07QRYR288</t>
        </is>
      </c>
      <c r="C90" s="30" t="inlineStr">
        <is>
          <t>Tablet</t>
        </is>
      </c>
      <c r="D90" s="324" t="n">
        <v>213.13</v>
      </c>
      <c r="E90" s="53" t="n">
        <v>176061.27</v>
      </c>
      <c r="F90" s="54" t="n">
        <v>15558.49</v>
      </c>
      <c r="G90" s="55" t="n">
        <v>812</v>
      </c>
      <c r="H90" s="55" t="n">
        <v>73</v>
      </c>
      <c r="I90" s="55" t="n">
        <v>950</v>
      </c>
      <c r="J90" s="56" t="n">
        <v>4.4</v>
      </c>
      <c r="K90" s="56" t="inlineStr">
        <is>
          <t>https://amazon.com/dp/B07QRYR288</t>
        </is>
      </c>
      <c r="L90" s="70">
        <f>HYPERLINK(Table3660[[#This Row],[Column1]])</f>
        <v/>
      </c>
    </row>
    <row r="91" ht="45" customHeight="1" s="290">
      <c r="A91" s="30" t="inlineStr">
        <is>
          <t>LAUNCH X431 X PROG3 Advanced Scan Tool with EEPROM Adapter,for X431 V/V+,PRO3S+,Pro3,Pro5 and PAD III/PAD V,etc.</t>
        </is>
      </c>
      <c r="B91" s="30" t="inlineStr">
        <is>
          <t>B09DK5H1F5</t>
        </is>
      </c>
      <c r="C91" s="30" t="inlineStr">
        <is>
          <t>Key</t>
        </is>
      </c>
      <c r="D91" s="324" t="n">
        <v>593.6168</v>
      </c>
      <c r="E91" s="53" t="n">
        <v>130865.64</v>
      </c>
      <c r="F91" s="54" t="n">
        <v>14840.42</v>
      </c>
      <c r="G91" s="55" t="n">
        <v>213</v>
      </c>
      <c r="H91" s="55" t="n">
        <v>25</v>
      </c>
      <c r="I91" s="55" t="n">
        <v>30</v>
      </c>
      <c r="J91" s="56" t="n">
        <v>3.6</v>
      </c>
      <c r="K91" s="56" t="inlineStr">
        <is>
          <t>https://amazon.com/dp/B09DK5H1F5</t>
        </is>
      </c>
      <c r="L91" s="70">
        <f>HYPERLINK(Table3660[[#This Row],[Column1]])</f>
        <v/>
      </c>
    </row>
    <row r="92" ht="45" customHeight="1" s="290">
      <c r="A92" s="30" t="inlineStr">
        <is>
          <t>Launch X431 PROS V 5.0: 2026 Bluetooth Bidirectional Scan Tool with ECU Coding 38+ Reset for All System Car Diagnostic CANFD DOIP OBD2 Scanner 2 Yrs Update, Upgraded of PROS Elite, Same as V+</t>
        </is>
      </c>
      <c r="B92" s="30" t="inlineStr">
        <is>
          <t>B0GL81NX9N</t>
        </is>
      </c>
      <c r="C92" s="30" t="inlineStr">
        <is>
          <t>Tablet</t>
        </is>
      </c>
      <c r="D92" s="324" t="n">
        <v>815.0517647058823</v>
      </c>
      <c r="E92" s="53" t="n">
        <v>167336.3969230769</v>
      </c>
      <c r="F92" s="54" t="n">
        <v>13855.88</v>
      </c>
      <c r="G92" s="55" t="n">
        <v>17</v>
      </c>
      <c r="H92" s="55" t="n">
        <v>17</v>
      </c>
      <c r="I92" s="55" t="n"/>
      <c r="J92" s="56" t="n"/>
      <c r="K92" s="56" t="inlineStr">
        <is>
          <t>https://amazon.com/dp/B0GL81NX9N</t>
        </is>
      </c>
      <c r="L92" s="70">
        <f>HYPERLINK(Table3660[[#This Row],[Column1]])</f>
        <v/>
      </c>
    </row>
    <row r="93" ht="45" customHeight="1" s="290">
      <c r="A93" s="30" t="inlineStr">
        <is>
          <t>2026 Upgraded LAUNCH OBD2 Scanner CRP123E V2.0 Elite, Diagnostics Tool for Engine, ABS, SRS, AT, with 7 Resets, Oil/Throttle/SAS/BMS/EPB/DPF/ABS Bleeding, Battery Test, FCA SGW, Lifetime Updates</t>
        </is>
      </c>
      <c r="B93" s="30" t="inlineStr">
        <is>
          <t>B07QZBY49X</t>
        </is>
      </c>
      <c r="C93" s="30" t="inlineStr">
        <is>
          <t>Tablet</t>
        </is>
      </c>
      <c r="D93" s="324" t="n">
        <v>179.0327631578947</v>
      </c>
      <c r="E93" s="53" t="n">
        <v>180669.48</v>
      </c>
      <c r="F93" s="54" t="n">
        <v>13606.49</v>
      </c>
      <c r="G93" s="55" t="n">
        <v>1123</v>
      </c>
      <c r="H93" s="55" t="n">
        <v>76</v>
      </c>
      <c r="I93" s="55" t="n">
        <v>534</v>
      </c>
      <c r="J93" s="56" t="n">
        <v>4.4</v>
      </c>
      <c r="K93" s="56" t="inlineStr">
        <is>
          <t>https://amazon.com/dp/B07QZBY49X</t>
        </is>
      </c>
      <c r="L93" s="70">
        <f>HYPERLINK(Table3660[[#This Row],[Column1]])</f>
        <v/>
      </c>
    </row>
    <row r="94" ht="45" customHeight="1" s="290">
      <c r="A94" s="30" t="inlineStr">
        <is>
          <t>Launch X431 PRO3 V+ Elite J2534 ECU Protocol, Code Scanner, Smartlink C, 60 Hot Services, FCA SGW, Bidirectional 3000+ Active Tests, 2026 All System Launch Scanner, 200+ Brands, CANFD DoIP, Android 10</t>
        </is>
      </c>
      <c r="B94" s="30" t="inlineStr">
        <is>
          <t>B0FPF2S57B</t>
        </is>
      </c>
      <c r="C94" s="30" t="inlineStr">
        <is>
          <t>Tablet</t>
        </is>
      </c>
      <c r="D94" s="324" t="n">
        <v>1462.117777777778</v>
      </c>
      <c r="E94" s="53" t="n">
        <v>202006.8476923078</v>
      </c>
      <c r="F94" s="54" t="n">
        <v>13159.06</v>
      </c>
      <c r="G94" s="55" t="n">
        <v>93</v>
      </c>
      <c r="H94" s="55" t="n">
        <v>9</v>
      </c>
      <c r="I94" s="55" t="n">
        <v>12</v>
      </c>
      <c r="J94" s="56" t="n">
        <v>5</v>
      </c>
      <c r="K94" s="56" t="inlineStr">
        <is>
          <t>https://amazon.com/dp/B0FPF2S57B</t>
        </is>
      </c>
      <c r="L94" s="70">
        <f>HYPERLINK(Table3660[[#This Row],[Column1]])</f>
        <v/>
      </c>
    </row>
    <row r="95" ht="45" customHeight="1" s="290">
      <c r="A95" s="30" t="inlineStr">
        <is>
          <t>LAUNCH X431 1MM0 Elite Professional Diagnostic Scanner with X-PR0G3, 2026 Bi-Directional Control All System Scan Tool with CANFD &amp; DOIP, 39+ Reset, Active Test ，FCA SGW Automotive Tool, 2 Yrs Update</t>
        </is>
      </c>
      <c r="B95" s="30" t="inlineStr">
        <is>
          <t>B0DN5XKF1S</t>
        </is>
      </c>
      <c r="C95" s="30" t="inlineStr">
        <is>
          <t>Tablet</t>
        </is>
      </c>
      <c r="D95" s="324" t="n">
        <v>1217.822</v>
      </c>
      <c r="E95" s="53" t="n">
        <v>155252.3638461539</v>
      </c>
      <c r="F95" s="54" t="n">
        <v>12178.22</v>
      </c>
      <c r="G95" s="55" t="n">
        <v>110</v>
      </c>
      <c r="H95" s="55" t="n">
        <v>10</v>
      </c>
      <c r="I95" s="55" t="n">
        <v>185</v>
      </c>
      <c r="J95" s="56" t="n">
        <v>4.3</v>
      </c>
      <c r="K95" s="56" t="inlineStr">
        <is>
          <t>https://amazon.com/dp/B0DN5XKF1S</t>
        </is>
      </c>
      <c r="L95" s="70">
        <f>HYPERLINK(Table3660[[#This Row],[Column1]])</f>
        <v/>
      </c>
    </row>
    <row r="96" ht="45" customHeight="1" s="290">
      <c r="A96" s="30" t="inlineStr">
        <is>
          <t>Launch CR529 OBD2 Scanner Diagnostic Tool, Full OBD2 Scanner for Car, Free Lifetime Upd. Check-Egine-Light Code Reader, 5 Years. Backup, Clear Codes, One Click I/M, for DIYers with Cars After 1996</t>
        </is>
      </c>
      <c r="B96" s="30" t="inlineStr">
        <is>
          <t>B082MCG82X</t>
        </is>
      </c>
      <c r="C96" s="30" t="inlineStr">
        <is>
          <t>Handheld</t>
        </is>
      </c>
      <c r="D96" s="324" t="n">
        <v>38.82355987055016</v>
      </c>
      <c r="E96" s="53" t="n">
        <v>204808.69</v>
      </c>
      <c r="F96" s="54" t="n">
        <v>11996.48</v>
      </c>
      <c r="G96" s="55" t="n">
        <v>5112</v>
      </c>
      <c r="H96" s="55" t="n">
        <v>309</v>
      </c>
      <c r="I96" s="55" t="n">
        <v>4214</v>
      </c>
      <c r="J96" s="56" t="n">
        <v>4.4</v>
      </c>
      <c r="K96" s="56" t="inlineStr">
        <is>
          <t>https://amazon.com/dp/B082MCG82X</t>
        </is>
      </c>
      <c r="L96" s="70">
        <f>HYPERLINK(Table3660[[#This Row],[Column1]])</f>
        <v/>
      </c>
    </row>
    <row r="97" ht="45" customHeight="1" s="290">
      <c r="A97" s="30" t="inlineStr">
        <is>
          <t>LAUNCH X431 PRO3S+ Elite, 2026 SmartlinkC 2.0 Bidirectional Scan Tool with J2534 Portocol, HD Trucks Scanner, 10.1 inch, Topology Map, 60+Service, Online Code, CANFD/DoIP/D-PDU, FCA</t>
        </is>
      </c>
      <c r="B97" s="30" t="inlineStr">
        <is>
          <t>B0FBWJBQX5</t>
        </is>
      </c>
      <c r="C97" s="30" t="inlineStr">
        <is>
          <t>Tablet</t>
        </is>
      </c>
      <c r="D97" s="324" t="n">
        <v>1190.5</v>
      </c>
      <c r="E97" s="53" t="n">
        <v>127929.7953846154</v>
      </c>
      <c r="F97" s="54" t="n">
        <v>11905</v>
      </c>
      <c r="G97" s="55" t="n">
        <v>39</v>
      </c>
      <c r="H97" s="55" t="n">
        <v>10</v>
      </c>
      <c r="I97" s="55" t="n">
        <v>54</v>
      </c>
      <c r="J97" s="56" t="n">
        <v>4.6</v>
      </c>
      <c r="K97" s="56" t="inlineStr">
        <is>
          <t>https://amazon.com/dp/B0FBWJBQX5</t>
        </is>
      </c>
      <c r="L97" s="70">
        <f>HYPERLINK(Table3660[[#This Row],[Column1]])</f>
        <v/>
      </c>
    </row>
    <row r="98" ht="45" customHeight="1" s="290">
      <c r="A98" s="30" t="inlineStr">
        <is>
          <t>LAUNCH X431 PRO3S+ V5.0 2026 Upgraded Bidirectional Scan Tool, OEM Topology Map, Scan HD Trucks, ECU Code, 55+ Services, Full System, CAN FD &amp; DOIP, FCA AutoAuth, V.AG Guided, 2 Yrs Update</t>
        </is>
      </c>
      <c r="B98" s="30" t="inlineStr">
        <is>
          <t>B0DPFD4JV1</t>
        </is>
      </c>
      <c r="C98" s="30" t="inlineStr">
        <is>
          <t>Tablet</t>
        </is>
      </c>
      <c r="D98" s="324" t="n">
        <v>1185.607</v>
      </c>
      <c r="E98" s="53" t="n">
        <v>294277.6899999999</v>
      </c>
      <c r="F98" s="54" t="n">
        <v>11856.07</v>
      </c>
      <c r="G98" s="55" t="n">
        <v>263</v>
      </c>
      <c r="H98" s="55" t="n">
        <v>10</v>
      </c>
      <c r="I98" s="55" t="n">
        <v>32</v>
      </c>
      <c r="J98" s="56" t="n">
        <v>4.3</v>
      </c>
      <c r="K98" s="56" t="inlineStr">
        <is>
          <t>https://amazon.com/dp/B0DPFD4JV1</t>
        </is>
      </c>
      <c r="L98" s="70">
        <f>HYPERLINK(Table3660[[#This Row],[Column1]])</f>
        <v/>
      </c>
    </row>
    <row r="99" ht="30" customHeight="1" s="290">
      <c r="A99" s="30" t="inlineStr">
        <is>
          <t>2026 LAUNCH Creader Elite OBD2 Scanner for Honda Acura, Full System Bi-Directional Diagnostic Scan Tool, Full Reset Code Reader, AUTO VIN, Battery Registration, Lifetime Free Update</t>
        </is>
      </c>
      <c r="B99" s="30" t="inlineStr">
        <is>
          <t>B0C7W2V589</t>
        </is>
      </c>
      <c r="C99" s="30" t="inlineStr">
        <is>
          <t>Handheld</t>
        </is>
      </c>
      <c r="D99" s="324" t="n">
        <v>133.1489655172414</v>
      </c>
      <c r="E99" s="53" t="n">
        <v>154737.2</v>
      </c>
      <c r="F99" s="54" t="n">
        <v>11583.96</v>
      </c>
      <c r="G99" s="55" t="n">
        <v>1098</v>
      </c>
      <c r="H99" s="55" t="n">
        <v>87</v>
      </c>
      <c r="I99" s="55" t="n">
        <v>357</v>
      </c>
      <c r="J99" s="56" t="n">
        <v>4.3</v>
      </c>
      <c r="K99" s="56" t="inlineStr">
        <is>
          <t>https://amazon.com/dp/B0C7W2V589</t>
        </is>
      </c>
      <c r="L99" s="70">
        <f>HYPERLINK(Table3660[[#This Row],[Column1]])</f>
        <v/>
      </c>
    </row>
    <row r="100" ht="45" customHeight="1" s="290">
      <c r="A100" s="30" t="inlineStr">
        <is>
          <t>LAUNCH CRP129HD Heavy Duty Truck Scanner 2026 Semi Trucks Full System Diagnostic Tool with Speed Limit Adjust Reset, D.P.F Regen, Oil Reset for Commercial Vehicle, Cummins Detroit International Paccar</t>
        </is>
      </c>
      <c r="B100" s="30" t="inlineStr">
        <is>
          <t>B0F58Y97Z2</t>
        </is>
      </c>
      <c r="C100" s="30" t="inlineStr">
        <is>
          <t>Tablet</t>
        </is>
      </c>
      <c r="D100" s="324" t="n">
        <v>508.7904545454545</v>
      </c>
      <c r="E100" s="53" t="n">
        <v>78144.18999999999</v>
      </c>
      <c r="F100" s="54" t="n">
        <v>11193.39</v>
      </c>
      <c r="G100" s="55" t="n">
        <v>113</v>
      </c>
      <c r="H100" s="55" t="n">
        <v>22</v>
      </c>
      <c r="I100" s="55" t="n">
        <v>7</v>
      </c>
      <c r="J100" s="56" t="n">
        <v>4.8</v>
      </c>
      <c r="K100" s="56" t="inlineStr">
        <is>
          <t>https://amazon.com/dp/B0F58Y97Z2</t>
        </is>
      </c>
      <c r="L100" s="70">
        <f>HYPERLINK(Table3660[[#This Row],[Column1]])</f>
        <v/>
      </c>
    </row>
    <row r="101" ht="45" customHeight="1" s="290">
      <c r="A101" s="30" t="inlineStr">
        <is>
          <t>LAUNCH X431 PRO Elite OBD2 Scanner, 2026 All-in-One New Bidirectional Scan Tool with CANFD DOIP, ECU Diagnostics,38+ Resets, Full System,FCA Autoauth,VAG Guide, 2 Years Update Included</t>
        </is>
      </c>
      <c r="B101" s="30" t="inlineStr">
        <is>
          <t>B0DKHBSHZB</t>
        </is>
      </c>
      <c r="C101" s="30" t="inlineStr">
        <is>
          <t>Tablet</t>
        </is>
      </c>
      <c r="D101" s="324" t="n">
        <v>672.266875</v>
      </c>
      <c r="E101" s="53" t="n">
        <v>196281.22</v>
      </c>
      <c r="F101" s="54" t="n">
        <v>10756.27</v>
      </c>
      <c r="G101" s="55" t="n">
        <v>314</v>
      </c>
      <c r="H101" s="55" t="n">
        <v>16</v>
      </c>
      <c r="I101" s="55" t="n">
        <v>40</v>
      </c>
      <c r="J101" s="56" t="n">
        <v>4.3</v>
      </c>
      <c r="K101" s="56" t="inlineStr">
        <is>
          <t>https://amazon.com/dp/B0DKHBSHZB</t>
        </is>
      </c>
      <c r="L101" s="70">
        <f>HYPERLINK(Table3660[[#This Row],[Column1]])</f>
        <v/>
      </c>
    </row>
    <row r="102" ht="45" customHeight="1" s="290">
      <c r="A102" s="30" t="inlineStr">
        <is>
          <t>Launch X431 Creader Elite 2.0 FGC OBD2 Scanner, Bi-Directional Scan Tool for Ford/GM/Chrysler Series, ECU Coding, Lifetime FR-EE Update, All System Diagnostic, 100+ Services, Full OBD2 Code Reader</t>
        </is>
      </c>
      <c r="B102" s="30" t="inlineStr">
        <is>
          <t>B0CNRN359J</t>
        </is>
      </c>
      <c r="C102" s="30" t="inlineStr">
        <is>
          <t>Tablet</t>
        </is>
      </c>
      <c r="D102" s="324" t="n">
        <v>253.0165853658537</v>
      </c>
      <c r="E102" s="53" t="n">
        <v>178413.29</v>
      </c>
      <c r="F102" s="54" t="n">
        <v>10373.68</v>
      </c>
      <c r="G102" s="55" t="n">
        <v>788</v>
      </c>
      <c r="H102" s="55" t="n">
        <v>41</v>
      </c>
      <c r="I102" s="55" t="n">
        <v>200</v>
      </c>
      <c r="J102" s="56" t="n">
        <v>4.1</v>
      </c>
      <c r="K102" s="56" t="inlineStr">
        <is>
          <t>https://amazon.com/dp/B0CNRN359J</t>
        </is>
      </c>
      <c r="L102" s="70">
        <f>HYPERLINK(Table3660[[#This Row],[Column1]])</f>
        <v/>
      </c>
    </row>
    <row r="103" ht="45" customHeight="1" s="290">
      <c r="A103" s="30" t="inlineStr">
        <is>
          <t>LAUNCH X431 PRO3S+ Elite with SmartlinkC 2.0,2026 Bi-Directional Scan Tool with J2534,OEM Topology Map, HD Truck Scan,ECU Code,CANFD &amp;DOIP,FCA AutoAuth,60+ Service,2 Years Update</t>
        </is>
      </c>
      <c r="B103" s="30" t="inlineStr">
        <is>
          <t>B0D5MC58JP</t>
        </is>
      </c>
      <c r="C103" s="30" t="inlineStr">
        <is>
          <t>Tablet</t>
        </is>
      </c>
      <c r="D103" s="324" t="n">
        <v>1291.74875</v>
      </c>
      <c r="E103" s="53" t="n">
        <v>202520.08</v>
      </c>
      <c r="F103" s="54" t="n">
        <v>10333.99</v>
      </c>
      <c r="G103" s="55" t="n">
        <v>152</v>
      </c>
      <c r="H103" s="55" t="n">
        <v>8</v>
      </c>
      <c r="I103" s="55" t="n">
        <v>32</v>
      </c>
      <c r="J103" s="56" t="n">
        <v>4</v>
      </c>
      <c r="K103" s="56" t="inlineStr">
        <is>
          <t>https://amazon.com/dp/B0D5MC58JP</t>
        </is>
      </c>
      <c r="L103" s="70">
        <f>HYPERLINK(Table3660[[#This Row],[Column1]])</f>
        <v/>
      </c>
    </row>
    <row r="104" ht="45" customHeight="1" s="290">
      <c r="A104" s="30" t="inlineStr">
        <is>
          <t>LAUNCH CRP129HD Heavy Duty Truck Scanner,Full System Diesel Scan Tool with 7+ Resets,DPF Force Regen &amp; Reset,Speed Limit Adjust,Oil Reset for Cummins Detroit Freightliner International Volvo &amp; More</t>
        </is>
      </c>
      <c r="B104" s="30" t="inlineStr">
        <is>
          <t>B0D5GNGT1D</t>
        </is>
      </c>
      <c r="C104" s="30" t="inlineStr">
        <is>
          <t>Tablet</t>
        </is>
      </c>
      <c r="D104" s="324" t="n">
        <v>502.9734999999999</v>
      </c>
      <c r="E104" s="53" t="n">
        <v>115352.09</v>
      </c>
      <c r="F104" s="54" t="n">
        <v>10059.47</v>
      </c>
      <c r="G104" s="55" t="n">
        <v>221</v>
      </c>
      <c r="H104" s="55" t="n">
        <v>20</v>
      </c>
      <c r="I104" s="55" t="n">
        <v>47</v>
      </c>
      <c r="J104" s="56" t="n">
        <v>4</v>
      </c>
      <c r="K104" s="56" t="inlineStr">
        <is>
          <t>https://amazon.com/dp/B0D5GNGT1D</t>
        </is>
      </c>
      <c r="L104" s="70">
        <f>HYPERLINK(Table3660[[#This Row],[Column1]])</f>
        <v/>
      </c>
    </row>
    <row r="105" ht="45" customHeight="1" s="290">
      <c r="A105" s="30" t="inlineStr">
        <is>
          <t>LAUNCH CRP129X OBD2 Scanner, 2026 Elite Lifetime Free Update Scan Tool, 8 Reset, Injector Coding, ABS/SRS/TCM/Engine System Diagnostic Scanner, Auto Vin, Car Scanner Diagnostic for All Cars</t>
        </is>
      </c>
      <c r="B105" s="30" t="inlineStr">
        <is>
          <t>B08HGV8B9F</t>
        </is>
      </c>
      <c r="C105" s="30" t="inlineStr">
        <is>
          <t>Tablet</t>
        </is>
      </c>
      <c r="D105" s="324" t="n">
        <v>183.4962962962963</v>
      </c>
      <c r="E105" s="53" t="n">
        <v>99153.50461538465</v>
      </c>
      <c r="F105" s="54" t="n">
        <v>9908.799999999999</v>
      </c>
      <c r="G105" s="55" t="n">
        <v>437</v>
      </c>
      <c r="H105" s="55" t="n">
        <v>54</v>
      </c>
      <c r="I105" s="55" t="n">
        <v>247</v>
      </c>
      <c r="J105" s="56" t="n">
        <v>4.2</v>
      </c>
      <c r="K105" s="56" t="inlineStr">
        <is>
          <t>https://amazon.com/dp/B08HGV8B9F</t>
        </is>
      </c>
      <c r="L105" s="70">
        <f>HYPERLINK(Table3660[[#This Row],[Column1]])</f>
        <v/>
      </c>
    </row>
    <row r="106" ht="45" customHeight="1" s="290">
      <c r="A106" s="30" t="inlineStr">
        <is>
          <t>LAUNCH CRP123 V2.0 Plus [2026 New Model] All System Scan Tool with 3 Reset Oil Service/Throttle Relearn/SAS Reset,OBD2 Scanner Diagnostic Tool,Lifetime Free Update</t>
        </is>
      </c>
      <c r="B106" s="30" t="inlineStr">
        <is>
          <t>B0CL2B9TQG</t>
        </is>
      </c>
      <c r="C106" s="30" t="inlineStr">
        <is>
          <t>Tablet</t>
        </is>
      </c>
      <c r="D106" s="324" t="n">
        <v>107.4648314606742</v>
      </c>
      <c r="E106" s="53" t="n">
        <v>47191.67</v>
      </c>
      <c r="F106" s="54" t="n">
        <v>9564.370000000001</v>
      </c>
      <c r="G106" s="55" t="n">
        <v>395</v>
      </c>
      <c r="H106" s="55" t="n">
        <v>89</v>
      </c>
      <c r="I106" s="55" t="n">
        <v>232</v>
      </c>
      <c r="J106" s="56" t="n">
        <v>4.2</v>
      </c>
      <c r="K106" s="56" t="inlineStr">
        <is>
          <t>https://amazon.com/dp/B0CL2B9TQG</t>
        </is>
      </c>
      <c r="L106" s="70">
        <f>HYPERLINK(Table3660[[#This Row],[Column1]])</f>
        <v/>
      </c>
    </row>
    <row r="107" ht="45" customHeight="1" s="290">
      <c r="A107" s="30" t="inlineStr">
        <is>
          <t>LAUNCH X431 PRO Elite 2026 Bidirectional Scan Tool, ECU Code,38+ Reset, All-in-One Full System Diagnostic Scanner, 4K+ Active Tests,CANFD&amp;DoIP, FCA AutoAuth, VAG Guide,2 Years Free Update</t>
        </is>
      </c>
      <c r="B107" s="30" t="inlineStr">
        <is>
          <t>B0GFCPGJK5</t>
        </is>
      </c>
      <c r="C107" s="30" t="inlineStr">
        <is>
          <t>Tablet</t>
        </is>
      </c>
      <c r="D107" s="324" t="n">
        <v>710.336923076923</v>
      </c>
      <c r="E107" s="53" t="n">
        <v>102998.8538461538</v>
      </c>
      <c r="F107" s="54" t="n">
        <v>9234.379999999999</v>
      </c>
      <c r="G107" s="55" t="n">
        <v>13</v>
      </c>
      <c r="H107" s="55" t="n">
        <v>13</v>
      </c>
      <c r="I107" s="55" t="n">
        <v>3</v>
      </c>
      <c r="J107" s="56" t="n">
        <v>5</v>
      </c>
      <c r="K107" s="56" t="inlineStr">
        <is>
          <t>https://amazon.com/dp/B0GFCPGJK5</t>
        </is>
      </c>
      <c r="L107" s="70">
        <f>HYPERLINK(Table3660[[#This Row],[Column1]])</f>
        <v/>
      </c>
    </row>
    <row r="108" ht="45" customHeight="1" s="290">
      <c r="A108" s="30" t="inlineStr">
        <is>
          <t>LAUNCH X431 IM Elite X431 PRG3 Scan Tool 39 Hot Services, 4000 Active Tests, CAN-FD, DoIP, FCA SGW, 5000 ECU, MCU, EEPR0M Read, Write</t>
        </is>
      </c>
      <c r="B108" s="30" t="inlineStr">
        <is>
          <t>B0DLGSXQ95</t>
        </is>
      </c>
      <c r="C108" s="30" t="inlineStr">
        <is>
          <t>Tablet</t>
        </is>
      </c>
      <c r="D108" s="324" t="n">
        <v>1094.96625</v>
      </c>
      <c r="E108" s="53" t="n">
        <v>113148.82</v>
      </c>
      <c r="F108" s="54" t="n">
        <v>8759.73</v>
      </c>
      <c r="G108" s="55" t="n">
        <v>90</v>
      </c>
      <c r="H108" s="55" t="n">
        <v>8</v>
      </c>
      <c r="I108" s="55" t="n">
        <v>10</v>
      </c>
      <c r="J108" s="56" t="n">
        <v>3.7</v>
      </c>
      <c r="K108" s="56" t="inlineStr">
        <is>
          <t>https://amazon.com/dp/B0DLGSXQ95</t>
        </is>
      </c>
      <c r="L108" s="70">
        <f>HYPERLINK(Table3660[[#This Row],[Column1]])</f>
        <v/>
      </c>
    </row>
    <row r="109" ht="45" customHeight="1" s="290">
      <c r="A109" s="30" t="inlineStr">
        <is>
          <t>Launch X431 PRO 5 Scanner: 2026 J2534 Tool, ECU Online Coding, Topology Mapping, Upgraded of X431 V+, Bi-Directional Diagnostic Scanner, with SmartLink C V2.0, CANFD &amp; DOIP, 2 Years Update</t>
        </is>
      </c>
      <c r="B109" s="30" t="inlineStr">
        <is>
          <t>B09PYFPFNY</t>
        </is>
      </c>
      <c r="C109" s="30" t="inlineStr">
        <is>
          <t>Tablet</t>
        </is>
      </c>
      <c r="D109" s="324" t="n">
        <v>1432.656666666667</v>
      </c>
      <c r="E109" s="53" t="n">
        <v>380876.15</v>
      </c>
      <c r="F109" s="54" t="n">
        <v>8595.940000000001</v>
      </c>
      <c r="G109" s="55" t="n">
        <v>261</v>
      </c>
      <c r="H109" s="55" t="n">
        <v>6</v>
      </c>
      <c r="I109" s="55" t="n">
        <v>123</v>
      </c>
      <c r="J109" s="56" t="n">
        <v>4</v>
      </c>
      <c r="K109" s="56" t="inlineStr">
        <is>
          <t>https://amazon.com/dp/B09PYFPFNY</t>
        </is>
      </c>
      <c r="L109" s="70">
        <f>HYPERLINK(Table3660[[#This Row],[Column1]])</f>
        <v/>
      </c>
    </row>
    <row r="110" ht="45" customHeight="1" s="290">
      <c r="A110" s="30" t="inlineStr">
        <is>
          <t>2026 NEW LAUNCH X431 PROS V5.0 Bidirectional Scan Tool, Free Update, ECU Online Coding, CANFD&amp;DOIP, FCA AutoAuth, V.A.G Guide, 37+ Reset for All Cars, OEM Full System Car Scanner</t>
        </is>
      </c>
      <c r="B110" s="30" t="inlineStr">
        <is>
          <t>B06XC3RSMC</t>
        </is>
      </c>
      <c r="C110" s="30" t="inlineStr">
        <is>
          <t>Tablet</t>
        </is>
      </c>
      <c r="D110" s="324" t="n">
        <v>804.211</v>
      </c>
      <c r="E110" s="53" t="n">
        <v>81771.66</v>
      </c>
      <c r="F110" s="54" t="n">
        <v>8042.11</v>
      </c>
      <c r="G110" s="55" t="n">
        <v>98</v>
      </c>
      <c r="H110" s="55" t="n">
        <v>10</v>
      </c>
      <c r="I110" s="55" t="n">
        <v>292</v>
      </c>
      <c r="J110" s="56" t="n">
        <v>4.2</v>
      </c>
      <c r="K110" s="56" t="inlineStr">
        <is>
          <t>https://amazon.com/dp/B06XC3RSMC</t>
        </is>
      </c>
      <c r="L110" s="70">
        <f>HYPERLINK(Table3660[[#This Row],[Column1]])</f>
        <v/>
      </c>
    </row>
    <row r="111" ht="45" customHeight="1" s="290">
      <c r="A111" s="30" t="inlineStr">
        <is>
          <t>Launch OBD2 Scanner CRP123X Elite V2.0, 2025 Lifetime Free Update Diagnostic Scan Tool Car Engine Code Reader with Oil/Brake/SAS/BMS/D.P.F/ABS Bleeding/Throttle Reset, Auto VIN</t>
        </is>
      </c>
      <c r="B111" s="30" t="inlineStr">
        <is>
          <t>B07RLF2XNM</t>
        </is>
      </c>
      <c r="C111" s="30" t="inlineStr">
        <is>
          <t>Tablet</t>
        </is>
      </c>
      <c r="D111" s="324" t="n">
        <v>179.7684090909091</v>
      </c>
      <c r="E111" s="53" t="n">
        <v>160030.04</v>
      </c>
      <c r="F111" s="54" t="n">
        <v>7909.81</v>
      </c>
      <c r="G111" s="55" t="n">
        <v>952</v>
      </c>
      <c r="H111" s="55" t="n">
        <v>44</v>
      </c>
      <c r="I111" s="55" t="n">
        <v>1658</v>
      </c>
      <c r="J111" s="56" t="n">
        <v>4.5</v>
      </c>
      <c r="K111" s="56" t="inlineStr">
        <is>
          <t>https://amazon.com/dp/B07RLF2XNM</t>
        </is>
      </c>
      <c r="L111" s="70">
        <f>HYPERLINK(Table3660[[#This Row],[Column1]])</f>
        <v/>
      </c>
    </row>
    <row r="112" ht="30" customHeight="1" s="290">
      <c r="A112" s="30" t="inlineStr">
        <is>
          <t>Launch Scan Tool X431 CRP919MAX Wireless Bidirectional Tool, All System Diagnosis Scanner, 31+ Service Functions, Code Assist, ECU Coding, FCA AutoAuth, V.A.G Guided, CANFD/DOIP, 2 Years Free Update</t>
        </is>
      </c>
      <c r="B112" s="30" t="inlineStr">
        <is>
          <t>B0CP1SXB9Y</t>
        </is>
      </c>
      <c r="C112" s="30" t="inlineStr">
        <is>
          <t>Tablet</t>
        </is>
      </c>
      <c r="D112" s="324" t="n">
        <v>415.6578947368421</v>
      </c>
      <c r="E112" s="53" t="n">
        <v>73924.86</v>
      </c>
      <c r="F112" s="54" t="n">
        <v>7897.5</v>
      </c>
      <c r="G112" s="55" t="n">
        <v>173</v>
      </c>
      <c r="H112" s="55" t="n">
        <v>19</v>
      </c>
      <c r="I112" s="55" t="n">
        <v>81</v>
      </c>
      <c r="J112" s="56" t="n">
        <v>4.5</v>
      </c>
      <c r="K112" s="56" t="inlineStr">
        <is>
          <t>https://amazon.com/dp/B0CP1SXB9Y</t>
        </is>
      </c>
      <c r="L112" s="70">
        <f>HYPERLINK(Table3660[[#This Row],[Column1]])</f>
        <v/>
      </c>
    </row>
    <row r="113" ht="45" customHeight="1" s="290">
      <c r="A113" s="30" t="inlineStr">
        <is>
          <t>Launch CRP 129 HD Heavy Duty Truck Scanner, Full System Diesel Diagnostic Tool with Speed Limit Adjust, D.P.F Regen, 7+ Resets Code Reader for Cummins, Detroit, Isuzu, Volvo&amp;More</t>
        </is>
      </c>
      <c r="B113" s="30" t="inlineStr">
        <is>
          <t>B0DTDXZSHM</t>
        </is>
      </c>
      <c r="C113" s="30" t="inlineStr">
        <is>
          <t>Tablet</t>
        </is>
      </c>
      <c r="D113" s="324" t="n">
        <v>491.593125</v>
      </c>
      <c r="E113" s="53" t="n">
        <v>76437.90999999999</v>
      </c>
      <c r="F113" s="54" t="n">
        <v>7865.49</v>
      </c>
      <c r="G113" s="55" t="n">
        <v>146</v>
      </c>
      <c r="H113" s="55" t="n">
        <v>16</v>
      </c>
      <c r="I113" s="55" t="n">
        <v>21</v>
      </c>
      <c r="J113" s="56" t="n">
        <v>3.7</v>
      </c>
      <c r="K113" s="56" t="inlineStr">
        <is>
          <t>https://amazon.com/dp/B0DTDXZSHM</t>
        </is>
      </c>
      <c r="L113" s="70">
        <f>HYPERLINK(Table3660[[#This Row],[Column1]])</f>
        <v/>
      </c>
    </row>
    <row r="114" ht="60" customHeight="1" s="290">
      <c r="A114" s="30" t="inlineStr">
        <is>
          <t>Launch Creader Elite 2.0 Bidirectional Scan Tool fit for Toyota/Lexus, 2026 Full System OBD2 Scanner, All Reset Service Code Reader, ECU Code, AUTO VIN, Battery Registration, Lifetime Free Update</t>
        </is>
      </c>
      <c r="B114" s="30" t="inlineStr">
        <is>
          <t>B0FNC5ZTMY</t>
        </is>
      </c>
      <c r="C114" s="30" t="inlineStr">
        <is>
          <t>Tablet</t>
        </is>
      </c>
      <c r="D114" s="324" t="n">
        <v>191.0756097560976</v>
      </c>
      <c r="E114" s="53" t="n">
        <v>86660.68846153849</v>
      </c>
      <c r="F114" s="54" t="n">
        <v>7834.1</v>
      </c>
      <c r="G114" s="55" t="n">
        <v>194</v>
      </c>
      <c r="H114" s="55" t="n">
        <v>41</v>
      </c>
      <c r="I114" s="55" t="n">
        <v>67</v>
      </c>
      <c r="J114" s="56" t="n">
        <v>4.3</v>
      </c>
      <c r="K114" s="56" t="inlineStr">
        <is>
          <t>https://amazon.com/dp/B0FNC5ZTMY</t>
        </is>
      </c>
      <c r="L114" s="70">
        <f>HYPERLINK(Table3660[[#This Row],[Column1]])</f>
        <v/>
      </c>
    </row>
    <row r="115" ht="45" customHeight="1" s="290">
      <c r="A115" s="30" t="inlineStr">
        <is>
          <t>LAUNCH Creader Elite OBD2 Scanner Diagnostic Tool Fit for Audi Volkswagen Skoda Seat,Full System All Reset Bi-Directional Code Reader for VAG Vehicles,Active Test, ECU Code,Lifetime Update</t>
        </is>
      </c>
      <c r="B115" s="30" t="inlineStr">
        <is>
          <t>B0DY7S79PV</t>
        </is>
      </c>
      <c r="C115" s="30" t="inlineStr">
        <is>
          <t>Handheld</t>
        </is>
      </c>
      <c r="D115" s="324" t="n">
        <v>138.5340740740741</v>
      </c>
      <c r="E115" s="53" t="n">
        <v>43400.6</v>
      </c>
      <c r="F115" s="54" t="n">
        <v>7480.84</v>
      </c>
      <c r="G115" s="55" t="n">
        <v>314</v>
      </c>
      <c r="H115" s="55" t="n">
        <v>54</v>
      </c>
      <c r="I115" s="55" t="n">
        <v>522</v>
      </c>
      <c r="J115" s="56" t="n">
        <v>4.1</v>
      </c>
      <c r="K115" s="56" t="inlineStr">
        <is>
          <t>https://amazon.com/dp/B0DY7S79PV</t>
        </is>
      </c>
      <c r="L115" s="70">
        <f>HYPERLINK(Table3660[[#This Row],[Column1]])</f>
        <v/>
      </c>
    </row>
    <row r="116" ht="45" customHeight="1" s="290">
      <c r="A116" s="30" t="inlineStr">
        <is>
          <t>LAUNCH X431 PRO5 J2534 Protocol Bidirectional Scan Tool with SmartLink C V2.0, Car Diagnostic Scanner with Topology Mapping, 60+ Services, Intelligent Diagnostics, Guided Functions, 2-Year Free Update</t>
        </is>
      </c>
      <c r="B116" s="30" t="inlineStr">
        <is>
          <t>B07L6WWL62</t>
        </is>
      </c>
      <c r="C116" s="30" t="inlineStr">
        <is>
          <t>Tablet</t>
        </is>
      </c>
      <c r="D116" s="324" t="n">
        <v>1443.308</v>
      </c>
      <c r="E116" s="53" t="n">
        <v>247494.6</v>
      </c>
      <c r="F116" s="54" t="n">
        <v>7216.54</v>
      </c>
      <c r="G116" s="55" t="n">
        <v>165</v>
      </c>
      <c r="H116" s="55" t="n">
        <v>5</v>
      </c>
      <c r="I116" s="55" t="n">
        <v>104</v>
      </c>
      <c r="J116" s="56" t="n">
        <v>4</v>
      </c>
      <c r="K116" s="56" t="inlineStr">
        <is>
          <t>https://amazon.com/dp/B07L6WWL62</t>
        </is>
      </c>
      <c r="L116" s="70">
        <f>HYPERLINK(Table3660[[#This Row],[Column1]])</f>
        <v/>
      </c>
    </row>
    <row r="117" ht="45" customHeight="1" s="290">
      <c r="A117" s="30" t="inlineStr">
        <is>
          <t>LAUNCH X431 CRP919X Car Scanner, ECU Coding OBD2 Scanner Diagnostic Tool, 2026 Bi-Directional Scan Tool, CANFD/DoIP/FCA SGW, 35+ Reset,Active Test,All-in-One Full System Diagnostic Scanner,2Yrs Update</t>
        </is>
      </c>
      <c r="B117" s="30" t="inlineStr">
        <is>
          <t>B07FPDPN92</t>
        </is>
      </c>
      <c r="C117" s="30" t="inlineStr">
        <is>
          <t>Tablet</t>
        </is>
      </c>
      <c r="D117" s="324" t="n">
        <v>448.555625</v>
      </c>
      <c r="E117" s="53" t="n">
        <v>225125.5615384616</v>
      </c>
      <c r="F117" s="54" t="n">
        <v>7176.89</v>
      </c>
      <c r="G117" s="55" t="n">
        <v>501</v>
      </c>
      <c r="H117" s="55" t="n">
        <v>16</v>
      </c>
      <c r="I117" s="55" t="n">
        <v>273</v>
      </c>
      <c r="J117" s="56" t="n">
        <v>4.2</v>
      </c>
      <c r="K117" s="56" t="inlineStr">
        <is>
          <t>https://amazon.com/dp/B07FPDPN92</t>
        </is>
      </c>
      <c r="L117" s="70">
        <f>HYPERLINK(Table3660[[#This Row],[Column1]])</f>
        <v/>
      </c>
    </row>
    <row r="118" ht="30" customHeight="1" s="290">
      <c r="A118" s="30" t="inlineStr">
        <is>
          <t>LAUNCH X431 CRP919E Lite Bidirectional Scan Tool, 2026 All System OBD2 Scanner Diagnostic Tool,Active Tests, 32+ Services,FCA AutoAuth,AutoVIN &amp; AutoScan,2-Year Free Update,Upgraded of CRP909E</t>
        </is>
      </c>
      <c r="B118" s="30" t="inlineStr">
        <is>
          <t>B0DBLCM29P</t>
        </is>
      </c>
      <c r="C118" s="30" t="inlineStr">
        <is>
          <t>Tablet</t>
        </is>
      </c>
      <c r="D118" s="324" t="n">
        <v>370.031052631579</v>
      </c>
      <c r="E118" s="53" t="n">
        <v>52247.09999999999</v>
      </c>
      <c r="F118" s="54" t="n">
        <v>7030.59</v>
      </c>
      <c r="G118" s="55" t="n">
        <v>140</v>
      </c>
      <c r="H118" s="55" t="n">
        <v>19</v>
      </c>
      <c r="I118" s="55" t="n">
        <v>32</v>
      </c>
      <c r="J118" s="56" t="n">
        <v>4.5</v>
      </c>
      <c r="K118" s="56" t="inlineStr">
        <is>
          <t>https://amazon.com/dp/B0DBLCM29P</t>
        </is>
      </c>
      <c r="L118" s="70">
        <f>HYPERLINK(Table3660[[#This Row],[Column1]])</f>
        <v/>
      </c>
    </row>
    <row r="119" ht="45" customHeight="1" s="290">
      <c r="A119" s="30" t="inlineStr">
        <is>
          <t>Launch X431 PROS Elite [2026 New Model] Fully Functional Bidirectional Scan Tool, CANFD&amp;DOIP, ECU Coding, VAG Guided Function, FCA SGW Cars, 38+ Resets, FCA AutoAuth, Full System Scanner for All Cars</t>
        </is>
      </c>
      <c r="B119" s="30" t="inlineStr">
        <is>
          <t>B0CTCGBC8V</t>
        </is>
      </c>
      <c r="C119" s="30" t="inlineStr">
        <is>
          <t>Tablet</t>
        </is>
      </c>
      <c r="D119" s="324" t="n">
        <v>673.362</v>
      </c>
      <c r="E119" s="53" t="n">
        <v>66704.34999999999</v>
      </c>
      <c r="F119" s="54" t="n">
        <v>6733.62</v>
      </c>
      <c r="G119" s="55" t="n">
        <v>101</v>
      </c>
      <c r="H119" s="55" t="n">
        <v>10</v>
      </c>
      <c r="I119" s="55" t="n">
        <v>31</v>
      </c>
      <c r="J119" s="56" t="n">
        <v>4.1</v>
      </c>
      <c r="K119" s="56" t="inlineStr">
        <is>
          <t>https://amazon.com/dp/B0CTCGBC8V</t>
        </is>
      </c>
      <c r="L119" s="70">
        <f>HYPERLINK(Table3660[[#This Row],[Column1]])</f>
        <v/>
      </c>
    </row>
    <row r="120" ht="45" customHeight="1" s="290">
      <c r="A120" s="30" t="inlineStr">
        <is>
          <t>LAUNCH X431 PRO3 ACE 2026 Upgraded Bidirectional Scan Tool with DBSCar VII Connector,HD Truck Scan,OEM Topology Map,Online Code &amp; 55+ Reset Functions,CAN FD &amp; DoIP,FCA SGW,2-Year Free Update</t>
        </is>
      </c>
      <c r="B120" s="30" t="inlineStr">
        <is>
          <t>B0D4H5429Q</t>
        </is>
      </c>
      <c r="C120" s="30" t="inlineStr">
        <is>
          <t>Tablet</t>
        </is>
      </c>
      <c r="D120" s="324" t="n">
        <v>1109.828333333333</v>
      </c>
      <c r="E120" s="53" t="n">
        <v>184820.82</v>
      </c>
      <c r="F120" s="54" t="n">
        <v>6658.97</v>
      </c>
      <c r="G120" s="55" t="n">
        <v>168</v>
      </c>
      <c r="H120" s="55" t="n">
        <v>6</v>
      </c>
      <c r="I120" s="55" t="n">
        <v>36</v>
      </c>
      <c r="J120" s="56" t="n">
        <v>4.5</v>
      </c>
      <c r="K120" s="56" t="inlineStr">
        <is>
          <t>https://amazon.com/dp/B0D4H5429Q</t>
        </is>
      </c>
      <c r="L120" s="70">
        <f>HYPERLINK(Table3660[[#This Row],[Column1]])</f>
        <v/>
      </c>
    </row>
    <row r="121" ht="45" customHeight="1" s="290">
      <c r="A121" s="30" t="inlineStr">
        <is>
          <t>LAUNCH X431 Creader Elite 2.0 Lifetime Update OBD2 Scanner for BBA, 2026 New Bidirectional Scan Tool for BMW, for Mercedes-Benz,for Audi, ECU Code,Full System,Full Services, Battery Register</t>
        </is>
      </c>
      <c r="B121" s="30" t="inlineStr">
        <is>
          <t>B0F2Y5HBYR</t>
        </is>
      </c>
      <c r="C121" s="30" t="inlineStr">
        <is>
          <t>Tablet</t>
        </is>
      </c>
      <c r="D121" s="324" t="n">
        <v>229.53</v>
      </c>
      <c r="E121" s="53" t="n">
        <v>47660.61461538461</v>
      </c>
      <c r="F121" s="54" t="n">
        <v>6656.37</v>
      </c>
      <c r="G121" s="55" t="n">
        <v>126</v>
      </c>
      <c r="H121" s="55" t="n">
        <v>29</v>
      </c>
      <c r="I121" s="55" t="n">
        <v>6</v>
      </c>
      <c r="J121" s="56" t="n">
        <v>4.4</v>
      </c>
      <c r="K121" s="56" t="inlineStr">
        <is>
          <t>https://amazon.com/dp/B0F2Y5HBYR</t>
        </is>
      </c>
      <c r="L121" s="70">
        <f>HYPERLINK(Table3660[[#This Row],[Column1]])</f>
        <v/>
      </c>
    </row>
    <row r="122" ht="45" customHeight="1" s="290">
      <c r="A122" s="30" t="inlineStr">
        <is>
          <t>LAUNCH X431 Pro TT Bidirectional Scanner with 2026 Bluetooth Connector, 38+ Reset for All Cars, All-in-One Full System, ECU Code, CANFD &amp; DOIP, FCA AutoAuth, VAG Guide,2 Year Free Update</t>
        </is>
      </c>
      <c r="B122" s="30" t="inlineStr">
        <is>
          <t>B0CQY9ZH21</t>
        </is>
      </c>
      <c r="C122" s="30" t="inlineStr">
        <is>
          <t>Tablet</t>
        </is>
      </c>
      <c r="D122" s="324" t="n">
        <v>820.995</v>
      </c>
      <c r="E122" s="53" t="n">
        <v>236680.27</v>
      </c>
      <c r="F122" s="54" t="n">
        <v>6567.96</v>
      </c>
      <c r="G122" s="55" t="n">
        <v>298</v>
      </c>
      <c r="H122" s="55" t="n">
        <v>8</v>
      </c>
      <c r="I122" s="55" t="n">
        <v>59</v>
      </c>
      <c r="J122" s="56" t="n">
        <v>4.4</v>
      </c>
      <c r="K122" s="56" t="inlineStr">
        <is>
          <t>https://amazon.com/dp/B0CQY9ZH21</t>
        </is>
      </c>
      <c r="L122" s="70">
        <f>HYPERLINK(Table3660[[#This Row],[Column1]])</f>
        <v/>
      </c>
    </row>
    <row r="123" ht="45" customHeight="1" s="290">
      <c r="A123" s="30" t="inlineStr">
        <is>
          <t>2026 LAUNCH Creader Elite V2.0 OBD2 Scanner for VW Audi Skoda Seat, Full Systems Bi-Directional Scan Tool for VAG Vehicles, All Services Car Code Reader, AUTO VIN, Free Update</t>
        </is>
      </c>
      <c r="B123" s="30" t="inlineStr">
        <is>
          <t>B0CR3X6PYQ</t>
        </is>
      </c>
      <c r="C123" s="30" t="inlineStr">
        <is>
          <t>Tablet</t>
        </is>
      </c>
      <c r="D123" s="324" t="n">
        <v>193.871935483871</v>
      </c>
      <c r="E123" s="53" t="n">
        <v>60747.21</v>
      </c>
      <c r="F123" s="54" t="n">
        <v>6010.03</v>
      </c>
      <c r="G123" s="55" t="n">
        <v>351</v>
      </c>
      <c r="H123" s="55" t="n">
        <v>31</v>
      </c>
      <c r="I123" s="55" t="n">
        <v>68</v>
      </c>
      <c r="J123" s="56" t="n">
        <v>3.5</v>
      </c>
      <c r="K123" s="56" t="inlineStr">
        <is>
          <t>https://amazon.com/dp/B0CR3X6PYQ</t>
        </is>
      </c>
      <c r="L123" s="70">
        <f>HYPERLINK(Table3660[[#This Row],[Column1]])</f>
        <v/>
      </c>
    </row>
    <row r="124" ht="60" customHeight="1" s="290">
      <c r="A124" s="30" t="inlineStr">
        <is>
          <t>Launch CRP919X Lite Bidirectional Scan Tool, 2026 New FCA SGW AutoAuth, 32 Reset Services, All System Diagnostic Scanner, Injector Coding, Auto VIN OBD2 Scanner Diagnostic Tool with 2-Year Updates</t>
        </is>
      </c>
      <c r="B124" s="30" t="inlineStr">
        <is>
          <t>B0DFMC4CQX</t>
        </is>
      </c>
      <c r="C124" s="30" t="inlineStr">
        <is>
          <t>Tablet</t>
        </is>
      </c>
      <c r="D124" s="324" t="n">
        <v>367.935625</v>
      </c>
      <c r="E124" s="53" t="n">
        <v>52745.46000000001</v>
      </c>
      <c r="F124" s="54" t="n">
        <v>5886.97</v>
      </c>
      <c r="G124" s="55" t="n">
        <v>143</v>
      </c>
      <c r="H124" s="55" t="n">
        <v>16</v>
      </c>
      <c r="I124" s="55" t="n">
        <v>31</v>
      </c>
      <c r="J124" s="56" t="n">
        <v>4.8</v>
      </c>
      <c r="K124" s="56" t="inlineStr">
        <is>
          <t>https://amazon.com/dp/B0DFMC4CQX</t>
        </is>
      </c>
      <c r="L124" s="70">
        <f>HYPERLINK(Table3660[[#This Row],[Column1]])</f>
        <v/>
      </c>
    </row>
    <row r="125" ht="60" customHeight="1" s="290">
      <c r="A125" s="30" t="inlineStr">
        <is>
          <t>2026 LAUNCH Creader Elite V2.0 fit for Kia and Hyundai Bi-Directional Scan Tool, All Reset Functions, Full System Diagnostic Scanner, Full OBD2 Code Reader, ECU Code, AUTO VIN, Lifetime Free Update</t>
        </is>
      </c>
      <c r="B125" s="30" t="inlineStr">
        <is>
          <t>B0D61QMD2M</t>
        </is>
      </c>
      <c r="C125" s="30" t="inlineStr">
        <is>
          <t>Tablet</t>
        </is>
      </c>
      <c r="D125" s="324" t="n">
        <v>192.222</v>
      </c>
      <c r="E125" s="53" t="n">
        <v>62226.38</v>
      </c>
      <c r="F125" s="54" t="n">
        <v>5766.66</v>
      </c>
      <c r="G125" s="55" t="n">
        <v>363</v>
      </c>
      <c r="H125" s="55" t="n">
        <v>30</v>
      </c>
      <c r="I125" s="55" t="n">
        <v>49</v>
      </c>
      <c r="J125" s="56" t="n">
        <v>3.6</v>
      </c>
      <c r="K125" s="56" t="inlineStr">
        <is>
          <t>https://amazon.com/dp/B0D61QMD2M</t>
        </is>
      </c>
      <c r="L125" s="70">
        <f>HYPERLINK(Table3660[[#This Row],[Column1]])</f>
        <v/>
      </c>
    </row>
    <row r="126" ht="45" customHeight="1" s="290">
      <c r="A126" s="30" t="inlineStr">
        <is>
          <t>LAUNCH CRP129 HD Heavy Duty Truck Scanner, Full System Diesel Diagnostic Scan Tool with 7 Reset, DPF Regen Speed Limit Adjust Oil Reset,Commercial Code Reader for Heavy Truck Pickup Tractor Semi-Truck</t>
        </is>
      </c>
      <c r="B126" s="30" t="inlineStr">
        <is>
          <t>B0DKJ11FB6</t>
        </is>
      </c>
      <c r="C126" s="30" t="inlineStr">
        <is>
          <t>Tablet</t>
        </is>
      </c>
      <c r="D126" s="324" t="n">
        <v>551.489</v>
      </c>
      <c r="E126" s="53" t="n">
        <v>99822.12999999999</v>
      </c>
      <c r="F126" s="54" t="n">
        <v>5514.89</v>
      </c>
      <c r="G126" s="55" t="n">
        <v>180</v>
      </c>
      <c r="H126" s="55" t="n">
        <v>10</v>
      </c>
      <c r="I126" s="55" t="n">
        <v>12</v>
      </c>
      <c r="J126" s="56" t="n">
        <v>4.2</v>
      </c>
      <c r="K126" s="56" t="inlineStr">
        <is>
          <t>https://amazon.com/dp/B0DKJ11FB6</t>
        </is>
      </c>
      <c r="L126" s="70">
        <f>HYPERLINK(Table3660[[#This Row],[Column1]])</f>
        <v/>
      </c>
    </row>
    <row r="127" ht="45" customHeight="1" s="290">
      <c r="A127" s="30" t="inlineStr">
        <is>
          <t>Launch X431 1MM0 Plus with PROG3 Tool, All-System Diagnostics, ECU Coding Scan Tool, 39+ Services, Bi-Directional Control, 2-Year Updating</t>
        </is>
      </c>
      <c r="B127" s="30" t="inlineStr">
        <is>
          <t>B0DHZJWCDS</t>
        </is>
      </c>
      <c r="C127" s="30" t="inlineStr">
        <is>
          <t>Tablet</t>
        </is>
      </c>
      <c r="D127" s="324" t="n">
        <v>1818.083333333333</v>
      </c>
      <c r="E127" s="53" t="n">
        <v>145516.02</v>
      </c>
      <c r="F127" s="54" t="n">
        <v>5454.25</v>
      </c>
      <c r="G127" s="55" t="n">
        <v>118</v>
      </c>
      <c r="H127" s="55" t="n">
        <v>3</v>
      </c>
      <c r="I127" s="55" t="n">
        <v>21</v>
      </c>
      <c r="J127" s="56" t="n">
        <v>3.6</v>
      </c>
      <c r="K127" s="56" t="inlineStr">
        <is>
          <t>https://amazon.com/dp/B0DHZJWCDS</t>
        </is>
      </c>
      <c r="L127" s="70">
        <f>HYPERLINK(Table3660[[#This Row],[Column1]])</f>
        <v/>
      </c>
    </row>
    <row r="128" ht="45" customHeight="1" s="290">
      <c r="A128" s="30" t="inlineStr">
        <is>
          <t>LAUNCH X431 Scanner PRO3 APEX Bidirectional Scan Tool 2026 Upgraded, OEM Topology Map, Online Coding, HD Truck, 55+ Services All-System car Diagnostics Tool,10.1 Inch, CAN FD &amp; DoIP, FCA &amp; Renault SGW</t>
        </is>
      </c>
      <c r="B128" s="30" t="inlineStr">
        <is>
          <t>B08B643TZ9</t>
        </is>
      </c>
      <c r="C128" s="30" t="inlineStr">
        <is>
          <t>Tablet</t>
        </is>
      </c>
      <c r="D128" s="324" t="n">
        <v>1040.656</v>
      </c>
      <c r="E128" s="53" t="n">
        <v>19937.81</v>
      </c>
      <c r="F128" s="54" t="n">
        <v>5203.28</v>
      </c>
      <c r="G128" s="55" t="n">
        <v>18</v>
      </c>
      <c r="H128" s="55" t="n">
        <v>5</v>
      </c>
      <c r="I128" s="55" t="n">
        <v>11</v>
      </c>
      <c r="J128" s="56" t="n">
        <v>4.4</v>
      </c>
      <c r="K128" s="56" t="inlineStr">
        <is>
          <t>https://amazon.com/dp/B08B643TZ9</t>
        </is>
      </c>
      <c r="L128" s="70">
        <f>HYPERLINK(Table3660[[#This Row],[Column1]])</f>
        <v/>
      </c>
    </row>
    <row r="129" ht="45" customHeight="1" s="290">
      <c r="A129" s="30" t="inlineStr">
        <is>
          <t>Launch X431 PRO3 APEX OBD2 Scanner 2026 Upgraded Screen, Wireless Diagnostic Scan Tool with DBScar VII, OEM Topology Mapping, ECU Code, CANFD DoIP, 55+ Services, AutoAuth FCA SGW,10.1 Inch</t>
        </is>
      </c>
      <c r="B129" s="30" t="inlineStr">
        <is>
          <t>B0D3LBX9LR</t>
        </is>
      </c>
      <c r="C129" s="30" t="inlineStr">
        <is>
          <t>Tablet</t>
        </is>
      </c>
      <c r="D129" s="324" t="n">
        <v>1248.83</v>
      </c>
      <c r="E129" s="53" t="n">
        <v>228529.9846153846</v>
      </c>
      <c r="F129" s="54" t="n">
        <v>4995.32</v>
      </c>
      <c r="G129" s="55" t="n">
        <v>205</v>
      </c>
      <c r="H129" s="55" t="n">
        <v>4</v>
      </c>
      <c r="I129" s="55" t="n">
        <v>159</v>
      </c>
      <c r="J129" s="56" t="n">
        <v>4.4</v>
      </c>
      <c r="K129" s="56" t="inlineStr">
        <is>
          <t>https://amazon.com/dp/B0D3LBX9LR</t>
        </is>
      </c>
      <c r="L129" s="70">
        <f>HYPERLINK(Table3660[[#This Row],[Column1]])</f>
        <v/>
      </c>
    </row>
    <row r="130" ht="45" customHeight="1" s="290">
      <c r="A130" s="30" t="inlineStr">
        <is>
          <t>LAUNCH X431 PRO3 V+ Elite, 2026 J2534 Scan Tool, Online Coding, Topology Map Car Scanner, 3000+Active Test, FCA SGW Scan Tool, 60+ Reset,D-PDU/CANFD/DoIP Diagnostic Scanner, 2-Year Update</t>
        </is>
      </c>
      <c r="B130" s="30" t="inlineStr">
        <is>
          <t>B01E89UTQI</t>
        </is>
      </c>
      <c r="C130" s="30" t="inlineStr">
        <is>
          <t>Tablet</t>
        </is>
      </c>
      <c r="D130" s="324" t="n">
        <v>1233.0325</v>
      </c>
      <c r="E130" s="53" t="n">
        <v>194800.51</v>
      </c>
      <c r="F130" s="54" t="n">
        <v>4932.13</v>
      </c>
      <c r="G130" s="55" t="n">
        <v>149</v>
      </c>
      <c r="H130" s="55" t="n">
        <v>4</v>
      </c>
      <c r="I130" s="55" t="n">
        <v>119</v>
      </c>
      <c r="J130" s="56" t="n">
        <v>4.2</v>
      </c>
      <c r="K130" s="56" t="inlineStr">
        <is>
          <t>https://amazon.com/dp/B01E89UTQI</t>
        </is>
      </c>
      <c r="L130" s="70">
        <f>HYPERLINK(Table3660[[#This Row],[Column1]])</f>
        <v/>
      </c>
    </row>
    <row r="131" ht="45" customHeight="1" s="290">
      <c r="A131" s="30" t="inlineStr">
        <is>
          <t>LAUNCH X431 Creader Elite 2.0 FGC OBD2 Scanner,ECU Code, Bi-Directional Scan Tool for Ford, for GM, for Chrysler,100+ Reset, Full System Diagnose, FCA AUTOAUTH, AUTOVIN, Lifetime Free Update</t>
        </is>
      </c>
      <c r="B131" s="30" t="inlineStr">
        <is>
          <t>B0CLDJV7V9</t>
        </is>
      </c>
      <c r="C131" s="30" t="inlineStr">
        <is>
          <t>Tablet</t>
        </is>
      </c>
      <c r="D131" s="324" t="n">
        <v>254.3963157894737</v>
      </c>
      <c r="E131" s="53" t="n">
        <v>156146.05</v>
      </c>
      <c r="F131" s="54" t="n">
        <v>4833.53</v>
      </c>
      <c r="G131" s="55" t="n">
        <v>680</v>
      </c>
      <c r="H131" s="55" t="n">
        <v>19</v>
      </c>
      <c r="I131" s="55" t="n">
        <v>522</v>
      </c>
      <c r="J131" s="56" t="n">
        <v>4.1</v>
      </c>
      <c r="K131" s="56" t="inlineStr">
        <is>
          <t>https://amazon.com/dp/B0CLDJV7V9</t>
        </is>
      </c>
      <c r="L131" s="70">
        <f>HYPERLINK(Table3660[[#This Row],[Column1]])</f>
        <v/>
      </c>
    </row>
    <row r="132" ht="45" customHeight="1" s="290">
      <c r="A132" s="30" t="inlineStr">
        <is>
          <t>LAUNCH X431 CRP919EBT Bidirectional Scanner, 2026 Full System Wireless OBD2 Scan Tool,35+ Services,ECU Code,Active Test,CANFD&amp;DOIP, FCA Autoauth,V.A.G Guided,Upgraded of CRP919E</t>
        </is>
      </c>
      <c r="B132" s="30" t="inlineStr">
        <is>
          <t>B0C68BKGN3</t>
        </is>
      </c>
      <c r="C132" s="30" t="inlineStr">
        <is>
          <t>Tablet</t>
        </is>
      </c>
      <c r="D132" s="324" t="n">
        <v>523.0155555555556</v>
      </c>
      <c r="E132" s="53" t="n">
        <v>148671.19</v>
      </c>
      <c r="F132" s="54" t="n">
        <v>4707.14</v>
      </c>
      <c r="G132" s="55" t="n">
        <v>285</v>
      </c>
      <c r="H132" s="55" t="n">
        <v>9</v>
      </c>
      <c r="I132" s="55" t="n">
        <v>33</v>
      </c>
      <c r="J132" s="56" t="n">
        <v>4</v>
      </c>
      <c r="K132" s="56" t="inlineStr">
        <is>
          <t>https://amazon.com/dp/B0C68BKGN3</t>
        </is>
      </c>
      <c r="L132" s="70">
        <f>HYPERLINK(Table3660[[#This Row],[Column1]])</f>
        <v/>
      </c>
    </row>
    <row r="133" ht="60" customHeight="1" s="290">
      <c r="A133" s="30" t="inlineStr">
        <is>
          <t>LAUNCH OBD2 Scanner 2026 US Ver. CRP123X V2.0 Elite, 7 Reset Scan Tool, FCA SGW, Engine ABS SRS Transmission Code Reader, Cloud Report, Lifetime Free Wi-Fi Update Diagnostic Tool, Battery Test,AutoVIN</t>
        </is>
      </c>
      <c r="B133" s="30" t="inlineStr">
        <is>
          <t>B0D2Q1MDJ8</t>
        </is>
      </c>
      <c r="C133" s="30" t="inlineStr">
        <is>
          <t>Tablet</t>
        </is>
      </c>
      <c r="D133" s="324" t="n">
        <v>176.9046153846154</v>
      </c>
      <c r="E133" s="53" t="n">
        <v>231646.14</v>
      </c>
      <c r="F133" s="54" t="n">
        <v>4599.52</v>
      </c>
      <c r="G133" s="55" t="n">
        <v>1365</v>
      </c>
      <c r="H133" s="55" t="n">
        <v>26</v>
      </c>
      <c r="I133" s="55" t="n">
        <v>191</v>
      </c>
      <c r="J133" s="56" t="n">
        <v>4.1</v>
      </c>
      <c r="K133" s="56" t="inlineStr">
        <is>
          <t>https://amazon.com/dp/B0D2Q1MDJ8</t>
        </is>
      </c>
      <c r="L133" s="70">
        <f>HYPERLINK(Table3660[[#This Row],[Column1]])</f>
        <v/>
      </c>
    </row>
    <row r="134" ht="45" customHeight="1" s="290">
      <c r="A134" s="30" t="inlineStr">
        <is>
          <t>Launch X431 Scanner PRO5 J2534 Pr0gram ECU Coding, Topology, 60+ Services, Bi-Directional All System Scan Tool, CANFD DOIP, 200+ Brands, Guided Functions, 10+ High-end Features</t>
        </is>
      </c>
      <c r="B134" s="30" t="inlineStr">
        <is>
          <t>B0FZKV8YMN</t>
        </is>
      </c>
      <c r="C134" s="30" t="inlineStr">
        <is>
          <t>Tablet</t>
        </is>
      </c>
      <c r="D134" s="324" t="n">
        <v>1516.23</v>
      </c>
      <c r="E134" s="53" t="n">
        <v>85499.12615384614</v>
      </c>
      <c r="F134" s="54" t="n">
        <v>4548.69</v>
      </c>
      <c r="G134" s="55" t="n">
        <v>34</v>
      </c>
      <c r="H134" s="55" t="n">
        <v>3</v>
      </c>
      <c r="I134" s="55" t="n">
        <v>97</v>
      </c>
      <c r="J134" s="56" t="n">
        <v>4.6</v>
      </c>
      <c r="K134" s="56" t="inlineStr">
        <is>
          <t>https://amazon.com/dp/B0FZKV8YMN</t>
        </is>
      </c>
      <c r="L134" s="70">
        <f>HYPERLINK(Table3660[[#This Row],[Column1]])</f>
        <v/>
      </c>
    </row>
    <row r="135" ht="45" customHeight="1" s="290">
      <c r="A135" s="30" t="inlineStr">
        <is>
          <t>LAUNCH X431 Creader Elite 2.0 BBA OBD2 Car Scanner for BMW/Mercedes-Benz/VW/Audi/Maybach/Mini/RollsRoyce, Full System Bidirectional Scan Tool, ECU Coding, Full Reset Services, Lifetime Free Update</t>
        </is>
      </c>
      <c r="B135" s="30" t="inlineStr">
        <is>
          <t>B079FLTJZ1</t>
        </is>
      </c>
      <c r="C135" s="30" t="inlineStr">
        <is>
          <t>Tablet</t>
        </is>
      </c>
      <c r="D135" s="324" t="n">
        <v>248.9816666666667</v>
      </c>
      <c r="E135" s="53" t="n">
        <v>78028.81</v>
      </c>
      <c r="F135" s="54" t="n">
        <v>4481.67</v>
      </c>
      <c r="G135" s="55" t="n">
        <v>331</v>
      </c>
      <c r="H135" s="55" t="n">
        <v>18</v>
      </c>
      <c r="I135" s="55" t="n">
        <v>183</v>
      </c>
      <c r="J135" s="56" t="n">
        <v>4.1</v>
      </c>
      <c r="K135" s="56" t="inlineStr">
        <is>
          <t>https://amazon.com/dp/B079FLTJZ1</t>
        </is>
      </c>
      <c r="L135" s="70">
        <f>HYPERLINK(Table3660[[#This Row],[Column1]])</f>
        <v/>
      </c>
    </row>
    <row r="136" ht="45" customHeight="1" s="290">
      <c r="A136" s="30" t="inlineStr">
        <is>
          <t>LAUNCH X431 Creader Elite OBDII Scanner for GM Vehicles, Full-System Bi-Directional Diagnostic Tool for Buick/Chevrolet/Cadillac/GMC, All Reset Service Code Reader, Lifetime Updated</t>
        </is>
      </c>
      <c r="B136" s="30" t="inlineStr">
        <is>
          <t>B0DTH2Z6G6</t>
        </is>
      </c>
      <c r="C136" s="30" t="inlineStr">
        <is>
          <t>Handheld</t>
        </is>
      </c>
      <c r="D136" s="324" t="n">
        <v>147.9483333333333</v>
      </c>
      <c r="E136" s="53" t="n">
        <v>56881.38</v>
      </c>
      <c r="F136" s="54" t="n">
        <v>4438.45</v>
      </c>
      <c r="G136" s="55" t="n">
        <v>389</v>
      </c>
      <c r="H136" s="55" t="n">
        <v>30</v>
      </c>
      <c r="I136" s="55" t="n">
        <v>29</v>
      </c>
      <c r="J136" s="56" t="n">
        <v>3.9</v>
      </c>
      <c r="K136" s="56" t="inlineStr">
        <is>
          <t>https://amazon.com/dp/B0DTH2Z6G6</t>
        </is>
      </c>
      <c r="L136" s="70">
        <f>HYPERLINK(Table3660[[#This Row],[Column1]])</f>
        <v/>
      </c>
    </row>
    <row r="137" ht="45" customHeight="1" s="290">
      <c r="A137" s="30" t="inlineStr">
        <is>
          <t>Launch X431 CRP919 EV 2026 Bidirectional Scan Tool, for Electric Vehicles New Energy Cars, All-in-One Full System Diagnostic Scanner, 43+ Reset, ECU Coding, CANFD&amp;DOIP, FCA AutoAuth, 2Yrs Free Update</t>
        </is>
      </c>
      <c r="B137" s="30" t="inlineStr">
        <is>
          <t>B0DT9B4RX9</t>
        </is>
      </c>
      <c r="C137" s="30" t="inlineStr">
        <is>
          <t>Tablet</t>
        </is>
      </c>
      <c r="D137" s="324" t="n">
        <v>543.9</v>
      </c>
      <c r="E137" s="53" t="n">
        <v>35511.35000000001</v>
      </c>
      <c r="F137" s="54" t="n">
        <v>4351.2</v>
      </c>
      <c r="G137" s="55" t="n">
        <v>71</v>
      </c>
      <c r="H137" s="55" t="n">
        <v>8</v>
      </c>
      <c r="I137" s="55" t="n">
        <v>333</v>
      </c>
      <c r="J137" s="56" t="n">
        <v>4.3</v>
      </c>
      <c r="K137" s="56" t="inlineStr">
        <is>
          <t>https://amazon.com/dp/B0DT9B4RX9</t>
        </is>
      </c>
      <c r="L137" s="70">
        <f>HYPERLINK(Table3660[[#This Row],[Column1]])</f>
        <v/>
      </c>
    </row>
    <row r="138" ht="45" customHeight="1" s="290">
      <c r="A138" s="30" t="inlineStr">
        <is>
          <t>LAUNCH CRP129E Plus V3.0 2026 OBD2 Scanner Diagnostic Tool, Full System Car Code Reader, 12 Reset Service TPMS/Oil/SAS/EPB/BMS/DPF Reset,FCA AutoAuth, Added CANFD&amp;DOIP, Free Update</t>
        </is>
      </c>
      <c r="B138" s="30" t="inlineStr">
        <is>
          <t>B0DY7QKBK7</t>
        </is>
      </c>
      <c r="C138" s="30" t="inlineStr">
        <is>
          <t>Tablet</t>
        </is>
      </c>
      <c r="D138" s="324" t="n">
        <v>278.3286666666667</v>
      </c>
      <c r="E138" s="53" t="n">
        <v>72603.37153846154</v>
      </c>
      <c r="F138" s="54" t="n">
        <v>4174.93</v>
      </c>
      <c r="G138" s="55" t="n">
        <v>268</v>
      </c>
      <c r="H138" s="55" t="n">
        <v>15</v>
      </c>
      <c r="I138" s="55" t="n">
        <v>31</v>
      </c>
      <c r="J138" s="56" t="n">
        <v>4.5</v>
      </c>
      <c r="K138" s="56" t="inlineStr">
        <is>
          <t>https://amazon.com/dp/B0DY7QKBK7</t>
        </is>
      </c>
      <c r="L138" s="70">
        <f>HYPERLINK(Table3660[[#This Row],[Column1]])</f>
        <v/>
      </c>
    </row>
    <row r="139" ht="45" customHeight="1" s="290">
      <c r="A139" s="30" t="inlineStr">
        <is>
          <t>Launch X431 PAD Scan Tool Global Ver. (Upgraded of X431 V+, X431 PROS) 50+ Reset ECU Coding OE-Level Bi-Directional All System Diagnostic Tool, Free Update</t>
        </is>
      </c>
      <c r="B139" s="30" t="inlineStr">
        <is>
          <t>B0FSSFT28B</t>
        </is>
      </c>
      <c r="C139" s="30" t="inlineStr">
        <is>
          <t>Tablet</t>
        </is>
      </c>
      <c r="D139" s="324" t="n">
        <v>987.5075000000001</v>
      </c>
      <c r="E139" s="53" t="n">
        <v>45315.07692307694</v>
      </c>
      <c r="F139" s="54" t="n">
        <v>3950.03</v>
      </c>
      <c r="G139" s="55" t="n">
        <v>5</v>
      </c>
      <c r="H139" s="55" t="n">
        <v>4</v>
      </c>
      <c r="I139" s="55" t="n">
        <v>97</v>
      </c>
      <c r="J139" s="56" t="n">
        <v>4.6</v>
      </c>
      <c r="K139" s="56" t="inlineStr">
        <is>
          <t>https://amazon.com/dp/B0FSSFT28B</t>
        </is>
      </c>
      <c r="L139" s="70">
        <f>HYPERLINK(Table3660[[#This Row],[Column1]])</f>
        <v/>
      </c>
    </row>
    <row r="140" ht="45" customHeight="1" s="290">
      <c r="A140" s="30" t="inlineStr">
        <is>
          <t>LAUNCH X431 PRO TT 2026 Newly Bidirectional Scan Tool, Bluetooth Launch Scanner with DBSCar VII Connector, 38+ Reset for All Cars, Online ECU Code, CANFD, FCA AutoAuth, VAG Guide, 2 Yrs Free Update</t>
        </is>
      </c>
      <c r="B140" s="30" t="inlineStr">
        <is>
          <t>B07HGZZCLX</t>
        </is>
      </c>
      <c r="C140" s="30" t="inlineStr">
        <is>
          <t>Tablet</t>
        </is>
      </c>
      <c r="D140" s="324" t="n">
        <v>769.362</v>
      </c>
      <c r="E140" s="53" t="n">
        <v>28148.5</v>
      </c>
      <c r="F140" s="54" t="n">
        <v>3846.81</v>
      </c>
      <c r="G140" s="55" t="n">
        <v>34</v>
      </c>
      <c r="H140" s="55" t="n">
        <v>5</v>
      </c>
      <c r="I140" s="55" t="n">
        <v>10</v>
      </c>
      <c r="J140" s="56" t="n">
        <v>4.6</v>
      </c>
      <c r="K140" s="56" t="inlineStr">
        <is>
          <t>https://amazon.com/dp/B07HGZZCLX</t>
        </is>
      </c>
      <c r="L140" s="70">
        <f>HYPERLINK(Table3660[[#This Row],[Column1]])</f>
        <v/>
      </c>
    </row>
    <row r="141" ht="45" customHeight="1" s="290">
      <c r="A141" s="30" t="inlineStr">
        <is>
          <t>Launch X431 PROS Elite (2026 New Model) Bidirectional ECU Coding Active Tests Scan Tool, 38+ Resets Full System Obd2 Scanner Diagnostic Tool, CAN FD DoIP FCA SGW, V.A.G Guided, 2-Year Update</t>
        </is>
      </c>
      <c r="B141" s="30" t="inlineStr">
        <is>
          <t>B0F2DNK3HJ</t>
        </is>
      </c>
      <c r="C141" s="30" t="inlineStr">
        <is>
          <t>Tablet</t>
        </is>
      </c>
      <c r="D141" s="324" t="n">
        <v>637.1750000000001</v>
      </c>
      <c r="E141" s="53" t="n">
        <v>46060.46923076923</v>
      </c>
      <c r="F141" s="54" t="n">
        <v>3823.05</v>
      </c>
      <c r="G141" s="55" t="n">
        <v>68</v>
      </c>
      <c r="H141" s="55" t="n">
        <v>6</v>
      </c>
      <c r="I141" s="55" t="n">
        <v>34</v>
      </c>
      <c r="J141" s="56" t="n">
        <v>4.8</v>
      </c>
      <c r="K141" s="56" t="inlineStr">
        <is>
          <t>https://amazon.com/dp/B0F2DNK3HJ</t>
        </is>
      </c>
      <c r="L141" s="70">
        <f>HYPERLINK(Table3660[[#This Row],[Column1]])</f>
        <v/>
      </c>
    </row>
    <row r="142" ht="45" customHeight="1" s="290">
      <c r="A142" s="30" t="inlineStr">
        <is>
          <t>Launch X431 PRO Elite 2026 Bidirectional Scan Tool, 38+ Resets Full System Scanner,All-in-One Diagnostic Scanner with Active Tests,ECU Code,CANFD DOIP FCA Autoauth V.A.G Guided，2 Years Free Update</t>
        </is>
      </c>
      <c r="B142" s="30" t="inlineStr">
        <is>
          <t>B0C6GKSQ8K</t>
        </is>
      </c>
      <c r="C142" s="30" t="inlineStr">
        <is>
          <t>Tablet</t>
        </is>
      </c>
      <c r="D142" s="324" t="n">
        <v>624.3783333333333</v>
      </c>
      <c r="E142" s="53" t="n">
        <v>72922.78076923077</v>
      </c>
      <c r="F142" s="54" t="n">
        <v>3746.27</v>
      </c>
      <c r="G142" s="55" t="n">
        <v>101</v>
      </c>
      <c r="H142" s="55" t="n">
        <v>6</v>
      </c>
      <c r="I142" s="55" t="n">
        <v>9</v>
      </c>
      <c r="J142" s="56" t="n">
        <v>4</v>
      </c>
      <c r="K142" s="56" t="inlineStr">
        <is>
          <t>https://amazon.com/dp/B0C6GKSQ8K</t>
        </is>
      </c>
      <c r="L142" s="70">
        <f>HYPERLINK(Table3660[[#This Row],[Column1]])</f>
        <v/>
      </c>
    </row>
    <row r="143" ht="45" customHeight="1" s="290">
      <c r="A143" s="30" t="inlineStr">
        <is>
          <t>LAUNCH CRP123I V3.0 Elite OBD2 Scanner Diagnostic Tool with DOIP &amp; CAN FD, 2026 New Code Reader for Cars and Trucks, Engine ABS SRS Transmission Car Scanner, Oil/EPB/DPF/SAS/Throttle Relearn</t>
        </is>
      </c>
      <c r="B143" s="30" t="inlineStr">
        <is>
          <t>B07YDP2JTP</t>
        </is>
      </c>
      <c r="C143" s="30" t="inlineStr">
        <is>
          <t>Tablet</t>
        </is>
      </c>
      <c r="D143" s="324" t="n">
        <v>179.248</v>
      </c>
      <c r="E143" s="53" t="n">
        <v>470072.48</v>
      </c>
      <c r="F143" s="54" t="n">
        <v>3584.96</v>
      </c>
      <c r="G143" s="55" t="n">
        <v>2688</v>
      </c>
      <c r="H143" s="55" t="n">
        <v>20</v>
      </c>
      <c r="I143" s="55" t="n">
        <v>227</v>
      </c>
      <c r="J143" s="56" t="n">
        <v>4.3</v>
      </c>
      <c r="K143" s="56" t="inlineStr">
        <is>
          <t>https://amazon.com/dp/B07YDP2JTP</t>
        </is>
      </c>
      <c r="L143" s="70">
        <f>HYPERLINK(Table3660[[#This Row],[Column1]])</f>
        <v/>
      </c>
    </row>
    <row r="144" ht="45" customHeight="1" s="290">
      <c r="A144" s="30" t="inlineStr">
        <is>
          <t>LAUNCH Creader 3001 OBD2 Scanner, Engine Fault Code Reader Mode 6 CAN Diagnostic Scan Tool for All OBDII Protocol Cars Since 1996, Lifetime Free Update</t>
        </is>
      </c>
      <c r="B144" s="30" t="inlineStr">
        <is>
          <t>B07D1KH9SC</t>
        </is>
      </c>
      <c r="C144" s="30" t="inlineStr">
        <is>
          <t>Handheld</t>
        </is>
      </c>
      <c r="D144" s="324" t="n">
        <v>17.36197044334975</v>
      </c>
      <c r="E144" s="53" t="n">
        <v>63149.46000000001</v>
      </c>
      <c r="F144" s="54" t="n">
        <v>3524.48</v>
      </c>
      <c r="G144" s="55" t="n">
        <v>2873</v>
      </c>
      <c r="H144" s="55" t="n">
        <v>203</v>
      </c>
      <c r="I144" s="55" t="n">
        <v>5861</v>
      </c>
      <c r="J144" s="56" t="n">
        <v>4.5</v>
      </c>
      <c r="K144" s="56" t="inlineStr">
        <is>
          <t>https://amazon.com/dp/B07D1KH9SC</t>
        </is>
      </c>
      <c r="L144" s="70">
        <f>HYPERLINK(Table3660[[#This Row],[Column1]])</f>
        <v/>
      </c>
    </row>
    <row r="145" ht="60" customHeight="1" s="290">
      <c r="A145" s="30" t="inlineStr">
        <is>
          <t>LAUNCH X431 CRP919E OBD2 Scanner, 2026 Bidirectional Scan Tool As CRP919EBT, CANFD DOIP, ECU Coding, Active Test, 35+ Service, Full System, FCA Autoauth, TPMS &amp;BST360, 2-Year Update</t>
        </is>
      </c>
      <c r="B145" s="30" t="inlineStr">
        <is>
          <t>B0DKHBS9Z1</t>
        </is>
      </c>
      <c r="C145" s="30" t="inlineStr">
        <is>
          <t>Tablet</t>
        </is>
      </c>
      <c r="D145" s="324" t="n">
        <v>434.74</v>
      </c>
      <c r="E145" s="53" t="n">
        <v>136149.19</v>
      </c>
      <c r="F145" s="54" t="n">
        <v>3477.92</v>
      </c>
      <c r="G145" s="55" t="n">
        <v>316</v>
      </c>
      <c r="H145" s="55" t="n">
        <v>8</v>
      </c>
      <c r="I145" s="55" t="n">
        <v>61</v>
      </c>
      <c r="J145" s="56" t="n">
        <v>4.2</v>
      </c>
      <c r="K145" s="56" t="inlineStr">
        <is>
          <t>https://amazon.com/dp/B0DKHBS9Z1</t>
        </is>
      </c>
      <c r="L145" s="70">
        <f>HYPERLINK(Table3660[[#This Row],[Column1]])</f>
        <v/>
      </c>
    </row>
    <row r="146" ht="45" customHeight="1" s="290">
      <c r="A146" s="30" t="inlineStr">
        <is>
          <t>LAUNCH Creader Elite Bidirectional Tool Fit for Ford Lincoln Mercury Mazda, Full Systems All Resets OBD2 Scanner, PMI Function Diagnostic Scann Tool, Battery Registration, Lifetime Free Update</t>
        </is>
      </c>
      <c r="B146" s="30" t="inlineStr">
        <is>
          <t>B0CN6G9LL8</t>
        </is>
      </c>
      <c r="C146" s="30" t="inlineStr">
        <is>
          <t>Handheld</t>
        </is>
      </c>
      <c r="D146" s="324" t="n">
        <v>165.2357142857143</v>
      </c>
      <c r="E146" s="53" t="n">
        <v>36970.06076923077</v>
      </c>
      <c r="F146" s="54" t="n">
        <v>3469.95</v>
      </c>
      <c r="G146" s="55" t="n">
        <v>219</v>
      </c>
      <c r="H146" s="55" t="n">
        <v>21</v>
      </c>
      <c r="I146" s="55" t="n">
        <v>19</v>
      </c>
      <c r="J146" s="56" t="n">
        <v>4.5</v>
      </c>
      <c r="K146" s="56" t="inlineStr">
        <is>
          <t>https://amazon.com/dp/B0CN6G9LL8</t>
        </is>
      </c>
      <c r="L146" s="70">
        <f>HYPERLINK(Table3660[[#This Row],[Column1]])</f>
        <v/>
      </c>
    </row>
    <row r="147" ht="60" customHeight="1" s="290">
      <c r="A147" s="30" t="inlineStr">
        <is>
          <t>LAUNCH CRP123I V2.0 Elite OBD2 Scanner for All Cars&amp;Brands,2026 Lifetime Free Update Engine ABS SRS Transmission Car Scanner,Oil/Brake/BMS/SAS/DPF/ABS Bleeding/Throttle Adaption,FCA SGW,Battery Test</t>
        </is>
      </c>
      <c r="B147" s="30" t="inlineStr">
        <is>
          <t>B0D9VTQWST</t>
        </is>
      </c>
      <c r="C147" s="30" t="inlineStr">
        <is>
          <t>Tablet</t>
        </is>
      </c>
      <c r="D147" s="324" t="n">
        <v>181.1863157894737</v>
      </c>
      <c r="E147" s="53" t="n">
        <v>39774.7</v>
      </c>
      <c r="F147" s="54" t="n">
        <v>3442.54</v>
      </c>
      <c r="G147" s="55" t="n">
        <v>224</v>
      </c>
      <c r="H147" s="55" t="n">
        <v>19</v>
      </c>
      <c r="I147" s="55" t="n">
        <v>76</v>
      </c>
      <c r="J147" s="56" t="n">
        <v>4.3</v>
      </c>
      <c r="K147" s="56" t="inlineStr">
        <is>
          <t>https://amazon.com/dp/B0D9VTQWST</t>
        </is>
      </c>
      <c r="L147" s="70">
        <f>HYPERLINK(Table3660[[#This Row],[Column1]])</f>
        <v/>
      </c>
    </row>
    <row r="148" ht="45" customHeight="1" s="290">
      <c r="A148" s="30" t="inlineStr">
        <is>
          <t>Launch OBD2 Scanner CRP123X Elite, 2026 Lifetime Update WiFi Scan Tool, Engine at SRS Airbag Scanner, 3 Resets Diagnostic Scanner, Code Reader for All Cars, AutoVIN, FCA SGW, Voltage Monitor</t>
        </is>
      </c>
      <c r="B148" s="30" t="inlineStr">
        <is>
          <t>B08NK3DD76</t>
        </is>
      </c>
      <c r="C148" s="30" t="inlineStr">
        <is>
          <t>Tablet</t>
        </is>
      </c>
      <c r="D148" s="324" t="n">
        <v>127.0485185185185</v>
      </c>
      <c r="E148" s="53" t="n">
        <v>41118.47999999999</v>
      </c>
      <c r="F148" s="54" t="n">
        <v>3430.31</v>
      </c>
      <c r="G148" s="55" t="n">
        <v>307</v>
      </c>
      <c r="H148" s="55" t="n">
        <v>27</v>
      </c>
      <c r="I148" s="55" t="n">
        <v>186</v>
      </c>
      <c r="J148" s="56" t="n">
        <v>4.3</v>
      </c>
      <c r="K148" s="56" t="inlineStr">
        <is>
          <t>https://amazon.com/dp/B08NK3DD76</t>
        </is>
      </c>
      <c r="L148" s="70">
        <f>HYPERLINK(Table3660[[#This Row],[Column1]])</f>
        <v/>
      </c>
    </row>
    <row r="149" ht="60" customHeight="1" s="290">
      <c r="A149" s="30" t="inlineStr">
        <is>
          <t>Launch Crp123 V2.0 Obd2 Scanner, 2026 Engine/Abs/SRS/Transmission Car Diagnostic Tool with Oil Reset/Throttle Adaption/SAS Relearn, Check Engine Code Reader, Lifetime Update Scan Tool</t>
        </is>
      </c>
      <c r="B149" s="30" t="inlineStr">
        <is>
          <t>B01HNO5PLY</t>
        </is>
      </c>
      <c r="C149" s="30" t="inlineStr">
        <is>
          <t>Tablet</t>
        </is>
      </c>
      <c r="D149" s="324" t="n">
        <v>126.1359259259259</v>
      </c>
      <c r="E149" s="53" t="n">
        <v>150832.4</v>
      </c>
      <c r="F149" s="54" t="n">
        <v>3405.67</v>
      </c>
      <c r="G149" s="55" t="n">
        <v>1216</v>
      </c>
      <c r="H149" s="55" t="n">
        <v>27</v>
      </c>
      <c r="I149" s="55" t="n">
        <v>673</v>
      </c>
      <c r="J149" s="56" t="n">
        <v>4.3</v>
      </c>
      <c r="K149" s="56" t="inlineStr">
        <is>
          <t>https://amazon.com/dp/B01HNO5PLY</t>
        </is>
      </c>
      <c r="L149" s="70">
        <f>HYPERLINK(Table3660[[#This Row],[Column1]])</f>
        <v/>
      </c>
    </row>
    <row r="150" ht="45" customHeight="1" s="290">
      <c r="A150" s="30" t="inlineStr">
        <is>
          <t>Launch X431 CRP919XBT ECU Coding OBD2 Scanner, All System Bidirectional Scan Tool, 35+ Hot Services, CANFD DOIP FCA SGW, 150 Brands, Android 10, 2 Years Upgrades</t>
        </is>
      </c>
      <c r="B150" s="30" t="inlineStr">
        <is>
          <t>B0FMHV2PL7</t>
        </is>
      </c>
      <c r="C150" s="30" t="inlineStr">
        <is>
          <t>Tablet</t>
        </is>
      </c>
      <c r="D150" s="324" t="n">
        <v>567.405</v>
      </c>
      <c r="E150" s="53" t="n">
        <v>35698.96307692308</v>
      </c>
      <c r="F150" s="54" t="n">
        <v>3404.43</v>
      </c>
      <c r="G150" s="55" t="n">
        <v>44</v>
      </c>
      <c r="H150" s="55" t="n">
        <v>6</v>
      </c>
      <c r="I150" s="55" t="n">
        <v>15</v>
      </c>
      <c r="J150" s="56" t="n">
        <v>4.6</v>
      </c>
      <c r="K150" s="56" t="inlineStr">
        <is>
          <t>https://amazon.com/dp/B0FMHV2PL7</t>
        </is>
      </c>
      <c r="L150" s="70">
        <f>HYPERLINK(Table3660[[#This Row],[Column1]])</f>
        <v/>
      </c>
    </row>
    <row r="151" ht="60" customHeight="1" s="290">
      <c r="A151" s="30" t="inlineStr">
        <is>
          <t>LAUNCH X431 Creader Elite FGC OBD2 Scanner 2026, Full System Diagnostic Tool for F0rd, G.M, Chrysler, Bi-Directional Control, 100+ F.ree Resets, , AUTOVIN, ECU Coding, Lifetime F.ree Updates</t>
        </is>
      </c>
      <c r="B151" s="30" t="inlineStr">
        <is>
          <t>B0CX58T8N6</t>
        </is>
      </c>
      <c r="C151" s="30" t="inlineStr">
        <is>
          <t>Tablet</t>
        </is>
      </c>
      <c r="D151" s="324" t="n">
        <v>258.6441666666666</v>
      </c>
      <c r="E151" s="53" t="n">
        <v>29779.58</v>
      </c>
      <c r="F151" s="54" t="n">
        <v>3103.73</v>
      </c>
      <c r="G151" s="55" t="n">
        <v>121</v>
      </c>
      <c r="H151" s="55" t="n">
        <v>12</v>
      </c>
      <c r="I151" s="55" t="n">
        <v>231</v>
      </c>
      <c r="J151" s="56" t="n">
        <v>4.3</v>
      </c>
      <c r="K151" s="56" t="inlineStr">
        <is>
          <t>https://amazon.com/dp/B0CX58T8N6</t>
        </is>
      </c>
      <c r="L151" s="70">
        <f>HYPERLINK(Table3660[[#This Row],[Column1]])</f>
        <v/>
      </c>
    </row>
    <row r="152" ht="45" customHeight="1" s="290">
      <c r="A152" s="30" t="inlineStr">
        <is>
          <t>LAUNCH X431 CRP919X OBD2 Scanner,ECU Coding Bidirectional Scan Tool,31+Reset,CAN FD/DoIP,FCA Autoauth, 100+ Brands OBD2 Scanner Diagnostic Tool,All Systems Diagnostic Scanner, IMMO Car Scanner</t>
        </is>
      </c>
      <c r="B152" s="30" t="inlineStr">
        <is>
          <t>B07C9GB9VV</t>
        </is>
      </c>
      <c r="C152" s="30" t="inlineStr">
        <is>
          <t>Tablet</t>
        </is>
      </c>
      <c r="D152" s="324" t="n">
        <v>440.64</v>
      </c>
      <c r="E152" s="53" t="n">
        <v>92629.75999999999</v>
      </c>
      <c r="F152" s="54" t="n">
        <v>3084.48</v>
      </c>
      <c r="G152" s="55" t="n">
        <v>201</v>
      </c>
      <c r="H152" s="55" t="n">
        <v>7</v>
      </c>
      <c r="I152" s="55" t="n">
        <v>251</v>
      </c>
      <c r="J152" s="56" t="n">
        <v>4.2</v>
      </c>
      <c r="K152" s="56" t="inlineStr">
        <is>
          <t>https://amazon.com/dp/B07C9GB9VV</t>
        </is>
      </c>
      <c r="L152" s="70">
        <f>HYPERLINK(Table3660[[#This Row],[Column1]])</f>
        <v/>
      </c>
    </row>
    <row r="153" ht="45" customHeight="1" s="290">
      <c r="A153" s="30" t="inlineStr">
        <is>
          <t>LAUNCH Creader VII+ V2.0 OBD2 Scanner, 2026 New Engine/Transmission/ABS/SRS Diagnostic Scan Tool With Oil Reset/Throttle Adaption/SAS Relearn, Check Engine Code Reader, Full OBD2, Lifetime Free Update</t>
        </is>
      </c>
      <c r="B153" s="30" t="inlineStr">
        <is>
          <t>B00BGH0EAC</t>
        </is>
      </c>
      <c r="C153" s="30" t="inlineStr">
        <is>
          <t>Tablet</t>
        </is>
      </c>
      <c r="D153" s="324" t="n">
        <v>133.3421739130435</v>
      </c>
      <c r="E153" s="53" t="n">
        <v>61118.38000000001</v>
      </c>
      <c r="F153" s="54" t="n">
        <v>3066.87</v>
      </c>
      <c r="G153" s="55" t="n">
        <v>476</v>
      </c>
      <c r="H153" s="55" t="n">
        <v>23</v>
      </c>
      <c r="I153" s="55" t="n">
        <v>1438</v>
      </c>
      <c r="J153" s="56" t="n">
        <v>4.2</v>
      </c>
      <c r="K153" s="56" t="inlineStr">
        <is>
          <t>https://amazon.com/dp/B00BGH0EAC</t>
        </is>
      </c>
      <c r="L153" s="70">
        <f>HYPERLINK(Table3660[[#This Row],[Column1]])</f>
        <v/>
      </c>
    </row>
    <row r="154" ht="45" customHeight="1" s="290">
      <c r="A154" s="30" t="inlineStr">
        <is>
          <t>LAUNCH X431 Creader Elite 2.0 BBA fit for BMW, Benz, Audi Series, 2026 Bidirectional Scan for Cars,100+ Services, Full System OBD2 Scanner, ECU Code, Battery Registration, Lifetime Free Update</t>
        </is>
      </c>
      <c r="B154" s="30" t="inlineStr">
        <is>
          <t>B0D4HY7JPD</t>
        </is>
      </c>
      <c r="C154" s="30" t="inlineStr">
        <is>
          <t>Tablet</t>
        </is>
      </c>
      <c r="D154" s="324" t="n">
        <v>233.5269230769231</v>
      </c>
      <c r="E154" s="53" t="n">
        <v>66902.94307692308</v>
      </c>
      <c r="F154" s="54" t="n">
        <v>3035.85</v>
      </c>
      <c r="G154" s="55" t="n">
        <v>286</v>
      </c>
      <c r="H154" s="55" t="n">
        <v>13</v>
      </c>
      <c r="I154" s="55" t="n">
        <v>25</v>
      </c>
      <c r="J154" s="56" t="n">
        <v>3.7</v>
      </c>
      <c r="K154" s="56" t="inlineStr">
        <is>
          <t>https://amazon.com/dp/B0D4HY7JPD</t>
        </is>
      </c>
      <c r="L154" s="70">
        <f>HYPERLINK(Table3660[[#This Row],[Column1]])</f>
        <v/>
      </c>
    </row>
    <row r="155" ht="45" customHeight="1" s="290">
      <c r="A155" s="30" t="inlineStr">
        <is>
          <t>LAUNCH Original Main Cable for LAUNCH CRP123, CRP129, Creader VII+, Creader VIII OBD2 OBD-II Diagnostic Scanner Replacement Cable</t>
        </is>
      </c>
      <c r="B155" s="30" t="inlineStr">
        <is>
          <t>B0B7K3VFJ3</t>
        </is>
      </c>
      <c r="C155" s="30" t="inlineStr">
        <is>
          <t>Cable/Adapter</t>
        </is>
      </c>
      <c r="D155" s="324" t="n">
        <v>26.00629310344828</v>
      </c>
      <c r="E155" s="53" t="n">
        <v>34930.6</v>
      </c>
      <c r="F155" s="54" t="n">
        <v>3016.73</v>
      </c>
      <c r="G155" s="55" t="n">
        <v>1351</v>
      </c>
      <c r="H155" s="55" t="n">
        <v>116</v>
      </c>
      <c r="I155" s="55" t="n">
        <v>168</v>
      </c>
      <c r="J155" s="56" t="n">
        <v>4.6</v>
      </c>
      <c r="K155" s="56" t="inlineStr">
        <is>
          <t>https://amazon.com/dp/B0B7K3VFJ3</t>
        </is>
      </c>
      <c r="L155" s="70">
        <f>HYPERLINK(Table3660[[#This Row],[Column1]])</f>
        <v/>
      </c>
    </row>
    <row r="156" ht="60" customHeight="1" s="290">
      <c r="A156" s="30" t="inlineStr">
        <is>
          <t>LAUNCH X431 PRO3 (V+) V5.0 Scanner, 2026 Upgrade All-in-One Bidirectional Scan Tool, Topology Map, Scan HD Trucks, DBSCar VII VCI, 55+ Services&amp;Online Coding, All System,CANFD&amp;DOIP, 2-Year Free Update</t>
        </is>
      </c>
      <c r="B156" s="30" t="inlineStr">
        <is>
          <t>B00NID586M</t>
        </is>
      </c>
      <c r="C156" s="30" t="inlineStr">
        <is>
          <t>Tablet</t>
        </is>
      </c>
      <c r="D156" s="324" t="n">
        <v>1000.946666666667</v>
      </c>
      <c r="E156" s="53" t="n">
        <v>198486.97</v>
      </c>
      <c r="F156" s="54" t="n">
        <v>3002.84</v>
      </c>
      <c r="G156" s="55" t="n">
        <v>188</v>
      </c>
      <c r="H156" s="55" t="n">
        <v>3</v>
      </c>
      <c r="I156" s="55" t="n">
        <v>1401</v>
      </c>
      <c r="J156" s="56" t="n">
        <v>4.3</v>
      </c>
      <c r="K156" s="56" t="inlineStr">
        <is>
          <t>https://amazon.com/dp/B00NID586M</t>
        </is>
      </c>
      <c r="L156" s="70">
        <f>HYPERLINK(Table3660[[#This Row],[Column1]])</f>
        <v/>
      </c>
    </row>
    <row r="157" ht="45" customHeight="1" s="290">
      <c r="A157" s="30" t="inlineStr">
        <is>
          <t>LAUNCH CRP129I V2.0 2026 OBD2 Scanner, ABS/SRS/at/ENG Car Diagnostic Tool, 12 Reset Services TPMS/Oil/EPB/SAS/BMS/DPF/Throttle Reset, Injector Coding, FCA AutoAuth, Lifetime Update</t>
        </is>
      </c>
      <c r="B157" s="30" t="inlineStr">
        <is>
          <t>B07VJM5MMY</t>
        </is>
      </c>
      <c r="C157" s="30" t="inlineStr">
        <is>
          <t>Tablet</t>
        </is>
      </c>
      <c r="D157" s="324" t="n">
        <v>249.1291666666667</v>
      </c>
      <c r="E157" s="53" t="n">
        <v>54975.94</v>
      </c>
      <c r="F157" s="54" t="n">
        <v>2989.55</v>
      </c>
      <c r="G157" s="55" t="n">
        <v>234</v>
      </c>
      <c r="H157" s="55" t="n">
        <v>12</v>
      </c>
      <c r="I157" s="55" t="n">
        <v>703</v>
      </c>
      <c r="J157" s="56" t="n">
        <v>4.4</v>
      </c>
      <c r="K157" s="56" t="inlineStr">
        <is>
          <t>https://amazon.com/dp/B07VJM5MMY</t>
        </is>
      </c>
      <c r="L157" s="70">
        <f>HYPERLINK(Table3660[[#This Row],[Column1]])</f>
        <v/>
      </c>
    </row>
    <row r="158" ht="45" customHeight="1" s="290">
      <c r="A158" s="30" t="inlineStr">
        <is>
          <t>2026 Launch X431 Full System Bi-Directional Scanner for Nissan/for Infiniti/fit for GTR, OBD2 Scanner Code Reader with All Free Reset Service</t>
        </is>
      </c>
      <c r="B158" s="30" t="inlineStr">
        <is>
          <t>B0C7CC6231</t>
        </is>
      </c>
      <c r="C158" s="30" t="inlineStr">
        <is>
          <t>Handheld</t>
        </is>
      </c>
      <c r="D158" s="324" t="n">
        <v>142.0280952380952</v>
      </c>
      <c r="E158" s="53" t="n">
        <v>27582.8</v>
      </c>
      <c r="F158" s="54" t="n">
        <v>2982.59</v>
      </c>
      <c r="G158" s="55" t="n">
        <v>184</v>
      </c>
      <c r="H158" s="55" t="n">
        <v>21</v>
      </c>
      <c r="I158" s="55" t="n">
        <v>62</v>
      </c>
      <c r="J158" s="56" t="n">
        <v>3.8</v>
      </c>
      <c r="K158" s="56" t="inlineStr">
        <is>
          <t>https://amazon.com/dp/B0C7CC6231</t>
        </is>
      </c>
      <c r="L158" s="70">
        <f>HYPERLINK(Table3660[[#This Row],[Column1]])</f>
        <v/>
      </c>
    </row>
    <row r="159" ht="45" customHeight="1" s="290">
      <c r="A159" s="30" t="inlineStr">
        <is>
          <t>LAUNCH X-431 X-PROG3 Advanced Diagnostic Tool with EEPROM for X431 V/V+, PRO3S+, Pro3, Pro5, PAD III, PAD V</t>
        </is>
      </c>
      <c r="B159" s="30" t="inlineStr">
        <is>
          <t>B0F2LYYMSP</t>
        </is>
      </c>
      <c r="C159" s="30" t="inlineStr">
        <is>
          <t>Tablet</t>
        </is>
      </c>
      <c r="D159" s="324" t="n">
        <v>578.332</v>
      </c>
      <c r="E159" s="53" t="n">
        <v>23625.94307692307</v>
      </c>
      <c r="F159" s="54" t="n">
        <v>2891.66</v>
      </c>
      <c r="G159" s="55" t="n">
        <v>18</v>
      </c>
      <c r="H159" s="55" t="n">
        <v>5</v>
      </c>
      <c r="I159" s="55" t="n">
        <v>5</v>
      </c>
      <c r="J159" s="56" t="n">
        <v>3.3</v>
      </c>
      <c r="K159" s="56" t="inlineStr">
        <is>
          <t>https://amazon.com/dp/B0F2LYYMSP</t>
        </is>
      </c>
      <c r="L159" s="70">
        <f>HYPERLINK(Table3660[[#This Row],[Column1]])</f>
        <v/>
      </c>
    </row>
    <row r="160" ht="45" customHeight="1" s="290">
      <c r="A160" s="30" t="inlineStr">
        <is>
          <t>LAUNCH X431 PFP-100 Vehicle Flash Reprogramming Power Supply with Charging Mode, Programming Mode, Showroom Mode, Repair Mode and Starting Mode Car Battery Programming Flash Power</t>
        </is>
      </c>
      <c r="B160" s="30" t="inlineStr">
        <is>
          <t>B0FKTG8QJ8</t>
        </is>
      </c>
      <c r="C160" s="30" t="n"/>
      <c r="D160" s="324" t="n">
        <v>713.63</v>
      </c>
      <c r="E160" s="53" t="n">
        <v>34473.81846153846</v>
      </c>
      <c r="F160" s="54" t="n">
        <v>2854.52</v>
      </c>
      <c r="G160" s="55" t="n">
        <v>4</v>
      </c>
      <c r="H160" s="55" t="n">
        <v>4</v>
      </c>
      <c r="I160" s="55" t="n"/>
      <c r="J160" s="56" t="n"/>
      <c r="K160" s="56" t="inlineStr">
        <is>
          <t>https://amazon.com/dp/B0FKTG8QJ8</t>
        </is>
      </c>
      <c r="L160" s="70">
        <f>HYPERLINK(Table3660[[#This Row],[Column1]])</f>
        <v/>
      </c>
    </row>
    <row r="161" ht="45" customHeight="1" s="290">
      <c r="A161" s="30" t="inlineStr">
        <is>
          <t>Launch X431 Elite 2.0 Bidirectional Tool Fit for Chrysler for Dodge for Jeep, 2026 Upgrade Full System Diagnostic Code Reader, 100+ Resets, AutoVIN, FCA Autoauth, Lifetime Free Update</t>
        </is>
      </c>
      <c r="B161" s="30" t="inlineStr">
        <is>
          <t>B0D9GL67MH</t>
        </is>
      </c>
      <c r="C161" s="30" t="inlineStr">
        <is>
          <t>Tablet</t>
        </is>
      </c>
      <c r="D161" s="324" t="n">
        <v>174.599375</v>
      </c>
      <c r="E161" s="53" t="n">
        <v>43308.23</v>
      </c>
      <c r="F161" s="54" t="n">
        <v>2793.59</v>
      </c>
      <c r="G161" s="55" t="n">
        <v>245</v>
      </c>
      <c r="H161" s="55" t="n">
        <v>16</v>
      </c>
      <c r="I161" s="55" t="n">
        <v>37</v>
      </c>
      <c r="J161" s="56" t="n">
        <v>3.5</v>
      </c>
      <c r="K161" s="56" t="inlineStr">
        <is>
          <t>https://amazon.com/dp/B0D9GL67MH</t>
        </is>
      </c>
      <c r="L161" s="70">
        <f>HYPERLINK(Table3660[[#This Row],[Column1]])</f>
        <v/>
      </c>
    </row>
    <row r="162" ht="30" customHeight="1" s="290">
      <c r="A162" s="30" t="inlineStr">
        <is>
          <t>LAUNCH OBD2 Scanner CRP Touch PRO Elite 2026 New Scan Tool with 20 Resets Injector Coding SAS BMS ABS B leeding Throttle Adaptation Car Scanner, All System Diagnostic Tool Auto VIN, Lifetime Update</t>
        </is>
      </c>
      <c r="B162" s="30" t="inlineStr">
        <is>
          <t>B08DV5NR93</t>
        </is>
      </c>
      <c r="C162" s="30" t="inlineStr">
        <is>
          <t>Tablet</t>
        </is>
      </c>
      <c r="D162" s="324" t="n">
        <v>204.4430769230769</v>
      </c>
      <c r="E162" s="53" t="n">
        <v>31274.64692307692</v>
      </c>
      <c r="F162" s="54" t="n">
        <v>2657.76</v>
      </c>
      <c r="G162" s="55" t="n">
        <v>110</v>
      </c>
      <c r="H162" s="55" t="n">
        <v>13</v>
      </c>
      <c r="I162" s="55" t="n">
        <v>248</v>
      </c>
      <c r="J162" s="56" t="n">
        <v>4.1</v>
      </c>
      <c r="K162" s="56" t="inlineStr">
        <is>
          <t>https://amazon.com/dp/B08DV5NR93</t>
        </is>
      </c>
      <c r="L162" s="70">
        <f>HYPERLINK(Table3660[[#This Row],[Column1]])</f>
        <v/>
      </c>
    </row>
    <row r="163" ht="45" customHeight="1" s="290">
      <c r="A163" s="30" t="inlineStr">
        <is>
          <t>Launch Creader Elite V2.0 for BMW OBD2 Scanner, 2025 Full Systems Bi-Directional Scan Tool, All Reset Services, ECU Code, Battery Registration Tool for BMW Mini RR, Lifetime Free Update, Auto VIN</t>
        </is>
      </c>
      <c r="B163" s="30" t="inlineStr">
        <is>
          <t>B0CMCYXFW4</t>
        </is>
      </c>
      <c r="C163" s="30" t="inlineStr">
        <is>
          <t>Tablet</t>
        </is>
      </c>
      <c r="D163" s="324" t="n">
        <v>162.02875</v>
      </c>
      <c r="E163" s="53" t="n">
        <v>35654.3</v>
      </c>
      <c r="F163" s="54" t="n">
        <v>2592.46</v>
      </c>
      <c r="G163" s="55" t="n">
        <v>190</v>
      </c>
      <c r="H163" s="55" t="n">
        <v>16</v>
      </c>
      <c r="I163" s="55" t="n">
        <v>15</v>
      </c>
      <c r="J163" s="56" t="n">
        <v>4.1</v>
      </c>
      <c r="K163" s="56" t="inlineStr">
        <is>
          <t>https://amazon.com/dp/B0CMCYXFW4</t>
        </is>
      </c>
      <c r="L163" s="70">
        <f>HYPERLINK(Table3660[[#This Row],[Column1]])</f>
        <v/>
      </c>
    </row>
    <row r="164" ht="30" customHeight="1" s="290">
      <c r="A164" s="30" t="inlineStr">
        <is>
          <t>Launch CRP129 HD Heavy Duty Truck Scanner, Car Diagnostic Scanner for Commercial Vehicles, Full Sysem Diagnostic Tool, 7+ Services, Power Balance Test, Full OBD2/HD OBD/EOBD, 51+ Brands</t>
        </is>
      </c>
      <c r="B164" s="30" t="inlineStr">
        <is>
          <t>B0DCZ4VCPQ</t>
        </is>
      </c>
      <c r="C164" s="30" t="inlineStr">
        <is>
          <t>Tablet</t>
        </is>
      </c>
      <c r="D164" s="324" t="n">
        <v>512.4880000000001</v>
      </c>
      <c r="E164" s="53" t="n">
        <v>21328.13692307693</v>
      </c>
      <c r="F164" s="54" t="n">
        <v>2562.44</v>
      </c>
      <c r="G164" s="55" t="n">
        <v>22</v>
      </c>
      <c r="H164" s="55" t="n">
        <v>5</v>
      </c>
      <c r="I164" s="55" t="n">
        <v>2</v>
      </c>
      <c r="J164" s="56" t="n">
        <v>4.5</v>
      </c>
      <c r="K164" s="56" t="inlineStr">
        <is>
          <t>https://amazon.com/dp/B0DCZ4VCPQ</t>
        </is>
      </c>
      <c r="L164" s="70">
        <f>HYPERLINK(Table3660[[#This Row],[Column1]])</f>
        <v/>
      </c>
    </row>
    <row r="165" ht="45" customHeight="1" s="290">
      <c r="A165" s="30" t="inlineStr">
        <is>
          <t>LAUNCH X431 Creader Elite 2.0 Ford OBD2 Scanner, 2026 Bi-Directional Scan Tool for Ford/Lincoln/Mercury/Mazda, Full System,All Resets,ECU Code,AUTO VIN,Lifetime Update</t>
        </is>
      </c>
      <c r="B165" s="30" t="inlineStr">
        <is>
          <t>B0D5HQMNTV</t>
        </is>
      </c>
      <c r="C165" s="30" t="inlineStr">
        <is>
          <t>Tablet</t>
        </is>
      </c>
      <c r="D165" s="324" t="n">
        <v>169.538</v>
      </c>
      <c r="E165" s="53" t="n">
        <v>45006.13923076924</v>
      </c>
      <c r="F165" s="54" t="n">
        <v>2543.07</v>
      </c>
      <c r="G165" s="55" t="n">
        <v>242</v>
      </c>
      <c r="H165" s="55" t="n">
        <v>15</v>
      </c>
      <c r="I165" s="55" t="n">
        <v>31</v>
      </c>
      <c r="J165" s="56" t="n">
        <v>3.6</v>
      </c>
      <c r="K165" s="56" t="inlineStr">
        <is>
          <t>https://amazon.com/dp/B0D5HQMNTV</t>
        </is>
      </c>
      <c r="L165" s="70">
        <f>HYPERLINK(Table3660[[#This Row],[Column1]])</f>
        <v/>
      </c>
    </row>
    <row r="166" ht="45" customHeight="1" s="290">
      <c r="A166" s="30" t="inlineStr">
        <is>
          <t>Launch X431 SmartLink Heavy-Duty Diagnostic Module, Compatible with X431 PRO3S+,V+,PAD3,PAD7 for 24V HD Trucks &amp; Commercial Vehicles, Support CANFD&amp;DOIP</t>
        </is>
      </c>
      <c r="B166" s="30" t="inlineStr">
        <is>
          <t>B09W5CVX9K</t>
        </is>
      </c>
      <c r="C166" s="30" t="inlineStr">
        <is>
          <t>Handheld</t>
        </is>
      </c>
      <c r="D166" s="324" t="n">
        <v>844.9899999999999</v>
      </c>
      <c r="E166" s="53" t="n">
        <v>30973.89999999999</v>
      </c>
      <c r="F166" s="54" t="n">
        <v>2534.97</v>
      </c>
      <c r="G166" s="55" t="n">
        <v>36</v>
      </c>
      <c r="H166" s="55" t="n">
        <v>3</v>
      </c>
      <c r="I166" s="55" t="n">
        <v>9</v>
      </c>
      <c r="J166" s="56" t="n">
        <v>4.4</v>
      </c>
      <c r="K166" s="56" t="inlineStr">
        <is>
          <t>https://amazon.com/dp/B09W5CVX9K</t>
        </is>
      </c>
      <c r="L166" s="70">
        <f>HYPERLINK(Table3660[[#This Row],[Column1]])</f>
        <v/>
      </c>
    </row>
    <row r="167" ht="45" customHeight="1" s="290">
      <c r="A167" s="30" t="inlineStr">
        <is>
          <t>LAUNCH Heavy Duty Truck Software for X431 PRO3S+Elite, PRO5, PRO3 V+ Elite, Get Free Adapter Set, Heavy Duty Truck Diesel Diagnostic, Work with X431 ProS+ Series for 24V HD Trucks&amp;Commercial Vehicles</t>
        </is>
      </c>
      <c r="B167" s="30" t="inlineStr">
        <is>
          <t>B0FBW56K4M</t>
        </is>
      </c>
      <c r="C167" s="30" t="inlineStr">
        <is>
          <t>VCI</t>
        </is>
      </c>
      <c r="D167" s="324" t="n">
        <v>840.54</v>
      </c>
      <c r="E167" s="53" t="n">
        <v>26673.41384615385</v>
      </c>
      <c r="F167" s="54" t="n">
        <v>2521.62</v>
      </c>
      <c r="G167" s="55" t="n">
        <v>10</v>
      </c>
      <c r="H167" s="55" t="n">
        <v>3</v>
      </c>
      <c r="I167" s="55" t="n"/>
      <c r="J167" s="56" t="n"/>
      <c r="K167" s="56" t="inlineStr">
        <is>
          <t>https://amazon.com/dp/B0FBW56K4M</t>
        </is>
      </c>
      <c r="L167" s="70">
        <f>HYPERLINK(Table3660[[#This Row],[Column1]])</f>
        <v/>
      </c>
    </row>
    <row r="168" ht="45" customHeight="1" s="290">
      <c r="A168" s="30" t="inlineStr">
        <is>
          <t>LAUNCH Remote Key Frequency Tester 315/433/868/902MHz Infrared Signal Detection, Key Fob Signal Tester</t>
        </is>
      </c>
      <c r="B168" s="30" t="inlineStr">
        <is>
          <t>B0CX8181JG</t>
        </is>
      </c>
      <c r="C168" s="30" t="inlineStr">
        <is>
          <t>Key</t>
        </is>
      </c>
      <c r="D168" s="324" t="n">
        <v>39.83285714285714</v>
      </c>
      <c r="E168" s="53" t="n">
        <v>33352.59</v>
      </c>
      <c r="F168" s="54" t="n">
        <v>2509.47</v>
      </c>
      <c r="G168" s="55" t="n">
        <v>837</v>
      </c>
      <c r="H168" s="55" t="n">
        <v>63</v>
      </c>
      <c r="I168" s="55" t="n">
        <v>97</v>
      </c>
      <c r="J168" s="56" t="n">
        <v>4.5</v>
      </c>
      <c r="K168" s="56" t="inlineStr">
        <is>
          <t>https://amazon.com/dp/B0CX8181JG</t>
        </is>
      </c>
      <c r="L168" s="70">
        <f>HYPERLINK(Table3660[[#This Row],[Column1]])</f>
        <v/>
      </c>
    </row>
    <row r="169" ht="30" customHeight="1" s="290">
      <c r="A169" s="30" t="inlineStr">
        <is>
          <t>LAUNCH CRP129E 2026 OBD2 Scanner, 8 Reset Oil/EPB/TPMS/SAS/BMS/Throttle/DPF Reset, Injector Coding, ABS SRS Transmission Engine Code Reader, Lifetime Free Update Diagnostic Scan Tool, Auto VIN</t>
        </is>
      </c>
      <c r="B169" s="30" t="inlineStr">
        <is>
          <t>B07QR48Z38</t>
        </is>
      </c>
      <c r="C169" s="30" t="inlineStr">
        <is>
          <t>Tablet</t>
        </is>
      </c>
      <c r="D169" s="324" t="n">
        <v>174.1921428571429</v>
      </c>
      <c r="E169" s="53" t="n">
        <v>27388.79846153846</v>
      </c>
      <c r="F169" s="54" t="n">
        <v>2438.69</v>
      </c>
      <c r="G169" s="55" t="n">
        <v>136</v>
      </c>
      <c r="H169" s="55" t="n">
        <v>14</v>
      </c>
      <c r="I169" s="55" t="n">
        <v>547</v>
      </c>
      <c r="J169" s="56" t="n">
        <v>4.4</v>
      </c>
      <c r="K169" s="56" t="inlineStr">
        <is>
          <t>https://amazon.com/dp/B07QR48Z38</t>
        </is>
      </c>
      <c r="L169" s="70">
        <f>HYPERLINK(Table3660[[#This Row],[Column1]])</f>
        <v/>
      </c>
    </row>
    <row r="170" ht="45" customHeight="1" s="290">
      <c r="A170" s="30" t="inlineStr">
        <is>
          <t>Launch OBD2 Scanner CRP123X Plus V2.0, 2026 All System Scan Tool Lifetime Free Update with SAS/Throttle/Oil Reset for All Cars,Auto VIN OBD2, FCA SGW, Battery Test Scanner Code Reader</t>
        </is>
      </c>
      <c r="B170" s="30" t="inlineStr">
        <is>
          <t>B0CN8Q1H4S</t>
        </is>
      </c>
      <c r="C170" s="30" t="inlineStr">
        <is>
          <t>Tablet</t>
        </is>
      </c>
      <c r="D170" s="324" t="n">
        <v>238.309</v>
      </c>
      <c r="E170" s="53" t="n">
        <v>36275.46000000001</v>
      </c>
      <c r="F170" s="54" t="n">
        <v>2383.09</v>
      </c>
      <c r="G170" s="55" t="n">
        <v>145</v>
      </c>
      <c r="H170" s="55" t="n">
        <v>10</v>
      </c>
      <c r="I170" s="55" t="n">
        <v>97</v>
      </c>
      <c r="J170" s="56" t="n">
        <v>4.6</v>
      </c>
      <c r="K170" s="56" t="inlineStr">
        <is>
          <t>https://amazon.com/dp/B0CN8Q1H4S</t>
        </is>
      </c>
      <c r="L170" s="70">
        <f>HYPERLINK(Table3660[[#This Row],[Column1]])</f>
        <v/>
      </c>
    </row>
    <row r="171" ht="45" customHeight="1" s="290">
      <c r="A171" s="30" t="inlineStr">
        <is>
          <t>LAUNCH X431 CRP919E OBD2 Scanner, 2026 Bidirectional Scan Tool As CRP919EBT, ECU Code, 35+ Services, Active Test, All System Diagnose, CANFD &amp; DOIP, FCA SGW, Android 10.0, 160+ Brands, 2 Year Update</t>
        </is>
      </c>
      <c r="B171" s="30" t="inlineStr">
        <is>
          <t>B0FN7NJWZV</t>
        </is>
      </c>
      <c r="C171" s="30" t="inlineStr">
        <is>
          <t>Tablet</t>
        </is>
      </c>
      <c r="D171" s="324" t="n">
        <v>460.872</v>
      </c>
      <c r="E171" s="53" t="n">
        <v>46432.08923076923</v>
      </c>
      <c r="F171" s="54" t="n">
        <v>2304.36</v>
      </c>
      <c r="G171" s="55" t="n">
        <v>74</v>
      </c>
      <c r="H171" s="55" t="n">
        <v>5</v>
      </c>
      <c r="I171" s="55" t="n">
        <v>60</v>
      </c>
      <c r="J171" s="56" t="n">
        <v>4.5</v>
      </c>
      <c r="K171" s="56" t="inlineStr">
        <is>
          <t>https://amazon.com/dp/B0FN7NJWZV</t>
        </is>
      </c>
      <c r="L171" s="70">
        <f>HYPERLINK(Table3660[[#This Row],[Column1]])</f>
        <v/>
      </c>
    </row>
    <row r="172" ht="60" customHeight="1" s="290">
      <c r="A172" s="30" t="inlineStr">
        <is>
          <t>LAUNCH X431 CRP919 EV Bidirectional Diagnostic Tool, 2026 New Full System OBD2 Scanner for Electric Vehicles, 43 Reset, ECU Coding, CANFD DOIP, FCA AutoAuth, 2 Years Free Update</t>
        </is>
      </c>
      <c r="B172" s="30" t="inlineStr">
        <is>
          <t>B0FX26XKPS</t>
        </is>
      </c>
      <c r="C172" s="30" t="inlineStr">
        <is>
          <t>Tablet</t>
        </is>
      </c>
      <c r="D172" s="324" t="n">
        <v>460.188</v>
      </c>
      <c r="E172" s="53" t="n">
        <v>24305.14153846154</v>
      </c>
      <c r="F172" s="54" t="n">
        <v>2300.94</v>
      </c>
      <c r="G172" s="55" t="n">
        <v>11</v>
      </c>
      <c r="H172" s="55" t="n">
        <v>5</v>
      </c>
      <c r="I172" s="55" t="n"/>
      <c r="J172" s="56" t="n"/>
      <c r="K172" s="56" t="inlineStr">
        <is>
          <t>https://amazon.com/dp/B0FX26XKPS</t>
        </is>
      </c>
      <c r="L172" s="70">
        <f>HYPERLINK(Table3660[[#This Row],[Column1]])</f>
        <v/>
      </c>
    </row>
    <row r="173" ht="45" customHeight="1" s="290">
      <c r="A173" s="30" t="inlineStr">
        <is>
          <t>LAUNCH Creader Elite for Land Rover Jaguar OBD2 Scanner, Full System Diagnostic Tool, Bi-Directional Scan Tool, All Reset Services, Active Tests, Height Calibration, Auto VIN, Lifetime Free Update</t>
        </is>
      </c>
      <c r="B173" s="30" t="inlineStr">
        <is>
          <t>B0F4QRXPRC</t>
        </is>
      </c>
      <c r="C173" s="30" t="inlineStr">
        <is>
          <t>Tablet</t>
        </is>
      </c>
      <c r="D173" s="324" t="n">
        <v>127.7005555555556</v>
      </c>
      <c r="E173" s="53" t="n">
        <v>36359.72769230769</v>
      </c>
      <c r="F173" s="54" t="n">
        <v>2298.61</v>
      </c>
      <c r="G173" s="55" t="n">
        <v>204</v>
      </c>
      <c r="H173" s="55" t="n">
        <v>18</v>
      </c>
      <c r="I173" s="55" t="n">
        <v>17</v>
      </c>
      <c r="J173" s="56" t="n">
        <v>3.6</v>
      </c>
      <c r="K173" s="56" t="inlineStr">
        <is>
          <t>https://amazon.com/dp/B0F4QRXPRC</t>
        </is>
      </c>
      <c r="L173" s="70">
        <f>HYPERLINK(Table3660[[#This Row],[Column1]])</f>
        <v/>
      </c>
    </row>
    <row r="174" ht="45" customHeight="1" s="290">
      <c r="A174" s="30" t="inlineStr">
        <is>
          <t>LAUNCH Original USB Charging Cable Replacement X-431 CRP123i, CRP123e, CRP123x, CRP129i, CRP129e, CRP129x, CRP909E, CRP909X OBD2 Scanner 5V DC</t>
        </is>
      </c>
      <c r="B174" s="30" t="inlineStr">
        <is>
          <t>B0CSFNYXJJ</t>
        </is>
      </c>
      <c r="C174" s="30" t="inlineStr">
        <is>
          <t>Cable/Adapter</t>
        </is>
      </c>
      <c r="D174" s="324" t="n">
        <v>11.97830687830688</v>
      </c>
      <c r="E174" s="53" t="n">
        <v>27655.12</v>
      </c>
      <c r="F174" s="54" t="n">
        <v>2263.9</v>
      </c>
      <c r="G174" s="55" t="n">
        <v>2365</v>
      </c>
      <c r="H174" s="55" t="n">
        <v>189</v>
      </c>
      <c r="I174" s="55" t="n">
        <v>148</v>
      </c>
      <c r="J174" s="56" t="n">
        <v>4.7</v>
      </c>
      <c r="K174" s="56" t="inlineStr">
        <is>
          <t>https://amazon.com/dp/B0CSFNYXJJ</t>
        </is>
      </c>
      <c r="L174" s="70">
        <f>HYPERLINK(Table3660[[#This Row],[Column1]])</f>
        <v/>
      </c>
    </row>
    <row r="175" ht="45" customHeight="1" s="290">
      <c r="A175" s="30" t="inlineStr">
        <is>
          <t>LAUNCH CRP129 HD Heavy Duty Truck Diagnostic Scanner Creader Elite, Oil Reset. DPF Regen. Injector Coding, Full System Code Reader Machinery Diesel Vehicle Vessel Scan Tool</t>
        </is>
      </c>
      <c r="B175" s="30" t="inlineStr">
        <is>
          <t>B0CXJKLRPC</t>
        </is>
      </c>
      <c r="C175" s="30" t="inlineStr">
        <is>
          <t>Tablet</t>
        </is>
      </c>
      <c r="D175" s="324" t="n">
        <v>446.0600000000001</v>
      </c>
      <c r="E175" s="53" t="n">
        <v>12487.57</v>
      </c>
      <c r="F175" s="54" t="n">
        <v>2230.3</v>
      </c>
      <c r="G175" s="55" t="n">
        <v>27</v>
      </c>
      <c r="H175" s="55" t="n">
        <v>5</v>
      </c>
      <c r="I175" s="55" t="n">
        <v>6</v>
      </c>
      <c r="J175" s="56" t="n">
        <v>3.9</v>
      </c>
      <c r="K175" s="56" t="inlineStr">
        <is>
          <t>https://amazon.com/dp/B0CXJKLRPC</t>
        </is>
      </c>
      <c r="L175" s="70">
        <f>HYPERLINK(Table3660[[#This Row],[Column1]])</f>
        <v/>
      </c>
    </row>
    <row r="176" ht="45" customHeight="1" s="290">
      <c r="A176" s="30" t="inlineStr">
        <is>
          <t>LAUNCH OBD2 Scanner CRP919X Lite: 2026 Bidirectional Scan Tool, Active Tests, 32+ Services, All System Diagnose, Injector Coding, 2-Year Free Update, FCA AutoAuth, AutoVIN &amp; AutoScan,Update of CRP909X</t>
        </is>
      </c>
      <c r="B176" s="30" t="inlineStr">
        <is>
          <t>B07QLV9X98</t>
        </is>
      </c>
      <c r="C176" s="30" t="inlineStr">
        <is>
          <t>Tablet</t>
        </is>
      </c>
      <c r="D176" s="324" t="n">
        <v>370.3933333333334</v>
      </c>
      <c r="E176" s="53" t="n">
        <v>67698.32000000001</v>
      </c>
      <c r="F176" s="54" t="n">
        <v>2222.36</v>
      </c>
      <c r="G176" s="55" t="n">
        <v>185</v>
      </c>
      <c r="H176" s="55" t="n">
        <v>6</v>
      </c>
      <c r="I176" s="55" t="n">
        <v>57</v>
      </c>
      <c r="J176" s="56" t="n">
        <v>4.6</v>
      </c>
      <c r="K176" s="56" t="inlineStr">
        <is>
          <t>https://amazon.com/dp/B07QLV9X98</t>
        </is>
      </c>
      <c r="L176" s="70">
        <f>HYPERLINK(Table3660[[#This Row],[Column1]])</f>
        <v/>
      </c>
    </row>
    <row r="177" ht="45" customHeight="1" s="290">
      <c r="A177" s="30" t="inlineStr">
        <is>
          <t>LAUNCH X431 CRP919E Lite OBD2 Scanner,2026 New Bidirectional Scan Tool, Full System Diagnostic Scanner,32+ Service,FCA AutoAuth,2 Year Update</t>
        </is>
      </c>
      <c r="B177" s="30" t="inlineStr">
        <is>
          <t>B0D5M8WX1Z</t>
        </is>
      </c>
      <c r="C177" s="30" t="inlineStr">
        <is>
          <t>Tablet</t>
        </is>
      </c>
      <c r="D177" s="324" t="n">
        <v>360.3733333333333</v>
      </c>
      <c r="E177" s="53" t="n">
        <v>51714.32</v>
      </c>
      <c r="F177" s="54" t="n">
        <v>2162.24</v>
      </c>
      <c r="G177" s="55" t="n">
        <v>143</v>
      </c>
      <c r="H177" s="55" t="n">
        <v>6</v>
      </c>
      <c r="I177" s="55" t="n">
        <v>36</v>
      </c>
      <c r="J177" s="56" t="n">
        <v>4.1</v>
      </c>
      <c r="K177" s="56" t="inlineStr">
        <is>
          <t>https://amazon.com/dp/B0D5M8WX1Z</t>
        </is>
      </c>
      <c r="L177" s="70">
        <f>HYPERLINK(Table3660[[#This Row],[Column1]])</f>
        <v/>
      </c>
    </row>
    <row r="178" ht="45" customHeight="1" s="290">
      <c r="A178" s="30" t="inlineStr">
        <is>
          <t>LAUNCH X431 CRP919E OBD2 Scanner, Bidirectional Scan Tool as X431, ECU Code, CAN FD &amp; DoIP, 35+ Reset, Active Test, All-in-One Full System Diagnostic Scanner, FCA Autoauth, 160+ Brands, 2 Yrs Update</t>
        </is>
      </c>
      <c r="B178" s="30" t="inlineStr">
        <is>
          <t>B0B4MJ5NK6</t>
        </is>
      </c>
      <c r="C178" s="30" t="inlineStr">
        <is>
          <t>Tablet</t>
        </is>
      </c>
      <c r="D178" s="324" t="n">
        <v>425.448</v>
      </c>
      <c r="E178" s="53" t="n">
        <v>36793.75461538461</v>
      </c>
      <c r="F178" s="54" t="n">
        <v>2127.24</v>
      </c>
      <c r="G178" s="55" t="n">
        <v>67</v>
      </c>
      <c r="H178" s="55" t="n">
        <v>5</v>
      </c>
      <c r="I178" s="55" t="n">
        <v>60</v>
      </c>
      <c r="J178" s="56" t="n">
        <v>4.5</v>
      </c>
      <c r="K178" s="56" t="inlineStr">
        <is>
          <t>https://amazon.com/dp/B0B4MJ5NK6</t>
        </is>
      </c>
      <c r="L178" s="70">
        <f>HYPERLINK(Table3660[[#This Row],[Column1]])</f>
        <v/>
      </c>
    </row>
    <row r="179" ht="60" customHeight="1" s="290">
      <c r="A179" s="30" t="inlineStr">
        <is>
          <t>LAUNCH Creader Elite for Land Rover Jaguar OBD2 Scanner, 2026 Full System Bi-Directional Diagnostic Scan Tool, All Reset Services, Active Tests, Height Calibration, Auto VIN, Lifetime Free Update</t>
        </is>
      </c>
      <c r="B179" s="30" t="inlineStr">
        <is>
          <t>B0DKHJLTHG</t>
        </is>
      </c>
      <c r="C179" s="30" t="inlineStr">
        <is>
          <t>Handheld</t>
        </is>
      </c>
      <c r="D179" s="324" t="n">
        <v>162.8669230769231</v>
      </c>
      <c r="E179" s="53" t="n">
        <v>59580.82000000001</v>
      </c>
      <c r="F179" s="54" t="n">
        <v>2117.27</v>
      </c>
      <c r="G179" s="55" t="n">
        <v>370</v>
      </c>
      <c r="H179" s="55" t="n">
        <v>13</v>
      </c>
      <c r="I179" s="55" t="n">
        <v>19</v>
      </c>
      <c r="J179" s="56" t="n">
        <v>3.7</v>
      </c>
      <c r="K179" s="56" t="inlineStr">
        <is>
          <t>https://amazon.com/dp/B0DKHJLTHG</t>
        </is>
      </c>
      <c r="L179" s="70">
        <f>HYPERLINK(Table3660[[#This Row],[Column1]])</f>
        <v/>
      </c>
    </row>
    <row r="180" ht="45" customHeight="1" s="290">
      <c r="A180" s="30" t="inlineStr">
        <is>
          <t>LAUNCH CR629 OBD2 Scanner ABS SRS Scan Tool with Active Test, 3 Service Oil/SAS/BMS Reset Tool, Full OBD2 Functions Car Code Scanner, Lifetime Free Update (More Powerful Than LAUNCH CR529, CRP123X)</t>
        </is>
      </c>
      <c r="B180" s="30" t="inlineStr">
        <is>
          <t>B089M629LG</t>
        </is>
      </c>
      <c r="C180" s="30" t="inlineStr">
        <is>
          <t>Handheld</t>
        </is>
      </c>
      <c r="D180" s="324" t="n">
        <v>95.77136363636365</v>
      </c>
      <c r="E180" s="53" t="n">
        <v>28881.95</v>
      </c>
      <c r="F180" s="54" t="n">
        <v>2106.97</v>
      </c>
      <c r="G180" s="55" t="n">
        <v>314</v>
      </c>
      <c r="H180" s="55" t="n">
        <v>22</v>
      </c>
      <c r="I180" s="55" t="n">
        <v>471</v>
      </c>
      <c r="J180" s="56" t="n">
        <v>4.1</v>
      </c>
      <c r="K180" s="56" t="inlineStr">
        <is>
          <t>https://amazon.com/dp/B089M629LG</t>
        </is>
      </c>
      <c r="L180" s="70">
        <f>HYPERLINK(Table3660[[#This Row],[Column1]])</f>
        <v/>
      </c>
    </row>
    <row r="181" ht="45" customHeight="1" s="290">
      <c r="A181" s="30" t="inlineStr">
        <is>
          <t>Launch CR629 OBD2 Scanner Code Reader 2026 New Scan Tool with Reset Oil/BMS Service+Live Data, Professional Mechanic Full OBDII Diagnostic Tool for Read/Clear DTCs Lifetime Free Update</t>
        </is>
      </c>
      <c r="B181" s="30" t="inlineStr">
        <is>
          <t>B089KD1L9Q</t>
        </is>
      </c>
      <c r="C181" s="30" t="inlineStr">
        <is>
          <t>Handheld</t>
        </is>
      </c>
      <c r="D181" s="324" t="n">
        <v>95.01095238095238</v>
      </c>
      <c r="E181" s="53" t="n">
        <v>18277.45153846154</v>
      </c>
      <c r="F181" s="54" t="n">
        <v>1995.23</v>
      </c>
      <c r="G181" s="55" t="n">
        <v>164</v>
      </c>
      <c r="H181" s="55" t="n">
        <v>21</v>
      </c>
      <c r="I181" s="55" t="n">
        <v>334</v>
      </c>
      <c r="J181" s="56" t="n">
        <v>4.4</v>
      </c>
      <c r="K181" s="56" t="inlineStr">
        <is>
          <t>https://amazon.com/dp/B089KD1L9Q</t>
        </is>
      </c>
      <c r="L181" s="70">
        <f>HYPERLINK(Table3660[[#This Row],[Column1]])</f>
        <v/>
      </c>
    </row>
    <row r="182" ht="45" customHeight="1" s="290">
      <c r="A182" s="30" t="inlineStr">
        <is>
          <t>LAUNCH CRP PRO Heavy Duty Truck Diagnostic Scanner, Bi-Directional Full System Scan Tool for Semi Trucks &amp; Diesel Engines, ECU Coding, 40+ Reset Services, Compatible with Cummins Caterpillar and More</t>
        </is>
      </c>
      <c r="B182" s="30" t="inlineStr">
        <is>
          <t>B0G4VPXV9V</t>
        </is>
      </c>
      <c r="C182" s="30" t="inlineStr">
        <is>
          <t>Tablet</t>
        </is>
      </c>
      <c r="D182" s="324" t="n">
        <v>481.2025</v>
      </c>
      <c r="E182" s="53" t="n">
        <v>21090.26692307692</v>
      </c>
      <c r="F182" s="54" t="n">
        <v>1924.81</v>
      </c>
      <c r="G182" s="55" t="n">
        <v>6</v>
      </c>
      <c r="H182" s="55" t="n">
        <v>4</v>
      </c>
      <c r="I182" s="55" t="n"/>
      <c r="J182" s="56" t="n"/>
      <c r="K182" s="56" t="inlineStr">
        <is>
          <t>https://amazon.com/dp/B0G4VPXV9V</t>
        </is>
      </c>
      <c r="L182" s="70">
        <f>HYPERLINK(Table3660[[#This Row],[Column1]])</f>
        <v/>
      </c>
    </row>
    <row r="183" ht="45" customHeight="1" s="290">
      <c r="A183" s="30" t="inlineStr">
        <is>
          <t>Launch X431 PADIII Scan Tool Global Ver. (Upgraded of X431 V+, X431 PROS) 50+ Reset OE-Level Bi-Directional All System Diagnostic Tool, Free Update</t>
        </is>
      </c>
      <c r="B183" s="30" t="inlineStr">
        <is>
          <t>B0G2Q4PXNC</t>
        </is>
      </c>
      <c r="C183" s="30" t="inlineStr">
        <is>
          <t>Tablet</t>
        </is>
      </c>
      <c r="D183" s="324" t="n">
        <v>921.135</v>
      </c>
      <c r="E183" s="53" t="n">
        <v>20314.52538461538</v>
      </c>
      <c r="F183" s="54" t="n">
        <v>1842.27</v>
      </c>
      <c r="G183" s="55" t="n">
        <v>8</v>
      </c>
      <c r="H183" s="55" t="n">
        <v>2</v>
      </c>
      <c r="I183" s="55" t="n">
        <v>736</v>
      </c>
      <c r="J183" s="56" t="n">
        <v>4.2</v>
      </c>
      <c r="K183" s="56" t="inlineStr">
        <is>
          <t>https://amazon.com/dp/B0G2Q4PXNC</t>
        </is>
      </c>
      <c r="L183" s="70">
        <f>HYPERLINK(Table3660[[#This Row],[Column1]])</f>
        <v/>
      </c>
    </row>
    <row r="184" ht="45" customHeight="1" s="290">
      <c r="A184" s="30" t="inlineStr">
        <is>
          <t>Launch X431 1MM* Elite with X-PROG3 pr0grammér, K** Pr0gramming Tool, ECU Cl**é, Reading P1*N (All L0st), All System Diagnostic Scan Tool, 39 Services, Bidirectional Scan Tool, FCA AutoAuth, CAN-FD</t>
        </is>
      </c>
      <c r="B184" s="30" t="inlineStr">
        <is>
          <t>B0FCSJKBQ8</t>
        </is>
      </c>
      <c r="C184" s="30" t="inlineStr">
        <is>
          <t>Tablet</t>
        </is>
      </c>
      <c r="D184" s="324" t="n">
        <v>916.855</v>
      </c>
      <c r="E184" s="53" t="n">
        <v>31550.01692307692</v>
      </c>
      <c r="F184" s="54" t="n">
        <v>1833.71</v>
      </c>
      <c r="G184" s="55" t="n">
        <v>19</v>
      </c>
      <c r="H184" s="55" t="n">
        <v>2</v>
      </c>
      <c r="I184" s="55" t="n">
        <v>3</v>
      </c>
      <c r="J184" s="56" t="n">
        <v>5</v>
      </c>
      <c r="K184" s="56" t="inlineStr">
        <is>
          <t>https://amazon.com/dp/B0FCSJKBQ8</t>
        </is>
      </c>
      <c r="L184" s="70">
        <f>HYPERLINK(Table3660[[#This Row],[Column1]])</f>
        <v/>
      </c>
    </row>
    <row r="185" ht="60" customHeight="1" s="290">
      <c r="A185" s="30" t="inlineStr">
        <is>
          <t>LAUNCH Creader Elite V3.0 for Land Rover Jaguar OBD2 Scanner, 2026 Bi-Directional Full Systems Diagnostic Scan Tool, CAN-FD &amp; DOIP, All Services, Active Test, Height Calibration, Lifetime Free Update</t>
        </is>
      </c>
      <c r="B185" s="30" t="inlineStr">
        <is>
          <t>B0DKHMPYVP</t>
        </is>
      </c>
      <c r="C185" s="30" t="inlineStr">
        <is>
          <t>Tablet</t>
        </is>
      </c>
      <c r="D185" s="324" t="n">
        <v>203.4644444444444</v>
      </c>
      <c r="E185" s="53" t="n">
        <v>52606.60999999999</v>
      </c>
      <c r="F185" s="54" t="n">
        <v>1831.18</v>
      </c>
      <c r="G185" s="55" t="n">
        <v>288</v>
      </c>
      <c r="H185" s="55" t="n">
        <v>9</v>
      </c>
      <c r="I185" s="55" t="n">
        <v>35</v>
      </c>
      <c r="J185" s="56" t="n">
        <v>3.7</v>
      </c>
      <c r="K185" s="56" t="inlineStr">
        <is>
          <t>https://amazon.com/dp/B0DKHMPYVP</t>
        </is>
      </c>
      <c r="L185" s="70">
        <f>HYPERLINK(Table3660[[#This Row],[Column1]])</f>
        <v/>
      </c>
    </row>
    <row r="186" ht="45" customHeight="1" s="290">
      <c r="A186" s="30" t="inlineStr">
        <is>
          <t>LAUNCH Creader Elite OBD2 Scanner Fit for Chrysler Dodge Jeep Ram,Full Systems Code Reader with All Resets,Active Test,Battery Matching Bi-Directional Diagnostic Scan Tool</t>
        </is>
      </c>
      <c r="B186" s="30" t="inlineStr">
        <is>
          <t>B0F99K6WZV</t>
        </is>
      </c>
      <c r="C186" s="30" t="inlineStr">
        <is>
          <t>Tablet</t>
        </is>
      </c>
      <c r="D186" s="324" t="n">
        <v>130.4642857142857</v>
      </c>
      <c r="E186" s="53" t="n">
        <v>16931.84</v>
      </c>
      <c r="F186" s="54" t="n">
        <v>1826.5</v>
      </c>
      <c r="G186" s="55" t="n">
        <v>87</v>
      </c>
      <c r="H186" s="55" t="n">
        <v>14</v>
      </c>
      <c r="I186" s="55" t="n">
        <v>4</v>
      </c>
      <c r="J186" s="56" t="n">
        <v>3.7</v>
      </c>
      <c r="K186" s="56" t="inlineStr">
        <is>
          <t>https://amazon.com/dp/B0F99K6WZV</t>
        </is>
      </c>
      <c r="L186" s="70">
        <f>HYPERLINK(Table3660[[#This Row],[Column1]])</f>
        <v/>
      </c>
    </row>
    <row r="187" ht="45" customHeight="1" s="290">
      <c r="A187" s="30" t="inlineStr">
        <is>
          <t>Launch CRP129X Plus 2026 OBD2 Scanner Diagnostic Tool, All System Car Scanner, 8 Reset Injector Coding/Throttle/SAS/Oil/EPB/BMS/TPMS Reset Diagnostic Scanner for All Cars, Free Update Scan Tool</t>
        </is>
      </c>
      <c r="B187" s="30" t="inlineStr">
        <is>
          <t>B0CNSLR1VL</t>
        </is>
      </c>
      <c r="C187" s="30" t="inlineStr">
        <is>
          <t>Tablet</t>
        </is>
      </c>
      <c r="D187" s="324" t="n">
        <v>303.7483333333333</v>
      </c>
      <c r="E187" s="53" t="n">
        <v>72933.33846153846</v>
      </c>
      <c r="F187" s="54" t="n">
        <v>1822.49</v>
      </c>
      <c r="G187" s="55" t="n">
        <v>266</v>
      </c>
      <c r="H187" s="55" t="n">
        <v>6</v>
      </c>
      <c r="I187" s="55" t="n">
        <v>116</v>
      </c>
      <c r="J187" s="56" t="n">
        <v>4.3</v>
      </c>
      <c r="K187" s="56" t="inlineStr">
        <is>
          <t>https://amazon.com/dp/B0CNSLR1VL</t>
        </is>
      </c>
      <c r="L187" s="70">
        <f>HYPERLINK(Table3660[[#This Row],[Column1]])</f>
        <v/>
      </c>
    </row>
    <row r="188" ht="60" customHeight="1" s="290">
      <c r="A188" s="30" t="inlineStr">
        <is>
          <t>LAUNCH AIOBD Bluetooth OBD2 Scanner Connector, High-Speed Universal OBD2 Scanner Connector for 95% Cars, Bi-Directional &amp; Advanced Diagnostics with Creader Series/CRP/X-431 Diagnostic Tools.</t>
        </is>
      </c>
      <c r="B188" s="30" t="inlineStr">
        <is>
          <t>B0G49V5TKG</t>
        </is>
      </c>
      <c r="C188" s="30" t="inlineStr">
        <is>
          <t>Handheld</t>
        </is>
      </c>
      <c r="D188" s="324" t="n">
        <v>80.44863636363635</v>
      </c>
      <c r="E188" s="53" t="n">
        <v>21629.45538461538</v>
      </c>
      <c r="F188" s="54" t="n">
        <v>1769.87</v>
      </c>
      <c r="G188" s="55" t="n">
        <v>86</v>
      </c>
      <c r="H188" s="55" t="n">
        <v>22</v>
      </c>
      <c r="I188" s="55" t="n"/>
      <c r="J188" s="56" t="n"/>
      <c r="K188" s="56" t="inlineStr">
        <is>
          <t>https://amazon.com/dp/B0G49V5TKG</t>
        </is>
      </c>
      <c r="L188" s="70">
        <f>HYPERLINK(Table3660[[#This Row],[Column1]])</f>
        <v/>
      </c>
    </row>
    <row r="189" ht="45" customHeight="1" s="290">
      <c r="A189" s="30" t="inlineStr">
        <is>
          <t>LAUNCH X431 Elite with X-PROG3, 2026 Professional Diagnostic Scanner with X-PROG3 and DBScar VII VCI, CANFD &amp; DOIP, 38 Services, Bidirectional Control, All System Basic Diagnose, 2 Yrs Update</t>
        </is>
      </c>
      <c r="B189" s="30" t="inlineStr">
        <is>
          <t>B0DCBHDYB6</t>
        </is>
      </c>
      <c r="C189" s="30" t="inlineStr">
        <is>
          <t>Tablet</t>
        </is>
      </c>
      <c r="D189" s="324" t="n">
        <v>1712.9</v>
      </c>
      <c r="E189" s="53" t="n">
        <v>12963.2</v>
      </c>
      <c r="F189" s="54" t="n">
        <v>1712.9</v>
      </c>
      <c r="G189" s="55" t="n">
        <v>10</v>
      </c>
      <c r="H189" s="55" t="n">
        <v>1</v>
      </c>
      <c r="I189" s="55" t="n">
        <v>3</v>
      </c>
      <c r="J189" s="56" t="n">
        <v>1</v>
      </c>
      <c r="K189" s="56" t="inlineStr">
        <is>
          <t>https://amazon.com/dp/B0DCBHDYB6</t>
        </is>
      </c>
      <c r="L189" s="70">
        <f>HYPERLINK(Table3660[[#This Row],[Column1]])</f>
        <v/>
      </c>
    </row>
    <row r="190" ht="45" customHeight="1" s="290">
      <c r="A190" s="30" t="inlineStr">
        <is>
          <t>LAUNCH X431 Creader VII+ V2.0 Car Code Reader 2026,Full EOBD OBD2 Scanner Testing Engine/Transmission/ABS/Airbag System, 3 Reset Oil Service/Throttle Relearn/SAS Reset, Lifetime Free Update</t>
        </is>
      </c>
      <c r="B190" s="30" t="inlineStr">
        <is>
          <t>B00EN7JOQC</t>
        </is>
      </c>
      <c r="C190" s="30" t="inlineStr">
        <is>
          <t>Tablet</t>
        </is>
      </c>
      <c r="D190" s="324" t="n">
        <v>128.4215384615385</v>
      </c>
      <c r="E190" s="53" t="n">
        <v>24653.72846153846</v>
      </c>
      <c r="F190" s="54" t="n">
        <v>1669.48</v>
      </c>
      <c r="G190" s="55" t="n">
        <v>175</v>
      </c>
      <c r="H190" s="55" t="n">
        <v>13</v>
      </c>
      <c r="I190" s="55" t="n">
        <v>721</v>
      </c>
      <c r="J190" s="56" t="n">
        <v>4</v>
      </c>
      <c r="K190" s="56" t="inlineStr">
        <is>
          <t>https://amazon.com/dp/B00EN7JOQC</t>
        </is>
      </c>
      <c r="L190" s="70">
        <f>HYPERLINK(Table3660[[#This Row],[Column1]])</f>
        <v/>
      </c>
    </row>
    <row r="191" ht="60" customHeight="1" s="290">
      <c r="A191" s="30" t="inlineStr">
        <is>
          <t>LAUNCH CRP 129MT 2-in-1 Motorcycle Diagnostic Tool OBD2 Scanner, Full System Diagnostics with ECU Reset, Car OBD-II Support, Compatible with Harley/Indian/Victory/Ducati/KTM/Honda/Kawasaki and More</t>
        </is>
      </c>
      <c r="B191" s="30" t="inlineStr">
        <is>
          <t>B0FWCHXD6F</t>
        </is>
      </c>
      <c r="C191" s="30" t="inlineStr">
        <is>
          <t>Tablet</t>
        </is>
      </c>
      <c r="D191" s="324" t="n">
        <v>548.91</v>
      </c>
      <c r="E191" s="53" t="n">
        <v>21003.24307692308</v>
      </c>
      <c r="F191" s="54" t="n">
        <v>1646.73</v>
      </c>
      <c r="G191" s="55" t="n">
        <v>9</v>
      </c>
      <c r="H191" s="55" t="n">
        <v>3</v>
      </c>
      <c r="I191" s="55" t="n"/>
      <c r="J191" s="56" t="n"/>
      <c r="K191" s="56" t="inlineStr">
        <is>
          <t>https://amazon.com/dp/B0FWCHXD6F</t>
        </is>
      </c>
      <c r="L191" s="70">
        <f>HYPERLINK(Table3660[[#This Row],[Column1]])</f>
        <v/>
      </c>
    </row>
    <row r="192" ht="45" customHeight="1" s="290">
      <c r="A192" s="30" t="inlineStr">
        <is>
          <t>Launch OBD2 Scanner CR319 Check Engine Code Reader with Full OBD2 Functions</t>
        </is>
      </c>
      <c r="B192" s="30" t="inlineStr">
        <is>
          <t>B07QLTYKDW</t>
        </is>
      </c>
      <c r="C192" s="30" t="inlineStr">
        <is>
          <t>Handheld</t>
        </is>
      </c>
      <c r="D192" s="324" t="n">
        <v>27.17949152542373</v>
      </c>
      <c r="E192" s="53" t="n">
        <v>21283.1</v>
      </c>
      <c r="F192" s="54" t="n">
        <v>1603.59</v>
      </c>
      <c r="G192" s="55" t="n">
        <v>822</v>
      </c>
      <c r="H192" s="55" t="n">
        <v>59</v>
      </c>
      <c r="I192" s="55" t="n">
        <v>3846</v>
      </c>
      <c r="J192" s="56" t="n">
        <v>4.5</v>
      </c>
      <c r="K192" s="56" t="inlineStr">
        <is>
          <t>https://amazon.com/dp/B07QLTYKDW</t>
        </is>
      </c>
      <c r="L192" s="70">
        <f>HYPERLINK(Table3660[[#This Row],[Column1]])</f>
        <v/>
      </c>
    </row>
    <row r="193" ht="45" customHeight="1" s="290">
      <c r="A193" s="30" t="inlineStr">
        <is>
          <t>LAUNCH Creader 3001 OBD2 Scanner-2025 Upgrade Ver. Engine Fault Code Reader,Support O2 Sensor,Lifetime Free Update,Scanner for All OBDII Protocol Cars Since 1996</t>
        </is>
      </c>
      <c r="B193" s="30" t="inlineStr">
        <is>
          <t>B07CH4D68Q</t>
        </is>
      </c>
      <c r="C193" s="30" t="inlineStr">
        <is>
          <t>Handheld</t>
        </is>
      </c>
      <c r="D193" s="324" t="n">
        <v>17.49011363636364</v>
      </c>
      <c r="E193" s="53" t="n">
        <v>27965.43</v>
      </c>
      <c r="F193" s="54" t="n">
        <v>1539.13</v>
      </c>
      <c r="G193" s="55" t="n">
        <v>1506</v>
      </c>
      <c r="H193" s="55" t="n">
        <v>88</v>
      </c>
      <c r="I193" s="55" t="n">
        <v>1258</v>
      </c>
      <c r="J193" s="56" t="n">
        <v>4.4</v>
      </c>
      <c r="K193" s="56" t="inlineStr">
        <is>
          <t>https://amazon.com/dp/B07CH4D68Q</t>
        </is>
      </c>
      <c r="L193" s="70">
        <f>HYPERLINK(Table3660[[#This Row],[Column1]])</f>
        <v/>
      </c>
    </row>
    <row r="194" ht="45" customHeight="1" s="290">
      <c r="A194" s="30" t="inlineStr">
        <is>
          <t>LAUNCH OBD2 Scanner CRP123I V2.0, 2026 Lifetime Update Scan Tool,Muilti System with 7 Resets Oil/SAS Calibration/Brake/BMS/D.P.F/ABS Bleeding/Throttle Reset, Auto Vin, Battery Test,FCA SGW</t>
        </is>
      </c>
      <c r="B194" s="30" t="inlineStr">
        <is>
          <t>B088ZN6QJH</t>
        </is>
      </c>
      <c r="C194" s="30" t="inlineStr">
        <is>
          <t>Tablet</t>
        </is>
      </c>
      <c r="D194" s="324" t="n">
        <v>170.0033333333333</v>
      </c>
      <c r="E194" s="53" t="n">
        <v>42147.66</v>
      </c>
      <c r="F194" s="54" t="n">
        <v>1530.03</v>
      </c>
      <c r="G194" s="55" t="n">
        <v>249</v>
      </c>
      <c r="H194" s="55" t="n">
        <v>9</v>
      </c>
      <c r="I194" s="55" t="n">
        <v>552</v>
      </c>
      <c r="J194" s="56" t="n">
        <v>4.4</v>
      </c>
      <c r="K194" s="56" t="inlineStr">
        <is>
          <t>https://amazon.com/dp/B088ZN6QJH</t>
        </is>
      </c>
      <c r="L194" s="70">
        <f>HYPERLINK(Table3660[[#This Row],[Column1]])</f>
        <v/>
      </c>
    </row>
    <row r="195" ht="45" customHeight="1" s="290">
      <c r="A195" s="30" t="inlineStr">
        <is>
          <t>LAUNCH CRP129MT Pro Motorcycle Scanner,Fully Functional Bidirectional Scanner with Multi Resets,38+ Brands,Motorcycle scan Tool Fits for Harley, Honda, Yamaha, Indian,Suzuki,Polaris,Victory,BMW &amp; More</t>
        </is>
      </c>
      <c r="B195" s="30" t="inlineStr">
        <is>
          <t>B0FYDTN3QS</t>
        </is>
      </c>
      <c r="C195" s="30" t="inlineStr">
        <is>
          <t>Tablet</t>
        </is>
      </c>
      <c r="D195" s="324" t="n">
        <v>497.46</v>
      </c>
      <c r="E195" s="53" t="n">
        <v>19556.6923076923</v>
      </c>
      <c r="F195" s="54" t="n">
        <v>1492.38</v>
      </c>
      <c r="G195" s="55" t="n">
        <v>16</v>
      </c>
      <c r="H195" s="55" t="n">
        <v>3</v>
      </c>
      <c r="I195" s="55" t="n">
        <v>2</v>
      </c>
      <c r="J195" s="56" t="n">
        <v>3.3</v>
      </c>
      <c r="K195" s="56" t="inlineStr">
        <is>
          <t>https://amazon.com/dp/B0FYDTN3QS</t>
        </is>
      </c>
      <c r="L195" s="70">
        <f>HYPERLINK(Table3660[[#This Row],[Column1]])</f>
        <v/>
      </c>
    </row>
    <row r="196" ht="45" customHeight="1" s="290">
      <c r="A196" s="30" t="inlineStr">
        <is>
          <t>LAUNCH X431 Sensor Simulator and Tester 2 Channels Digital S2-2 Sensorbox</t>
        </is>
      </c>
      <c r="B196" s="30" t="inlineStr">
        <is>
          <t>B0CJQY7SYQ</t>
        </is>
      </c>
      <c r="C196" s="30" t="inlineStr">
        <is>
          <t>VCI</t>
        </is>
      </c>
      <c r="D196" s="324" t="n">
        <v>468.76</v>
      </c>
      <c r="E196" s="53" t="n">
        <v>10147.76461538461</v>
      </c>
      <c r="F196" s="54" t="n">
        <v>1406.28</v>
      </c>
      <c r="G196" s="55" t="n">
        <v>17</v>
      </c>
      <c r="H196" s="55" t="n">
        <v>3</v>
      </c>
      <c r="I196" s="55" t="n">
        <v>1</v>
      </c>
      <c r="J196" s="56" t="n">
        <v>5</v>
      </c>
      <c r="K196" s="56" t="inlineStr">
        <is>
          <t>https://amazon.com/dp/B0CJQY7SYQ</t>
        </is>
      </c>
      <c r="L196" s="70">
        <f>HYPERLINK(Table3660[[#This Row],[Column1]])</f>
        <v/>
      </c>
    </row>
    <row r="197" ht="30" customHeight="1" s="290">
      <c r="A197" s="30" t="inlineStr">
        <is>
          <t>LAUNCH Creader HD V2 Heavy Duty Truck Diagnostic Scanner 2-in-1 HDOBD OBD-II EOBD Code Reader for Freightliner, for Paccar, for International, for Volvo, for Cummins, for Caterpillar HD OBD Scan Tool</t>
        </is>
      </c>
      <c r="B197" s="30" t="inlineStr">
        <is>
          <t>B0GFFBM7CV</t>
        </is>
      </c>
      <c r="C197" s="30" t="inlineStr">
        <is>
          <t>Tablet</t>
        </is>
      </c>
      <c r="D197" s="324" t="n">
        <v>123.4472727272727</v>
      </c>
      <c r="E197" s="53" t="n">
        <v>16690.18615384615</v>
      </c>
      <c r="F197" s="54" t="n">
        <v>1357.92</v>
      </c>
      <c r="G197" s="55" t="n">
        <v>34</v>
      </c>
      <c r="H197" s="55" t="n">
        <v>11</v>
      </c>
      <c r="I197" s="55" t="n">
        <v>25</v>
      </c>
      <c r="J197" s="56" t="n">
        <v>4.5</v>
      </c>
      <c r="K197" s="56" t="inlineStr">
        <is>
          <t>https://amazon.com/dp/B0GFFBM7CV</t>
        </is>
      </c>
      <c r="L197" s="70">
        <f>HYPERLINK(Table3660[[#This Row],[Column1]])</f>
        <v/>
      </c>
    </row>
    <row r="198" ht="45" customHeight="1" s="290">
      <c r="A198" s="30" t="inlineStr">
        <is>
          <t>LAUNCH X431 Elite 2.0 PRO fit for Nissan Bi-Directional Scanner, 2025 Upgrade Configure All Reset Full System Diagnose, AUTOVIN, Full OBD2 Functions for Nissan/for Inifitini/for GTR</t>
        </is>
      </c>
      <c r="B198" s="30" t="inlineStr">
        <is>
          <t>B0D9GLVQDW</t>
        </is>
      </c>
      <c r="C198" s="30" t="inlineStr">
        <is>
          <t>Tablet</t>
        </is>
      </c>
      <c r="D198" s="324" t="n">
        <v>266.654</v>
      </c>
      <c r="E198" s="53" t="n">
        <v>58627.84153846154</v>
      </c>
      <c r="F198" s="54" t="n">
        <v>1333.27</v>
      </c>
      <c r="G198" s="55" t="n">
        <v>322</v>
      </c>
      <c r="H198" s="55" t="n">
        <v>5</v>
      </c>
      <c r="I198" s="55" t="n">
        <v>42</v>
      </c>
      <c r="J198" s="56" t="n">
        <v>3.8</v>
      </c>
      <c r="K198" s="56" t="inlineStr">
        <is>
          <t>https://amazon.com/dp/B0D9GLVQDW</t>
        </is>
      </c>
      <c r="L198" s="70">
        <f>HYPERLINK(Table3660[[#This Row],[Column1]])</f>
        <v/>
      </c>
    </row>
    <row r="199" ht="45" customHeight="1" s="290">
      <c r="A199" s="30" t="inlineStr">
        <is>
          <t>LAUNCH Creader VII+ V2.0 OBD2 Scanner Diagnostic Scan Tool, 2026 New Automotive Check ABS SRS Transmission and Engine Code Reader, 3 Reset Oil Service/Throttle Relearn/SAS Reset, Free Update</t>
        </is>
      </c>
      <c r="B199" s="30" t="inlineStr">
        <is>
          <t>B00DZFHQN6</t>
        </is>
      </c>
      <c r="C199" s="30" t="inlineStr">
        <is>
          <t>Tablet</t>
        </is>
      </c>
      <c r="D199" s="324" t="n">
        <v>128.668</v>
      </c>
      <c r="E199" s="53" t="n">
        <v>14099.44</v>
      </c>
      <c r="F199" s="54" t="n">
        <v>1286.68</v>
      </c>
      <c r="G199" s="55" t="n">
        <v>109</v>
      </c>
      <c r="H199" s="55" t="n">
        <v>10</v>
      </c>
      <c r="I199" s="55" t="n">
        <v>200</v>
      </c>
      <c r="J199" s="56" t="n">
        <v>4.2</v>
      </c>
      <c r="K199" s="56" t="inlineStr">
        <is>
          <t>https://amazon.com/dp/B00DZFHQN6</t>
        </is>
      </c>
      <c r="L199" s="70">
        <f>HYPERLINK(Table3660[[#This Row],[Column1]])</f>
        <v/>
      </c>
    </row>
    <row r="200" ht="45" customHeight="1" s="290">
      <c r="A200" s="30" t="inlineStr">
        <is>
          <t>LAUNCH Millennium Master 2.0 OBD2 Scanner, Check Engine/ABS/SRS/Transmission Diagnostic Scan Tool with 13 Service Functions, Support Battery Health/Start/Charging Test, Auto VIN (Use in the US &amp; CAN)</t>
        </is>
      </c>
      <c r="B200" s="30" t="inlineStr">
        <is>
          <t>B0CTMSQV1F</t>
        </is>
      </c>
      <c r="C200" s="30" t="inlineStr">
        <is>
          <t>Tablet</t>
        </is>
      </c>
      <c r="D200" s="324" t="n">
        <v>255.51</v>
      </c>
      <c r="E200" s="53" t="n">
        <v>12333.04</v>
      </c>
      <c r="F200" s="54" t="n">
        <v>1277.55</v>
      </c>
      <c r="G200" s="55" t="n">
        <v>45</v>
      </c>
      <c r="H200" s="55" t="n">
        <v>5</v>
      </c>
      <c r="I200" s="55" t="n">
        <v>4</v>
      </c>
      <c r="J200" s="56" t="n">
        <v>4.6</v>
      </c>
      <c r="K200" s="56" t="inlineStr">
        <is>
          <t>https://amazon.com/dp/B0CTMSQV1F</t>
        </is>
      </c>
      <c r="L200" s="70">
        <f>HYPERLINK(Table3660[[#This Row],[Column1]])</f>
        <v/>
      </c>
    </row>
    <row r="201" ht="45" customHeight="1" s="290">
      <c r="A201" s="30" t="inlineStr">
        <is>
          <t>LAUNCH Non-16 Pin Adapter Kit OE-Compliant Connectors Compatible for All LAUNCH X-431 Diagnostic Tool [X-431 V/V+, X-431 PRO S+/3S+/5/MINI, X-431 PAD III/V/VII]</t>
        </is>
      </c>
      <c r="B201" s="30" t="inlineStr">
        <is>
          <t>B0CBTJJ8W7</t>
        </is>
      </c>
      <c r="C201" s="30" t="inlineStr">
        <is>
          <t>Cable/Adapter</t>
        </is>
      </c>
      <c r="D201" s="324" t="n">
        <v>125.308</v>
      </c>
      <c r="E201" s="53" t="n">
        <v>9278.76</v>
      </c>
      <c r="F201" s="54" t="n">
        <v>1253.08</v>
      </c>
      <c r="G201" s="55" t="n">
        <v>72</v>
      </c>
      <c r="H201" s="55" t="n">
        <v>10</v>
      </c>
      <c r="I201" s="55" t="n">
        <v>6</v>
      </c>
      <c r="J201" s="56" t="n">
        <v>4.6</v>
      </c>
      <c r="K201" s="56" t="inlineStr">
        <is>
          <t>https://amazon.com/dp/B0CBTJJ8W7</t>
        </is>
      </c>
      <c r="L201" s="70">
        <f>HYPERLINK(Table3660[[#This Row],[Column1]])</f>
        <v/>
      </c>
    </row>
    <row r="202" ht="45" customHeight="1" s="290">
      <c r="A202" s="30" t="inlineStr">
        <is>
          <t>LAUNCH OBD2 Extension Cable Full 16Pin Male to Female OBDII Extend Cable for Car OBD Diagnostic Extender Cord Connector Reinforced Nylon Material (36CM/1.2FT)</t>
        </is>
      </c>
      <c r="B202" s="30" t="inlineStr">
        <is>
          <t>B09TKZ5RF4</t>
        </is>
      </c>
      <c r="C202" s="30" t="inlineStr">
        <is>
          <t>Cable/Adapter</t>
        </is>
      </c>
      <c r="D202" s="324" t="n">
        <v>12.01233333333333</v>
      </c>
      <c r="E202" s="53" t="n">
        <v>12585.31</v>
      </c>
      <c r="F202" s="54" t="n">
        <v>1081.11</v>
      </c>
      <c r="G202" s="55" t="n">
        <v>1050</v>
      </c>
      <c r="H202" s="55" t="n">
        <v>90</v>
      </c>
      <c r="I202" s="55" t="n">
        <v>190</v>
      </c>
      <c r="J202" s="56" t="n">
        <v>4.6</v>
      </c>
      <c r="K202" s="56" t="inlineStr">
        <is>
          <t>https://amazon.com/dp/B09TKZ5RF4</t>
        </is>
      </c>
      <c r="L202" s="70">
        <f>HYPERLINK(Table3660[[#This Row],[Column1]])</f>
        <v/>
      </c>
    </row>
    <row r="203" ht="45" customHeight="1" s="290">
      <c r="A203" s="30" t="inlineStr">
        <is>
          <t>LAUNCH Millennium HD ProA Heavy Duty Truck Scanner All System Diesel Diagnostic Scan Tool with 8 Service Functions, for Freightliner Peterbilt Kenworth Western Star Mack (Use in the US &amp; CAN)</t>
        </is>
      </c>
      <c r="B203" s="30" t="inlineStr">
        <is>
          <t>B08QGK7QJW</t>
        </is>
      </c>
      <c r="C203" s="30" t="inlineStr">
        <is>
          <t>Tablet</t>
        </is>
      </c>
      <c r="D203" s="324" t="n">
        <v>539.455</v>
      </c>
      <c r="E203" s="53" t="n">
        <v>19639.11</v>
      </c>
      <c r="F203" s="54" t="n">
        <v>1078.91</v>
      </c>
      <c r="G203" s="55" t="n">
        <v>41</v>
      </c>
      <c r="H203" s="55" t="n">
        <v>2</v>
      </c>
      <c r="I203" s="55" t="n">
        <v>3</v>
      </c>
      <c r="J203" s="56" t="n">
        <v>3.5</v>
      </c>
      <c r="K203" s="56" t="inlineStr">
        <is>
          <t>https://amazon.com/dp/B08QGK7QJW</t>
        </is>
      </c>
      <c r="L203" s="70">
        <f>HYPERLINK(Table3660[[#This Row],[Column1]])</f>
        <v/>
      </c>
    </row>
    <row r="204" ht="45" customHeight="1" s="290">
      <c r="A204" s="30" t="inlineStr">
        <is>
          <t>LAUNCH CRE Elite HD-is Heavy Duty Semi Truck Scanner, DPF Regen for Isuzu, Bidirectional Full System Diesel Diagnostic Scan Tool</t>
        </is>
      </c>
      <c r="B204" s="30" t="inlineStr">
        <is>
          <t>B0F1Y369PY</t>
        </is>
      </c>
      <c r="C204" s="30" t="inlineStr">
        <is>
          <t>Tablet</t>
        </is>
      </c>
      <c r="D204" s="324" t="n">
        <v>527.95</v>
      </c>
      <c r="E204" s="53" t="n">
        <v>16883.29769230769</v>
      </c>
      <c r="F204" s="54" t="n">
        <v>1055.9</v>
      </c>
      <c r="G204" s="55" t="n">
        <v>30</v>
      </c>
      <c r="H204" s="55" t="n">
        <v>2</v>
      </c>
      <c r="I204" s="55" t="n">
        <v>2</v>
      </c>
      <c r="J204" s="56" t="n">
        <v>5</v>
      </c>
      <c r="K204" s="56" t="inlineStr">
        <is>
          <t>https://amazon.com/dp/B0F1Y369PY</t>
        </is>
      </c>
      <c r="L204" s="70">
        <f>HYPERLINK(Table3660[[#This Row],[Column1]])</f>
        <v/>
      </c>
    </row>
    <row r="205" ht="45" customHeight="1" s="290">
      <c r="A205" s="30" t="inlineStr">
        <is>
          <t>LAUNCH Creader 300 OBD2 Scanner,Engine Fault Code Reader,Support Read Data Stream,Scanner for All OBDII Protocol Cars Since 1996, 2026 Upgraded Ver. of CR3001</t>
        </is>
      </c>
      <c r="B205" s="30" t="inlineStr">
        <is>
          <t>B0DSVH6KQ2</t>
        </is>
      </c>
      <c r="C205" s="30" t="inlineStr">
        <is>
          <t>Handheld</t>
        </is>
      </c>
      <c r="D205" s="324" t="n">
        <v>23.71909090909091</v>
      </c>
      <c r="E205" s="53" t="n">
        <v>10650.72</v>
      </c>
      <c r="F205" s="54" t="n">
        <v>1043.64</v>
      </c>
      <c r="G205" s="55" t="n">
        <v>546</v>
      </c>
      <c r="H205" s="55" t="n">
        <v>44</v>
      </c>
      <c r="I205" s="55" t="n">
        <v>70</v>
      </c>
      <c r="J205" s="56" t="n">
        <v>4.4</v>
      </c>
      <c r="K205" s="56" t="inlineStr">
        <is>
          <t>https://amazon.com/dp/B0DSVH6KQ2</t>
        </is>
      </c>
      <c r="L205" s="70">
        <f>HYPERLINK(Table3660[[#This Row],[Column1]])</f>
        <v/>
      </c>
    </row>
    <row r="206" ht="45" customHeight="1" s="290">
      <c r="A206" s="30" t="inlineStr">
        <is>
          <t>Launch Scanner CRP129i V3.0(Upgrade of CRP123I), Professional OBD2 Scanner Diagnostic Tool with ABS and SRS, ENG, Transmission, FCA AutoAuth Code Reader for Cars and Trucks,Oil,DPF,TPMS Car Scan Tool</t>
        </is>
      </c>
      <c r="B206" s="30" t="inlineStr">
        <is>
          <t>B0FPXR69TK</t>
        </is>
      </c>
      <c r="C206" s="30" t="inlineStr">
        <is>
          <t>Tablet</t>
        </is>
      </c>
      <c r="D206" s="324" t="n">
        <v>259.535</v>
      </c>
      <c r="E206" s="53" t="n">
        <v>9209.521538461539</v>
      </c>
      <c r="F206" s="54" t="n">
        <v>1038.14</v>
      </c>
      <c r="G206" s="55" t="n">
        <v>10</v>
      </c>
      <c r="H206" s="55" t="n">
        <v>4</v>
      </c>
      <c r="I206" s="55" t="n">
        <v>1</v>
      </c>
      <c r="J206" s="56" t="n">
        <v>5</v>
      </c>
      <c r="K206" s="56" t="inlineStr">
        <is>
          <t>https://amazon.com/dp/B0FPXR69TK</t>
        </is>
      </c>
      <c r="L206" s="70">
        <f>HYPERLINK(Table3660[[#This Row],[Column1]])</f>
        <v/>
      </c>
    </row>
    <row r="207" ht="45" customHeight="1" s="290">
      <c r="A207" s="30" t="inlineStr">
        <is>
          <t>LAUNCH X431 Pro V5.0 2026 New Generation Automotive Diagnostic Scanner Tool, OEM Bluetooth Bidirectional OBD2 Scan Tool with CANFD &amp; DOIP, 38+ Special Functions for All Cars</t>
        </is>
      </c>
      <c r="B207" s="30" t="inlineStr">
        <is>
          <t>B0FG2CNXWD</t>
        </is>
      </c>
      <c r="C207" s="30" t="inlineStr">
        <is>
          <t>Tablet</t>
        </is>
      </c>
      <c r="D207" s="324" t="n">
        <v>1005</v>
      </c>
      <c r="E207" s="53" t="n">
        <v>18732.26615384616</v>
      </c>
      <c r="F207" s="54" t="n">
        <v>1005</v>
      </c>
      <c r="G207" s="55" t="n">
        <v>14</v>
      </c>
      <c r="H207" s="55" t="n">
        <v>1</v>
      </c>
      <c r="I207" s="55" t="n">
        <v>385</v>
      </c>
      <c r="J207" s="56" t="n">
        <v>4.2</v>
      </c>
      <c r="K207" s="56" t="inlineStr">
        <is>
          <t>https://amazon.com/dp/B0FG2CNXWD</t>
        </is>
      </c>
      <c r="L207" s="70">
        <f>HYPERLINK(Table3660[[#This Row],[Column1]])</f>
        <v/>
      </c>
    </row>
    <row r="208" ht="45" customHeight="1" s="290">
      <c r="A208" s="30" t="inlineStr">
        <is>
          <t>LAUNCH Original Adapter for DBSCar VII and SmartLink C VCI Connector, DR15 Male to OBD2 16 Pin Male Replacement Connector Work with X431 CRP919EBT, PRO3 ACE, PRO 3S+, PRO 5, PAD VII, PAD V</t>
        </is>
      </c>
      <c r="B208" s="30" t="inlineStr">
        <is>
          <t>B0D8PPVD5D</t>
        </is>
      </c>
      <c r="C208" s="30" t="inlineStr">
        <is>
          <t>Cable/Adapter</t>
        </is>
      </c>
      <c r="D208" s="324" t="n">
        <v>23.19690476190476</v>
      </c>
      <c r="E208" s="53" t="n">
        <v>8268.82</v>
      </c>
      <c r="F208" s="54" t="n">
        <v>974.27</v>
      </c>
      <c r="G208" s="55" t="n">
        <v>359</v>
      </c>
      <c r="H208" s="55" t="n">
        <v>42</v>
      </c>
      <c r="I208" s="55" t="n">
        <v>27</v>
      </c>
      <c r="J208" s="56" t="n">
        <v>4.5</v>
      </c>
      <c r="K208" s="56" t="inlineStr">
        <is>
          <t>https://amazon.com/dp/B0D8PPVD5D</t>
        </is>
      </c>
      <c r="L208" s="70">
        <f>HYPERLINK(Table3660[[#This Row],[Column1]])</f>
        <v/>
      </c>
    </row>
    <row r="209" ht="45" customHeight="1" s="290">
      <c r="A209" s="30" t="inlineStr">
        <is>
          <t>LAUNCH X431 PROS V Bidirectional Scan Tool, 2026 Full System Diagnostic Scanner, 2 Years Free Update, Calibration &amp; Matching, 38+ Services, AutoAuth FCA SGW, V.A.G Guided, CAN FD, Same As X431 PRO3</t>
        </is>
      </c>
      <c r="B209" s="30" t="inlineStr">
        <is>
          <t>B098B6HVGG</t>
        </is>
      </c>
      <c r="C209" s="30" t="inlineStr">
        <is>
          <t>Tablet</t>
        </is>
      </c>
      <c r="D209" s="324" t="n">
        <v>476.07</v>
      </c>
      <c r="E209" s="53" t="n">
        <v>37886.48</v>
      </c>
      <c r="F209" s="54" t="n">
        <v>952.14</v>
      </c>
      <c r="G209" s="55" t="n">
        <v>88</v>
      </c>
      <c r="H209" s="55" t="n">
        <v>2</v>
      </c>
      <c r="I209" s="55" t="n">
        <v>74</v>
      </c>
      <c r="J209" s="56" t="n">
        <v>4.1</v>
      </c>
      <c r="K209" s="56" t="inlineStr">
        <is>
          <t>https://amazon.com/dp/B098B6HVGG</t>
        </is>
      </c>
      <c r="L209" s="70">
        <f>HYPERLINK(Table3660[[#This Row],[Column1]])</f>
        <v/>
      </c>
    </row>
    <row r="210" ht="45" customHeight="1" s="290">
      <c r="A210" s="30" t="inlineStr">
        <is>
          <t>LAUNCH X431 Creader 5011 V2 TPMS Tool，TPMS Sensor (315+433MHz) Read/Activate/Relearn/Reset Scanner Tool,OBD2 Code Reader&amp; 12 Hot Rests, Lifetime Free Update</t>
        </is>
      </c>
      <c r="B210" s="30" t="inlineStr">
        <is>
          <t>B0FWP57ZND</t>
        </is>
      </c>
      <c r="C210" s="30" t="inlineStr">
        <is>
          <t>Tablet</t>
        </is>
      </c>
      <c r="D210" s="324" t="n">
        <v>231.3275</v>
      </c>
      <c r="E210" s="53" t="n">
        <v>11338.72846153846</v>
      </c>
      <c r="F210" s="54" t="n">
        <v>925.3099999999999</v>
      </c>
      <c r="G210" s="55" t="n">
        <v>22</v>
      </c>
      <c r="H210" s="55" t="n">
        <v>4</v>
      </c>
      <c r="I210" s="55" t="n"/>
      <c r="J210" s="56" t="n"/>
      <c r="K210" s="56" t="inlineStr">
        <is>
          <t>https://amazon.com/dp/B0FWP57ZND</t>
        </is>
      </c>
      <c r="L210" s="70">
        <f>HYPERLINK(Table3660[[#This Row],[Column1]])</f>
        <v/>
      </c>
    </row>
    <row r="211" ht="45" customHeight="1" s="290">
      <c r="A211" s="30" t="inlineStr">
        <is>
          <t>LAUNCH AIOBD Bluetooth OBD2 Scanner, Free Engine Diagnostics, Optional Subscription for Full System &amp; Reset Functions, AI Code Explain, Cost Estimate, iOS Android, 1996+ OBDII Cars</t>
        </is>
      </c>
      <c r="B211" s="30" t="inlineStr">
        <is>
          <t>B0FWPQVGHF</t>
        </is>
      </c>
      <c r="C211" s="30" t="inlineStr">
        <is>
          <t>Dongle</t>
        </is>
      </c>
      <c r="D211" s="324" t="n">
        <v>36.8872</v>
      </c>
      <c r="E211" s="53" t="n">
        <v>10936.26461538462</v>
      </c>
      <c r="F211" s="54" t="n">
        <v>922.1799999999999</v>
      </c>
      <c r="G211" s="55" t="n">
        <v>103</v>
      </c>
      <c r="H211" s="55" t="n">
        <v>25</v>
      </c>
      <c r="I211" s="55" t="n">
        <v>7</v>
      </c>
      <c r="J211" s="56" t="n">
        <v>2.6</v>
      </c>
      <c r="K211" s="56" t="inlineStr">
        <is>
          <t>https://amazon.com/dp/B0FWPQVGHF</t>
        </is>
      </c>
      <c r="L211" s="70">
        <f>HYPERLINK(Table3660[[#This Row],[Column1]])</f>
        <v/>
      </c>
    </row>
    <row r="212" ht="45" customHeight="1" s="290">
      <c r="A212" s="30" t="inlineStr">
        <is>
          <t>LAUNCH X-431 CAN FD Adapter CANFD Protocols Car Diagnostic Tool for X-431 V/V+, Pad II/III, PRO 3/3S+/Mini, Diagun V</t>
        </is>
      </c>
      <c r="B212" s="30" t="inlineStr">
        <is>
          <t>B0CDGF2XTV</t>
        </is>
      </c>
      <c r="C212" s="30" t="inlineStr">
        <is>
          <t>Cable/Adapter</t>
        </is>
      </c>
      <c r="D212" s="324" t="n">
        <v>113.0425</v>
      </c>
      <c r="E212" s="53" t="n">
        <v>6492.769999999999</v>
      </c>
      <c r="F212" s="54" t="n">
        <v>904.34</v>
      </c>
      <c r="G212" s="55" t="n">
        <v>59</v>
      </c>
      <c r="H212" s="55" t="n">
        <v>8</v>
      </c>
      <c r="I212" s="55" t="n">
        <v>4</v>
      </c>
      <c r="J212" s="56" t="n">
        <v>5</v>
      </c>
      <c r="K212" s="56" t="inlineStr">
        <is>
          <t>https://amazon.com/dp/B0CDGF2XTV</t>
        </is>
      </c>
      <c r="L212" s="70">
        <f>HYPERLINK(Table3660[[#This Row],[Column1]])</f>
        <v/>
      </c>
    </row>
    <row r="213" ht="30" customHeight="1" s="290">
      <c r="A213" s="30" t="inlineStr">
        <is>
          <t>LAUNCH X431 Remote Assisted Diagnostic Tool, Heavy Duty Truck Scanner, Bidirectional Diesel Scan Tool for 24V HD Trucks &amp; Commercial Vehicle, Support CANFD&amp;DOIP, Semi Trucks All System Diagnostic Tool</t>
        </is>
      </c>
      <c r="B213" s="30" t="inlineStr">
        <is>
          <t>B0D8FPG2LW</t>
        </is>
      </c>
      <c r="C213" s="30" t="inlineStr">
        <is>
          <t>VCI</t>
        </is>
      </c>
      <c r="D213" s="324" t="n">
        <v>887.4299999999999</v>
      </c>
      <c r="E213" s="53" t="n">
        <v>6290.97</v>
      </c>
      <c r="F213" s="54" t="n">
        <v>887.4299999999999</v>
      </c>
      <c r="G213" s="55" t="n">
        <v>7</v>
      </c>
      <c r="H213" s="55" t="n">
        <v>1</v>
      </c>
      <c r="I213" s="55" t="n">
        <v>1</v>
      </c>
      <c r="J213" s="56" t="n">
        <v>5</v>
      </c>
      <c r="K213" s="56" t="inlineStr">
        <is>
          <t>https://amazon.com/dp/B0D8FPG2LW</t>
        </is>
      </c>
      <c r="L213" s="70">
        <f>HYPERLINK(Table3660[[#This Row],[Column1]])</f>
        <v/>
      </c>
    </row>
    <row r="214" ht="45" customHeight="1" s="290">
      <c r="A214" s="30" t="inlineStr">
        <is>
          <t>2026 LAUNCH CRP129HD Heavy Duty Truck Scanner with DPF Regen, Speed Limit Adjust Reset, Full System Diesel Semi Truck Diagnostic Tool &amp; Code Reader for Cummins Detroit International Paccar</t>
        </is>
      </c>
      <c r="B214" s="30" t="inlineStr">
        <is>
          <t>B0FQB6SXX8</t>
        </is>
      </c>
      <c r="C214" s="30" t="inlineStr">
        <is>
          <t>Tablet</t>
        </is>
      </c>
      <c r="D214" s="324" t="n">
        <v>442.425</v>
      </c>
      <c r="E214" s="53" t="n">
        <v>10303.56153846154</v>
      </c>
      <c r="F214" s="54" t="n">
        <v>884.85</v>
      </c>
      <c r="G214" s="55" t="n">
        <v>7</v>
      </c>
      <c r="H214" s="55" t="n">
        <v>2</v>
      </c>
      <c r="I214" s="55" t="n">
        <v>1</v>
      </c>
      <c r="J214" s="56" t="n">
        <v>4</v>
      </c>
      <c r="K214" s="56" t="inlineStr">
        <is>
          <t>https://amazon.com/dp/B0FQB6SXX8</t>
        </is>
      </c>
      <c r="L214" s="70">
        <f>HYPERLINK(Table3660[[#This Row],[Column1]])</f>
        <v/>
      </c>
    </row>
    <row r="215" ht="45" customHeight="1" s="290">
      <c r="A215" s="30" t="inlineStr">
        <is>
          <t>LAUNCH CRE Elite HD-H Heavy Duty Semi Truck Scanner, DPF Forced Regen for Hino, Bidirectional Full System Diesel Diagnostic Scan Tool</t>
        </is>
      </c>
      <c r="B215" s="30" t="inlineStr">
        <is>
          <t>B0F1Y69MX2</t>
        </is>
      </c>
      <c r="C215" s="30" t="inlineStr">
        <is>
          <t>Tablet</t>
        </is>
      </c>
      <c r="D215" s="324" t="n">
        <v>429</v>
      </c>
      <c r="E215" s="53" t="n">
        <v>9526.059999999999</v>
      </c>
      <c r="F215" s="54" t="n">
        <v>858</v>
      </c>
      <c r="G215" s="55" t="n">
        <v>15</v>
      </c>
      <c r="H215" s="55" t="n">
        <v>2</v>
      </c>
      <c r="I215" s="55" t="n"/>
      <c r="J215" s="56" t="n"/>
      <c r="K215" s="56" t="inlineStr">
        <is>
          <t>https://amazon.com/dp/B0F1Y69MX2</t>
        </is>
      </c>
      <c r="L215" s="70">
        <f>HYPERLINK(Table3660[[#This Row],[Column1]])</f>
        <v/>
      </c>
    </row>
    <row r="216" ht="30" customHeight="1" s="290">
      <c r="A216" s="30" t="inlineStr">
        <is>
          <t>Launch OBD2 Scanner CRP123I V2.0,Scan Tool Upgrade of CRP123E/CRP129E for ABS/SRS/AT/ENG, FCA SGW, 7 Reset Services, Oil/Brake/BMS/SAS/DPF/ABS Bleeding/Throttle Adaption, Free Lifetime Upgrade</t>
        </is>
      </c>
      <c r="B216" s="30" t="inlineStr">
        <is>
          <t>B0CC5N4XXN</t>
        </is>
      </c>
      <c r="C216" s="30" t="inlineStr">
        <is>
          <t>Tablet</t>
        </is>
      </c>
      <c r="D216" s="324" t="n">
        <v>211.695</v>
      </c>
      <c r="E216" s="53" t="n">
        <v>12951.95</v>
      </c>
      <c r="F216" s="54" t="n">
        <v>846.78</v>
      </c>
      <c r="G216" s="55" t="n">
        <v>71</v>
      </c>
      <c r="H216" s="55" t="n">
        <v>4</v>
      </c>
      <c r="I216" s="55" t="n">
        <v>80</v>
      </c>
      <c r="J216" s="56" t="n">
        <v>4.1</v>
      </c>
      <c r="K216" s="56" t="inlineStr">
        <is>
          <t>https://amazon.com/dp/B0CC5N4XXN</t>
        </is>
      </c>
      <c r="L216" s="70">
        <f>HYPERLINK(Table3660[[#This Row],[Column1]])</f>
        <v/>
      </c>
    </row>
    <row r="217" ht="45" customHeight="1" s="290">
      <c r="A217" s="30" t="inlineStr">
        <is>
          <t>LAUNCH X-431 DoIP Connector Adapter Cable with USB and 16-Pin Male to Female for X-431 Series Diagnostic Scanner DBScar VII and SmartLink Connector</t>
        </is>
      </c>
      <c r="B217" s="30" t="inlineStr">
        <is>
          <t>B0CQ8GDK2L</t>
        </is>
      </c>
      <c r="C217" s="30" t="inlineStr">
        <is>
          <t>Cable/Adapter</t>
        </is>
      </c>
      <c r="D217" s="324" t="n">
        <v>82.40900000000001</v>
      </c>
      <c r="E217" s="53" t="n">
        <v>9348.924999999999</v>
      </c>
      <c r="F217" s="54" t="n">
        <v>824.09</v>
      </c>
      <c r="G217" s="55" t="n">
        <v>97</v>
      </c>
      <c r="H217" s="55" t="n">
        <v>10</v>
      </c>
      <c r="I217" s="55" t="n">
        <v>4</v>
      </c>
      <c r="J217" s="56" t="n">
        <v>4.7</v>
      </c>
      <c r="K217" s="56" t="inlineStr">
        <is>
          <t>https://amazon.com/dp/B0CQ8GDK2L</t>
        </is>
      </c>
      <c r="L217" s="70">
        <f>HYPERLINK(Table3660[[#This Row],[Column1]])</f>
        <v/>
      </c>
    </row>
    <row r="218" ht="45" customHeight="1" s="290">
      <c r="A218" s="30" t="inlineStr">
        <is>
          <t>LAUNCH X-431 DoIP Connector Adapter Cable with USB and 16-Pin Male to Female for X-431 Series Diagnostic Scanner DBScar VII DBScar 7</t>
        </is>
      </c>
      <c r="B218" s="30" t="inlineStr">
        <is>
          <t>B0GFM465BH</t>
        </is>
      </c>
      <c r="C218" s="30" t="inlineStr">
        <is>
          <t>Cable/Adapter</t>
        </is>
      </c>
      <c r="D218" s="324" t="n">
        <v>91.35555555555555</v>
      </c>
      <c r="E218" s="53" t="n">
        <v>9670.668461538462</v>
      </c>
      <c r="F218" s="54" t="n">
        <v>822.2</v>
      </c>
      <c r="G218" s="55" t="n">
        <v>23</v>
      </c>
      <c r="H218" s="55" t="n">
        <v>9</v>
      </c>
      <c r="I218" s="55" t="n"/>
      <c r="J218" s="56" t="n"/>
      <c r="K218" s="56" t="inlineStr">
        <is>
          <t>https://amazon.com/dp/B0GFM465BH</t>
        </is>
      </c>
      <c r="L218" s="70">
        <f>HYPERLINK(Table3660[[#This Row],[Column1]])</f>
        <v/>
      </c>
    </row>
    <row r="219" ht="45" customHeight="1" s="290">
      <c r="A219" s="30" t="inlineStr">
        <is>
          <t>LAUNCH Creader Elite V2.0 for Land Rover Jaguar OBD2 Scanner, Bi-Directional Full Systems Diagnostic Scan Tool, All Reset Services, Active Test, Battery Reset, Height Calibration, Lifetime Free Update</t>
        </is>
      </c>
      <c r="B219" s="30" t="inlineStr">
        <is>
          <t>B0F4QVVDN6</t>
        </is>
      </c>
      <c r="C219" s="30" t="inlineStr">
        <is>
          <t>Tablet</t>
        </is>
      </c>
      <c r="D219" s="324" t="n">
        <v>162.364</v>
      </c>
      <c r="E219" s="53" t="n">
        <v>26428.27923076924</v>
      </c>
      <c r="F219" s="54" t="n">
        <v>811.8200000000001</v>
      </c>
      <c r="G219" s="55" t="n">
        <v>131</v>
      </c>
      <c r="H219" s="55" t="n">
        <v>5</v>
      </c>
      <c r="I219" s="55" t="n">
        <v>6</v>
      </c>
      <c r="J219" s="56" t="n">
        <v>3.2</v>
      </c>
      <c r="K219" s="56" t="inlineStr">
        <is>
          <t>https://amazon.com/dp/B0F4QVVDN6</t>
        </is>
      </c>
      <c r="L219" s="70">
        <f>HYPERLINK(Table3660[[#This Row],[Column1]])</f>
        <v/>
      </c>
    </row>
    <row r="220" ht="45" customHeight="1" s="290">
      <c r="A220" s="30" t="inlineStr">
        <is>
          <t>2026 Elite LAUNCH Creader Elite 205 OBD2 Scanner,4 System Diagnostic Scanner with 5 Resets, ABS Bleeding, Injector Coding, EPB,DPF Regeneration，Free Update, AutoVIN, FCA AutoAuth, 5 Years Backup</t>
        </is>
      </c>
      <c r="B220" s="30" t="inlineStr">
        <is>
          <t>B09D9K2FYX</t>
        </is>
      </c>
      <c r="C220" s="30" t="inlineStr">
        <is>
          <t>Handheld</t>
        </is>
      </c>
      <c r="D220" s="324" t="n">
        <v>98.53749999999999</v>
      </c>
      <c r="E220" s="53" t="n">
        <v>8670.949999999999</v>
      </c>
      <c r="F220" s="54" t="n">
        <v>788.3</v>
      </c>
      <c r="G220" s="55" t="n">
        <v>87</v>
      </c>
      <c r="H220" s="55" t="n">
        <v>8</v>
      </c>
      <c r="I220" s="55" t="n">
        <v>74</v>
      </c>
      <c r="J220" s="56" t="n">
        <v>3.7</v>
      </c>
      <c r="K220" s="56" t="inlineStr">
        <is>
          <t>https://amazon.com/dp/B09D9K2FYX</t>
        </is>
      </c>
      <c r="L220" s="70">
        <f>HYPERLINK(Table3660[[#This Row],[Column1]])</f>
        <v/>
      </c>
    </row>
    <row r="221" ht="45" customHeight="1" s="290">
      <c r="A221" s="30" t="inlineStr">
        <is>
          <t>LAUNCH AIOBD Bluetooth OBD2 Scanner - Full System Diagnostics, AI Explains Faults Simply, Parts/Labor/Cost Estimates, Works with iPhone &amp; Android</t>
        </is>
      </c>
      <c r="B221" s="30" t="inlineStr">
        <is>
          <t>B0FWCFYRHN</t>
        </is>
      </c>
      <c r="C221" s="30" t="inlineStr">
        <is>
          <t>Dongle</t>
        </is>
      </c>
      <c r="D221" s="324" t="n">
        <v>38.01000000000001</v>
      </c>
      <c r="E221" s="53" t="n">
        <v>11057.16153846154</v>
      </c>
      <c r="F221" s="54" t="n">
        <v>760.2</v>
      </c>
      <c r="G221" s="55" t="n">
        <v>134</v>
      </c>
      <c r="H221" s="55" t="n">
        <v>20</v>
      </c>
      <c r="I221" s="55" t="n">
        <v>30</v>
      </c>
      <c r="J221" s="56" t="n">
        <v>3.5</v>
      </c>
      <c r="K221" s="56" t="inlineStr">
        <is>
          <t>https://amazon.com/dp/B0FWCFYRHN</t>
        </is>
      </c>
      <c r="L221" s="70">
        <f>HYPERLINK(Table3660[[#This Row],[Column1]])</f>
        <v/>
      </c>
    </row>
    <row r="222" ht="45" customHeight="1" s="290">
      <c r="A222" s="30" t="inlineStr">
        <is>
          <t>2026 NEW Launch OBD2 Scanner CR529 Code Reader Check Engine Light for All OBDII Car After 1996 Full OBD2 Functions Mode 8, I/M Readiness DTC Lookup Lifetime Free Update Scan Tool [Upgrade Version]</t>
        </is>
      </c>
      <c r="B222" s="30" t="inlineStr">
        <is>
          <t>B0811JXH3M</t>
        </is>
      </c>
      <c r="C222" s="30" t="inlineStr">
        <is>
          <t>Handheld</t>
        </is>
      </c>
      <c r="D222" s="324" t="n">
        <v>44.19823529411764</v>
      </c>
      <c r="E222" s="53" t="n">
        <v>19139.95</v>
      </c>
      <c r="F222" s="54" t="n">
        <v>751.37</v>
      </c>
      <c r="G222" s="55" t="n">
        <v>413</v>
      </c>
      <c r="H222" s="55" t="n">
        <v>17</v>
      </c>
      <c r="I222" s="55" t="n">
        <v>2777</v>
      </c>
      <c r="J222" s="56" t="n">
        <v>4.3</v>
      </c>
      <c r="K222" s="56" t="inlineStr">
        <is>
          <t>https://amazon.com/dp/B0811JXH3M</t>
        </is>
      </c>
      <c r="L222" s="70">
        <f>HYPERLINK(Table3660[[#This Row],[Column1]])</f>
        <v/>
      </c>
    </row>
    <row r="223" ht="45" customHeight="1" s="290">
      <c r="A223" s="30" t="inlineStr">
        <is>
          <t>LAUNCH X431 Creader Elite FGC 2.0 OBD2 Scanner for Ford/GM/Chrysler Series, Bi-Directional Scan Tool, Lifetime Update, All System Diagnostic, 100+ Services, Advanced OBD2 Code Reader</t>
        </is>
      </c>
      <c r="B223" s="30" t="inlineStr">
        <is>
          <t>B0F8N73YYW</t>
        </is>
      </c>
      <c r="C223" s="30" t="inlineStr">
        <is>
          <t>Tablet</t>
        </is>
      </c>
      <c r="D223" s="324" t="n">
        <v>248.3366666666667</v>
      </c>
      <c r="E223" s="53" t="n">
        <v>13056.21461538462</v>
      </c>
      <c r="F223" s="54" t="n">
        <v>745.01</v>
      </c>
      <c r="G223" s="55" t="n">
        <v>46</v>
      </c>
      <c r="H223" s="55" t="n">
        <v>3</v>
      </c>
      <c r="I223" s="55" t="n">
        <v>4</v>
      </c>
      <c r="J223" s="56" t="n">
        <v>4.2</v>
      </c>
      <c r="K223" s="56" t="inlineStr">
        <is>
          <t>https://amazon.com/dp/B0F8N73YYW</t>
        </is>
      </c>
      <c r="L223" s="70">
        <f>HYPERLINK(Table3660[[#This Row],[Column1]])</f>
        <v/>
      </c>
    </row>
    <row r="224" ht="45" customHeight="1" s="290">
      <c r="A224" s="30" t="inlineStr">
        <is>
          <t>LAUNCH CRP129E Plus OBD2 Scanner, All-in-ONE Full System Diagnostic Scan Tool, Lifetime Free Update, 12 Reset Oil/TPMS/EPB/SAS/BMS/Throttle Reset, Injector Coding, FCA AutoAuth, Battery Test,Auto VIN</t>
        </is>
      </c>
      <c r="B224" s="30" t="inlineStr">
        <is>
          <t>B0CL2BPJ47</t>
        </is>
      </c>
      <c r="C224" s="30" t="inlineStr">
        <is>
          <t>Tablet</t>
        </is>
      </c>
      <c r="D224" s="324" t="n">
        <v>335.31</v>
      </c>
      <c r="E224" s="53" t="n">
        <v>10408.12384615385</v>
      </c>
      <c r="F224" s="54" t="n">
        <v>670.62</v>
      </c>
      <c r="G224" s="55" t="n">
        <v>38</v>
      </c>
      <c r="H224" s="55" t="n">
        <v>2</v>
      </c>
      <c r="I224" s="55" t="n">
        <v>35</v>
      </c>
      <c r="J224" s="56" t="n">
        <v>4.2</v>
      </c>
      <c r="K224" s="56" t="inlineStr">
        <is>
          <t>https://amazon.com/dp/B0CL2BPJ47</t>
        </is>
      </c>
      <c r="L224" s="70">
        <f>HYPERLINK(Table3660[[#This Row],[Column1]])</f>
        <v/>
      </c>
    </row>
    <row r="225" ht="45" customHeight="1" s="290">
      <c r="A225" s="30" t="inlineStr">
        <is>
          <t>LAUNCH X-431 MCU3 Programmer Kit for X-PROG3 GIII Work for Mercedes-Benz ECU and TCU Reading</t>
        </is>
      </c>
      <c r="B225" s="30" t="inlineStr">
        <is>
          <t>B0CZNTHWP2</t>
        </is>
      </c>
      <c r="C225" s="30" t="inlineStr">
        <is>
          <t>Other</t>
        </is>
      </c>
      <c r="D225" s="324" t="n">
        <v>167.3075</v>
      </c>
      <c r="E225" s="53" t="n">
        <v>10815.07076923077</v>
      </c>
      <c r="F225" s="54" t="n">
        <v>669.23</v>
      </c>
      <c r="G225" s="55" t="n">
        <v>59</v>
      </c>
      <c r="H225" s="55" t="n">
        <v>4</v>
      </c>
      <c r="I225" s="55" t="n">
        <v>10</v>
      </c>
      <c r="J225" s="56" t="n">
        <v>4.4</v>
      </c>
      <c r="K225" s="56" t="inlineStr">
        <is>
          <t>https://amazon.com/dp/B0CZNTHWP2</t>
        </is>
      </c>
      <c r="L225" s="70">
        <f>HYPERLINK(Table3660[[#This Row],[Column1]])</f>
        <v/>
      </c>
    </row>
    <row r="226" ht="45" customHeight="1" s="290">
      <c r="A226" s="30" t="inlineStr">
        <is>
          <t>Launch X431 PRO Star OBDII Scanner, All System Diagnostics, ECU Coding, 37+ Services, Full Bi-Directional Scan Tool, FCA SGW, CAN FD/DoIP, Quick Guide, 2 Years Fr-ee Update, Android 10.0</t>
        </is>
      </c>
      <c r="B226" s="30" t="inlineStr">
        <is>
          <t>B0DRNV2NMJ</t>
        </is>
      </c>
      <c r="C226" s="30" t="inlineStr">
        <is>
          <t>Tablet</t>
        </is>
      </c>
      <c r="D226" s="324" t="n">
        <v>658.71</v>
      </c>
      <c r="E226" s="53" t="n">
        <v>6064.01</v>
      </c>
      <c r="F226" s="54" t="n">
        <v>658.71</v>
      </c>
      <c r="G226" s="55" t="n">
        <v>6</v>
      </c>
      <c r="H226" s="55" t="n">
        <v>1</v>
      </c>
      <c r="I226" s="55" t="n"/>
      <c r="J226" s="56" t="n"/>
      <c r="K226" s="56" t="inlineStr">
        <is>
          <t>https://amazon.com/dp/B0DRNV2NMJ</t>
        </is>
      </c>
      <c r="L226" s="70">
        <f>HYPERLINK(Table3660[[#This Row],[Column1]])</f>
        <v/>
      </c>
    </row>
    <row r="227" ht="60" customHeight="1" s="290">
      <c r="A227" s="30" t="inlineStr">
        <is>
          <t>Launch Diagnostic Scanner Tool for BMW, 2024 Enhanced Multi-System OBD2 Scanner, Auto Fault Code Reader with Bi-Directional Control &amp; Battery Registration for BMW After 1996</t>
        </is>
      </c>
      <c r="B227" s="30" t="inlineStr">
        <is>
          <t>B09NN54ZJZ</t>
        </is>
      </c>
      <c r="C227" s="30" t="inlineStr">
        <is>
          <t>Handheld</t>
        </is>
      </c>
      <c r="D227" s="324" t="n">
        <v>128.996</v>
      </c>
      <c r="E227" s="53" t="n">
        <v>7316.376153846154</v>
      </c>
      <c r="F227" s="54" t="n">
        <v>644.98</v>
      </c>
      <c r="G227" s="55" t="n">
        <v>40</v>
      </c>
      <c r="H227" s="55" t="n">
        <v>5</v>
      </c>
      <c r="I227" s="55" t="n">
        <v>30</v>
      </c>
      <c r="J227" s="56" t="n">
        <v>4</v>
      </c>
      <c r="K227" s="56" t="inlineStr">
        <is>
          <t>https://amazon.com/dp/B09NN54ZJZ</t>
        </is>
      </c>
      <c r="L227" s="70">
        <f>HYPERLINK(Table3660[[#This Row],[Column1]])</f>
        <v/>
      </c>
    </row>
    <row r="228" ht="45" customHeight="1" s="290">
      <c r="A228" s="30" t="inlineStr">
        <is>
          <t>LAUNCH CRP123 V2.0 Plus Elite OBD2 Scanner, 2025 New Full System Lifetime Free Update Scan Tool with 3 Reset Oil Service, Throttle Adaption, SAS Relearn, Car Scanner for All Cars</t>
        </is>
      </c>
      <c r="B228" s="30" t="inlineStr">
        <is>
          <t>B0DKHBV8Q6</t>
        </is>
      </c>
      <c r="C228" s="30" t="inlineStr">
        <is>
          <t>Tablet</t>
        </is>
      </c>
      <c r="D228" s="324" t="n">
        <v>159.4075</v>
      </c>
      <c r="E228" s="53" t="n">
        <v>27325.13</v>
      </c>
      <c r="F228" s="54" t="n">
        <v>637.63</v>
      </c>
      <c r="G228" s="55" t="n">
        <v>177</v>
      </c>
      <c r="H228" s="55" t="n">
        <v>4</v>
      </c>
      <c r="I228" s="55" t="n">
        <v>18</v>
      </c>
      <c r="J228" s="56" t="n">
        <v>3.9</v>
      </c>
      <c r="K228" s="56" t="inlineStr">
        <is>
          <t>https://amazon.com/dp/B0DKHBV8Q6</t>
        </is>
      </c>
      <c r="L228" s="70">
        <f>HYPERLINK(Table3660[[#This Row],[Column1]])</f>
        <v/>
      </c>
    </row>
    <row r="229" ht="45" customHeight="1" s="290">
      <c r="A229" s="30" t="inlineStr">
        <is>
          <t>2026 Launch CRP123 V2.0 OBD2 Scanner, Engine, ABS, SRS, Transmission Code Reader Car Diagnostic Scan Tool, Full OBDII Modes Automotive Scanner, Live Data Stream Graph, Lifetime Free Update</t>
        </is>
      </c>
      <c r="B229" s="30" t="inlineStr">
        <is>
          <t>B07Q8KJMTM</t>
        </is>
      </c>
      <c r="C229" s="30" t="inlineStr">
        <is>
          <t>Tablet</t>
        </is>
      </c>
      <c r="D229" s="324" t="n">
        <v>127.526</v>
      </c>
      <c r="E229" s="53" t="n">
        <v>34767.21999999999</v>
      </c>
      <c r="F229" s="54" t="n">
        <v>637.63</v>
      </c>
      <c r="G229" s="55" t="n">
        <v>265</v>
      </c>
      <c r="H229" s="55" t="n">
        <v>5</v>
      </c>
      <c r="I229" s="55" t="n">
        <v>364</v>
      </c>
      <c r="J229" s="56" t="n">
        <v>4.3</v>
      </c>
      <c r="K229" s="56" t="inlineStr">
        <is>
          <t>https://amazon.com/dp/B07Q8KJMTM</t>
        </is>
      </c>
      <c r="L229" s="70">
        <f>HYPERLINK(Table3660[[#This Row],[Column1]])</f>
        <v/>
      </c>
    </row>
    <row r="230" ht="45" customHeight="1" s="290">
      <c r="A230" s="30" t="inlineStr">
        <is>
          <t>OBD2 Scanner LAUNCH Millennium 90 Pro Car Scanner, Full OBD2 Code Reader, Diagnostic Scan Tool for ABS SRS AT Engine, with Oil EPB BMS ABS Bleeding SAS Reset Service Functions, Lifetime Free Update</t>
        </is>
      </c>
      <c r="B230" s="30" t="inlineStr">
        <is>
          <t>B074XD3TRS</t>
        </is>
      </c>
      <c r="C230" s="30" t="inlineStr">
        <is>
          <t>Handheld</t>
        </is>
      </c>
      <c r="D230" s="324" t="n">
        <v>90.82714285714285</v>
      </c>
      <c r="E230" s="53" t="n">
        <v>13207.76</v>
      </c>
      <c r="F230" s="54" t="n">
        <v>635.79</v>
      </c>
      <c r="G230" s="55" t="n">
        <v>125</v>
      </c>
      <c r="H230" s="55" t="n">
        <v>7</v>
      </c>
      <c r="I230" s="55" t="n">
        <v>173</v>
      </c>
      <c r="J230" s="56" t="n">
        <v>4.4</v>
      </c>
      <c r="K230" s="56" t="inlineStr">
        <is>
          <t>https://amazon.com/dp/B074XD3TRS</t>
        </is>
      </c>
      <c r="L230" s="70">
        <f>HYPERLINK(Table3660[[#This Row],[Column1]])</f>
        <v/>
      </c>
    </row>
    <row r="231" ht="45" customHeight="1" s="290">
      <c r="A231" s="30" t="inlineStr">
        <is>
          <t>LAUNCH Creader 3001 OBD2 Scanner, Engine Fault Code Reader, Mode 6 &amp; CAN Diagnostic Scan Tool, Works with All 1996+ OBDII Protocol Vehicles, Lifetime Free Update</t>
        </is>
      </c>
      <c r="B231" s="30" t="inlineStr">
        <is>
          <t>B09B2C4TBV</t>
        </is>
      </c>
      <c r="C231" s="30" t="inlineStr">
        <is>
          <t>Handheld</t>
        </is>
      </c>
      <c r="D231" s="324" t="n">
        <v>17.10864864864865</v>
      </c>
      <c r="E231" s="53" t="n">
        <v>6389.919230769231</v>
      </c>
      <c r="F231" s="54" t="n">
        <v>633.02</v>
      </c>
      <c r="G231" s="55" t="n">
        <v>97</v>
      </c>
      <c r="H231" s="55" t="n">
        <v>37</v>
      </c>
      <c r="I231" s="55" t="n">
        <v>4</v>
      </c>
      <c r="J231" s="56" t="n">
        <v>5</v>
      </c>
      <c r="K231" s="56" t="inlineStr">
        <is>
          <t>https://amazon.com/dp/B09B2C4TBV</t>
        </is>
      </c>
      <c r="L231" s="70">
        <f>HYPERLINK(Table3660[[#This Row],[Column1]])</f>
        <v/>
      </c>
    </row>
    <row r="232" ht="30" customHeight="1" s="290">
      <c r="A232" s="30" t="inlineStr">
        <is>
          <t>Launch CRP129 MT Pro Motorcycle Scanner, OE All System Bidirectional Active Tests, Resets for Harley Honda Yamaha Kawasaki Indian Suzuki Polaris Victory, 38+ Brands, 11 Languages, 2 Years Upgrades</t>
        </is>
      </c>
      <c r="B232" s="30" t="inlineStr">
        <is>
          <t>B0GVQZLFX2</t>
        </is>
      </c>
      <c r="C232" s="30" t="inlineStr">
        <is>
          <t>Tablet</t>
        </is>
      </c>
      <c r="D232" s="324" t="n">
        <v>563.02</v>
      </c>
      <c r="E232" s="53" t="n">
        <v>6799.549230769229</v>
      </c>
      <c r="F232" s="54" t="n">
        <v>563.02</v>
      </c>
      <c r="G232" s="55" t="n">
        <v>1</v>
      </c>
      <c r="H232" s="55" t="n">
        <v>1</v>
      </c>
      <c r="I232" s="55" t="n"/>
      <c r="J232" s="56" t="n"/>
      <c r="K232" s="56" t="inlineStr">
        <is>
          <t>https://amazon.com/dp/B0GVQZLFX2</t>
        </is>
      </c>
      <c r="L232" s="70">
        <f>HYPERLINK(Table3660[[#This Row],[Column1]])</f>
        <v/>
      </c>
    </row>
    <row r="233" ht="30" customHeight="1" s="290">
      <c r="A233" s="30" t="inlineStr">
        <is>
          <t>LAUNCH OBD2 Scanner Engine Fault Code Reader, CR319 Code Reader Scanner, CAN Diagnostic Scan Tool Supports DTC Lookup, Mode6 O2 Sensor for OBDII Protocol Cars Since 1996 Black</t>
        </is>
      </c>
      <c r="B233" s="30" t="inlineStr">
        <is>
          <t>B07RTVPC4B</t>
        </is>
      </c>
      <c r="C233" s="30" t="inlineStr">
        <is>
          <t>Handheld</t>
        </is>
      </c>
      <c r="D233" s="324" t="n">
        <v>24.45347826086956</v>
      </c>
      <c r="E233" s="53" t="n">
        <v>9047.09</v>
      </c>
      <c r="F233" s="54" t="n">
        <v>562.4299999999999</v>
      </c>
      <c r="G233" s="55" t="n">
        <v>338</v>
      </c>
      <c r="H233" s="55" t="n">
        <v>23</v>
      </c>
      <c r="I233" s="55" t="n">
        <v>967</v>
      </c>
      <c r="J233" s="56" t="n">
        <v>4.4</v>
      </c>
      <c r="K233" s="56" t="inlineStr">
        <is>
          <t>https://amazon.com/dp/B07RTVPC4B</t>
        </is>
      </c>
      <c r="L233" s="70">
        <f>HYPERLINK(Table3660[[#This Row],[Column1]])</f>
        <v/>
      </c>
    </row>
    <row r="234" ht="60" customHeight="1" s="290">
      <c r="A234" s="30" t="inlineStr">
        <is>
          <t>LAUNCH CRP129I OBD2 Scanner, 2026 FCA AutoAuth, Next-Gen, 8 Resets Oil/EPB/SAS/TPMS/BMS/Throttle/DPF Reset/Injector Coding, ABS SRS Transmission Engine Code Reader, Lifetime Free Update</t>
        </is>
      </c>
      <c r="B234" s="30" t="inlineStr">
        <is>
          <t>B0CSW76T88</t>
        </is>
      </c>
      <c r="C234" s="30" t="inlineStr">
        <is>
          <t>Tablet</t>
        </is>
      </c>
      <c r="D234" s="324" t="n">
        <v>277.22</v>
      </c>
      <c r="E234" s="53" t="n">
        <v>19406.69</v>
      </c>
      <c r="F234" s="54" t="n">
        <v>554.4400000000001</v>
      </c>
      <c r="G234" s="55" t="n">
        <v>75</v>
      </c>
      <c r="H234" s="55" t="n">
        <v>2</v>
      </c>
      <c r="I234" s="55" t="n">
        <v>50</v>
      </c>
      <c r="J234" s="56" t="n">
        <v>4.1</v>
      </c>
      <c r="K234" s="56" t="inlineStr">
        <is>
          <t>https://amazon.com/dp/B0CSW76T88</t>
        </is>
      </c>
      <c r="L234" s="70">
        <f>HYPERLINK(Table3660[[#This Row],[Column1]])</f>
        <v/>
      </c>
    </row>
    <row r="235" ht="45" customHeight="1" s="290">
      <c r="A235" s="30" t="inlineStr">
        <is>
          <t>LAUNCH Professional OBD2 Scanner Diagnostic Tool CR3008 Plus,One-Key I/M,Lifetime Update Code Reader,Enhanced Check Engine Code Reader OBDII Car Scan Tool for All Vehicles After 1996,Battery Test</t>
        </is>
      </c>
      <c r="B235" s="30" t="inlineStr">
        <is>
          <t>B0FWRMRK55</t>
        </is>
      </c>
      <c r="C235" s="30" t="inlineStr">
        <is>
          <t>Handheld</t>
        </is>
      </c>
      <c r="D235" s="324" t="n">
        <v>39.01214285714286</v>
      </c>
      <c r="E235" s="53" t="n">
        <v>5048.895384615383</v>
      </c>
      <c r="F235" s="54" t="n">
        <v>546.17</v>
      </c>
      <c r="G235" s="55" t="n">
        <v>27</v>
      </c>
      <c r="H235" s="55" t="n">
        <v>14</v>
      </c>
      <c r="I235" s="55" t="n">
        <v>1</v>
      </c>
      <c r="J235" s="56" t="n">
        <v>5</v>
      </c>
      <c r="K235" s="56" t="inlineStr">
        <is>
          <t>https://amazon.com/dp/B0FWRMRK55</t>
        </is>
      </c>
      <c r="L235" s="70">
        <f>HYPERLINK(Table3660[[#This Row],[Column1]])</f>
        <v/>
      </c>
    </row>
    <row r="236" ht="45" customHeight="1" s="290">
      <c r="A236" s="30" t="inlineStr">
        <is>
          <t>LAUNCH CRP123I V2.0 Elite OBD2 Scanner, 2026 Upgraded Diagnostic Scan Tool with 7 Reset, Oil/SAS/Throttle/Brake/BMS/DPF Reset/ABS Bleeding, Multi System Code Reader, Lifetime Free Update, FCA SGW</t>
        </is>
      </c>
      <c r="B236" s="30" t="inlineStr">
        <is>
          <t>B0DKH9HZNY</t>
        </is>
      </c>
      <c r="C236" s="30" t="inlineStr">
        <is>
          <t>Tablet</t>
        </is>
      </c>
      <c r="D236" s="324" t="n">
        <v>176.64</v>
      </c>
      <c r="E236" s="53" t="n">
        <v>36119.60692307692</v>
      </c>
      <c r="F236" s="54" t="n">
        <v>529.92</v>
      </c>
      <c r="G236" s="55" t="n">
        <v>210</v>
      </c>
      <c r="H236" s="55" t="n">
        <v>3</v>
      </c>
      <c r="I236" s="55" t="n">
        <v>42</v>
      </c>
      <c r="J236" s="56" t="n">
        <v>4.2</v>
      </c>
      <c r="K236" s="56" t="inlineStr">
        <is>
          <t>https://amazon.com/dp/B0DKH9HZNY</t>
        </is>
      </c>
      <c r="L236" s="70">
        <f>HYPERLINK(Table3660[[#This Row],[Column1]])</f>
        <v/>
      </c>
    </row>
    <row r="237" ht="45" customHeight="1" s="290">
      <c r="A237" s="30" t="inlineStr">
        <is>
          <t>LAUNCH Creader Elite HD-C Heavy Duty Truck Scanner for Caterpillar, All System Active Test Diesel Diagnostic Tool-25 Calibration/Reset Special Service, 4-in-1 Live Graph Data Car Scan Tool</t>
        </is>
      </c>
      <c r="B237" s="30" t="inlineStr">
        <is>
          <t>B0DQ3YVKZS</t>
        </is>
      </c>
      <c r="C237" s="30" t="inlineStr">
        <is>
          <t>Tablet</t>
        </is>
      </c>
      <c r="D237" s="324" t="n">
        <v>505.32</v>
      </c>
      <c r="E237" s="53" t="n">
        <v>3658.106923076923</v>
      </c>
      <c r="F237" s="54" t="n">
        <v>505.32</v>
      </c>
      <c r="G237" s="55" t="n">
        <v>4</v>
      </c>
      <c r="H237" s="55" t="n">
        <v>1</v>
      </c>
      <c r="I237" s="55" t="n"/>
      <c r="J237" s="56" t="n"/>
      <c r="K237" s="56" t="inlineStr">
        <is>
          <t>https://amazon.com/dp/B0DQ3YVKZS</t>
        </is>
      </c>
      <c r="L237" s="70">
        <f>HYPERLINK(Table3660[[#This Row],[Column1]])</f>
        <v/>
      </c>
    </row>
    <row r="238" ht="60" customHeight="1" s="290">
      <c r="A238" s="30" t="inlineStr">
        <is>
          <t>LAUNCH CRP129 HD Heavy Duty Truck Scanner with DPF Regen Injector Cutoff, Full System Diesel Diagnostic Scan Tool for Cummins Caterpillar Pickup Tractor &amp; More Commercial Vehicle Semi-Trucks</t>
        </is>
      </c>
      <c r="B238" s="30" t="inlineStr">
        <is>
          <t>B0D2XLZ5JX</t>
        </is>
      </c>
      <c r="C238" s="30" t="inlineStr">
        <is>
          <t>Tablet</t>
        </is>
      </c>
      <c r="D238" s="324" t="n">
        <v>499</v>
      </c>
      <c r="E238" s="53" t="n">
        <v>39385.23</v>
      </c>
      <c r="F238" s="54" t="n">
        <v>499</v>
      </c>
      <c r="G238" s="55" t="n">
        <v>74</v>
      </c>
      <c r="H238" s="55" t="n">
        <v>1</v>
      </c>
      <c r="I238" s="55" t="n">
        <v>10</v>
      </c>
      <c r="J238" s="56" t="n">
        <v>4.5</v>
      </c>
      <c r="K238" s="56" t="inlineStr">
        <is>
          <t>https://amazon.com/dp/B0D2XLZ5JX</t>
        </is>
      </c>
      <c r="L238" s="70">
        <f>HYPERLINK(Table3660[[#This Row],[Column1]])</f>
        <v/>
      </c>
    </row>
    <row r="239" ht="45" customHeight="1" s="290">
      <c r="A239" s="30" t="inlineStr">
        <is>
          <t>Launch Creader Elite Code Reader Bi-Directional Scan Tool for Audi Full System Diagnostic Scanner, 31+ Services Online Coding AutoVIN WiFi Update</t>
        </is>
      </c>
      <c r="B239" s="30" t="inlineStr">
        <is>
          <t>B0D3D4QV4W</t>
        </is>
      </c>
      <c r="C239" s="30" t="inlineStr">
        <is>
          <t>Handheld</t>
        </is>
      </c>
      <c r="D239" s="324" t="n">
        <v>120.5475</v>
      </c>
      <c r="E239" s="53" t="n">
        <v>1405.92</v>
      </c>
      <c r="F239" s="54" t="n">
        <v>482.19</v>
      </c>
      <c r="G239" s="55" t="n">
        <v>11</v>
      </c>
      <c r="H239" s="55" t="n">
        <v>4</v>
      </c>
      <c r="I239" s="55" t="n">
        <v>1</v>
      </c>
      <c r="J239" s="56" t="n">
        <v>1</v>
      </c>
      <c r="K239" s="56" t="inlineStr">
        <is>
          <t>https://amazon.com/dp/B0D3D4QV4W</t>
        </is>
      </c>
      <c r="L239" s="70">
        <f>HYPERLINK(Table3660[[#This Row],[Column1]])</f>
        <v/>
      </c>
    </row>
    <row r="240" ht="45" customHeight="1" s="290">
      <c r="A240" s="30" t="inlineStr">
        <is>
          <t>LAUNCH OBD2 Scanner 2026 New CRP129X V2.0 (Upgraded of CRP129X,CRP123X Car Scanner), 12 Resets Scan Tool, Android 8.1 AutoVIN, 4 System Diagnostic Scanner,r, Lifetime Update, 5 Years Backup</t>
        </is>
      </c>
      <c r="B240" s="30" t="inlineStr">
        <is>
          <t>B08JCP3VQQ</t>
        </is>
      </c>
      <c r="C240" s="30" t="inlineStr">
        <is>
          <t>Tablet</t>
        </is>
      </c>
      <c r="D240" s="324" t="n">
        <v>238.98</v>
      </c>
      <c r="E240" s="53" t="n">
        <v>15459.24</v>
      </c>
      <c r="F240" s="54" t="n">
        <v>477.96</v>
      </c>
      <c r="G240" s="55" t="n">
        <v>60</v>
      </c>
      <c r="H240" s="55" t="n">
        <v>2</v>
      </c>
      <c r="I240" s="55" t="n">
        <v>169</v>
      </c>
      <c r="J240" s="56" t="n">
        <v>4</v>
      </c>
      <c r="K240" s="56" t="inlineStr">
        <is>
          <t>https://amazon.com/dp/B08JCP3VQQ</t>
        </is>
      </c>
      <c r="L240" s="70">
        <f>HYPERLINK(Table3660[[#This Row],[Column1]])</f>
        <v/>
      </c>
    </row>
    <row r="241" ht="45" customHeight="1" s="290">
      <c r="A241" s="30" t="inlineStr">
        <is>
          <t>LAUNCH Professional OBD2 Scanner Diagnostic Tool CR3008 Plus,One-Click I/M,Lifetime Update Code Reader,Enhanced Check Engine Code Reader OBDII Car Scan Tool for All Vehicles After 1996,Battery Test</t>
        </is>
      </c>
      <c r="B241" s="30" t="inlineStr">
        <is>
          <t>B0CLDK3M3B</t>
        </is>
      </c>
      <c r="C241" s="30" t="inlineStr">
        <is>
          <t>Handheld</t>
        </is>
      </c>
      <c r="D241" s="324" t="n">
        <v>46.633</v>
      </c>
      <c r="E241" s="53" t="n">
        <v>29464.75</v>
      </c>
      <c r="F241" s="54" t="n">
        <v>466.33</v>
      </c>
      <c r="G241" s="55" t="n">
        <v>709</v>
      </c>
      <c r="H241" s="55" t="n">
        <v>10</v>
      </c>
      <c r="I241" s="55" t="n">
        <v>153</v>
      </c>
      <c r="J241" s="56" t="n">
        <v>4.3</v>
      </c>
      <c r="K241" s="56" t="inlineStr">
        <is>
          <t>https://amazon.com/dp/B0CLDK3M3B</t>
        </is>
      </c>
      <c r="L241" s="70">
        <f>HYPERLINK(Table3660[[#This Row],[Column1]])</f>
        <v/>
      </c>
    </row>
    <row r="242" ht="45" customHeight="1" s="290">
      <c r="A242" s="30" t="inlineStr">
        <is>
          <t>LAUNCH OBD2 Extension Cable 16Pin Male to Female Full Function OBDII Extender, Reinforced Nylon Diagnostic Cord Connector 36CM/1.2FT</t>
        </is>
      </c>
      <c r="B242" s="30" t="inlineStr">
        <is>
          <t>B0FX3Q2MFY</t>
        </is>
      </c>
      <c r="C242" s="30" t="inlineStr">
        <is>
          <t>Cable/Adapter</t>
        </is>
      </c>
      <c r="D242" s="324" t="n">
        <v>11.15425</v>
      </c>
      <c r="E242" s="53" t="n">
        <v>3894.394615384616</v>
      </c>
      <c r="F242" s="54" t="n">
        <v>446.17</v>
      </c>
      <c r="G242" s="55" t="n">
        <v>86</v>
      </c>
      <c r="H242" s="55" t="n">
        <v>40</v>
      </c>
      <c r="I242" s="55" t="n">
        <v>1</v>
      </c>
      <c r="J242" s="56" t="n">
        <v>4</v>
      </c>
      <c r="K242" s="56" t="inlineStr">
        <is>
          <t>https://amazon.com/dp/B0FX3Q2MFY</t>
        </is>
      </c>
      <c r="L242" s="70">
        <f>HYPERLINK(Table3660[[#This Row],[Column1]])</f>
        <v/>
      </c>
    </row>
    <row r="243" ht="45" customHeight="1" s="290">
      <c r="A243" s="30" t="inlineStr">
        <is>
          <t>LAUNCH X431 Motorcycle OBD Diagnostic Connector Kit 2.0 with Motorcycle Diagnostic Software Work with LAUNCH X-431 Diagnostic Scanner</t>
        </is>
      </c>
      <c r="B243" s="30" t="inlineStr">
        <is>
          <t>B0FN7RYXGM</t>
        </is>
      </c>
      <c r="C243" s="30" t="inlineStr">
        <is>
          <t>Cable/Adapter</t>
        </is>
      </c>
      <c r="D243" s="324" t="n">
        <v>437.95</v>
      </c>
      <c r="E243" s="53" t="n">
        <v>3732.16923076923</v>
      </c>
      <c r="F243" s="54" t="n">
        <v>437.95</v>
      </c>
      <c r="G243" s="55" t="n">
        <v>3</v>
      </c>
      <c r="H243" s="55" t="n">
        <v>1</v>
      </c>
      <c r="I243" s="55" t="n"/>
      <c r="J243" s="56" t="n"/>
      <c r="K243" s="56" t="inlineStr">
        <is>
          <t>https://amazon.com/dp/B0FN7RYXGM</t>
        </is>
      </c>
      <c r="L243" s="70">
        <f>HYPERLINK(Table3660[[#This Row],[Column1]])</f>
        <v/>
      </c>
    </row>
    <row r="244" ht="45" customHeight="1" s="290">
      <c r="A244" s="30" t="inlineStr">
        <is>
          <t>Launch X431 PRO Dyno Bidirectional Scan Tool, ECU Coding Online Offline, 38 HOT Services, CANFD DoIP, FCA SGW, 8 Expansion Modules</t>
        </is>
      </c>
      <c r="B244" s="30" t="inlineStr">
        <is>
          <t>B0F3D296G2</t>
        </is>
      </c>
      <c r="C244" s="30" t="inlineStr">
        <is>
          <t>Tablet</t>
        </is>
      </c>
      <c r="D244" s="324" t="n">
        <v>431.46</v>
      </c>
      <c r="E244" s="53" t="n">
        <v>6673.500000000001</v>
      </c>
      <c r="F244" s="54" t="n">
        <v>431.46</v>
      </c>
      <c r="G244" s="55" t="n">
        <v>8</v>
      </c>
      <c r="H244" s="55" t="n">
        <v>1</v>
      </c>
      <c r="I244" s="55" t="n">
        <v>1</v>
      </c>
      <c r="J244" s="56" t="n">
        <v>5</v>
      </c>
      <c r="K244" s="56" t="inlineStr">
        <is>
          <t>https://amazon.com/dp/B0F3D296G2</t>
        </is>
      </c>
      <c r="L244" s="70">
        <f>HYPERLINK(Table3660[[#This Row],[Column1]])</f>
        <v/>
      </c>
    </row>
    <row r="245" ht="45" customHeight="1" s="290">
      <c r="A245" s="30" t="inlineStr">
        <is>
          <t>2026 LAUNCH CRP909E Elite OBD2 Scanner, OE-Level Full System Car Diagnostic Tool, 28+ Reset Service, Injector Code, SAS, ABS Bleeding, Auto VIN, 2 Years Free Update</t>
        </is>
      </c>
      <c r="B245" s="30" t="inlineStr">
        <is>
          <t>B089Y3T3BJ</t>
        </is>
      </c>
      <c r="C245" s="30" t="inlineStr">
        <is>
          <t>Tablet</t>
        </is>
      </c>
      <c r="D245" s="324" t="n">
        <v>398.75</v>
      </c>
      <c r="E245" s="53" t="n">
        <v>5116.675384615383</v>
      </c>
      <c r="F245" s="54" t="n">
        <v>398.75</v>
      </c>
      <c r="G245" s="55" t="n">
        <v>6</v>
      </c>
      <c r="H245" s="55" t="n">
        <v>1</v>
      </c>
      <c r="I245" s="55" t="n">
        <v>95</v>
      </c>
      <c r="J245" s="56" t="n">
        <v>4.2</v>
      </c>
      <c r="K245" s="56" t="inlineStr">
        <is>
          <t>https://amazon.com/dp/B089Y3T3BJ</t>
        </is>
      </c>
      <c r="L245" s="70">
        <f>HYPERLINK(Table3660[[#This Row],[Column1]])</f>
        <v/>
      </c>
    </row>
    <row r="246" ht="30" customHeight="1" s="290">
      <c r="A246" s="30" t="inlineStr">
        <is>
          <t>OBD2 Scanner, LAUNCH Millennium 90 Pro Car Code Reader DIY Full OBDII Scanner Check Engine/ABS/SRS/Transmission Diagnostic Scan Tool, Oil/EPB/BMS/DPF/SAS Reset/ABS Brake Bleed Car Scanner, Free Update</t>
        </is>
      </c>
      <c r="B246" s="30" t="inlineStr">
        <is>
          <t>B08KDLMSM2</t>
        </is>
      </c>
      <c r="C246" s="30" t="inlineStr">
        <is>
          <t>Handheld</t>
        </is>
      </c>
      <c r="D246" s="324" t="n">
        <v>132.08</v>
      </c>
      <c r="E246" s="53" t="n">
        <v>9773.960000000001</v>
      </c>
      <c r="F246" s="54" t="n">
        <v>396.24</v>
      </c>
      <c r="G246" s="55" t="n">
        <v>45</v>
      </c>
      <c r="H246" s="55" t="n">
        <v>3</v>
      </c>
      <c r="I246" s="55" t="n">
        <v>173</v>
      </c>
      <c r="J246" s="56" t="n">
        <v>4.4</v>
      </c>
      <c r="K246" s="56" t="inlineStr">
        <is>
          <t>https://amazon.com/dp/B08KDLMSM2</t>
        </is>
      </c>
      <c r="L246" s="70">
        <f>HYPERLINK(Table3660[[#This Row],[Column1]])</f>
        <v/>
      </c>
    </row>
    <row r="247" ht="45" customHeight="1" s="290">
      <c r="A247" s="30" t="inlineStr">
        <is>
          <t>LAUNCH CRP129I V3.0 OBD2 Scanner, 2026 Lifetime Free Update Scan Tool with 12 Reset, ABS Bleeding/TPMS/Oil/EPB/SAS/BMS/Adblue/Headlamp/Throttle Reset, Injector Coding, Auto VIN, Battery Test</t>
        </is>
      </c>
      <c r="B247" s="30" t="inlineStr">
        <is>
          <t>B0CDRMHDJX</t>
        </is>
      </c>
      <c r="C247" s="30" t="inlineStr">
        <is>
          <t>Tablet</t>
        </is>
      </c>
      <c r="D247" s="324" t="n">
        <v>196.625</v>
      </c>
      <c r="E247" s="53" t="n">
        <v>14442.34</v>
      </c>
      <c r="F247" s="54" t="n">
        <v>393.25</v>
      </c>
      <c r="G247" s="55" t="n">
        <v>58</v>
      </c>
      <c r="H247" s="55" t="n">
        <v>2</v>
      </c>
      <c r="I247" s="55" t="n">
        <v>59</v>
      </c>
      <c r="J247" s="56" t="n">
        <v>4.4</v>
      </c>
      <c r="K247" s="56" t="inlineStr">
        <is>
          <t>https://amazon.com/dp/B0CDRMHDJX</t>
        </is>
      </c>
      <c r="L247" s="70">
        <f>HYPERLINK(Table3660[[#This Row],[Column1]])</f>
        <v/>
      </c>
    </row>
    <row r="248" ht="45" customHeight="1" s="290">
      <c r="A248" s="30" t="inlineStr">
        <is>
          <t>LAUNCH OBD2 Extension Cable, Full 16 Pin Male to Female Extension Cable for Car OBD Diagnostic Extender Cord Connector OBD2 Cable (60CM/23.6Inch)</t>
        </is>
      </c>
      <c r="B248" s="30" t="inlineStr">
        <is>
          <t>B0DKJHML88</t>
        </is>
      </c>
      <c r="C248" s="30" t="inlineStr">
        <is>
          <t>Cable/Adapter</t>
        </is>
      </c>
      <c r="D248" s="324" t="n">
        <v>14.19730769230769</v>
      </c>
      <c r="E248" s="53" t="n">
        <v>4554.12</v>
      </c>
      <c r="F248" s="54" t="n">
        <v>369.13</v>
      </c>
      <c r="G248" s="55" t="n">
        <v>326</v>
      </c>
      <c r="H248" s="55" t="n">
        <v>26</v>
      </c>
      <c r="I248" s="55" t="n">
        <v>10</v>
      </c>
      <c r="J248" s="56" t="n">
        <v>4.9</v>
      </c>
      <c r="K248" s="56" t="inlineStr">
        <is>
          <t>https://amazon.com/dp/B0DKJHML88</t>
        </is>
      </c>
      <c r="L248" s="70">
        <f>HYPERLINK(Table3660[[#This Row],[Column1]])</f>
        <v/>
      </c>
    </row>
    <row r="249" ht="45" customHeight="1" s="290">
      <c r="A249" s="30" t="inlineStr">
        <is>
          <t>LAUNCH X431 CSL12+8 Original OBD2 Adapter Fit for Chrysler 12+8 Programming Cable Connector, FCA Bypass Gateway Protocol OBDII Cable - 14.8 inches/37.5 cm</t>
        </is>
      </c>
      <c r="B249" s="30" t="inlineStr">
        <is>
          <t>B0DQKCKR5J</t>
        </is>
      </c>
      <c r="C249" s="30" t="inlineStr">
        <is>
          <t>Cable/Adapter</t>
        </is>
      </c>
      <c r="D249" s="324" t="n">
        <v>29.87666666666667</v>
      </c>
      <c r="E249" s="53" t="n">
        <v>5323.113076923078</v>
      </c>
      <c r="F249" s="54" t="n">
        <v>358.52</v>
      </c>
      <c r="G249" s="55" t="n">
        <v>156</v>
      </c>
      <c r="H249" s="55" t="n">
        <v>12</v>
      </c>
      <c r="I249" s="55" t="n">
        <v>5</v>
      </c>
      <c r="J249" s="56" t="n">
        <v>3.9</v>
      </c>
      <c r="K249" s="56" t="inlineStr">
        <is>
          <t>https://amazon.com/dp/B0DQKCKR5J</t>
        </is>
      </c>
      <c r="L249" s="70">
        <f>HYPERLINK(Table3660[[#This Row],[Column1]])</f>
        <v/>
      </c>
    </row>
    <row r="250" ht="45" customHeight="1" s="290">
      <c r="A250" s="30" t="inlineStr">
        <is>
          <t>LAUNCH CAN FD Connector Adapter Cable for CRP Series Scan Tool, Compatible with Creader Professional OBD2 Scanners CRP123X/E/I V3.0, CRP129X/E/I V3.0, CRP129X/E/I Plus V3.0, CRP919X/E Lite</t>
        </is>
      </c>
      <c r="B250" s="30" t="inlineStr">
        <is>
          <t>B0GQZH4WNM</t>
        </is>
      </c>
      <c r="C250" s="30" t="inlineStr">
        <is>
          <t>Tablet</t>
        </is>
      </c>
      <c r="D250" s="324" t="n">
        <v>108.44</v>
      </c>
      <c r="E250" s="53" t="n">
        <v>3727.559230769231</v>
      </c>
      <c r="F250" s="54" t="n">
        <v>325.32</v>
      </c>
      <c r="G250" s="55" t="n">
        <v>4</v>
      </c>
      <c r="H250" s="55" t="n">
        <v>3</v>
      </c>
      <c r="I250" s="55" t="n"/>
      <c r="J250" s="56" t="n"/>
      <c r="K250" s="56" t="inlineStr">
        <is>
          <t>https://amazon.com/dp/B0GQZH4WNM</t>
        </is>
      </c>
      <c r="L250" s="70">
        <f>HYPERLINK(Table3660[[#This Row],[Column1]])</f>
        <v/>
      </c>
    </row>
    <row r="251" ht="45" customHeight="1" s="290">
      <c r="A251" s="30" t="inlineStr">
        <is>
          <t>LAUNCH X-431 VSP-100 Endoscope Work with X-431 Tablet 5.5mm Ultra-Thin Digital HD USB Video Inspection Camera Multi-Angle Imaging One-Click Snapshot IP67 Waterproof Borescope Videoscope</t>
        </is>
      </c>
      <c r="B251" s="30" t="inlineStr">
        <is>
          <t>B0FDK1BNPW</t>
        </is>
      </c>
      <c r="C251" s="30" t="inlineStr">
        <is>
          <t>Other</t>
        </is>
      </c>
      <c r="D251" s="324" t="n">
        <v>50.83333333333334</v>
      </c>
      <c r="E251" s="53" t="n">
        <v>2779.895384615385</v>
      </c>
      <c r="F251" s="54" t="n">
        <v>305</v>
      </c>
      <c r="G251" s="55" t="n">
        <v>39</v>
      </c>
      <c r="H251" s="55" t="n">
        <v>6</v>
      </c>
      <c r="I251" s="55" t="n">
        <v>3</v>
      </c>
      <c r="J251" s="56" t="n">
        <v>5</v>
      </c>
      <c r="K251" s="56" t="inlineStr">
        <is>
          <t>https://amazon.com/dp/B0FDK1BNPW</t>
        </is>
      </c>
      <c r="L251" s="70">
        <f>HYPERLINK(Table3660[[#This Row],[Column1]])</f>
        <v/>
      </c>
    </row>
    <row r="252" ht="45" customHeight="1" s="290">
      <c r="A252" s="30" t="inlineStr">
        <is>
          <t>Launch OBD2 Scanner</t>
        </is>
      </c>
      <c r="B252" s="30" t="inlineStr">
        <is>
          <t>B08DV79QMN</t>
        </is>
      </c>
      <c r="C252" s="30" t="inlineStr">
        <is>
          <t>Handheld</t>
        </is>
      </c>
      <c r="D252" s="324" t="n">
        <v>73.2</v>
      </c>
      <c r="E252" s="53" t="n">
        <v>2822.870769230769</v>
      </c>
      <c r="F252" s="54" t="n">
        <v>292.8</v>
      </c>
      <c r="G252" s="55" t="n">
        <v>18</v>
      </c>
      <c r="H252" s="55" t="n">
        <v>4</v>
      </c>
      <c r="I252" s="55" t="n">
        <v>1</v>
      </c>
      <c r="J252" s="56" t="n">
        <v>5</v>
      </c>
      <c r="K252" s="56" t="inlineStr">
        <is>
          <t>https://amazon.com/dp/B08DV79QMN</t>
        </is>
      </c>
      <c r="L252" s="70">
        <f>HYPERLINK(Table3660[[#This Row],[Column1]])</f>
        <v/>
      </c>
    </row>
    <row r="253" ht="45" customHeight="1" s="290">
      <c r="A253" s="30" t="inlineStr">
        <is>
          <t>Launch CRP 123X Plus 2026 OBD2 Scanner Diagnostic Tool, All System Car Scan Tool Lifetime F.Ree Update, Oil Reset, SAS Calibration, Throttle Adaptation, Auto VIN, Battery Test, Upgraded of CRP123X</t>
        </is>
      </c>
      <c r="B253" s="30" t="inlineStr">
        <is>
          <t>B0GS274MRY</t>
        </is>
      </c>
      <c r="C253" s="30" t="inlineStr">
        <is>
          <t>Tablet</t>
        </is>
      </c>
      <c r="D253" s="324" t="n">
        <v>286.66</v>
      </c>
      <c r="E253" s="53" t="n">
        <v>3461.970769230768</v>
      </c>
      <c r="F253" s="54" t="n">
        <v>286.66</v>
      </c>
      <c r="G253" s="55" t="n">
        <v>1</v>
      </c>
      <c r="H253" s="55" t="n">
        <v>1</v>
      </c>
      <c r="I253" s="55" t="n"/>
      <c r="J253" s="56" t="n"/>
      <c r="K253" s="56" t="inlineStr">
        <is>
          <t>https://amazon.com/dp/B0GS274MRY</t>
        </is>
      </c>
      <c r="L253" s="70">
        <f>HYPERLINK(Table3660[[#This Row],[Column1]])</f>
        <v/>
      </c>
    </row>
    <row r="254" ht="45" customHeight="1" s="290">
      <c r="A254" s="30" t="inlineStr">
        <is>
          <t>LAUNCH Non-16 Pin Adapter Kit Work for LAUNCH CRP919E BT/ CRP919X BT X431 [X431 V/PROS, X431 V/V+ PRO S+/3S+/5/Mini, PAD III/V/VII] OE-Standard Connectors for 1996-2002 Vehicles</t>
        </is>
      </c>
      <c r="B254" s="30" t="inlineStr">
        <is>
          <t>B0D6276F4J</t>
        </is>
      </c>
      <c r="C254" s="30" t="inlineStr">
        <is>
          <t>Cable/Adapter</t>
        </is>
      </c>
      <c r="D254" s="324" t="n">
        <v>142.78</v>
      </c>
      <c r="E254" s="53" t="n">
        <v>2792.755384615385</v>
      </c>
      <c r="F254" s="54" t="n">
        <v>285.56</v>
      </c>
      <c r="G254" s="55" t="n">
        <v>13</v>
      </c>
      <c r="H254" s="55" t="n">
        <v>2</v>
      </c>
      <c r="I254" s="55" t="n">
        <v>1</v>
      </c>
      <c r="J254" s="56" t="n">
        <v>5</v>
      </c>
      <c r="K254" s="56" t="inlineStr">
        <is>
          <t>https://amazon.com/dp/B0D6276F4J</t>
        </is>
      </c>
      <c r="L254" s="70">
        <f>HYPERLINK(Table3660[[#This Row],[Column1]])</f>
        <v/>
      </c>
    </row>
    <row r="255" ht="45" customHeight="1" s="290">
      <c r="A255" s="30" t="inlineStr">
        <is>
          <t>NEW 2026 LAUNCH Scanner International Heavy Duty Truck Cummins MAXXFORCE Diagnostic Scan Tool, Actuation Test,Coding,Special Functions, Full System Diagnosis,Lifetime Free Upgrade</t>
        </is>
      </c>
      <c r="B255" s="30" t="inlineStr">
        <is>
          <t>B0DCNN3ZT5</t>
        </is>
      </c>
      <c r="C255" s="30" t="inlineStr">
        <is>
          <t>Tablet</t>
        </is>
      </c>
      <c r="D255" s="324" t="n">
        <v>277.97</v>
      </c>
      <c r="E255" s="53" t="n">
        <v>12209</v>
      </c>
      <c r="F255" s="54" t="n">
        <v>277.97</v>
      </c>
      <c r="G255" s="55" t="n">
        <v>28</v>
      </c>
      <c r="H255" s="55" t="n">
        <v>1</v>
      </c>
      <c r="I255" s="55" t="n">
        <v>2</v>
      </c>
      <c r="J255" s="56" t="n">
        <v>2.5</v>
      </c>
      <c r="K255" s="56" t="inlineStr">
        <is>
          <t>https://amazon.com/dp/B0DCNN3ZT5</t>
        </is>
      </c>
      <c r="L255" s="70">
        <f>HYPERLINK(Table3660[[#This Row],[Column1]])</f>
        <v/>
      </c>
    </row>
    <row r="256" ht="45" customHeight="1" s="290">
      <c r="A256" s="30" t="inlineStr">
        <is>
          <t>LAUNCH Original Main Cable Fit for X431 CRP123i, CRP123e, CRP123x, CRP129i, CRP129e, CRP129x OBD2 Replacement Cable - Black</t>
        </is>
      </c>
      <c r="B256" s="30" t="inlineStr">
        <is>
          <t>B0DQY5KS5C</t>
        </is>
      </c>
      <c r="C256" s="30" t="inlineStr">
        <is>
          <t>Cable/Adapter</t>
        </is>
      </c>
      <c r="D256" s="324" t="n">
        <v>27.04444444444444</v>
      </c>
      <c r="E256" s="53" t="n">
        <v>2242.54</v>
      </c>
      <c r="F256" s="54" t="n">
        <v>243.4</v>
      </c>
      <c r="G256" s="55" t="n">
        <v>81</v>
      </c>
      <c r="H256" s="55" t="n">
        <v>9</v>
      </c>
      <c r="I256" s="55" t="n">
        <v>50</v>
      </c>
      <c r="J256" s="56" t="n">
        <v>4.7</v>
      </c>
      <c r="K256" s="56" t="inlineStr">
        <is>
          <t>https://amazon.com/dp/B0DQY5KS5C</t>
        </is>
      </c>
      <c r="L256" s="70">
        <f>HYPERLINK(Table3660[[#This Row],[Column1]])</f>
        <v/>
      </c>
    </row>
    <row r="257" ht="45" customHeight="1" s="290">
      <c r="A257" s="30" t="inlineStr">
        <is>
          <t>LAUNCH Original Diagnostic Cable with External Power Port DR15 Female to OBD2 16 Pin Famale Work for LAUNCH OBD1 Adapter</t>
        </is>
      </c>
      <c r="B257" s="30" t="inlineStr">
        <is>
          <t>B0DX6XPGQX</t>
        </is>
      </c>
      <c r="C257" s="30" t="inlineStr">
        <is>
          <t>OBD1</t>
        </is>
      </c>
      <c r="D257" s="324" t="n">
        <v>19.88583333333333</v>
      </c>
      <c r="E257" s="53" t="n">
        <v>2461.058461538461</v>
      </c>
      <c r="F257" s="54" t="n">
        <v>238.63</v>
      </c>
      <c r="G257" s="55" t="n">
        <v>13</v>
      </c>
      <c r="H257" s="55" t="n">
        <v>12</v>
      </c>
      <c r="I257" s="55" t="n">
        <v>1</v>
      </c>
      <c r="J257" s="56" t="n">
        <v>5</v>
      </c>
      <c r="K257" s="56" t="inlineStr">
        <is>
          <t>https://amazon.com/dp/B0DX6XPGQX</t>
        </is>
      </c>
      <c r="L257" s="70">
        <f>HYPERLINK(Table3660[[#This Row],[Column1]])</f>
        <v/>
      </c>
    </row>
    <row r="258" ht="45" customHeight="1" s="290">
      <c r="A258" s="30" t="inlineStr">
        <is>
          <t>LAUNCH Elite ABS Bleeding Scan Tool,Engine Transmission ABS SRS OBD2 Scanner Diagnostic Tool,Throttle Reset Code Reader,Lifetime Online Update,4'' Touch Screen,AUTO VIN,Battery Test,Live Data Graph</t>
        </is>
      </c>
      <c r="B258" s="30" t="inlineStr">
        <is>
          <t>B09CYFY2VD</t>
        </is>
      </c>
      <c r="C258" s="30" t="inlineStr">
        <is>
          <t>Handheld</t>
        </is>
      </c>
      <c r="D258" s="324" t="n">
        <v>114.555</v>
      </c>
      <c r="E258" s="53" t="n">
        <v>5481.05</v>
      </c>
      <c r="F258" s="54" t="n">
        <v>229.11</v>
      </c>
      <c r="G258" s="55" t="n">
        <v>52</v>
      </c>
      <c r="H258" s="55" t="n">
        <v>2</v>
      </c>
      <c r="I258" s="55" t="n">
        <v>100</v>
      </c>
      <c r="J258" s="56" t="n">
        <v>3.1</v>
      </c>
      <c r="K258" s="56" t="inlineStr">
        <is>
          <t>https://amazon.com/dp/B09CYFY2VD</t>
        </is>
      </c>
      <c r="L258" s="70">
        <f>HYPERLINK(Table3660[[#This Row],[Column1]])</f>
        <v/>
      </c>
    </row>
    <row r="259" ht="30" customHeight="1" s="290">
      <c r="A259" s="30" t="inlineStr">
        <is>
          <t>LAUNCH 301050231 CRP 123 Premium</t>
        </is>
      </c>
      <c r="B259" s="30" t="inlineStr">
        <is>
          <t>B01N480P72</t>
        </is>
      </c>
      <c r="C259" s="30" t="inlineStr">
        <is>
          <t>Tablet</t>
        </is>
      </c>
      <c r="D259" s="324" t="n">
        <v>210.29</v>
      </c>
      <c r="E259" s="53" t="n">
        <v>1424.98</v>
      </c>
      <c r="F259" s="54" t="n">
        <v>210.29</v>
      </c>
      <c r="G259" s="55" t="n">
        <v>8</v>
      </c>
      <c r="H259" s="55" t="n">
        <v>1</v>
      </c>
      <c r="I259" s="55" t="n">
        <v>221</v>
      </c>
      <c r="J259" s="56" t="n">
        <v>4</v>
      </c>
      <c r="K259" s="56" t="inlineStr">
        <is>
          <t>https://amazon.com/dp/B01N480P72</t>
        </is>
      </c>
      <c r="L259" s="70">
        <f>HYPERLINK(Table3660[[#This Row],[Column1]])</f>
        <v/>
      </c>
    </row>
    <row r="260" ht="45" customHeight="1" s="290">
      <c r="A260" s="30" t="inlineStr">
        <is>
          <t>LAUNCH CRP123E Plus OBD2 Scanner, All System Car Diagnostic Scan Tool with Oil Reset, SAS Calibration, Throttle Adaptation,Battery Test, Auto Vin, FCA Autoauth, Lifetime Free Update</t>
        </is>
      </c>
      <c r="B260" s="30" t="inlineStr">
        <is>
          <t>B0DKHL3V7V</t>
        </is>
      </c>
      <c r="C260" s="30" t="inlineStr">
        <is>
          <t>Tablet</t>
        </is>
      </c>
      <c r="D260" s="324" t="n">
        <v>207.13</v>
      </c>
      <c r="E260" s="53" t="n">
        <v>11336.82692307692</v>
      </c>
      <c r="F260" s="54" t="n">
        <v>207.13</v>
      </c>
      <c r="G260" s="55" t="n">
        <v>46</v>
      </c>
      <c r="H260" s="55" t="n">
        <v>1</v>
      </c>
      <c r="I260" s="55" t="n">
        <v>12</v>
      </c>
      <c r="J260" s="56" t="n">
        <v>3.5</v>
      </c>
      <c r="K260" s="56" t="inlineStr">
        <is>
          <t>https://amazon.com/dp/B0DKHL3V7V</t>
        </is>
      </c>
      <c r="L260" s="70">
        <f>HYPERLINK(Table3660[[#This Row],[Column1]])</f>
        <v/>
      </c>
    </row>
    <row r="261" ht="45" customHeight="1" s="290">
      <c r="A261" s="30" t="inlineStr">
        <is>
          <t>LAUNCH CRP DoIP Connector Adapter Cable with USB-C and 16-Pin Male to DB-15 Female Connector for Creader Professional CRP Series Diagnostic Scanner</t>
        </is>
      </c>
      <c r="B261" s="30" t="inlineStr">
        <is>
          <t>B0GKF648YW</t>
        </is>
      </c>
      <c r="C261" s="30" t="inlineStr">
        <is>
          <t>Cable/Adapter</t>
        </is>
      </c>
      <c r="D261" s="324" t="n">
        <v>99.955</v>
      </c>
      <c r="E261" s="53" t="n">
        <v>2414.297692307693</v>
      </c>
      <c r="F261" s="54" t="n">
        <v>199.91</v>
      </c>
      <c r="G261" s="55" t="n">
        <v>2</v>
      </c>
      <c r="H261" s="55" t="n">
        <v>2</v>
      </c>
      <c r="I261" s="55" t="n"/>
      <c r="J261" s="56" t="n"/>
      <c r="K261" s="56" t="inlineStr">
        <is>
          <t>https://amazon.com/dp/B0GKF648YW</t>
        </is>
      </c>
      <c r="L261" s="70">
        <f>HYPERLINK(Table3660[[#This Row],[Column1]])</f>
        <v/>
      </c>
    </row>
    <row r="262" ht="45" customHeight="1" s="290">
      <c r="A262" s="30" t="inlineStr">
        <is>
          <t>LAUNCH OBD2 Scanner CRP123I V3.0, 2026 Lifetime Free WiFi Update Scan Tool, FCA SGW, CANFD&amp;DoIP, Oil/ABS/SAS/Throttle/Brake/BMS/DPF Service Multi Systems Car Scanner, Battery Test, Auto VIN</t>
        </is>
      </c>
      <c r="B262" s="30" t="inlineStr">
        <is>
          <t>B08B7VWX7P</t>
        </is>
      </c>
      <c r="C262" s="30" t="inlineStr">
        <is>
          <t>Tablet</t>
        </is>
      </c>
      <c r="D262" s="324" t="n">
        <v>199.33</v>
      </c>
      <c r="E262" s="53" t="n">
        <v>2678.84</v>
      </c>
      <c r="F262" s="54" t="n">
        <v>199.33</v>
      </c>
      <c r="G262" s="55" t="n">
        <v>17</v>
      </c>
      <c r="H262" s="55" t="n">
        <v>1</v>
      </c>
      <c r="I262" s="55" t="n">
        <v>495</v>
      </c>
      <c r="J262" s="56" t="n">
        <v>4.2</v>
      </c>
      <c r="K262" s="56" t="inlineStr">
        <is>
          <t>https://amazon.com/dp/B08B7VWX7P</t>
        </is>
      </c>
      <c r="L262" s="70">
        <f>HYPERLINK(Table3660[[#This Row],[Column1]])</f>
        <v/>
      </c>
    </row>
    <row r="263" ht="45" customHeight="1" s="290">
      <c r="A263" s="30" t="inlineStr">
        <is>
          <t>LAUNCH Original Canvas Bag for X431 CRP123, CRP123I, CRP123E, CRP123X, CRP129, CRP129I, CRP129E, CRP129X, Creader VII+, Creader VIII OBD2 Scanner Replacement Carrying Bag</t>
        </is>
      </c>
      <c r="B263" s="30" t="inlineStr">
        <is>
          <t>B0DRFBYKNN</t>
        </is>
      </c>
      <c r="C263" s="30" t="inlineStr">
        <is>
          <t>Other</t>
        </is>
      </c>
      <c r="D263" s="324" t="n">
        <v>20.47111111111111</v>
      </c>
      <c r="E263" s="53" t="n">
        <v>1852.58</v>
      </c>
      <c r="F263" s="54" t="n">
        <v>184.24</v>
      </c>
      <c r="G263" s="55" t="n">
        <v>92</v>
      </c>
      <c r="H263" s="55" t="n">
        <v>9</v>
      </c>
      <c r="I263" s="55" t="n">
        <v>9</v>
      </c>
      <c r="J263" s="56" t="n">
        <v>5</v>
      </c>
      <c r="K263" s="56" t="inlineStr">
        <is>
          <t>https://amazon.com/dp/B0DRFBYKNN</t>
        </is>
      </c>
      <c r="L263" s="70">
        <f>HYPERLINK(Table3660[[#This Row],[Column1]])</f>
        <v/>
      </c>
    </row>
    <row r="264" ht="45" customHeight="1" s="290">
      <c r="A264" s="30" t="inlineStr">
        <is>
          <t>LAUNCH Original Diagnostic Cable for DBSCar VII VCI Connector, DR15 Female to DR15 Female Replacement Cable Work with X431 CRP919EBT, CRP919XBT, PROS V+5.0 Elite, PRO3 ACE, PRO Dyno</t>
        </is>
      </c>
      <c r="B264" s="30" t="inlineStr">
        <is>
          <t>B0D8PGZHF8</t>
        </is>
      </c>
      <c r="C264" s="30" t="inlineStr">
        <is>
          <t>Cable/Adapter</t>
        </is>
      </c>
      <c r="D264" s="324" t="n">
        <v>26.56833333333333</v>
      </c>
      <c r="E264" s="53" t="n">
        <v>1343.47</v>
      </c>
      <c r="F264" s="54" t="n">
        <v>159.41</v>
      </c>
      <c r="G264" s="55" t="n">
        <v>50</v>
      </c>
      <c r="H264" s="55" t="n">
        <v>6</v>
      </c>
      <c r="I264" s="55" t="n">
        <v>2</v>
      </c>
      <c r="J264" s="56" t="n">
        <v>4.5</v>
      </c>
      <c r="K264" s="56" t="inlineStr">
        <is>
          <t>https://amazon.com/dp/B0D8PGZHF8</t>
        </is>
      </c>
      <c r="L264" s="70">
        <f>HYPERLINK(Table3660[[#This Row],[Column1]])</f>
        <v/>
      </c>
    </row>
    <row r="265" ht="45" customHeight="1" s="290">
      <c r="A265" s="30" t="inlineStr">
        <is>
          <t>LAUNCH (301050139 CReader VII Code Reader with Oil Light Reset</t>
        </is>
      </c>
      <c r="B265" s="30" t="inlineStr">
        <is>
          <t>B00GNO6L7S</t>
        </is>
      </c>
      <c r="C265" s="30" t="inlineStr">
        <is>
          <t>Handheld</t>
        </is>
      </c>
      <c r="D265" s="324" t="n">
        <v>74.69</v>
      </c>
      <c r="E265" s="53" t="n">
        <v>3066.55</v>
      </c>
      <c r="F265" s="54" t="n">
        <v>149.38</v>
      </c>
      <c r="G265" s="55" t="n">
        <v>43</v>
      </c>
      <c r="H265" s="55" t="n">
        <v>2</v>
      </c>
      <c r="I265" s="55" t="n">
        <v>53</v>
      </c>
      <c r="J265" s="56" t="n">
        <v>4.1</v>
      </c>
      <c r="K265" s="56" t="inlineStr">
        <is>
          <t>https://amazon.com/dp/B00GNO6L7S</t>
        </is>
      </c>
      <c r="L265" s="70">
        <f>HYPERLINK(Table3660[[#This Row],[Column1]])</f>
        <v/>
      </c>
    </row>
    <row r="266" ht="30" customHeight="1" s="290">
      <c r="A266" s="30" t="inlineStr">
        <is>
          <t>LAUNCH SmartLink OBD2 Scanner Extension Cable with RJ45 to DB9/OBD2 Female Adapter, 23cm Compatible with X431 V+, CRP123, Diagun V for iPhone iPad Android, Bi-Directional Controls &amp; ECU Coding</t>
        </is>
      </c>
      <c r="B266" s="30" t="inlineStr">
        <is>
          <t>B0G49TTMTJ</t>
        </is>
      </c>
      <c r="C266" s="30" t="inlineStr">
        <is>
          <t>Tablet</t>
        </is>
      </c>
      <c r="D266" s="324" t="n">
        <v>56.19</v>
      </c>
      <c r="E266" s="53" t="n">
        <v>1299.439230769231</v>
      </c>
      <c r="F266" s="54" t="n">
        <v>112.38</v>
      </c>
      <c r="G266" s="55" t="n">
        <v>3</v>
      </c>
      <c r="H266" s="55" t="n">
        <v>2</v>
      </c>
      <c r="I266" s="55" t="n"/>
      <c r="J266" s="56" t="n"/>
      <c r="K266" s="56" t="inlineStr">
        <is>
          <t>https://amazon.com/dp/B0G49TTMTJ</t>
        </is>
      </c>
      <c r="L266" s="70">
        <f>HYPERLINK(Table3660[[#This Row],[Column1]])</f>
        <v/>
      </c>
    </row>
    <row r="267" ht="60" customHeight="1" s="290">
      <c r="A267" s="30" t="inlineStr">
        <is>
          <t>Launch Creader 200 OBD2 Scanner 2025 Engine/ABS/SRS/Transmission Car Diagnostic Scan Tool, 4 System Code Reader, Auto Vin, Full OBD2 Function, Lifetime Free Update</t>
        </is>
      </c>
      <c r="B267" s="30" t="inlineStr">
        <is>
          <t>B0F7QLD4PV</t>
        </is>
      </c>
      <c r="C267" s="30" t="inlineStr">
        <is>
          <t>Tablet</t>
        </is>
      </c>
      <c r="D267" s="324" t="n">
        <v>107.9</v>
      </c>
      <c r="E267" s="53" t="n">
        <v>6212.35</v>
      </c>
      <c r="F267" s="54" t="n">
        <v>107.9</v>
      </c>
      <c r="G267" s="55" t="n">
        <v>67</v>
      </c>
      <c r="H267" s="55" t="n">
        <v>1</v>
      </c>
      <c r="I267" s="55" t="n">
        <v>4</v>
      </c>
      <c r="J267" s="56" t="n">
        <v>2.9</v>
      </c>
      <c r="K267" s="56" t="inlineStr">
        <is>
          <t>https://amazon.com/dp/B0F7QLD4PV</t>
        </is>
      </c>
      <c r="L267" s="70">
        <f>HYPERLINK(Table3660[[#This Row],[Column1]])</f>
        <v/>
      </c>
    </row>
    <row r="268" ht="45" customHeight="1" s="290">
      <c r="A268" s="30" t="inlineStr">
        <is>
          <t>Launch OBD2 Scanner CRP123I V3.0 Elite, 2026 Lifetime Free WiFi Update Scan Tool, FCA SGW, CANFD&amp;DoIP, SAS/Throttle/Brake/BMS/D-P-F/Oil/ABS Service Multi Systems Car Scanner, Battery Test, Auto VIN</t>
        </is>
      </c>
      <c r="B268" s="30" t="inlineStr">
        <is>
          <t>B0FPXSL6N1</t>
        </is>
      </c>
      <c r="C268" s="30" t="inlineStr">
        <is>
          <t>Tablet</t>
        </is>
      </c>
      <c r="D268" s="324" t="n">
        <v>105.36</v>
      </c>
      <c r="E268" s="53" t="n">
        <v>1236.917692307692</v>
      </c>
      <c r="F268" s="54" t="n">
        <v>105.36</v>
      </c>
      <c r="G268" s="55" t="n">
        <v>4</v>
      </c>
      <c r="H268" s="55" t="n">
        <v>1</v>
      </c>
      <c r="I268" s="55" t="n"/>
      <c r="J268" s="56" t="n"/>
      <c r="K268" s="56" t="inlineStr">
        <is>
          <t>https://amazon.com/dp/B0FPXSL6N1</t>
        </is>
      </c>
      <c r="L268" s="70">
        <f>HYPERLINK(Table3660[[#This Row],[Column1]])</f>
        <v/>
      </c>
    </row>
    <row r="269" ht="30" customHeight="1" s="290">
      <c r="A269" s="30" t="inlineStr">
        <is>
          <t>LAUNCH OBD2 Extension Cable, Full 16 Pin Male to Female Extension Cable for Car OBD Diagnostic Extender Cord Connector OBD2 Cable (36CM/14.2Inch)</t>
        </is>
      </c>
      <c r="B269" s="30" t="inlineStr">
        <is>
          <t>B0DKP276HJ</t>
        </is>
      </c>
      <c r="C269" s="30" t="inlineStr">
        <is>
          <t>Cable/Adapter</t>
        </is>
      </c>
      <c r="D269" s="324" t="n">
        <v>10.438</v>
      </c>
      <c r="E269" s="53" t="n">
        <v>2675.83</v>
      </c>
      <c r="F269" s="54" t="n">
        <v>104.38</v>
      </c>
      <c r="G269" s="55" t="n">
        <v>243</v>
      </c>
      <c r="H269" s="55" t="n">
        <v>10</v>
      </c>
      <c r="I269" s="55" t="n">
        <v>14</v>
      </c>
      <c r="J269" s="56" t="n">
        <v>4.4</v>
      </c>
      <c r="K269" s="56" t="inlineStr">
        <is>
          <t>https://amazon.com/dp/B0DKP276HJ</t>
        </is>
      </c>
      <c r="L269" s="70">
        <f>HYPERLINK(Table3660[[#This Row],[Column1]])</f>
        <v/>
      </c>
    </row>
    <row r="270" ht="45" customHeight="1" s="290">
      <c r="A270" s="30" t="inlineStr">
        <is>
          <t>Launch Millennium 30 OBD2 Scanner,Car Code Reader with Full OBD2 Functions,Check Engine Light Car Diagnostic Tool,O2 Sensor/EVAP System/Smog Test/Check I/M Readiness Car Scanner,Lifetime Free Update</t>
        </is>
      </c>
      <c r="B270" s="30" t="inlineStr">
        <is>
          <t>B07L5VQJQB</t>
        </is>
      </c>
      <c r="C270" s="30" t="inlineStr">
        <is>
          <t>Handheld</t>
        </is>
      </c>
      <c r="D270" s="324" t="n">
        <v>32.84</v>
      </c>
      <c r="E270" s="53" t="n">
        <v>738.52</v>
      </c>
      <c r="F270" s="54" t="n">
        <v>98.52</v>
      </c>
      <c r="G270" s="55" t="n">
        <v>21</v>
      </c>
      <c r="H270" s="55" t="n">
        <v>3</v>
      </c>
      <c r="I270" s="55" t="n">
        <v>132</v>
      </c>
      <c r="J270" s="56" t="n">
        <v>3.9</v>
      </c>
      <c r="K270" s="56" t="inlineStr">
        <is>
          <t>https://amazon.com/dp/B07L5VQJQB</t>
        </is>
      </c>
      <c r="L270" s="70">
        <f>HYPERLINK(Table3660[[#This Row],[Column1]])</f>
        <v/>
      </c>
    </row>
    <row r="271" ht="30" customHeight="1" s="290">
      <c r="A271" s="30" t="inlineStr">
        <is>
          <t>LAUNCH Original Main Cable Fit for X431 CRP123i, CRP123e, CRP123x, CRP129i, CRP129e, CRP129x OBD2 Replacement Cable - Yellow</t>
        </is>
      </c>
      <c r="B271" s="30" t="inlineStr">
        <is>
          <t>B0BZ4FF45W</t>
        </is>
      </c>
      <c r="C271" s="30" t="inlineStr">
        <is>
          <t>Cable/Adapter</t>
        </is>
      </c>
      <c r="D271" s="324" t="n">
        <v>31.57</v>
      </c>
      <c r="E271" s="53" t="n">
        <v>3349.84</v>
      </c>
      <c r="F271" s="54" t="n">
        <v>94.70999999999999</v>
      </c>
      <c r="G271" s="55" t="n">
        <v>124</v>
      </c>
      <c r="H271" s="55" t="n">
        <v>3</v>
      </c>
      <c r="I271" s="55" t="n">
        <v>50</v>
      </c>
      <c r="J271" s="56" t="n">
        <v>4.7</v>
      </c>
      <c r="K271" s="56" t="inlineStr">
        <is>
          <t>https://amazon.com/dp/B0BZ4FF45W</t>
        </is>
      </c>
      <c r="L271" s="70">
        <f>HYPERLINK(Table3660[[#This Row],[Column1]])</f>
        <v/>
      </c>
    </row>
    <row r="272" ht="30" customHeight="1" s="290">
      <c r="A272" s="30" t="inlineStr">
        <is>
          <t>LAUNCH TECH USA 301050344 Millennium 80 Reset Tool</t>
        </is>
      </c>
      <c r="B272" s="30" t="inlineStr">
        <is>
          <t>B073WKR8TV</t>
        </is>
      </c>
      <c r="C272" s="30" t="inlineStr">
        <is>
          <t>Handheld</t>
        </is>
      </c>
      <c r="D272" s="324" t="n">
        <v>39.955</v>
      </c>
      <c r="E272" s="53" t="n">
        <v>625.23</v>
      </c>
      <c r="F272" s="54" t="n">
        <v>79.91</v>
      </c>
      <c r="G272" s="55" t="n">
        <v>14</v>
      </c>
      <c r="H272" s="55" t="n">
        <v>2</v>
      </c>
      <c r="I272" s="55" t="n">
        <v>3</v>
      </c>
      <c r="J272" s="56" t="n">
        <v>5</v>
      </c>
      <c r="K272" s="56" t="inlineStr">
        <is>
          <t>https://amazon.com/dp/B073WKR8TV</t>
        </is>
      </c>
      <c r="L272" s="70">
        <f>HYPERLINK(Table3660[[#This Row],[Column1]])</f>
        <v/>
      </c>
    </row>
    <row r="273" ht="30" customHeight="1" s="290">
      <c r="A273" s="30" t="inlineStr">
        <is>
          <t>LAUNCH OBD-II OBD2 Extension Cable, Ultra-Long 4ft 120cm 1.2M, Auto Car 16 Pin Male to Female OBD2 Diagnostic Extender Cord Adapter for All OBD2 Scanners(4ft 120cm 1.2M)</t>
        </is>
      </c>
      <c r="B273" s="30" t="inlineStr">
        <is>
          <t>B0DWXHXJG1</t>
        </is>
      </c>
      <c r="C273" s="30" t="inlineStr">
        <is>
          <t>Cable/Adapter</t>
        </is>
      </c>
      <c r="D273" s="324" t="n">
        <v>16.275</v>
      </c>
      <c r="E273" s="53" t="n">
        <v>1974.41</v>
      </c>
      <c r="F273" s="54" t="n">
        <v>65.09999999999999</v>
      </c>
      <c r="G273" s="55" t="n">
        <v>128</v>
      </c>
      <c r="H273" s="55" t="n">
        <v>4</v>
      </c>
      <c r="I273" s="55" t="n">
        <v>7</v>
      </c>
      <c r="J273" s="56" t="n">
        <v>4.8</v>
      </c>
      <c r="K273" s="56" t="inlineStr">
        <is>
          <t>https://amazon.com/dp/B0DWXHXJG1</t>
        </is>
      </c>
      <c r="L273" s="70">
        <f>HYPERLINK(Table3660[[#This Row],[Column1]])</f>
        <v/>
      </c>
    </row>
    <row r="274" ht="30" customHeight="1" s="290">
      <c r="A274" s="30" t="inlineStr">
        <is>
          <t>LAUNCH CR319 OBD2 Scanner, 2026 Upgrade Ver. Engine Fault Code Reader,Support O2 Sensor,Lifetime Free Update,Scanner for All OBDII Protocol Cars Since 1996</t>
        </is>
      </c>
      <c r="B274" s="30" t="inlineStr">
        <is>
          <t>B07N5ZGJ2M</t>
        </is>
      </c>
      <c r="C274" s="30" t="inlineStr">
        <is>
          <t>Handheld</t>
        </is>
      </c>
      <c r="D274" s="324" t="n">
        <v>32.13</v>
      </c>
      <c r="E274" s="53" t="n">
        <v>610.4469230769231</v>
      </c>
      <c r="F274" s="54" t="n">
        <v>32.13</v>
      </c>
      <c r="G274" s="55" t="n">
        <v>24</v>
      </c>
      <c r="H274" s="55" t="n">
        <v>1</v>
      </c>
      <c r="I274" s="55" t="n">
        <v>736</v>
      </c>
      <c r="J274" s="56" t="n">
        <v>4.2</v>
      </c>
      <c r="K274" s="56" t="inlineStr">
        <is>
          <t>https://amazon.com/dp/B07N5ZGJ2M</t>
        </is>
      </c>
      <c r="L274" s="70">
        <f>HYPERLINK(Table3660[[#This Row],[Column1]])</f>
        <v/>
      </c>
    </row>
    <row r="275" ht="30" customHeight="1" s="290">
      <c r="A275" s="30" t="inlineStr">
        <is>
          <t>LAUNCH Original USB to Micro USB Charging Cable Replacement Connector X-431 OBD2 Diagnostic Scanner</t>
        </is>
      </c>
      <c r="B275" s="30" t="inlineStr">
        <is>
          <t>B0DZXHLQ9K</t>
        </is>
      </c>
      <c r="C275" s="30" t="inlineStr">
        <is>
          <t>Cable/Adapter</t>
        </is>
      </c>
      <c r="D275" s="324" t="n">
        <v>6.4725</v>
      </c>
      <c r="E275" s="53" t="n">
        <v>432.3669230769232</v>
      </c>
      <c r="F275" s="54" t="n">
        <v>25.89</v>
      </c>
      <c r="G275" s="55" t="n">
        <v>57</v>
      </c>
      <c r="H275" s="55" t="n">
        <v>4</v>
      </c>
      <c r="I275" s="55" t="n">
        <v>2</v>
      </c>
      <c r="J275" s="56" t="n">
        <v>5</v>
      </c>
      <c r="K275" s="56" t="inlineStr">
        <is>
          <t>https://amazon.com/dp/B0DZXHLQ9K</t>
        </is>
      </c>
      <c r="L275" s="70">
        <f>HYPERLINK(Table3660[[#This Row],[Column1]])</f>
        <v/>
      </c>
    </row>
    <row r="276" ht="45" customHeight="1" s="290">
      <c r="A276" s="30" t="inlineStr">
        <is>
          <t>LAUNCH Original Main Cable for X-431 CRP123i, CRP123e, CRP123x, CRP129i, CRP129e, CRP129x</t>
        </is>
      </c>
      <c r="B276" s="30" t="inlineStr">
        <is>
          <t>B0DZCGJ4D2</t>
        </is>
      </c>
      <c r="C276" s="30" t="inlineStr">
        <is>
          <t>Other</t>
        </is>
      </c>
      <c r="D276" s="324" t="n">
        <v>21.55</v>
      </c>
      <c r="E276" s="53" t="n">
        <v>443.5523076923077</v>
      </c>
      <c r="F276" s="54" t="n">
        <v>21.55</v>
      </c>
      <c r="G276" s="55" t="n">
        <v>17</v>
      </c>
      <c r="H276" s="55" t="n">
        <v>1</v>
      </c>
      <c r="I276" s="55" t="n"/>
      <c r="J276" s="56" t="n"/>
      <c r="K276" s="56" t="inlineStr">
        <is>
          <t>https://amazon.com/dp/B0DZCGJ4D2</t>
        </is>
      </c>
      <c r="L276" s="70">
        <f>HYPERLINK(Table3660[[#This Row],[Column1]])</f>
        <v/>
      </c>
    </row>
    <row r="277" ht="45" customHeight="1" s="290">
      <c r="A277" s="30" t="inlineStr">
        <is>
          <t>LAUNCH Original OBD1 External Power Supply via Battery Clipper Fit for DR15 Female to OBD2 16 Pin Famale Cable with External Power Port</t>
        </is>
      </c>
      <c r="B277" s="30" t="inlineStr">
        <is>
          <t>B0DXNYBDQP</t>
        </is>
      </c>
      <c r="C277" s="30" t="inlineStr">
        <is>
          <t>Other</t>
        </is>
      </c>
      <c r="D277" s="324" t="n">
        <v>20.15</v>
      </c>
      <c r="E277" s="53" t="n">
        <v>272.41</v>
      </c>
      <c r="F277" s="54" t="n">
        <v>20.15</v>
      </c>
      <c r="G277" s="55" t="n">
        <v>15</v>
      </c>
      <c r="H277" s="55" t="n">
        <v>1</v>
      </c>
      <c r="I277" s="55" t="n"/>
      <c r="J277" s="56" t="n"/>
      <c r="K277" s="56" t="inlineStr">
        <is>
          <t>https://amazon.com/dp/B0DXNYBDQP</t>
        </is>
      </c>
      <c r="L277" s="70">
        <f>HYPERLINK(Table3660[[#This Row],[Column1]])</f>
        <v/>
      </c>
    </row>
    <row r="278" ht="30" customHeight="1" s="290">
      <c r="A278" s="30" t="inlineStr">
        <is>
          <t>LAUNCH Original X-431 OBD2 Extension Cable 16-Pin Male to Female OBDII Extend Adapter for Car OBD Diagnostic Extender Cord Connector - 1.2ft/36.5cm</t>
        </is>
      </c>
      <c r="B278" s="30" t="inlineStr">
        <is>
          <t>B0DWRVQT25</t>
        </is>
      </c>
      <c r="C278" s="30" t="inlineStr">
        <is>
          <t>Cable/Adapter</t>
        </is>
      </c>
      <c r="D278" s="324" t="n">
        <v>11.58</v>
      </c>
      <c r="E278" s="53" t="n">
        <v>294.7</v>
      </c>
      <c r="F278" s="54" t="n">
        <v>11.58</v>
      </c>
      <c r="G278" s="55" t="n">
        <v>27</v>
      </c>
      <c r="H278" s="55" t="n">
        <v>1</v>
      </c>
      <c r="I278" s="55" t="n">
        <v>11</v>
      </c>
      <c r="J278" s="56" t="n">
        <v>4.8</v>
      </c>
      <c r="K278" s="56" t="inlineStr">
        <is>
          <t>https://amazon.com/dp/B0DWRVQT25</t>
        </is>
      </c>
      <c r="L278" s="70">
        <f>HYPERLINK(Table3660[[#This Row],[Column1]])</f>
        <v/>
      </c>
    </row>
    <row r="279" ht="45" customHeight="1" s="290">
      <c r="A279" s="30" t="inlineStr">
        <is>
          <t>LAUNCH Original Adapter for Honda DR15 Male to OBD1 3 Pin Male [Note: Can't Work Alone] for X-431 Diagnostic Scanner</t>
        </is>
      </c>
      <c r="B279" s="30" t="inlineStr">
        <is>
          <t>B0DX6T6JG5</t>
        </is>
      </c>
      <c r="C279" s="30" t="inlineStr">
        <is>
          <t>OBD1</t>
        </is>
      </c>
      <c r="D279" s="324" t="n">
        <v>14.99</v>
      </c>
      <c r="E279" s="53" t="n">
        <v>0</v>
      </c>
      <c r="F279" s="54" t="n">
        <v>0</v>
      </c>
      <c r="G279" s="55" t="n">
        <v>0</v>
      </c>
      <c r="H279" s="55" t="n">
        <v>0</v>
      </c>
      <c r="I279" s="55" t="n"/>
      <c r="J279" s="56" t="n"/>
      <c r="K279" s="56" t="inlineStr">
        <is>
          <t>https://amazon.com/dp/B0DX6T6JG5</t>
        </is>
      </c>
      <c r="L279" s="70">
        <f>HYPERLINK(Table3660[[#This Row],[Column1]])</f>
        <v/>
      </c>
    </row>
    <row r="280" ht="30" customHeight="1" s="290">
      <c r="A280" s="30" t="inlineStr">
        <is>
          <t>LAUNCH CRP 129 HD Heavy Duty Truck Scanner, All System Diesel Diagnostic DP-F Regen Tool 7+Resets/165 Live Graph Data Code Reader for Cummins, Detroit, Freightliner, International, Paccar &amp;More</t>
        </is>
      </c>
      <c r="B280" s="30" t="inlineStr">
        <is>
          <t>B0DPPQ8DWT</t>
        </is>
      </c>
      <c r="C280" s="30" t="inlineStr">
        <is>
          <t>Tablet</t>
        </is>
      </c>
      <c r="D280" s="324" t="n">
        <v>499.99</v>
      </c>
      <c r="E280" s="53" t="n">
        <v>1199.95</v>
      </c>
      <c r="F280" s="54" t="n">
        <v>0</v>
      </c>
      <c r="G280" s="55" t="n">
        <v>2</v>
      </c>
      <c r="H280" s="55" t="n">
        <v>0</v>
      </c>
      <c r="I280" s="55" t="n"/>
      <c r="J280" s="56" t="n"/>
      <c r="K280" s="56" t="inlineStr">
        <is>
          <t>https://amazon.com/dp/B0DPPQ8DWT</t>
        </is>
      </c>
      <c r="L280" s="70">
        <f>HYPERLINK(Table3660[[#This Row],[Column1]])</f>
        <v/>
      </c>
    </row>
    <row r="281" ht="45" customHeight="1" s="290">
      <c r="A281" s="30" t="inlineStr">
        <is>
          <t>Heavy Duty Truck Scanner for Cummins, LAUNCH Elite HD-CM All System/Units Active Test Diesel Vehicle Diagnostic Scan Tool,Reset Special Service, 4-in-1 Live Graph Data Car Scan Tool</t>
        </is>
      </c>
      <c r="B281" s="30" t="inlineStr">
        <is>
          <t>B0DQ4JVGCS</t>
        </is>
      </c>
      <c r="C281" s="30" t="inlineStr">
        <is>
          <t>Tablet</t>
        </is>
      </c>
      <c r="D281" s="324" t="n">
        <v>429.99</v>
      </c>
      <c r="E281" s="53" t="n">
        <v>2756.69</v>
      </c>
      <c r="F281" s="54" t="n">
        <v>0</v>
      </c>
      <c r="G281" s="55" t="n">
        <v>6</v>
      </c>
      <c r="H281" s="55" t="n">
        <v>0</v>
      </c>
      <c r="I281" s="55" t="n"/>
      <c r="J281" s="56" t="n"/>
      <c r="K281" s="56" t="inlineStr">
        <is>
          <t>https://amazon.com/dp/B0DQ4JVGCS</t>
        </is>
      </c>
      <c r="L281" s="70">
        <f>HYPERLINK(Table3660[[#This Row],[Column1]])</f>
        <v/>
      </c>
    </row>
    <row r="282" ht="30" customHeight="1" s="290">
      <c r="A282" s="30" t="inlineStr">
        <is>
          <t>LAUNCH CR319 Full OBD2 Functions Scanner Check Engine Code Reader</t>
        </is>
      </c>
      <c r="B282" s="30" t="inlineStr">
        <is>
          <t>B0FY4TMWHK</t>
        </is>
      </c>
      <c r="C282" s="30" t="inlineStr">
        <is>
          <t>Handheld</t>
        </is>
      </c>
      <c r="D282" s="324" t="n">
        <v>61.11</v>
      </c>
      <c r="E282" s="53" t="n">
        <v>0</v>
      </c>
      <c r="F282" s="54" t="n">
        <v>0</v>
      </c>
      <c r="G282" s="55" t="n">
        <v>0</v>
      </c>
      <c r="H282" s="55" t="n">
        <v>0</v>
      </c>
      <c r="I282" s="55" t="n">
        <v>9</v>
      </c>
      <c r="J282" s="56" t="n">
        <v>4.2</v>
      </c>
      <c r="K282" s="56" t="inlineStr">
        <is>
          <t>https://amazon.com/dp/B0FY4TMWHK</t>
        </is>
      </c>
      <c r="L282" s="70">
        <f>HYPERLINK(Table3660[[#This Row],[Column1]])</f>
        <v/>
      </c>
    </row>
    <row r="283" ht="45" customHeight="1" s="290">
      <c r="A283" s="30" t="inlineStr">
        <is>
          <t>Launch Code Reader, All Systems Bi-Directional Professional Automotive Diagnostic Scan Tool</t>
        </is>
      </c>
      <c r="B283" s="30" t="inlineStr">
        <is>
          <t>B09PBJGBY2</t>
        </is>
      </c>
      <c r="C283" s="30" t="inlineStr">
        <is>
          <t>Tablet</t>
        </is>
      </c>
      <c r="D283" s="324" t="n">
        <v>119</v>
      </c>
      <c r="E283" s="53" t="n">
        <v>507</v>
      </c>
      <c r="F283" s="54" t="n">
        <v>0</v>
      </c>
      <c r="G283" s="55" t="n">
        <v>3</v>
      </c>
      <c r="H283" s="55" t="n">
        <v>0</v>
      </c>
      <c r="I283" s="55" t="n">
        <v>3</v>
      </c>
      <c r="J283" s="56" t="n">
        <v>5</v>
      </c>
      <c r="K283" s="56" t="inlineStr">
        <is>
          <t>https://amazon.com/dp/B09PBJGBY2</t>
        </is>
      </c>
      <c r="L283" s="70">
        <f>HYPERLINK(Table3660[[#This Row],[Column1]])</f>
        <v/>
      </c>
    </row>
    <row r="284" ht="45" customHeight="1" s="290">
      <c r="A284" s="30" t="inlineStr">
        <is>
          <t>LAUNCH TECH USA 301050340 Millennium 40</t>
        </is>
      </c>
      <c r="B284" s="30" t="inlineStr">
        <is>
          <t>B073WKRBVS</t>
        </is>
      </c>
      <c r="C284" s="30" t="inlineStr">
        <is>
          <t>Handheld</t>
        </is>
      </c>
      <c r="D284" s="324" t="n">
        <v>42.74</v>
      </c>
      <c r="E284" s="53" t="n">
        <v>0</v>
      </c>
      <c r="F284" s="54" t="n">
        <v>0</v>
      </c>
      <c r="G284" s="55" t="n">
        <v>0</v>
      </c>
      <c r="H284" s="55" t="n">
        <v>0</v>
      </c>
      <c r="I284" s="55" t="n">
        <v>1</v>
      </c>
      <c r="J284" s="56" t="n">
        <v>5</v>
      </c>
      <c r="K284" s="56" t="inlineStr">
        <is>
          <t>https://amazon.com/dp/B073WKRBVS</t>
        </is>
      </c>
      <c r="L284" s="70">
        <f>HYPERLINK(Table3660[[#This Row],[Column1]])</f>
        <v/>
      </c>
    </row>
    <row r="285" ht="30" customHeight="1" s="290">
      <c r="A285" s="30" t="inlineStr">
        <is>
          <t>LAUNCH Scanner X431 PRO Star Bidirectional Scan Tool, 2026 8 Inch Car Scanner with ECU Coding, CANFD &amp; DOIP Crankshaft Relearn - All System Diagnostic Tool, 38+ Reset, Active Test, FCA Autoauth</t>
        </is>
      </c>
      <c r="B285" s="30" t="inlineStr">
        <is>
          <t>B0D978QJ71</t>
        </is>
      </c>
      <c r="C285" s="30" t="inlineStr">
        <is>
          <t>Tablet</t>
        </is>
      </c>
      <c r="D285" s="324" t="n">
        <v>799</v>
      </c>
      <c r="E285" s="53" t="n">
        <v>16047.28</v>
      </c>
      <c r="F285" s="54" t="n">
        <v>0</v>
      </c>
      <c r="G285" s="55" t="n">
        <v>23</v>
      </c>
      <c r="H285" s="55" t="n">
        <v>0</v>
      </c>
      <c r="I285" s="55" t="n">
        <v>19</v>
      </c>
      <c r="J285" s="56" t="n">
        <v>4.6</v>
      </c>
      <c r="K285" s="56" t="inlineStr">
        <is>
          <t>https://amazon.com/dp/B0D978QJ71</t>
        </is>
      </c>
      <c r="L285" s="70">
        <f>HYPERLINK(Table3660[[#This Row],[Column1]])</f>
        <v/>
      </c>
    </row>
    <row r="286" ht="30" customHeight="1" s="290">
      <c r="A286" s="30" t="inlineStr">
        <is>
          <t>LAUNCH Creader Elite HD-in Heavy Duty Truck Scanner for International with 4 System Diagnosis Actuation Test/DP-F Regen/Live Graph Data/Special Service Diesel Diagnostic Tool Lifetime Free Upgrade</t>
        </is>
      </c>
      <c r="B286" s="30" t="inlineStr">
        <is>
          <t>B0DQ4KT4X8</t>
        </is>
      </c>
      <c r="C286" s="30" t="inlineStr">
        <is>
          <t>Tablet</t>
        </is>
      </c>
      <c r="D286" s="324" t="n">
        <v>429</v>
      </c>
      <c r="E286" s="53" t="n">
        <v>0</v>
      </c>
      <c r="F286" s="54" t="n">
        <v>0</v>
      </c>
      <c r="G286" s="55" t="n">
        <v>0</v>
      </c>
      <c r="H286" s="55" t="n">
        <v>0</v>
      </c>
      <c r="I286" s="55" t="n"/>
      <c r="J286" s="56" t="n"/>
      <c r="K286" s="56" t="inlineStr">
        <is>
          <t>https://amazon.com/dp/B0DQ4KT4X8</t>
        </is>
      </c>
      <c r="L286" s="70">
        <f>HYPERLINK(Table3660[[#This Row],[Column1]])</f>
        <v/>
      </c>
    </row>
    <row r="287" ht="45" customHeight="1" s="290">
      <c r="A287" s="30" t="inlineStr">
        <is>
          <t>2026 LAUNCH CRB3001 OBD2 Scanner 12V Car Battery Tester, 2 in 1 Code Reader Scan Tool Automotive Battery Alternator Load Tester,Check Engine Light</t>
        </is>
      </c>
      <c r="B287" s="30" t="inlineStr">
        <is>
          <t>B0B4RYKRR8</t>
        </is>
      </c>
      <c r="C287" s="30" t="inlineStr">
        <is>
          <t>Handheld</t>
        </is>
      </c>
      <c r="D287" s="324" t="n">
        <v>49.99</v>
      </c>
      <c r="E287" s="53" t="n">
        <v>0</v>
      </c>
      <c r="F287" s="54" t="n">
        <v>0</v>
      </c>
      <c r="G287" s="55" t="n">
        <v>0</v>
      </c>
      <c r="H287" s="55" t="n">
        <v>0</v>
      </c>
      <c r="I287" s="55" t="n">
        <v>21</v>
      </c>
      <c r="J287" s="56" t="n">
        <v>3.4</v>
      </c>
      <c r="K287" s="56" t="inlineStr">
        <is>
          <t>https://amazon.com/dp/B0B4RYKRR8</t>
        </is>
      </c>
      <c r="L287" s="70">
        <f>HYPERLINK(Table3660[[#This Row],[Column1]])</f>
        <v/>
      </c>
    </row>
    <row r="288" ht="45" customHeight="1" s="290">
      <c r="A288" s="30" t="inlineStr">
        <is>
          <t>Launch X431 OBD1 Scanner Cable - Original Launch OBD I Diagnostic Cable Adapter for X431 PAD/V/PAD VII/Scanners, Compatible with GM Ford Chrysler Honda Toyota Nissan Vehicles (16 Pin ALDL Connector)</t>
        </is>
      </c>
      <c r="B288" s="30" t="inlineStr">
        <is>
          <t>B0G49SQ7LD</t>
        </is>
      </c>
      <c r="C288" s="30" t="inlineStr">
        <is>
          <t>Cable/Adapter</t>
        </is>
      </c>
      <c r="D288" s="324" t="n">
        <v>20.99</v>
      </c>
      <c r="E288" s="53" t="n">
        <v>137.27</v>
      </c>
      <c r="F288" s="54" t="n">
        <v>0</v>
      </c>
      <c r="G288" s="55" t="n">
        <v>7</v>
      </c>
      <c r="H288" s="55" t="n">
        <v>0</v>
      </c>
      <c r="I288" s="55" t="n"/>
      <c r="J288" s="56" t="n"/>
      <c r="K288" s="56" t="inlineStr">
        <is>
          <t>https://amazon.com/dp/B0G49SQ7LD</t>
        </is>
      </c>
      <c r="L288" s="70">
        <f>HYPERLINK(Table3660[[#This Row],[Column1]])</f>
        <v/>
      </c>
    </row>
    <row r="289" ht="30" customHeight="1" s="290">
      <c r="A289" s="30" t="inlineStr">
        <is>
          <t>LAUNCH X431 V+ 5.0, SmartLink C Heavy Duty Truck Scanner for Commercial/Passenger Vehicles, J2534 D-PDU, ECU Program, ECU Coding, Topology, 60 Reset, Bi-Directional Scan Tool, All System</t>
        </is>
      </c>
      <c r="B289" s="30" t="inlineStr">
        <is>
          <t>B0BGZQ78JB</t>
        </is>
      </c>
      <c r="C289" s="30" t="inlineStr">
        <is>
          <t>Tablet</t>
        </is>
      </c>
      <c r="D289" s="324" t="n">
        <v>1779</v>
      </c>
      <c r="E289" s="53" t="n">
        <v>15076.37</v>
      </c>
      <c r="F289" s="54" t="n">
        <v>0</v>
      </c>
      <c r="G289" s="55" t="n">
        <v>8</v>
      </c>
      <c r="H289" s="55" t="n">
        <v>0</v>
      </c>
      <c r="I289" s="55" t="n">
        <v>5</v>
      </c>
      <c r="J289" s="56" t="n">
        <v>3.8</v>
      </c>
      <c r="K289" s="56" t="inlineStr">
        <is>
          <t>https://amazon.com/dp/B0BGZQ78JB</t>
        </is>
      </c>
      <c r="L289" s="70">
        <f>HYPERLINK(Table3660[[#This Row],[Column1]])</f>
        <v/>
      </c>
    </row>
    <row r="290" ht="45" customHeight="1" s="290">
      <c r="A290" s="30" t="inlineStr">
        <is>
          <t>LAUNCH X431 V+ SmartLink HD Heavy Duty Truck Diagnostic Scanner Diesel Vehicle Construction Machinery Agricultural Bus Scan Tool, J2534 ECU Coding, All System Diagnosis, Active Test</t>
        </is>
      </c>
      <c r="B290" s="30" t="inlineStr">
        <is>
          <t>B09TVYSD9Z</t>
        </is>
      </c>
      <c r="C290" s="30" t="inlineStr">
        <is>
          <t>VCI</t>
        </is>
      </c>
      <c r="D290" s="324" t="n">
        <v>1439</v>
      </c>
      <c r="E290" s="53" t="n">
        <v>935.22</v>
      </c>
      <c r="F290" s="54" t="n">
        <v>0</v>
      </c>
      <c r="G290" s="55" t="n">
        <v>1</v>
      </c>
      <c r="H290" s="55" t="n">
        <v>0</v>
      </c>
      <c r="I290" s="55" t="n">
        <v>3</v>
      </c>
      <c r="J290" s="56" t="n">
        <v>5</v>
      </c>
      <c r="K290" s="56" t="inlineStr">
        <is>
          <t>https://amazon.com/dp/B09TVYSD9Z</t>
        </is>
      </c>
      <c r="L290" s="70">
        <f>HYPERLINK(Table3660[[#This Row],[Column1]])</f>
        <v/>
      </c>
    </row>
    <row r="291" ht="45" customHeight="1" s="290">
      <c r="A291" s="30" t="inlineStr">
        <is>
          <t>LAUNCH X431 CAN FD Adapter Code Reader Cable CANFD Protocols Car Diagnostic OBD2 Scanner for X431 V/V+/ Pad II/PAD III/ PRO3/ PRO3S+/DIAGUN V/PRO Mini, Compatible with GM, BMW</t>
        </is>
      </c>
      <c r="B291" s="30" t="inlineStr">
        <is>
          <t>B0B8D789HP</t>
        </is>
      </c>
      <c r="C291" s="30" t="inlineStr">
        <is>
          <t>Cable/Adapter</t>
        </is>
      </c>
      <c r="D291" s="324" t="n">
        <v>109</v>
      </c>
      <c r="E291" s="53" t="n">
        <v>425.75</v>
      </c>
      <c r="F291" s="54" t="n">
        <v>0</v>
      </c>
      <c r="G291" s="55" t="n">
        <v>4</v>
      </c>
      <c r="H291" s="55" t="n">
        <v>0</v>
      </c>
      <c r="I291" s="55" t="n">
        <v>2</v>
      </c>
      <c r="J291" s="56" t="n">
        <v>5</v>
      </c>
      <c r="K291" s="56" t="inlineStr">
        <is>
          <t>https://amazon.com/dp/B0B8D789HP</t>
        </is>
      </c>
      <c r="L291" s="70">
        <f>HYPERLINK(Table3660[[#This Row],[Column1]])</f>
        <v/>
      </c>
    </row>
    <row r="292" ht="45" customHeight="1" s="290">
      <c r="A292" s="30" t="inlineStr">
        <is>
          <t>LAUNCH BST880D Battery Tester Diagnostic Scan Tool</t>
        </is>
      </c>
      <c r="B292" s="30" t="inlineStr">
        <is>
          <t>B0BT72CBN3</t>
        </is>
      </c>
      <c r="C292" s="30" t="inlineStr">
        <is>
          <t>Handheld</t>
        </is>
      </c>
      <c r="D292" s="324" t="n">
        <v>311.2</v>
      </c>
      <c r="E292" s="53" t="n">
        <v>575.27</v>
      </c>
      <c r="F292" s="54" t="n">
        <v>0</v>
      </c>
      <c r="G292" s="55" t="n">
        <v>2</v>
      </c>
      <c r="H292" s="55" t="n">
        <v>0</v>
      </c>
      <c r="I292" s="55" t="n"/>
      <c r="J292" s="56" t="n"/>
      <c r="K292" s="56" t="inlineStr">
        <is>
          <t>https://amazon.com/dp/B0BT72CBN3</t>
        </is>
      </c>
      <c r="L292" s="70">
        <f>HYPERLINK(Table3660[[#This Row],[Column1]])</f>
        <v/>
      </c>
    </row>
    <row r="293" ht="30" customHeight="1" s="290">
      <c r="A293" s="30" t="inlineStr">
        <is>
          <t>2024 LAUNCH X431 Elite OBD2 Scanner, Full System Bi-Directional Diagnostic Scan Tool, All Reset Service Code Reader, AUTO VIN, Battery Registration, Lifetime Free WiFi Update</t>
        </is>
      </c>
      <c r="B293" s="30" t="inlineStr">
        <is>
          <t>B0CKSBCMH7</t>
        </is>
      </c>
      <c r="C293" s="30" t="inlineStr">
        <is>
          <t>Tablet</t>
        </is>
      </c>
      <c r="D293" s="324" t="n">
        <v>119</v>
      </c>
      <c r="E293" s="53" t="n">
        <v>0</v>
      </c>
      <c r="F293" s="54" t="n">
        <v>0</v>
      </c>
      <c r="G293" s="55" t="n">
        <v>0</v>
      </c>
      <c r="H293" s="55" t="n">
        <v>0</v>
      </c>
      <c r="I293" s="55" t="n">
        <v>485</v>
      </c>
      <c r="J293" s="56" t="n">
        <v>4.3</v>
      </c>
      <c r="K293" s="56" t="inlineStr">
        <is>
          <t>https://amazon.com/dp/B0CKSBCMH7</t>
        </is>
      </c>
      <c r="L293" s="70">
        <f>HYPERLINK(Table3660[[#This Row],[Column1]])</f>
        <v/>
      </c>
    </row>
    <row r="294" ht="30" customHeight="1" s="290">
      <c r="A294" s="30" t="inlineStr">
        <is>
          <t>Launch Roxi-WiFi</t>
        </is>
      </c>
      <c r="B294" s="30" t="inlineStr">
        <is>
          <t>B07RWFRF2L</t>
        </is>
      </c>
      <c r="C294" s="30" t="inlineStr">
        <is>
          <t>Handheld</t>
        </is>
      </c>
      <c r="D294" s="324" t="n">
        <v>699.99</v>
      </c>
      <c r="E294" s="53" t="n">
        <v>0</v>
      </c>
      <c r="F294" s="54" t="n">
        <v>0</v>
      </c>
      <c r="G294" s="55" t="n">
        <v>0</v>
      </c>
      <c r="H294" s="55" t="n">
        <v>0</v>
      </c>
      <c r="I294" s="55" t="n">
        <v>0</v>
      </c>
      <c r="J294" s="56" t="n"/>
      <c r="K294" s="56" t="inlineStr">
        <is>
          <t>https://amazon.com/dp/B07RWFRF2L</t>
        </is>
      </c>
      <c r="L294" s="70">
        <f>HYPERLINK(Table3660[[#This Row],[Column1]])</f>
        <v/>
      </c>
    </row>
    <row r="295" ht="30" customHeight="1" s="290">
      <c r="A295" s="30" t="inlineStr">
        <is>
          <t>LAUNCH X-431 HTD180 Handheld Laser Tire Tread Depth Gauge with Touch Screen, 0.1mm High Accuracy Real-time Data Tire Health Scan Tool Support Wi-Fi and Bluetooth Connection</t>
        </is>
      </c>
      <c r="B295" s="30" t="inlineStr">
        <is>
          <t>B0FGN4MBD2</t>
        </is>
      </c>
      <c r="C295" s="30" t="inlineStr">
        <is>
          <t>Other</t>
        </is>
      </c>
      <c r="D295" s="324" t="n">
        <v>299</v>
      </c>
      <c r="E295" s="53" t="n">
        <v>3297.49</v>
      </c>
      <c r="F295" s="54" t="n">
        <v>0</v>
      </c>
      <c r="G295" s="55" t="n">
        <v>11</v>
      </c>
      <c r="H295" s="55" t="n">
        <v>0</v>
      </c>
      <c r="I295" s="55" t="n"/>
      <c r="J295" s="56" t="n"/>
      <c r="K295" s="56" t="inlineStr">
        <is>
          <t>https://amazon.com/dp/B0FGN4MBD2</t>
        </is>
      </c>
      <c r="L295" s="70">
        <f>HYPERLINK(Table3660[[#This Row],[Column1]])</f>
        <v/>
      </c>
    </row>
    <row r="296" ht="45" customHeight="1" s="290">
      <c r="A296" s="30" t="inlineStr">
        <is>
          <t>2026 LAUNCH Creader Elite for GM Bi-Directional OBD2 Scanner, All Resets Full System Diagnostic Scan Tool, Full OBD2 Code Reader for Buick/Chevrolet/Cadillac/GMC, Lifetime Free Update</t>
        </is>
      </c>
      <c r="B296" s="30" t="inlineStr">
        <is>
          <t>B09XV8VR35</t>
        </is>
      </c>
      <c r="C296" s="30" t="inlineStr">
        <is>
          <t>Handheld</t>
        </is>
      </c>
      <c r="D296" s="324" t="n">
        <v>148.2040243902439</v>
      </c>
      <c r="E296" s="53" t="n">
        <v>115770.05</v>
      </c>
      <c r="F296" s="54" t="n">
        <v>0</v>
      </c>
      <c r="G296" s="55" t="n">
        <v>770</v>
      </c>
      <c r="H296" s="55" t="n">
        <v>0</v>
      </c>
      <c r="I296" s="55" t="n">
        <v>202</v>
      </c>
      <c r="J296" s="56" t="n">
        <v>3.9</v>
      </c>
      <c r="K296" s="56" t="inlineStr">
        <is>
          <t>https://amazon.com/dp/B09XV8VR35</t>
        </is>
      </c>
      <c r="L296" s="70">
        <f>HYPERLINK(Table3660[[#This Row],[Column1]])</f>
        <v/>
      </c>
    </row>
    <row r="297" ht="45" customHeight="1" s="290">
      <c r="A297" s="30" t="inlineStr">
        <is>
          <t>Launch Creader Elite 3.0 Bidirectional Scan Tool fit for Toyota/Lexus, 2026 All Reset Service Code Reader, Full System OBD2 Scanner, ECU Code, AUTO VIN, Battery Registration, Lifetime Free Update</t>
        </is>
      </c>
      <c r="B297" s="30" t="inlineStr">
        <is>
          <t>B0GG9RNRJM</t>
        </is>
      </c>
      <c r="C297" s="30" t="inlineStr">
        <is>
          <t>Tablet</t>
        </is>
      </c>
      <c r="D297" s="324" t="n">
        <v>151.04</v>
      </c>
      <c r="E297" s="53" t="n">
        <v>0</v>
      </c>
      <c r="F297" s="54" t="n">
        <v>0</v>
      </c>
      <c r="G297" s="55" t="n">
        <v>0</v>
      </c>
      <c r="H297" s="55" t="n">
        <v>0</v>
      </c>
      <c r="I297" s="55" t="n"/>
      <c r="J297" s="56" t="n"/>
      <c r="K297" s="56" t="inlineStr">
        <is>
          <t>https://amazon.com/dp/B0GG9RNRJM</t>
        </is>
      </c>
      <c r="L297" s="70">
        <f>HYPERLINK(Table3660[[#This Row],[Column1]])</f>
        <v/>
      </c>
    </row>
    <row r="298" ht="30" customHeight="1" s="290">
      <c r="A298" s="30" t="inlineStr">
        <is>
          <t>Launch CRP129 MT Pro Motorcycle Scanner, OE All System Bidirectional Active Tests, Resets for Harley Honda Yamaha Kawasaki Indian Suzuki Polaris Victory, 38+ Brands, 11 Languages, 2 Years Upgrades</t>
        </is>
      </c>
      <c r="B298" s="30" t="inlineStr">
        <is>
          <t>B0GBWPH47T</t>
        </is>
      </c>
      <c r="C298" s="30" t="inlineStr">
        <is>
          <t>Tablet</t>
        </is>
      </c>
      <c r="D298" s="324" t="n">
        <v>640.96</v>
      </c>
      <c r="E298" s="53" t="n">
        <v>9604.469999999999</v>
      </c>
      <c r="F298" s="54" t="n">
        <v>0</v>
      </c>
      <c r="G298" s="55" t="n">
        <v>17</v>
      </c>
      <c r="H298" s="55" t="n">
        <v>0</v>
      </c>
      <c r="I298" s="55" t="n">
        <v>3</v>
      </c>
      <c r="J298" s="56" t="n">
        <v>3.5</v>
      </c>
      <c r="K298" s="56" t="inlineStr">
        <is>
          <t>https://amazon.com/dp/B0GBWPH47T</t>
        </is>
      </c>
      <c r="L298" s="70">
        <f>HYPERLINK(Table3660[[#This Row],[Column1]])</f>
        <v/>
      </c>
    </row>
    <row r="299" ht="45" customHeight="1" s="290">
      <c r="A299" s="30" t="inlineStr">
        <is>
          <t>LAUNCH CRP909E OBD2 Scanner, 2025 New Full System Car Scanner with 28+Reset Functions, Oil,TPMS,SAS,DPF,ABS Bleeding,Throttle,2 Yrs Free Update</t>
        </is>
      </c>
      <c r="B299" s="30" t="inlineStr">
        <is>
          <t>B09N8W7TYM</t>
        </is>
      </c>
      <c r="C299" s="30" t="inlineStr">
        <is>
          <t>Tablet</t>
        </is>
      </c>
      <c r="D299" s="324" t="n">
        <v>397.48</v>
      </c>
      <c r="E299" s="53" t="n">
        <v>16154.41</v>
      </c>
      <c r="F299" s="54" t="n">
        <v>0</v>
      </c>
      <c r="G299" s="55" t="n">
        <v>46</v>
      </c>
      <c r="H299" s="55" t="n">
        <v>0</v>
      </c>
      <c r="I299" s="55" t="n">
        <v>89</v>
      </c>
      <c r="J299" s="56" t="n">
        <v>4.2</v>
      </c>
      <c r="K299" s="56" t="inlineStr">
        <is>
          <t>https://amazon.com/dp/B09N8W7TYM</t>
        </is>
      </c>
      <c r="L299" s="70">
        <f>HYPERLINK(Table3660[[#This Row],[Column1]])</f>
        <v/>
      </c>
    </row>
    <row r="300" ht="30" customHeight="1" s="290">
      <c r="A300" s="30" t="inlineStr">
        <is>
          <t>LAUNCH Original Adapter for Mercedes-Benz DR15 Male to OBD1 38 Pin Male [Note: Can't Work Alone] for X-431 Diagnostic Scanner</t>
        </is>
      </c>
      <c r="B300" s="30" t="inlineStr">
        <is>
          <t>B0FFLLDNXC</t>
        </is>
      </c>
      <c r="C300" s="30" t="inlineStr">
        <is>
          <t>OBD1</t>
        </is>
      </c>
      <c r="D300" s="324" t="n">
        <v>25.72</v>
      </c>
      <c r="E300" s="53" t="n">
        <v>447.79</v>
      </c>
      <c r="F300" s="54" t="n">
        <v>0</v>
      </c>
      <c r="G300" s="55" t="n">
        <v>23</v>
      </c>
      <c r="H300" s="55" t="n">
        <v>0</v>
      </c>
      <c r="I300" s="55" t="n"/>
      <c r="J300" s="56" t="n"/>
      <c r="K300" s="56" t="inlineStr">
        <is>
          <t>https://amazon.com/dp/B0FFLLDNXC</t>
        </is>
      </c>
      <c r="L300" s="70">
        <f>HYPERLINK(Table3660[[#This Row],[Column1]])</f>
        <v/>
      </c>
    </row>
    <row r="301" ht="45" customHeight="1" s="290">
      <c r="A301" s="30" t="inlineStr">
        <is>
          <t>LAUNCH CRP909E Elite Full System OBD2 Scanner,2026 OE-Level Car Diagnostic Scan Tool,28+ Reset Service,TPMS,SAS,DPF,ABS Bleeding,2 Years Free Update</t>
        </is>
      </c>
      <c r="B301" s="30" t="inlineStr">
        <is>
          <t>B089XW3CGB</t>
        </is>
      </c>
      <c r="C301" s="30" t="inlineStr">
        <is>
          <t>Tablet</t>
        </is>
      </c>
      <c r="D301" s="324" t="n">
        <v>283.49</v>
      </c>
      <c r="E301" s="53" t="n">
        <v>15919.29</v>
      </c>
      <c r="F301" s="54" t="n">
        <v>0</v>
      </c>
      <c r="G301" s="55" t="n">
        <v>51</v>
      </c>
      <c r="H301" s="55" t="n">
        <v>0</v>
      </c>
      <c r="I301" s="55" t="n">
        <v>509</v>
      </c>
      <c r="J301" s="56" t="n">
        <v>4.1</v>
      </c>
      <c r="K301" s="56" t="inlineStr">
        <is>
          <t>https://amazon.com/dp/B089XW3CGB</t>
        </is>
      </c>
      <c r="L301" s="70">
        <f>HYPERLINK(Table3660[[#This Row],[Column1]])</f>
        <v/>
      </c>
    </row>
    <row r="302" ht="30" customHeight="1" s="290">
      <c r="A302" s="30" t="inlineStr">
        <is>
          <t>LAUNCH Creader Elite OBD2 Scanner Fit for Chrysler Dodge Jeep,Full Systems Code Reader with All Free Resets,FCA Autoauth, Active Test,Battery Registration Bi-Directional Diagnostic Scan Tool</t>
        </is>
      </c>
      <c r="B302" s="30" t="inlineStr">
        <is>
          <t>B0C77RGZN7</t>
        </is>
      </c>
      <c r="C302" s="30" t="inlineStr">
        <is>
          <t>Handheld</t>
        </is>
      </c>
      <c r="D302" s="324" t="n">
        <v>133.6725</v>
      </c>
      <c r="E302" s="53" t="n">
        <v>22827.51</v>
      </c>
      <c r="F302" s="54" t="n">
        <v>0</v>
      </c>
      <c r="G302" s="55" t="n">
        <v>158</v>
      </c>
      <c r="H302" s="55" t="n">
        <v>0</v>
      </c>
      <c r="I302" s="55" t="n">
        <v>13</v>
      </c>
      <c r="J302" s="56" t="n">
        <v>3.3</v>
      </c>
      <c r="K302" s="56" t="inlineStr">
        <is>
          <t>https://amazon.com/dp/B0C77RGZN7</t>
        </is>
      </c>
      <c r="L302" s="70">
        <f>HYPERLINK(Table3660[[#This Row],[Column1]])</f>
        <v/>
      </c>
    </row>
    <row r="303" ht="30" customHeight="1" s="290">
      <c r="A303" s="30" t="inlineStr">
        <is>
          <t>Launch CRP123 V2.0 OBD2 Scanner, 2025 Upgrade 4 Systems Scanner with 3 Reset, Oil, SAS, Throttle Reset, Full OBD2 Code Reader, Free Update Lifetime</t>
        </is>
      </c>
      <c r="B303" s="30" t="inlineStr">
        <is>
          <t>B01FDKNBC0</t>
        </is>
      </c>
      <c r="C303" s="30" t="inlineStr">
        <is>
          <t>Tablet</t>
        </is>
      </c>
      <c r="D303" s="324" t="n">
        <v>137.7628571428571</v>
      </c>
      <c r="E303" s="53" t="n">
        <v>9963.92</v>
      </c>
      <c r="F303" s="54" t="n">
        <v>0</v>
      </c>
      <c r="G303" s="55" t="n">
        <v>72</v>
      </c>
      <c r="H303" s="55" t="n">
        <v>0</v>
      </c>
      <c r="I303" s="55" t="n">
        <v>506</v>
      </c>
      <c r="J303" s="56" t="n">
        <v>4.2</v>
      </c>
      <c r="K303" s="56" t="inlineStr">
        <is>
          <t>https://amazon.com/dp/B01FDKNBC0</t>
        </is>
      </c>
      <c r="L303" s="70">
        <f>HYPERLINK(Table3660[[#This Row],[Column1]])</f>
        <v/>
      </c>
    </row>
    <row r="304" ht="45" customHeight="1" s="290">
      <c r="A304" s="30" t="inlineStr">
        <is>
          <t>LAUNCH Elite HD-V Heavy Duty Truck Scanner for Volvo, All System Active Test Diesel Diagnostic Tool, All Calibration/Reset Services Scan Tool for Diesel Vehicle of Volvo, 4-in-1 Live Graph Data</t>
        </is>
      </c>
      <c r="B304" s="30" t="inlineStr">
        <is>
          <t>B0DQ3WWNXC</t>
        </is>
      </c>
      <c r="C304" s="30" t="inlineStr">
        <is>
          <t>Tablet</t>
        </is>
      </c>
      <c r="D304" s="324" t="n">
        <v>429.99</v>
      </c>
      <c r="E304" s="53" t="n">
        <v>0</v>
      </c>
      <c r="F304" s="54" t="n">
        <v>0</v>
      </c>
      <c r="G304" s="55" t="n">
        <v>0</v>
      </c>
      <c r="H304" s="55" t="n">
        <v>0</v>
      </c>
      <c r="I304" s="55" t="n"/>
      <c r="J304" s="56" t="n"/>
      <c r="K304" s="56" t="inlineStr">
        <is>
          <t>https://amazon.com/dp/B0DQ3WWNXC</t>
        </is>
      </c>
      <c r="L304" s="70">
        <f>HYPERLINK(Table3660[[#This Row],[Column1]])</f>
        <v/>
      </c>
    </row>
    <row r="305" ht="45" customHeight="1" s="290">
      <c r="A305" s="30" t="inlineStr">
        <is>
          <t>LAUNCH X431 PADVII Elite, ECU Pr0gramming , HD Trucks Scanner, EVs, MotorCycles Scan, J2534 Pr0gramming Tool, Online Coding, Topology Map, 60+Service, Remote Diagnosis with Smartlink C 2.0</t>
        </is>
      </c>
      <c r="B305" s="30" t="inlineStr">
        <is>
          <t>B0FCMGZV3K</t>
        </is>
      </c>
      <c r="C305" s="30" t="inlineStr">
        <is>
          <t>Tablet</t>
        </is>
      </c>
      <c r="D305" s="324" t="n">
        <v>2796.005</v>
      </c>
      <c r="E305" s="53" t="n">
        <v>39999.48</v>
      </c>
      <c r="F305" s="54" t="n">
        <v>0</v>
      </c>
      <c r="G305" s="55" t="n">
        <v>15</v>
      </c>
      <c r="H305" s="55" t="n">
        <v>0</v>
      </c>
      <c r="I305" s="55" t="n">
        <v>10</v>
      </c>
      <c r="J305" s="56" t="n">
        <v>3.6</v>
      </c>
      <c r="K305" s="56" t="inlineStr">
        <is>
          <t>https://amazon.com/dp/B0FCMGZV3K</t>
        </is>
      </c>
      <c r="L305" s="70">
        <f>HYPERLINK(Table3660[[#This Row],[Column1]])</f>
        <v/>
      </c>
    </row>
    <row r="306" ht="60" customHeight="1" s="290">
      <c r="A306" s="30" t="inlineStr">
        <is>
          <t>LAUNCH Original USB Charging Cable for X431 CRP123i CRP123e CRP123x, CRP129i CRP129e CRP129x, CRP909e CRP909x OBD2 Scanner 5V DC</t>
        </is>
      </c>
      <c r="B306" s="30" t="inlineStr">
        <is>
          <t>B0DZNGCY22</t>
        </is>
      </c>
      <c r="C306" s="30" t="inlineStr">
        <is>
          <t>Cable/Adapter</t>
        </is>
      </c>
      <c r="D306" s="324" t="n">
        <v>12.99</v>
      </c>
      <c r="E306" s="53" t="n">
        <v>241.83</v>
      </c>
      <c r="F306" s="54" t="n">
        <v>0</v>
      </c>
      <c r="G306" s="55" t="n">
        <v>19</v>
      </c>
      <c r="H306" s="55" t="n">
        <v>0</v>
      </c>
      <c r="I306" s="55" t="n">
        <v>3</v>
      </c>
      <c r="J306" s="56" t="n">
        <v>5</v>
      </c>
      <c r="K306" s="56" t="inlineStr">
        <is>
          <t>https://amazon.com/dp/B0DZNGCY22</t>
        </is>
      </c>
      <c r="L306" s="70">
        <f>HYPERLINK(Table3660[[#This Row],[Column1]])</f>
        <v/>
      </c>
    </row>
    <row r="307" ht="45" customHeight="1" s="290">
      <c r="A307" s="30" t="inlineStr">
        <is>
          <t>LAUNCH CR319 OBD2 Scanner, Check Engine Code Reader, OBD2 Full Functions</t>
        </is>
      </c>
      <c r="B307" s="30" t="inlineStr">
        <is>
          <t>B07Y5G811Q</t>
        </is>
      </c>
      <c r="C307" s="30" t="inlineStr">
        <is>
          <t>Handheld</t>
        </is>
      </c>
      <c r="D307" s="324" t="n">
        <v>19.99</v>
      </c>
      <c r="E307" s="53" t="n">
        <v>25.79</v>
      </c>
      <c r="F307" s="54" t="n">
        <v>0</v>
      </c>
      <c r="G307" s="55" t="n">
        <v>1</v>
      </c>
      <c r="H307" s="55" t="n">
        <v>0</v>
      </c>
      <c r="I307" s="55" t="n">
        <v>6</v>
      </c>
      <c r="J307" s="56" t="n">
        <v>4.4</v>
      </c>
      <c r="K307" s="56" t="inlineStr">
        <is>
          <t>https://amazon.com/dp/B07Y5G811Q</t>
        </is>
      </c>
      <c r="L307" s="70">
        <f>HYPERLINK(Table3660[[#This Row],[Column1]])</f>
        <v/>
      </c>
    </row>
    <row r="308" ht="45" customHeight="1" s="290">
      <c r="A308" s="30" t="inlineStr">
        <is>
          <t>LAUNCH Full System Heavy Duty Truck Scanner, Creader Elite HD International Semi Bidirectional Diesel Diagnostic Scan Tool with DPF Regen, ECU Coding, Actuation Test, 70+ Reset</t>
        </is>
      </c>
      <c r="B308" s="30" t="inlineStr">
        <is>
          <t>B0DHZRS4L2</t>
        </is>
      </c>
      <c r="C308" s="30" t="inlineStr">
        <is>
          <t>Tablet</t>
        </is>
      </c>
      <c r="D308" s="324" t="n">
        <v>399.99</v>
      </c>
      <c r="E308" s="53" t="n">
        <v>822.3</v>
      </c>
      <c r="F308" s="54" t="n">
        <v>0</v>
      </c>
      <c r="G308" s="55" t="n">
        <v>2</v>
      </c>
      <c r="H308" s="55" t="n">
        <v>0</v>
      </c>
      <c r="I308" s="55" t="n">
        <v>1</v>
      </c>
      <c r="J308" s="56" t="n">
        <v>3</v>
      </c>
      <c r="K308" s="56" t="inlineStr">
        <is>
          <t>https://amazon.com/dp/B0DHZRS4L2</t>
        </is>
      </c>
      <c r="L308" s="70">
        <f>HYPERLINK(Table3660[[#This Row],[Column1]])</f>
        <v/>
      </c>
    </row>
    <row r="309" ht="45" customHeight="1" s="290">
      <c r="A309" s="30" t="inlineStr">
        <is>
          <t>LAUNCH X431 CRP919X OBD2 Scanner,ECU Coding, bidirectional scan Tool(4000+ Active Tests), CANFD, DOIP, and FCA SGW. 35+ Services, Android 10.0,Full-System Diagnostics</t>
        </is>
      </c>
      <c r="B309" s="30" t="inlineStr">
        <is>
          <t>B0F8NQK491</t>
        </is>
      </c>
      <c r="C309" s="30" t="inlineStr">
        <is>
          <t>Tablet</t>
        </is>
      </c>
      <c r="D309" s="324" t="n">
        <v>888.28</v>
      </c>
      <c r="E309" s="53" t="n">
        <v>1944.8</v>
      </c>
      <c r="F309" s="54" t="n">
        <v>0</v>
      </c>
      <c r="G309" s="55" t="n">
        <v>4</v>
      </c>
      <c r="H309" s="55" t="n">
        <v>0</v>
      </c>
      <c r="I309" s="55" t="n">
        <v>10</v>
      </c>
      <c r="J309" s="56" t="n">
        <v>4.3</v>
      </c>
      <c r="K309" s="56" t="inlineStr">
        <is>
          <t>https://amazon.com/dp/B0F8NQK491</t>
        </is>
      </c>
      <c r="L309" s="70">
        <f>HYPERLINK(Table3660[[#This Row],[Column1]])</f>
        <v/>
      </c>
    </row>
    <row r="310" ht="45" customHeight="1" s="290">
      <c r="A310" s="30" t="inlineStr">
        <is>
          <t>Launch Millennium Max Bi-Directional Scan Tool, Full Systems Car Diagnostic Scanner, 29+ Reset Functions, ECU Coding, DoIP &amp; CAN FD Supported, Code Assist, FCA Autoauth, 1 Year Free Update</t>
        </is>
      </c>
      <c r="B310" s="30" t="inlineStr">
        <is>
          <t>B0BT71N6HQ</t>
        </is>
      </c>
      <c r="C310" s="30" t="inlineStr">
        <is>
          <t>Tablet</t>
        </is>
      </c>
      <c r="D310" s="324" t="n">
        <v>521.37</v>
      </c>
      <c r="E310" s="53" t="n">
        <v>530.24</v>
      </c>
      <c r="F310" s="54" t="n">
        <v>0</v>
      </c>
      <c r="G310" s="55" t="n">
        <v>1</v>
      </c>
      <c r="H310" s="55" t="n">
        <v>0</v>
      </c>
      <c r="I310" s="55" t="n">
        <v>2</v>
      </c>
      <c r="J310" s="56" t="n">
        <v>1.6</v>
      </c>
      <c r="K310" s="56" t="inlineStr">
        <is>
          <t>https://amazon.com/dp/B0BT71N6HQ</t>
        </is>
      </c>
      <c r="L310" s="70">
        <f>HYPERLINK(Table3660[[#This Row],[Column1]])</f>
        <v/>
      </c>
    </row>
    <row r="311" ht="45" customHeight="1" s="290">
      <c r="A311" s="30" t="inlineStr">
        <is>
          <t>2024 LAUNCH Creader Elite Bidirectional Scan Tool fit for VW Audi Skoda Seat, Online Coding OBD2 Scanner, Full System All Reset Diagnostic for V.A.G After 1996, Battery Register, Lifetime Update</t>
        </is>
      </c>
      <c r="B311" s="30" t="inlineStr">
        <is>
          <t>B09XV5W3HD</t>
        </is>
      </c>
      <c r="C311" s="30" t="inlineStr">
        <is>
          <t>Handheld</t>
        </is>
      </c>
      <c r="D311" s="324" t="n">
        <v>315.88</v>
      </c>
      <c r="E311" s="53" t="n">
        <v>0</v>
      </c>
      <c r="F311" s="54" t="n">
        <v>0</v>
      </c>
      <c r="G311" s="55" t="n">
        <v>0</v>
      </c>
      <c r="H311" s="55" t="n">
        <v>0</v>
      </c>
      <c r="I311" s="55" t="n">
        <v>175</v>
      </c>
      <c r="J311" s="56" t="n">
        <v>4.1</v>
      </c>
      <c r="K311" s="56" t="inlineStr">
        <is>
          <t>https://amazon.com/dp/B09XV5W3HD</t>
        </is>
      </c>
      <c r="L311" s="70">
        <f>HYPERLINK(Table3660[[#This Row],[Column1]])</f>
        <v/>
      </c>
    </row>
    <row r="312" ht="45" customHeight="1" s="290">
      <c r="A312" s="30" t="inlineStr">
        <is>
          <t>LAUNCH Creader Elite HD Cummins Detroit MAXXFORCE Caterpillar HD-Volvo International Isuzu Hino Heavy Duty Truck Diesel Diagnostic Scaner,Actuation Test,Coding,Special Functions,Lifetime Free Upgrade</t>
        </is>
      </c>
      <c r="B312" s="30" t="inlineStr">
        <is>
          <t>B0DCNCJ5MM</t>
        </is>
      </c>
      <c r="C312" s="30" t="inlineStr">
        <is>
          <t>Tablet</t>
        </is>
      </c>
      <c r="D312" s="324" t="n">
        <v>429</v>
      </c>
      <c r="E312" s="53" t="n">
        <v>24030.77</v>
      </c>
      <c r="F312" s="54" t="n">
        <v>0</v>
      </c>
      <c r="G312" s="55" t="n">
        <v>55</v>
      </c>
      <c r="H312" s="55" t="n">
        <v>0</v>
      </c>
      <c r="I312" s="55" t="n">
        <v>2</v>
      </c>
      <c r="J312" s="56" t="n">
        <v>5</v>
      </c>
      <c r="K312" s="56" t="inlineStr">
        <is>
          <t>https://amazon.com/dp/B0DCNCJ5MM</t>
        </is>
      </c>
      <c r="L312" s="70">
        <f>HYPERLINK(Table3660[[#This Row],[Column1]])</f>
        <v/>
      </c>
    </row>
    <row r="313" ht="45" customHeight="1" s="290">
      <c r="A313" s="30" t="inlineStr">
        <is>
          <t>LAUNCH Creader Elite HD-Volvo International Isuzu Hino Heavy Duty Truck Cummins Detroit MAXXFORCE Diagnostic Scanner, Diagnosis,Actuation Test,Coding, Special Functions, Lifetime Free Upgrade</t>
        </is>
      </c>
      <c r="B313" s="30" t="inlineStr">
        <is>
          <t>B0DD7T894N</t>
        </is>
      </c>
      <c r="C313" s="30" t="inlineStr">
        <is>
          <t>Tablet</t>
        </is>
      </c>
      <c r="D313" s="324" t="n">
        <v>429</v>
      </c>
      <c r="E313" s="53" t="n">
        <v>20871.51</v>
      </c>
      <c r="F313" s="54" t="n">
        <v>0</v>
      </c>
      <c r="G313" s="55" t="n">
        <v>49</v>
      </c>
      <c r="H313" s="55" t="n">
        <v>0</v>
      </c>
      <c r="I313" s="55" t="n">
        <v>2</v>
      </c>
      <c r="J313" s="56" t="n">
        <v>5</v>
      </c>
      <c r="K313" s="56" t="inlineStr">
        <is>
          <t>https://amazon.com/dp/B0DD7T894N</t>
        </is>
      </c>
      <c r="L313" s="70">
        <f>HYPERLINK(Table3660[[#This Row],[Column1]])</f>
        <v/>
      </c>
    </row>
    <row r="314" ht="45" customHeight="1" s="290">
      <c r="A314" s="30" t="inlineStr">
        <is>
          <t>Launch Millennium 90 Pro OBD2 Scanner, DIY Full OBD Function Car Code Reader, Check Engine/ABS/SRS/Transmission Diagnostic Scan Tool, Oil/EPB/BMS/DPF/SAS Reset/ABS Bleeding Car Scanner, Free Update</t>
        </is>
      </c>
      <c r="B314" s="30" t="inlineStr">
        <is>
          <t>B09G332FWP</t>
        </is>
      </c>
      <c r="C314" s="30" t="inlineStr">
        <is>
          <t>Handheld</t>
        </is>
      </c>
      <c r="D314" s="324" t="n">
        <v>139.99</v>
      </c>
      <c r="E314" s="53" t="n">
        <v>5829.36</v>
      </c>
      <c r="F314" s="54" t="n">
        <v>0</v>
      </c>
      <c r="G314" s="55" t="n">
        <v>46</v>
      </c>
      <c r="H314" s="55" t="n">
        <v>0</v>
      </c>
      <c r="I314" s="55" t="n">
        <v>33</v>
      </c>
      <c r="J314" s="56" t="n">
        <v>4.4</v>
      </c>
      <c r="K314" s="56" t="inlineStr">
        <is>
          <t>https://amazon.com/dp/B09G332FWP</t>
        </is>
      </c>
      <c r="L314" s="70">
        <f>HYPERLINK(Table3660[[#This Row],[Column1]])</f>
        <v/>
      </c>
    </row>
    <row r="315" ht="45" customHeight="1" s="290">
      <c r="A315" s="30" t="inlineStr">
        <is>
          <t>LAUNCH Creader Elite HD Cummins Detroit MAXXFORCE Heavy Duty Truck Diesel Diagnostic Scanner Machinery Vessel Scan Tool, Actuation Test, Special Functions,System Diagnosis, Lifetime Free Upgrade</t>
        </is>
      </c>
      <c r="B315" s="30" t="inlineStr">
        <is>
          <t>B0D7HSGQGZ</t>
        </is>
      </c>
      <c r="C315" s="30" t="inlineStr">
        <is>
          <t>Tablet</t>
        </is>
      </c>
      <c r="D315" s="324" t="n">
        <v>429</v>
      </c>
      <c r="E315" s="53" t="n">
        <v>0</v>
      </c>
      <c r="F315" s="54" t="n">
        <v>0</v>
      </c>
      <c r="G315" s="55" t="n">
        <v>0</v>
      </c>
      <c r="H315" s="55" t="n">
        <v>0</v>
      </c>
      <c r="I315" s="55" t="n">
        <v>1</v>
      </c>
      <c r="J315" s="56" t="n">
        <v>5</v>
      </c>
      <c r="K315" s="56" t="inlineStr">
        <is>
          <t>https://amazon.com/dp/B0D7HSGQGZ</t>
        </is>
      </c>
      <c r="L315" s="70">
        <f>HYPERLINK(Table3660[[#This Row],[Column1]])</f>
        <v/>
      </c>
    </row>
    <row r="316" ht="30" customHeight="1" s="290">
      <c r="A316" s="30" t="inlineStr">
        <is>
          <t>LAUNCH CRP 123X OR LAUNCH X431 1MM0 Elite</t>
        </is>
      </c>
      <c r="B316" s="30" t="inlineStr">
        <is>
          <t>B0FCXZ7FGB</t>
        </is>
      </c>
      <c r="C316" s="30" t="inlineStr">
        <is>
          <t>Tablet</t>
        </is>
      </c>
      <c r="D316" s="324" t="n">
        <v>1299</v>
      </c>
      <c r="E316" s="53" t="n">
        <v>0</v>
      </c>
      <c r="F316" s="54" t="n">
        <v>0</v>
      </c>
      <c r="G316" s="55" t="n">
        <v>0</v>
      </c>
      <c r="H316" s="55" t="n">
        <v>0</v>
      </c>
      <c r="I316" s="55" t="n">
        <v>186</v>
      </c>
      <c r="J316" s="56" t="n">
        <v>4.3</v>
      </c>
      <c r="K316" s="56" t="inlineStr">
        <is>
          <t>https://amazon.com/dp/B0FCXZ7FGB</t>
        </is>
      </c>
      <c r="L316" s="70">
        <f>HYPERLINK(Table3660[[#This Row],[Column1]])</f>
        <v/>
      </c>
    </row>
    <row r="317" ht="45" customHeight="1" s="290">
      <c r="A317" s="30" t="inlineStr">
        <is>
          <t>2026 LAUNCH X431 Pro Dyno All-in-one Diagnostic scan Tool for All Cars, ECU Coding Bi-Directional Control 38+ Services Full System OBD2 Scanner, CANFD DOIP, AutoAuth FCA SGW, 2 Years Free Update</t>
        </is>
      </c>
      <c r="B317" s="30" t="inlineStr">
        <is>
          <t>B0CGHC72MX</t>
        </is>
      </c>
      <c r="C317" s="30" t="inlineStr">
        <is>
          <t>Tablet</t>
        </is>
      </c>
      <c r="D317" s="324" t="n">
        <v>749</v>
      </c>
      <c r="E317" s="53" t="n">
        <v>32846.21</v>
      </c>
      <c r="F317" s="54" t="n">
        <v>0</v>
      </c>
      <c r="G317" s="55" t="n">
        <v>39</v>
      </c>
      <c r="H317" s="55" t="n">
        <v>0</v>
      </c>
      <c r="I317" s="55" t="n">
        <v>76</v>
      </c>
      <c r="J317" s="56" t="n">
        <v>4.4</v>
      </c>
      <c r="K317" s="56" t="inlineStr">
        <is>
          <t>https://amazon.com/dp/B0CGHC72MX</t>
        </is>
      </c>
      <c r="L317" s="70">
        <f>HYPERLINK(Table3660[[#This Row],[Column1]])</f>
        <v/>
      </c>
    </row>
    <row r="318" ht="45" customHeight="1" s="290">
      <c r="A318" s="30" t="inlineStr">
        <is>
          <t>LAUNCH X431 PRO3 ACE 2026 Upgraded Bidirectional Scan Tool, DBSCar VII Connector, OEM Topology Map, HD Trucks Scan, 55+ Service, Online Code, All System, CAN FD &amp; DoIP, FCA SGW</t>
        </is>
      </c>
      <c r="B318" s="30" t="inlineStr">
        <is>
          <t>B0DFB9W42Z</t>
        </is>
      </c>
      <c r="C318" s="30" t="inlineStr">
        <is>
          <t>Tablet</t>
        </is>
      </c>
      <c r="D318" s="324" t="n">
        <v>1099</v>
      </c>
      <c r="E318" s="53" t="n">
        <v>17764.86</v>
      </c>
      <c r="F318" s="54" t="n">
        <v>0</v>
      </c>
      <c r="G318" s="55" t="n">
        <v>15</v>
      </c>
      <c r="H318" s="55" t="n">
        <v>0</v>
      </c>
      <c r="I318" s="55" t="n">
        <v>4</v>
      </c>
      <c r="J318" s="56" t="n">
        <v>5</v>
      </c>
      <c r="K318" s="56" t="inlineStr">
        <is>
          <t>https://amazon.com/dp/B0DFB9W42Z</t>
        </is>
      </c>
      <c r="L318" s="70">
        <f>HYPERLINK(Table3660[[#This Row],[Column1]])</f>
        <v/>
      </c>
    </row>
    <row r="319" ht="45" customHeight="1" s="290">
      <c r="A319" s="30" t="inlineStr">
        <is>
          <t>LAUNCH OBD2 Scanner Diagnostic Scan Tool, Millennium OBD Check Engine Code Reader, One-Click to Check I/M Readiness, Battery Voltage Test, DTC Lookup, Lifetime Update, for All Vehicles After 1996</t>
        </is>
      </c>
      <c r="B319" s="30" t="inlineStr">
        <is>
          <t>B08QGNRKZZ</t>
        </is>
      </c>
      <c r="C319" s="30" t="inlineStr">
        <is>
          <t>Handheld</t>
        </is>
      </c>
      <c r="D319" s="324" t="n">
        <v>68.90000000000001</v>
      </c>
      <c r="E319" s="53" t="n">
        <v>991.1200000000001</v>
      </c>
      <c r="F319" s="54" t="n">
        <v>0</v>
      </c>
      <c r="G319" s="55" t="n">
        <v>24</v>
      </c>
      <c r="H319" s="55" t="n">
        <v>0</v>
      </c>
      <c r="I319" s="55" t="n">
        <v>4</v>
      </c>
      <c r="J319" s="56" t="n">
        <v>5</v>
      </c>
      <c r="K319" s="56" t="inlineStr">
        <is>
          <t>https://amazon.com/dp/B08QGNRKZZ</t>
        </is>
      </c>
      <c r="L319" s="70">
        <f>HYPERLINK(Table3660[[#This Row],[Column1]])</f>
        <v/>
      </c>
    </row>
    <row r="320" ht="45" customHeight="1" s="290">
      <c r="A320" s="30" t="inlineStr">
        <is>
          <t>LAUNCH X431 OBD2 Scanner V+ SmartLink HD All System Heavy Duty Trcuk Diagnostic Scan Tool Diesel Bidirectional Code Reader for Commercial Vehicle with ABS SRS DPF Regen</t>
        </is>
      </c>
      <c r="B320" s="30" t="inlineStr">
        <is>
          <t>B0CX5963CY</t>
        </is>
      </c>
      <c r="C320" s="30" t="inlineStr">
        <is>
          <t>Tablet</t>
        </is>
      </c>
      <c r="D320" s="324" t="n">
        <v>1499</v>
      </c>
      <c r="E320" s="53" t="n">
        <v>23560.38</v>
      </c>
      <c r="F320" s="54" t="n">
        <v>0</v>
      </c>
      <c r="G320" s="55" t="n">
        <v>20</v>
      </c>
      <c r="H320" s="55" t="n">
        <v>0</v>
      </c>
      <c r="I320" s="55" t="n"/>
      <c r="J320" s="56" t="n"/>
      <c r="K320" s="56" t="inlineStr">
        <is>
          <t>https://amazon.com/dp/B0CX5963CY</t>
        </is>
      </c>
      <c r="L320" s="70">
        <f>HYPERLINK(Table3660[[#This Row],[Column1]])</f>
        <v/>
      </c>
    </row>
    <row r="321" ht="45" customHeight="1" s="290">
      <c r="A321" s="30" t="inlineStr">
        <is>
          <t>LAUNCH X431 Creader 5011 V2 TPMS Scan Tool，Tire Pressure Monitoring TPMS Sensor (315+433MHz) Read/Activate/Relearn Scanner,OBD2 Code Reader &amp; 12 Hot Reset, Lifetime Free Update</t>
        </is>
      </c>
      <c r="B321" s="30" t="inlineStr">
        <is>
          <t>B0DQ12V9NH</t>
        </is>
      </c>
      <c r="C321" s="30" t="inlineStr">
        <is>
          <t>Handheld</t>
        </is>
      </c>
      <c r="D321" s="324" t="n">
        <v>209</v>
      </c>
      <c r="E321" s="53" t="n">
        <v>6148.18</v>
      </c>
      <c r="F321" s="54" t="n">
        <v>0</v>
      </c>
      <c r="G321" s="55" t="n">
        <v>26</v>
      </c>
      <c r="H321" s="55" t="n">
        <v>0</v>
      </c>
      <c r="I321" s="55" t="n">
        <v>3</v>
      </c>
      <c r="J321" s="56" t="n">
        <v>5</v>
      </c>
      <c r="K321" s="56" t="inlineStr">
        <is>
          <t>https://amazon.com/dp/B0DQ12V9NH</t>
        </is>
      </c>
      <c r="L321" s="70">
        <f>HYPERLINK(Table3660[[#This Row],[Column1]])</f>
        <v/>
      </c>
    </row>
    <row r="322" ht="60" customHeight="1" s="290">
      <c r="A322" s="30" t="inlineStr">
        <is>
          <t>LAUNCH X431 CRP919 New Energy Vehicle Scanner, 2026 EV Scan Tool with All System, ECU Code, Bidirectional Control, 43 Service, CANFD and DOIP, 2 Years Free Update</t>
        </is>
      </c>
      <c r="B322" s="30" t="inlineStr">
        <is>
          <t>B0DP4KWH9R</t>
        </is>
      </c>
      <c r="C322" s="30" t="inlineStr">
        <is>
          <t>Tablet</t>
        </is>
      </c>
      <c r="D322" s="324" t="n">
        <v>549</v>
      </c>
      <c r="E322" s="53" t="n">
        <v>16922.97</v>
      </c>
      <c r="F322" s="54" t="n">
        <v>0</v>
      </c>
      <c r="G322" s="55" t="n">
        <v>35</v>
      </c>
      <c r="H322" s="55" t="n">
        <v>0</v>
      </c>
      <c r="I322" s="55" t="n">
        <v>7</v>
      </c>
      <c r="J322" s="56" t="n">
        <v>2.7</v>
      </c>
      <c r="K322" s="56" t="inlineStr">
        <is>
          <t>https://amazon.com/dp/B0DP4KWH9R</t>
        </is>
      </c>
      <c r="L322" s="70">
        <f>HYPERLINK(Table3660[[#This Row],[Column1]])</f>
        <v/>
      </c>
    </row>
    <row r="323" ht="45" customHeight="1" s="290">
      <c r="A323" s="30" t="inlineStr">
        <is>
          <t>LAUNCH X431 PAD V Elite,2026 Scan Tool, ECU Online Code Scan Tool,Topology Map,Bi-Directional Control Scanner,60+ Services,CANFD/DOIP, HD Truck,2 Yrs Free Update</t>
        </is>
      </c>
      <c r="B323" s="30" t="inlineStr">
        <is>
          <t>B0CT8LN72G</t>
        </is>
      </c>
      <c r="C323" s="30" t="inlineStr">
        <is>
          <t>Tablet</t>
        </is>
      </c>
      <c r="D323" s="324" t="n">
        <v>1899</v>
      </c>
      <c r="E323" s="53" t="n">
        <v>11603.08</v>
      </c>
      <c r="F323" s="54" t="n">
        <v>0</v>
      </c>
      <c r="G323" s="55" t="n">
        <v>7</v>
      </c>
      <c r="H323" s="55" t="n">
        <v>0</v>
      </c>
      <c r="I323" s="55" t="n">
        <v>3</v>
      </c>
      <c r="J323" s="56" t="n">
        <v>5</v>
      </c>
      <c r="K323" s="56" t="inlineStr">
        <is>
          <t>https://amazon.com/dp/B0CT8LN72G</t>
        </is>
      </c>
      <c r="L323" s="70">
        <f>HYPERLINK(Table3660[[#This Row],[Column1]])</f>
        <v/>
      </c>
    </row>
    <row r="324" ht="45" customHeight="1" s="290">
      <c r="A324" s="30" t="inlineStr">
        <is>
          <t>LAUNCH X431 PRO Star [2025 Lastest Version] Bi-Directional Diagnostic Scanner, 37+ Services, ECU Coding, Full System OBD2 Scan Tool with CANFD, DoIP, FCA AutoAuth, Quick Guided, 2 Years Free Update</t>
        </is>
      </c>
      <c r="B324" s="30" t="inlineStr">
        <is>
          <t>B0D7W36PVD</t>
        </is>
      </c>
      <c r="C324" s="30" t="inlineStr">
        <is>
          <t>Tablet</t>
        </is>
      </c>
      <c r="D324" s="324" t="n">
        <v>645</v>
      </c>
      <c r="E324" s="53" t="n">
        <v>7750.51</v>
      </c>
      <c r="F324" s="54" t="n">
        <v>0</v>
      </c>
      <c r="G324" s="55" t="n">
        <v>13</v>
      </c>
      <c r="H324" s="55" t="n">
        <v>0</v>
      </c>
      <c r="I324" s="55" t="n">
        <v>7</v>
      </c>
      <c r="J324" s="56" t="n">
        <v>4.7</v>
      </c>
      <c r="K324" s="56" t="inlineStr">
        <is>
          <t>https://amazon.com/dp/B0D7W36PVD</t>
        </is>
      </c>
      <c r="L324" s="70">
        <f>HYPERLINK(Table3660[[#This Row],[Column1]])</f>
        <v/>
      </c>
    </row>
    <row r="325" ht="45" customHeight="1" s="290">
      <c r="A325" s="30" t="inlineStr">
        <is>
          <t>LAUNCH Creader Elite V3.0 for Land Rover Jaguar OBD2 Scanner, Bi-Directional Full Systems Diagnostic Scan Tool, All Reset Services, Active Test, CAN-FD &amp; DOIP, Height Calibration, Lifetime Free Update</t>
        </is>
      </c>
      <c r="B325" s="30" t="inlineStr">
        <is>
          <t>B0GGPBVP63</t>
        </is>
      </c>
      <c r="C325" s="30" t="inlineStr">
        <is>
          <t>Tablet</t>
        </is>
      </c>
      <c r="D325" s="324" t="n">
        <v>209</v>
      </c>
      <c r="E325" s="53" t="n">
        <v>0</v>
      </c>
      <c r="F325" s="54" t="n">
        <v>0</v>
      </c>
      <c r="G325" s="55" t="n">
        <v>0</v>
      </c>
      <c r="H325" s="55" t="n">
        <v>0</v>
      </c>
      <c r="I325" s="55" t="n"/>
      <c r="J325" s="56" t="n"/>
      <c r="K325" s="56" t="inlineStr">
        <is>
          <t>https://amazon.com/dp/B0GGPBVP63</t>
        </is>
      </c>
      <c r="L325" s="70">
        <f>HYPERLINK(Table3660[[#This Row],[Column1]])</f>
        <v/>
      </c>
    </row>
    <row r="326" ht="45" customHeight="1" s="290">
      <c r="A326" s="30" t="inlineStr">
        <is>
          <t>LAUNCH X431 PAD V Elite ECU Coding Scan Tool,Topology Map,Full System Diagnostic Scanner,Full Bi-Directional Control &amp; 60+ Reset Functions,Heavy Duty Truck,CAN FD,2 Yrs Update</t>
        </is>
      </c>
      <c r="B326" s="30" t="inlineStr">
        <is>
          <t>B092LYKYF5</t>
        </is>
      </c>
      <c r="C326" s="30" t="inlineStr">
        <is>
          <t>Tablet</t>
        </is>
      </c>
      <c r="D326" s="324" t="n">
        <v>1899</v>
      </c>
      <c r="E326" s="53" t="n">
        <v>23861.84</v>
      </c>
      <c r="F326" s="54" t="n">
        <v>0</v>
      </c>
      <c r="G326" s="55" t="n">
        <v>13</v>
      </c>
      <c r="H326" s="55" t="n">
        <v>0</v>
      </c>
      <c r="I326" s="55" t="n">
        <v>54</v>
      </c>
      <c r="J326" s="56" t="n">
        <v>3.8</v>
      </c>
      <c r="K326" s="56" t="inlineStr">
        <is>
          <t>https://amazon.com/dp/B092LYKYF5</t>
        </is>
      </c>
      <c r="L326" s="70">
        <f>HYPERLINK(Table3660[[#This Row],[Column1]])</f>
        <v/>
      </c>
    </row>
    <row r="327" ht="45" customHeight="1" s="290">
      <c r="A327" s="30" t="inlineStr">
        <is>
          <t>LAUNCH Creader Elite HD CRE CUMMIS Full System Heavy Duty Truck Scanner Semi Bidirectional Diesel Diagnostic Scan Tool with DPF Regen, 40+ Reset for Cummins</t>
        </is>
      </c>
      <c r="B327" s="30" t="inlineStr">
        <is>
          <t>B0DHCD4XK4</t>
        </is>
      </c>
      <c r="C327" s="30" t="inlineStr">
        <is>
          <t>Tablet</t>
        </is>
      </c>
      <c r="D327" s="324" t="n">
        <v>429</v>
      </c>
      <c r="E327" s="53" t="n">
        <v>8480.93</v>
      </c>
      <c r="F327" s="54" t="n">
        <v>0</v>
      </c>
      <c r="G327" s="55" t="n">
        <v>19</v>
      </c>
      <c r="H327" s="55" t="n">
        <v>0</v>
      </c>
      <c r="I327" s="55" t="n">
        <v>8</v>
      </c>
      <c r="J327" s="56" t="n">
        <v>4.8</v>
      </c>
      <c r="K327" s="56" t="inlineStr">
        <is>
          <t>https://amazon.com/dp/B0DHCD4XK4</t>
        </is>
      </c>
      <c r="L327" s="70">
        <f>HYPERLINK(Table3660[[#This Row],[Column1]])</f>
        <v/>
      </c>
    </row>
    <row r="328" ht="45" customHeight="1" s="290">
      <c r="A328" s="30" t="inlineStr">
        <is>
          <t>LAUNCH CRP919 New Energy Vehicle Scanner, EV Scan Tool with All System, ECU Coding, Bidirectional Control, 43 Service, CANFD and DOIP, 2 Yers Free Update</t>
        </is>
      </c>
      <c r="B328" s="30" t="inlineStr">
        <is>
          <t>B0F21GPYPT</t>
        </is>
      </c>
      <c r="C328" s="30" t="inlineStr">
        <is>
          <t>Tablet</t>
        </is>
      </c>
      <c r="D328" s="324" t="n">
        <v>549</v>
      </c>
      <c r="E328" s="53" t="n">
        <v>1610.16</v>
      </c>
      <c r="F328" s="54" t="n">
        <v>0</v>
      </c>
      <c r="G328" s="55" t="n">
        <v>4</v>
      </c>
      <c r="H328" s="55" t="n">
        <v>0</v>
      </c>
      <c r="I328" s="55" t="n"/>
      <c r="J328" s="56" t="n"/>
      <c r="K328" s="56" t="inlineStr">
        <is>
          <t>https://amazon.com/dp/B0F21GPYPT</t>
        </is>
      </c>
      <c r="L328" s="70">
        <f>HYPERLINK(Table3660[[#This Row],[Column1]])</f>
        <v/>
      </c>
    </row>
    <row r="329" ht="45" customHeight="1" s="290">
      <c r="A329" s="30" t="inlineStr">
        <is>
          <t>LAUNCH OBD2 Scanner CRP919X Lite, Active Tests &amp; 32+ Reset Services Bidirectional Scan Tool, 2-Year Free Update, OE-Level Full System Scan Tool, ABS Bleeding, BMS/Oil Reset, Auto VIN</t>
        </is>
      </c>
      <c r="B329" s="30" t="inlineStr">
        <is>
          <t>B08BFW6R3N</t>
        </is>
      </c>
      <c r="C329" s="30" t="inlineStr">
        <is>
          <t>Tablet</t>
        </is>
      </c>
      <c r="D329" s="324" t="n">
        <v>405</v>
      </c>
      <c r="E329" s="53" t="n">
        <v>19002.99</v>
      </c>
      <c r="F329" s="54" t="n">
        <v>0</v>
      </c>
      <c r="G329" s="55" t="n">
        <v>53</v>
      </c>
      <c r="H329" s="55" t="n">
        <v>0</v>
      </c>
      <c r="I329" s="55" t="n">
        <v>412</v>
      </c>
      <c r="J329" s="56" t="n">
        <v>4.2</v>
      </c>
      <c r="K329" s="56" t="inlineStr">
        <is>
          <t>https://amazon.com/dp/B08BFW6R3N</t>
        </is>
      </c>
      <c r="L329" s="70">
        <f>HYPERLINK(Table3660[[#This Row],[Column1]])</f>
        <v/>
      </c>
    </row>
    <row r="330" ht="45" customHeight="1" s="290">
      <c r="A330" s="30" t="inlineStr">
        <is>
          <t>LAUNCH X431 SmartLink C V2.0 HD Lite Heavy Duty Diagnostic Module,Diesel Scan Tool for 24V HD Trucks &amp; Commercial Vehicle,CANFD&amp;DOIP,Compatible with 8-inch Tablet X431 PRO V5.0/PROS 5.0/PRO TT/Dyno</t>
        </is>
      </c>
      <c r="B330" s="30" t="inlineStr">
        <is>
          <t>B0FKG56Q8C</t>
        </is>
      </c>
      <c r="C330" s="30" t="inlineStr">
        <is>
          <t>Tablet</t>
        </is>
      </c>
      <c r="D330" s="324" t="n">
        <v>699</v>
      </c>
      <c r="E330" s="53" t="n">
        <v>6220.46</v>
      </c>
      <c r="F330" s="54" t="n">
        <v>0</v>
      </c>
      <c r="G330" s="55" t="n">
        <v>7</v>
      </c>
      <c r="H330" s="55" t="n">
        <v>0</v>
      </c>
      <c r="I330" s="55" t="n">
        <v>1</v>
      </c>
      <c r="J330" s="56" t="n">
        <v>1</v>
      </c>
      <c r="K330" s="56" t="inlineStr">
        <is>
          <t>https://amazon.com/dp/B0FKG56Q8C</t>
        </is>
      </c>
      <c r="L330" s="70">
        <f>HYPERLINK(Table3660[[#This Row],[Column1]])</f>
        <v/>
      </c>
    </row>
    <row r="331" ht="30" customHeight="1" s="290">
      <c r="A331" s="30" t="inlineStr">
        <is>
          <t>LAUNCH X431 V+ SmartLink HD Heavy Duty Truck Diagnostic Scanner Diesel Commercial Vehicle Construction Machinery Agricultural Bus Scan Tool, J2534 ECU Coding, All System Diagnosis, Active Test</t>
        </is>
      </c>
      <c r="B331" s="30" t="inlineStr">
        <is>
          <t>B0CF1VLD5R</t>
        </is>
      </c>
      <c r="C331" s="30" t="inlineStr">
        <is>
          <t>Tablet</t>
        </is>
      </c>
      <c r="D331" s="324" t="n">
        <v>1439</v>
      </c>
      <c r="E331" s="53" t="n">
        <v>0</v>
      </c>
      <c r="F331" s="54" t="n">
        <v>0</v>
      </c>
      <c r="G331" s="55" t="n">
        <v>0</v>
      </c>
      <c r="H331" s="55" t="n">
        <v>0</v>
      </c>
      <c r="I331" s="55" t="n">
        <v>2</v>
      </c>
      <c r="J331" s="56" t="n">
        <v>5</v>
      </c>
      <c r="K331" s="56" t="inlineStr">
        <is>
          <t>https://amazon.com/dp/B0CF1VLD5R</t>
        </is>
      </c>
      <c r="L331" s="70">
        <f>HYPERLINK(Table3660[[#This Row],[Column1]])</f>
        <v/>
      </c>
    </row>
    <row r="332" ht="30" customHeight="1" s="290">
      <c r="A332" s="30" t="inlineStr">
        <is>
          <t>Launch X431 PRO3 V+ 5.0, 2026 Upgrade Bluetooth Bi-Directional Scan Tool, OEM Topology Mapping, HD Trucks Diagnosis, Online Coding, 55+ Services, CAN FD AutoAuth FCA SGW, 2-Year Free Update</t>
        </is>
      </c>
      <c r="B332" s="30" t="inlineStr">
        <is>
          <t>B0F1SJ938Y</t>
        </is>
      </c>
      <c r="C332" s="30" t="inlineStr">
        <is>
          <t>Tablet</t>
        </is>
      </c>
      <c r="D332" s="324" t="n">
        <v>1169</v>
      </c>
      <c r="E332" s="53" t="n">
        <v>12263.95</v>
      </c>
      <c r="F332" s="54" t="n">
        <v>0</v>
      </c>
      <c r="G332" s="55" t="n">
        <v>12</v>
      </c>
      <c r="H332" s="55" t="n">
        <v>0</v>
      </c>
      <c r="I332" s="55" t="n">
        <v>3</v>
      </c>
      <c r="J332" s="56" t="n">
        <v>5</v>
      </c>
      <c r="K332" s="56" t="inlineStr">
        <is>
          <t>https://amazon.com/dp/B0F1SJ938Y</t>
        </is>
      </c>
      <c r="L332" s="70">
        <f>HYPERLINK(Table3660[[#This Row],[Column1]])</f>
        <v/>
      </c>
    </row>
    <row r="333" ht="30" customHeight="1" s="290">
      <c r="A333" s="30" t="inlineStr">
        <is>
          <t>LAUNCH X431 PRO Star 2026 Elite Bi-Directional Scan Tool, Full System Diagnostic Scanner with ECU Coding, 38+ Reset Services, CANFD &amp; DOIP, FCA AutoAuth, 2-Year Free Updates, 1996+ OBD2 Vehicles</t>
        </is>
      </c>
      <c r="B333" s="30" t="inlineStr">
        <is>
          <t>B0FQ9MGM32</t>
        </is>
      </c>
      <c r="C333" s="30" t="inlineStr">
        <is>
          <t>Tablet</t>
        </is>
      </c>
      <c r="D333" s="324" t="n">
        <v>526.99</v>
      </c>
      <c r="E333" s="53" t="n">
        <v>2542.06</v>
      </c>
      <c r="F333" s="54" t="n">
        <v>0</v>
      </c>
      <c r="G333" s="55" t="n">
        <v>5</v>
      </c>
      <c r="H333" s="55" t="n">
        <v>0</v>
      </c>
      <c r="I333" s="55" t="n"/>
      <c r="J333" s="56" t="n"/>
      <c r="K333" s="56" t="inlineStr">
        <is>
          <t>https://amazon.com/dp/B0FQ9MGM32</t>
        </is>
      </c>
      <c r="L333" s="70">
        <f>HYPERLINK(Table3660[[#This Row],[Column1]])</f>
        <v/>
      </c>
    </row>
    <row r="334" ht="17" customHeight="1" s="290">
      <c r="A334" s="30" t="inlineStr">
        <is>
          <t>LAUNCH CRP123E Plus OBD2 Scanner, All System Car Diagnostic Scan Tool with Oil Reset, SAS Calibration, Throttle Adaptation,Support FCA,Lifetime Free Update</t>
        </is>
      </c>
      <c r="B334" s="30" t="inlineStr">
        <is>
          <t>B0G3P6W7YX</t>
        </is>
      </c>
      <c r="C334" s="30" t="inlineStr">
        <is>
          <t>Tablet</t>
        </is>
      </c>
      <c r="D334" s="324" t="n">
        <v>199</v>
      </c>
      <c r="E334" s="53" t="n">
        <v>259</v>
      </c>
      <c r="F334" s="54" t="n">
        <v>0</v>
      </c>
      <c r="G334" s="55" t="n">
        <v>1</v>
      </c>
      <c r="H334" s="55" t="n">
        <v>0</v>
      </c>
      <c r="I334" s="55" t="n">
        <v>8</v>
      </c>
      <c r="J334" s="56" t="n">
        <v>4.4</v>
      </c>
      <c r="K334" s="56" t="inlineStr">
        <is>
          <t>https://amazon.com/dp/B0G3P6W7YX</t>
        </is>
      </c>
      <c r="L334" s="70">
        <f>HYPERLINK(TABLE334)</f>
        <v/>
      </c>
    </row>
    <row r="335">
      <c r="A335" s="30" t="inlineStr">
        <is>
          <t>LAUNCH CR301 Two Button Scan Tool</t>
        </is>
      </c>
      <c r="B335" s="30" t="inlineStr">
        <is>
          <t>B07CTYQPF6</t>
        </is>
      </c>
      <c r="C335" s="30" t="inlineStr">
        <is>
          <t>Handheld</t>
        </is>
      </c>
      <c r="D335" s="324" t="n">
        <v>22.92</v>
      </c>
      <c r="E335" s="53" t="n">
        <v>91.69</v>
      </c>
      <c r="F335" s="54" t="n">
        <v>0</v>
      </c>
      <c r="G335" s="55" t="n">
        <v>4</v>
      </c>
      <c r="H335" s="55" t="n">
        <v>0</v>
      </c>
      <c r="I335" s="55" t="n">
        <v>11</v>
      </c>
      <c r="J335" s="56" t="n">
        <v>4.5</v>
      </c>
      <c r="K335" s="56" t="inlineStr">
        <is>
          <t>https://amazon.com/dp/B07CTYQPF6</t>
        </is>
      </c>
      <c r="L335" s="70">
        <f>HYPERLINK(TABLE335)</f>
        <v/>
      </c>
    </row>
    <row r="336">
      <c r="A336" s="30" t="inlineStr">
        <is>
          <t>LAUNCH X431 Plus, with X-PROG3 Tool, All-System Diagnostics, Bi-Directional Scan Tool, 39+ Services, ECU Code Scanner, V.A.G Guided, CAN FD&amp;DOIP</t>
        </is>
      </c>
      <c r="B336" s="30" t="inlineStr">
        <is>
          <t>B0DHCN8WKP</t>
        </is>
      </c>
      <c r="C336" s="30" t="inlineStr">
        <is>
          <t>Tablet</t>
        </is>
      </c>
      <c r="D336" s="324" t="n">
        <v>1499</v>
      </c>
      <c r="E336" s="53" t="n">
        <v>15609.17</v>
      </c>
      <c r="F336" s="54" t="n">
        <v>0</v>
      </c>
      <c r="G336" s="55" t="n">
        <v>12</v>
      </c>
      <c r="H336" s="55" t="n">
        <v>0</v>
      </c>
      <c r="I336" s="55" t="n">
        <v>1</v>
      </c>
      <c r="J336" s="56" t="n">
        <v>3</v>
      </c>
      <c r="K336" s="56" t="inlineStr">
        <is>
          <t>https://amazon.com/dp/B0DHCN8WKP</t>
        </is>
      </c>
      <c r="L336" s="70">
        <f>HYPERLINK(TABLE336)</f>
        <v/>
      </c>
    </row>
    <row r="337">
      <c r="A337" s="30" t="inlineStr">
        <is>
          <t>Launch DBScar VII OBD2 Diagnostic Cable with Adapter, J2534 Reprogramming &amp; ECU Coding Enhanced Compatibility Scanner Tool Cable</t>
        </is>
      </c>
    </row>
    <row r="338" ht="17" customHeight="1" s="290">
      <c r="A338" s="30" t="inlineStr">
        <is>
          <t>Launch Tech USA Millennium TSAP Plus Activation and Diagnostic Tool for TPMS System</t>
        </is>
      </c>
      <c r="B338" s="30" t="inlineStr">
        <is>
          <t>B07V7Y6C1N</t>
        </is>
      </c>
      <c r="C338" s="30" t="inlineStr">
        <is>
          <t>Handheld</t>
        </is>
      </c>
      <c r="D338" s="324" t="n">
        <v>276.44</v>
      </c>
      <c r="E338" s="53" t="n">
        <v>0</v>
      </c>
      <c r="F338" s="54" t="n">
        <v>0</v>
      </c>
      <c r="G338" s="55" t="n">
        <v>0</v>
      </c>
      <c r="H338" s="55" t="n">
        <v>0</v>
      </c>
      <c r="I338" s="55" t="n">
        <v>1</v>
      </c>
      <c r="J338" s="56" t="n">
        <v>5</v>
      </c>
      <c r="K338" s="56" t="inlineStr">
        <is>
          <t>https://amazon.com/dp/B07V7Y6C1N</t>
        </is>
      </c>
      <c r="L338" s="70">
        <f>HYPERLINK(TABLE338)</f>
        <v/>
      </c>
    </row>
    <row r="339" ht="45" customHeight="1" s="290">
      <c r="A339" s="33" t="inlineStr">
        <is>
          <t>Total</t>
        </is>
      </c>
      <c r="B339" s="33" t="n"/>
      <c r="C339" s="327" t="n"/>
      <c r="D339" s="327" t="n"/>
      <c r="E339" s="72">
        <f>SUM(E52:E338)</f>
        <v/>
      </c>
      <c r="F339" s="72">
        <f>SUM(F52:F338)</f>
        <v/>
      </c>
      <c r="G339" s="73" t="n"/>
      <c r="H339" s="73" t="n"/>
      <c r="I339" s="73" t="n"/>
      <c r="J339" s="74" t="n"/>
      <c r="K339" s="33" t="n"/>
      <c r="L339" s="32" t="n"/>
    </row>
    <row r="340" ht="60" customHeight="1" s="290">
      <c r="A340" s="30" t="n"/>
      <c r="B340" s="30" t="n"/>
      <c r="C340" s="324" t="n"/>
      <c r="D340" s="53" t="n"/>
      <c r="E340" s="53" t="n"/>
      <c r="F340" s="55" t="n"/>
      <c r="G340" s="55" t="n"/>
      <c r="H340" s="55" t="n"/>
      <c r="I340" s="56" t="n"/>
      <c r="J340" s="30" t="n"/>
    </row>
    <row r="341" ht="60" customHeight="1" s="290">
      <c r="A341" s="30" t="n"/>
      <c r="B341" s="30" t="n"/>
      <c r="C341" s="324" t="n"/>
      <c r="D341" s="53" t="n"/>
      <c r="E341" s="53" t="n"/>
      <c r="F341" s="55" t="n"/>
      <c r="G341" s="55" t="n"/>
      <c r="H341" s="55" t="n"/>
      <c r="I341" s="56" t="n"/>
      <c r="J341" s="30" t="n"/>
    </row>
    <row r="342" ht="45" customHeight="1" s="290">
      <c r="A342" s="283" t="inlineStr">
        <is>
          <t>Rank by Units</t>
        </is>
      </c>
    </row>
    <row r="343" ht="45" customHeight="1" s="290">
      <c r="A343" s="38" t="inlineStr">
        <is>
          <t>Product Name</t>
        </is>
      </c>
      <c r="B343" s="39" t="inlineStr">
        <is>
          <t>ASIN</t>
        </is>
      </c>
      <c r="C343" s="39" t="inlineStr">
        <is>
          <t>Type</t>
        </is>
      </c>
      <c r="D343" s="322" t="inlineStr">
        <is>
          <t>Avg Price</t>
        </is>
      </c>
      <c r="E343" s="41" t="inlineStr">
        <is>
          <t>Estimated 12mo Revenue</t>
        </is>
      </c>
      <c r="F343" s="39" t="inlineStr">
        <is>
          <t>Monthly Rev</t>
        </is>
      </c>
      <c r="G343" s="42" t="inlineStr">
        <is>
          <t>Estimated 12mo Units</t>
        </is>
      </c>
      <c r="H343" s="45" t="inlineStr">
        <is>
          <t>Monthly Units</t>
        </is>
      </c>
      <c r="I343" s="42" t="inlineStr">
        <is>
          <t># of Reviews</t>
        </is>
      </c>
      <c r="J343" s="43" t="inlineStr">
        <is>
          <t xml:space="preserve">Tool Rating </t>
        </is>
      </c>
      <c r="K343" s="43" t="inlineStr">
        <is>
          <t>Column1</t>
        </is>
      </c>
      <c r="L343" s="323" t="inlineStr">
        <is>
          <t>Link</t>
        </is>
      </c>
    </row>
    <row r="344" ht="45" customHeight="1" s="290">
      <c r="A344" s="30" t="inlineStr">
        <is>
          <t>Launch OBD2 Scanner CRP123X V3.0 Elite, 2026 Lifetime Free WiFi Update Scan Tool, FCA SGW, CANFD&amp;DoIP, SAS/Throttle/Brake/BMS/D-P-F/Oil/ABS Service Multi Systems Car Scanner, Battery Test, Auto VIN</t>
        </is>
      </c>
      <c r="B344" s="30" t="inlineStr">
        <is>
          <t>B07RLF8FBC</t>
        </is>
      </c>
      <c r="C344" s="30" t="inlineStr">
        <is>
          <t>Tablet</t>
        </is>
      </c>
      <c r="D344" s="324" t="n">
        <v>175.4881313868613</v>
      </c>
      <c r="E344" s="53" t="n">
        <v>1866898.47</v>
      </c>
      <c r="F344" s="53" t="n">
        <v>120209.37</v>
      </c>
      <c r="G344" s="55" t="n">
        <v>11367</v>
      </c>
      <c r="H344" s="57" t="n">
        <v>685</v>
      </c>
      <c r="I344" s="55" t="n">
        <v>3475</v>
      </c>
      <c r="J344" s="56" t="n">
        <v>4.4</v>
      </c>
      <c r="K344" s="56" t="inlineStr">
        <is>
          <t>https://amazon.com/dp/B07RLF8FBC</t>
        </is>
      </c>
      <c r="L344" s="70">
        <f>HYPERLINK(Table3559[[#This Row],[Column1]])</f>
        <v/>
      </c>
    </row>
    <row r="345" ht="45" customHeight="1" s="290">
      <c r="A345" s="30" t="inlineStr">
        <is>
          <t>LAUNCH CRP123 V2.0 OBD2 Scanner-2026 New Model Engine/ABS/SRS/Transmission Diagnostic Scan Tool SRS Airbag Code Reader,3 Reset Oil Service/Throttle Relearn/SAS Reset,Lifetime Free Update</t>
        </is>
      </c>
      <c r="B345" s="30" t="inlineStr">
        <is>
          <t>B073GW5MTS</t>
        </is>
      </c>
      <c r="C345" s="30" t="inlineStr">
        <is>
          <t>Tablet</t>
        </is>
      </c>
      <c r="D345" s="324" t="n">
        <v>123.3720119521912</v>
      </c>
      <c r="E345" s="53" t="n">
        <v>649778.4400000001</v>
      </c>
      <c r="F345" s="53" t="n">
        <v>61932.75</v>
      </c>
      <c r="G345" s="55" t="n">
        <v>5178</v>
      </c>
      <c r="H345" s="57" t="n">
        <v>502</v>
      </c>
      <c r="I345" s="55" t="n">
        <v>4044</v>
      </c>
      <c r="J345" s="56" t="n">
        <v>4.3</v>
      </c>
      <c r="K345" s="56" t="inlineStr">
        <is>
          <t>https://amazon.com/dp/B073GW5MTS</t>
        </is>
      </c>
      <c r="L345" s="70">
        <f>HYPERLINK(Table3559[[#This Row],[Column1]])</f>
        <v/>
      </c>
    </row>
    <row r="346" ht="45" customHeight="1" s="290">
      <c r="A346" s="30" t="inlineStr">
        <is>
          <t>LAUNCH OBD2 Scanner CRP123I V3.0 Elite, 2026 Lifetime Free WiFi Update Scan Tool, FCA SGW, CANFD&amp;DoIP, SAS/Throttle/Brake/BMS/DPF/Oil/ABS Service Multi Systems Car Scanner, Battery Test, Auto VIN</t>
        </is>
      </c>
      <c r="B346" s="30" t="inlineStr">
        <is>
          <t>B07QW18S12</t>
        </is>
      </c>
      <c r="C346" s="30" t="inlineStr">
        <is>
          <t>Tablet</t>
        </is>
      </c>
      <c r="D346" s="324" t="n">
        <v>158.969527027027</v>
      </c>
      <c r="E346" s="53" t="n">
        <v>883939.4592307692</v>
      </c>
      <c r="F346" s="53" t="n">
        <v>70582.47</v>
      </c>
      <c r="G346" s="55" t="n">
        <v>4933</v>
      </c>
      <c r="H346" s="57" t="n">
        <v>444</v>
      </c>
      <c r="I346" s="55" t="n">
        <v>3343</v>
      </c>
      <c r="J346" s="56" t="n">
        <v>4.4</v>
      </c>
      <c r="K346" s="56" t="inlineStr">
        <is>
          <t>https://amazon.com/dp/B07QW18S12</t>
        </is>
      </c>
      <c r="L346" s="70">
        <f>HYPERLINK(Table3559[[#This Row],[Column1]])</f>
        <v/>
      </c>
    </row>
    <row r="347" ht="45" customHeight="1" s="290">
      <c r="A347" s="30" t="inlineStr">
        <is>
          <t>LAUNCH Creader Elite Bi-Directional OBD2 Scanner for Toyota Lexus, 2026 Full System Diagnostic Scan Tool, All Reset Service Code Reader, Battery Registration,AUTO VIN,Lifetime Free Update</t>
        </is>
      </c>
      <c r="B347" s="30" t="inlineStr">
        <is>
          <t>B0D176ZCXQ</t>
        </is>
      </c>
      <c r="C347" s="30" t="inlineStr">
        <is>
          <t>Handheld</t>
        </is>
      </c>
      <c r="D347" s="324" t="n">
        <v>144.6528205128205</v>
      </c>
      <c r="E347" s="53" t="n">
        <v>277266.21</v>
      </c>
      <c r="F347" s="53" t="n">
        <v>50773.14</v>
      </c>
      <c r="G347" s="55" t="n">
        <v>1980</v>
      </c>
      <c r="H347" s="57" t="n">
        <v>351</v>
      </c>
      <c r="I347" s="55" t="n">
        <v>357</v>
      </c>
      <c r="J347" s="56" t="n">
        <v>4.3</v>
      </c>
      <c r="K347" s="56" t="inlineStr">
        <is>
          <t>https://amazon.com/dp/B0D176ZCXQ</t>
        </is>
      </c>
      <c r="L347" s="70">
        <f>HYPERLINK(Table3559[[#This Row],[Column1]])</f>
        <v/>
      </c>
    </row>
    <row r="348" ht="45" customHeight="1" s="290">
      <c r="A348" s="30" t="inlineStr">
        <is>
          <t>Launch CR529 OBD2 Scanner Diagnostic Tool, Full OBD2 Scanner for Car, Free Lifetime Upd. Check-Egine-Light Code Reader, 5 Years. Backup, Clear Codes, One Click I/M, for DIYers with Cars After 1996</t>
        </is>
      </c>
      <c r="B348" s="30" t="inlineStr">
        <is>
          <t>B082MCG82X</t>
        </is>
      </c>
      <c r="C348" s="30" t="inlineStr">
        <is>
          <t>Handheld</t>
        </is>
      </c>
      <c r="D348" s="324" t="n">
        <v>38.82355987055016</v>
      </c>
      <c r="E348" s="53" t="n">
        <v>204808.69</v>
      </c>
      <c r="F348" s="53" t="n">
        <v>11996.48</v>
      </c>
      <c r="G348" s="55" t="n">
        <v>5112</v>
      </c>
      <c r="H348" s="57" t="n">
        <v>309</v>
      </c>
      <c r="I348" s="55" t="n">
        <v>4214</v>
      </c>
      <c r="J348" s="56" t="n">
        <v>4.4</v>
      </c>
      <c r="K348" s="56" t="inlineStr">
        <is>
          <t>https://amazon.com/dp/B082MCG82X</t>
        </is>
      </c>
      <c r="L348" s="70">
        <f>HYPERLINK(Table3559[[#This Row],[Column1]])</f>
        <v/>
      </c>
    </row>
    <row r="349" ht="60" customHeight="1" s="290">
      <c r="A349" s="30" t="inlineStr">
        <is>
          <t>LAUNCH X431 CRP919XBT OBD2 Scanner, 2026 Wireless Bidirectional Scan Tool with ECU Coding, 35+ Services, All Systems Diagnostic, FCA AutoAuth, 2Yrs Free Update, V.A.G Guide, CANFD, Upgraded of CRP919X</t>
        </is>
      </c>
      <c r="B349" s="30" t="inlineStr">
        <is>
          <t>B0CJDTPDPB</t>
        </is>
      </c>
      <c r="C349" s="30" t="inlineStr">
        <is>
          <t>Tablet</t>
        </is>
      </c>
      <c r="D349" s="324" t="n">
        <v>502.6669836065574</v>
      </c>
      <c r="E349" s="53" t="n">
        <v>1280623.858461539</v>
      </c>
      <c r="F349" s="53" t="n">
        <v>153313.43</v>
      </c>
      <c r="G349" s="55" t="n">
        <v>1981</v>
      </c>
      <c r="H349" s="57" t="n">
        <v>305</v>
      </c>
      <c r="I349" s="55" t="n">
        <v>381</v>
      </c>
      <c r="J349" s="56" t="n">
        <v>4.4</v>
      </c>
      <c r="K349" s="56" t="inlineStr">
        <is>
          <t>https://amazon.com/dp/B0CJDTPDPB</t>
        </is>
      </c>
      <c r="L349" s="70">
        <f>HYPERLINK(Table3559[[#This Row],[Column1]])</f>
        <v/>
      </c>
    </row>
    <row r="350" ht="45" customHeight="1" s="290">
      <c r="A350" s="30" t="inlineStr">
        <is>
          <t>2026 LAUNCH Creader Elite V3.0 fit for Toyota Lexus Bi-Directional Scan Tool, Full System OBD2 Scanner, All Reset Service Code Reader, AUTOVIN, ECU Code, Battery Registration, Lifetime Free Update</t>
        </is>
      </c>
      <c r="B350" s="30" t="inlineStr">
        <is>
          <t>B0D626T9HK</t>
        </is>
      </c>
      <c r="C350" s="30" t="inlineStr">
        <is>
          <t>Tablet</t>
        </is>
      </c>
      <c r="D350" s="324" t="n">
        <v>194.0606474820144</v>
      </c>
      <c r="E350" s="53" t="n">
        <v>538897.6476923076</v>
      </c>
      <c r="F350" s="53" t="n">
        <v>53948.86</v>
      </c>
      <c r="G350" s="55" t="n">
        <v>2877</v>
      </c>
      <c r="H350" s="57" t="n">
        <v>278</v>
      </c>
      <c r="I350" s="55" t="n">
        <v>640</v>
      </c>
      <c r="J350" s="56" t="n">
        <v>3.9</v>
      </c>
      <c r="K350" s="56" t="inlineStr">
        <is>
          <t>https://amazon.com/dp/B0D626T9HK</t>
        </is>
      </c>
      <c r="L350" s="70">
        <f>HYPERLINK(Table3559[[#This Row],[Column1]])</f>
        <v/>
      </c>
    </row>
    <row r="351" ht="60" customHeight="1" s="290">
      <c r="A351" s="30" t="inlineStr">
        <is>
          <t>2026 LAUNCH Creader Elite V2.0 fit for GM Bi-Directional Scan Tool, All Reset Full System Diagnostic Scanner, AUTOVIN, Full OBD2 Code Reader for Buick/Chevrolet/Cadillac/GMC, Lifetime Free Update</t>
        </is>
      </c>
      <c r="B351" s="30" t="inlineStr">
        <is>
          <t>B0CRT4GJMX</t>
        </is>
      </c>
      <c r="C351" s="30" t="inlineStr">
        <is>
          <t>Tablet</t>
        </is>
      </c>
      <c r="D351" s="324" t="n">
        <v>186.7348148148148</v>
      </c>
      <c r="E351" s="53" t="n">
        <v>506064.15</v>
      </c>
      <c r="F351" s="53" t="n">
        <v>40334.72</v>
      </c>
      <c r="G351" s="55" t="n">
        <v>2892</v>
      </c>
      <c r="H351" s="57" t="n">
        <v>216</v>
      </c>
      <c r="I351" s="55" t="n">
        <v>253</v>
      </c>
      <c r="J351" s="56" t="n">
        <v>4.1</v>
      </c>
      <c r="K351" s="56" t="inlineStr">
        <is>
          <t>https://amazon.com/dp/B0CRT4GJMX</t>
        </is>
      </c>
      <c r="L351" s="70">
        <f>HYPERLINK(Table3559[[#This Row],[Column1]])</f>
        <v/>
      </c>
    </row>
    <row r="352" ht="45" customHeight="1" s="290">
      <c r="A352" s="30" t="inlineStr">
        <is>
          <t>Launch X431 PROS Elite 2026 New Bidirectional Scan Tool, 38+ Services, ECU Coding, All-in-One Full System Diagnostic Scanner, Support CANFD&amp;DoIP, FCA AutoAuth, V.A.G Guided, 2 Years Free Update</t>
        </is>
      </c>
      <c r="B352" s="30" t="inlineStr">
        <is>
          <t>B092YL7M8P</t>
        </is>
      </c>
      <c r="C352" s="30" t="inlineStr">
        <is>
          <t>Tablet</t>
        </is>
      </c>
      <c r="D352" s="324" t="n">
        <v>629.9384186046512</v>
      </c>
      <c r="E352" s="53" t="n">
        <v>1068912.49</v>
      </c>
      <c r="F352" s="53" t="n">
        <v>135436.76</v>
      </c>
      <c r="G352" s="55" t="n">
        <v>1714</v>
      </c>
      <c r="H352" s="57" t="n">
        <v>215</v>
      </c>
      <c r="I352" s="55" t="n">
        <v>386</v>
      </c>
      <c r="J352" s="56" t="n">
        <v>4.5</v>
      </c>
      <c r="K352" s="56" t="inlineStr">
        <is>
          <t>https://amazon.com/dp/B092YL7M8P</t>
        </is>
      </c>
      <c r="L352" s="70">
        <f>HYPERLINK(Table3559[[#This Row],[Column1]])</f>
        <v/>
      </c>
    </row>
    <row r="353" ht="45" customHeight="1" s="290">
      <c r="A353" s="30" t="inlineStr">
        <is>
          <t>LAUNCH Creader 3001 OBD2 Scanner, Engine Fault Code Reader Mode 6 CAN Diagnostic Scan Tool for All OBDII Protocol Cars Since 1996, Lifetime Free Update</t>
        </is>
      </c>
      <c r="B353" s="30" t="inlineStr">
        <is>
          <t>B07D1KH9SC</t>
        </is>
      </c>
      <c r="C353" s="30" t="inlineStr">
        <is>
          <t>Handheld</t>
        </is>
      </c>
      <c r="D353" s="324" t="n">
        <v>17.36197044334975</v>
      </c>
      <c r="E353" s="53" t="n">
        <v>63149.46000000001</v>
      </c>
      <c r="F353" s="53" t="n">
        <v>3524.48</v>
      </c>
      <c r="G353" s="55" t="n">
        <v>2873</v>
      </c>
      <c r="H353" s="57" t="n">
        <v>203</v>
      </c>
      <c r="I353" s="55" t="n">
        <v>5861</v>
      </c>
      <c r="J353" s="56" t="n">
        <v>4.5</v>
      </c>
      <c r="K353" s="56" t="inlineStr">
        <is>
          <t>https://amazon.com/dp/B07D1KH9SC</t>
        </is>
      </c>
      <c r="L353" s="70">
        <f>HYPERLINK(Table3559[[#This Row],[Column1]])</f>
        <v/>
      </c>
    </row>
    <row r="354" ht="45" customHeight="1" s="290">
      <c r="A354" s="30" t="inlineStr">
        <is>
          <t>LAUNCH Original USB Charging Cable Replacement X-431 CRP123i, CRP123e, CRP123x, CRP129i, CRP129e, CRP129x, CRP909E, CRP909X OBD2 Scanner 5V DC</t>
        </is>
      </c>
      <c r="B354" s="30" t="inlineStr">
        <is>
          <t>B0CSFNYXJJ</t>
        </is>
      </c>
      <c r="C354" s="30" t="inlineStr">
        <is>
          <t>Cable/Adapter</t>
        </is>
      </c>
      <c r="D354" s="324" t="n">
        <v>11.97830687830688</v>
      </c>
      <c r="E354" s="53" t="n">
        <v>27655.12</v>
      </c>
      <c r="F354" s="53" t="n">
        <v>2263.9</v>
      </c>
      <c r="G354" s="55" t="n">
        <v>2365</v>
      </c>
      <c r="H354" s="57" t="n">
        <v>189</v>
      </c>
      <c r="I354" s="55" t="n">
        <v>148</v>
      </c>
      <c r="J354" s="56" t="n">
        <v>4.7</v>
      </c>
      <c r="K354" s="56" t="inlineStr">
        <is>
          <t>https://amazon.com/dp/B0CSFNYXJJ</t>
        </is>
      </c>
      <c r="L354" s="70">
        <f>HYPERLINK(Table3559[[#This Row],[Column1]])</f>
        <v/>
      </c>
    </row>
    <row r="355" ht="45" customHeight="1" s="290">
      <c r="A355" s="30" t="inlineStr">
        <is>
          <t>LAUNCH X431 CRP919E OBD2 Scanner, 2026 Bidirectional Scan Tool as CRP919EBT, CANFD/DoIP/FCA SGW, ECU Code, 35+ Service, Active Tests, All-in-One Full System Diagnosis, BST360 &amp; i-TPMS, 2 Year Update</t>
        </is>
      </c>
      <c r="B355" s="30" t="inlineStr">
        <is>
          <t>B0DKHKQBDW</t>
        </is>
      </c>
      <c r="C355" s="30" t="inlineStr">
        <is>
          <t>Tablet</t>
        </is>
      </c>
      <c r="D355" s="324" t="n">
        <v>446.4362337662337</v>
      </c>
      <c r="E355" s="53" t="n">
        <v>637297.4199999999</v>
      </c>
      <c r="F355" s="53" t="n">
        <v>68751.17999999999</v>
      </c>
      <c r="G355" s="55" t="n">
        <v>1448</v>
      </c>
      <c r="H355" s="57" t="n">
        <v>154</v>
      </c>
      <c r="I355" s="55" t="n">
        <v>174</v>
      </c>
      <c r="J355" s="56" t="n">
        <v>4.3</v>
      </c>
      <c r="K355" s="56" t="inlineStr">
        <is>
          <t>https://amazon.com/dp/B0DKHKQBDW</t>
        </is>
      </c>
      <c r="L355" s="70">
        <f>HYPERLINK(Table3559[[#This Row],[Column1]])</f>
        <v/>
      </c>
    </row>
    <row r="356" ht="45" customHeight="1" s="290">
      <c r="A356" s="30" t="inlineStr">
        <is>
          <t>2026 LAUNCH Creader Elite V3.0 for Honda Acura OBD2 Scanner, Full Systems Bi-Directional Scan Tool, All Reset Services, Full OBD2 Code Reader, AUTOVIN, Battery Registration, Lifetime Free Update</t>
        </is>
      </c>
      <c r="B356" s="30" t="inlineStr">
        <is>
          <t>B0D626W3Y4</t>
        </is>
      </c>
      <c r="C356" s="30" t="inlineStr">
        <is>
          <t>Tablet</t>
        </is>
      </c>
      <c r="D356" s="324" t="n">
        <v>192.5002684563758</v>
      </c>
      <c r="E356" s="53" t="n">
        <v>196304.38</v>
      </c>
      <c r="F356" s="53" t="n">
        <v>28682.54</v>
      </c>
      <c r="G356" s="55" t="n">
        <v>1137</v>
      </c>
      <c r="H356" s="57" t="n">
        <v>149</v>
      </c>
      <c r="I356" s="55" t="n">
        <v>641</v>
      </c>
      <c r="J356" s="56" t="n">
        <v>3.9</v>
      </c>
      <c r="K356" s="56" t="inlineStr">
        <is>
          <t>https://amazon.com/dp/B0D626W3Y4</t>
        </is>
      </c>
      <c r="L356" s="70">
        <f>HYPERLINK(Table3559[[#This Row],[Column1]])</f>
        <v/>
      </c>
    </row>
    <row r="357" ht="30" customHeight="1" s="290">
      <c r="A357" s="30" t="inlineStr">
        <is>
          <t>2026 LAUNCH Creader Elite for Mercedes-Benz MB Sprinter Maybach Full System OBD2 Scanner, Bidirectional Diagnostic Scan Tool, All Service Code Reader,ECU Code, AutoVin, Lifetime Free Update</t>
        </is>
      </c>
      <c r="B357" s="30" t="inlineStr">
        <is>
          <t>B09XWVNBB6</t>
        </is>
      </c>
      <c r="C357" s="30" t="inlineStr">
        <is>
          <t>Handheld</t>
        </is>
      </c>
      <c r="D357" s="324" t="n">
        <v>166.6150793650794</v>
      </c>
      <c r="E357" s="53" t="n">
        <v>212241.94</v>
      </c>
      <c r="F357" s="53" t="n">
        <v>20993.5</v>
      </c>
      <c r="G357" s="55" t="n">
        <v>1492</v>
      </c>
      <c r="H357" s="57" t="n">
        <v>126</v>
      </c>
      <c r="I357" s="55" t="n">
        <v>550</v>
      </c>
      <c r="J357" s="56" t="n">
        <v>4</v>
      </c>
      <c r="K357" s="56" t="inlineStr">
        <is>
          <t>https://amazon.com/dp/B09XWVNBB6</t>
        </is>
      </c>
      <c r="L357" s="70">
        <f>HYPERLINK(Table3559[[#This Row],[Column1]])</f>
        <v/>
      </c>
    </row>
    <row r="358" ht="45" customHeight="1" s="290">
      <c r="A358" s="30" t="inlineStr">
        <is>
          <t>Launch X431 PRO3 V+ Elite, 2026 SmartlinkC 2.0 Bidirectional Scan Tool with J2534 Portocol, HD Trucks Scanner, 10.1 inch, Topology Map, 60+Service, Online Code, CANFD/DoIP/D-PDU, FCA, 2 Yrs Update</t>
        </is>
      </c>
      <c r="B358" s="30" t="inlineStr">
        <is>
          <t>B0DTTTJWYH</t>
        </is>
      </c>
      <c r="C358" s="30" t="inlineStr">
        <is>
          <t>Tablet</t>
        </is>
      </c>
      <c r="D358" s="324" t="n">
        <v>1343.731951219512</v>
      </c>
      <c r="E358" s="53" t="n">
        <v>862064.9300000001</v>
      </c>
      <c r="F358" s="53" t="n">
        <v>165279.03</v>
      </c>
      <c r="G358" s="55" t="n">
        <v>645</v>
      </c>
      <c r="H358" s="57" t="n">
        <v>123</v>
      </c>
      <c r="I358" s="55" t="n">
        <v>96</v>
      </c>
      <c r="J358" s="56" t="n">
        <v>4.6</v>
      </c>
      <c r="K358" s="56" t="inlineStr">
        <is>
          <t>https://amazon.com/dp/B0DTTTJWYH</t>
        </is>
      </c>
      <c r="L358" s="70">
        <f>HYPERLINK(Table3559[[#This Row],[Column1]])</f>
        <v/>
      </c>
    </row>
    <row r="359" ht="30" customHeight="1" s="290">
      <c r="A359" s="30" t="inlineStr">
        <is>
          <t>LAUNCH X431 PRO3S+ Elite, 2026 All-in-One Bidirectional Scan Tool with J2534 Protocols, HD Trucks Scanner, Topology Map, 60+Service, ECU Code Full Function Scanner, CANFD/DoIP/D-PDU/FCA, 2 Yrs Update</t>
        </is>
      </c>
      <c r="B359" s="30" t="inlineStr">
        <is>
          <t>B0D7VS8SHS</t>
        </is>
      </c>
      <c r="C359" s="30" t="inlineStr">
        <is>
          <t>Tablet</t>
        </is>
      </c>
      <c r="D359" s="324" t="n">
        <v>1260.146721311475</v>
      </c>
      <c r="E359" s="53" t="n">
        <v>2197220.45</v>
      </c>
      <c r="F359" s="53" t="n">
        <v>153737.9</v>
      </c>
      <c r="G359" s="55" t="n">
        <v>1724</v>
      </c>
      <c r="H359" s="57" t="n">
        <v>122</v>
      </c>
      <c r="I359" s="55" t="n">
        <v>157</v>
      </c>
      <c r="J359" s="56" t="n">
        <v>4.3</v>
      </c>
      <c r="K359" s="56" t="inlineStr">
        <is>
          <t>https://amazon.com/dp/B0D7VS8SHS</t>
        </is>
      </c>
      <c r="L359" s="70">
        <f>HYPERLINK(Table3559[[#This Row],[Column1]])</f>
        <v/>
      </c>
    </row>
    <row r="360" ht="45" customHeight="1" s="290">
      <c r="A360" s="30" t="inlineStr">
        <is>
          <t>LAUNCH Original Main Cable for LAUNCH CRP123, CRP129, Creader VII+, Creader VIII OBD2 OBD-II Diagnostic Scanner Replacement Cable</t>
        </is>
      </c>
      <c r="B360" s="30" t="inlineStr">
        <is>
          <t>B0B7K3VFJ3</t>
        </is>
      </c>
      <c r="C360" s="30" t="inlineStr">
        <is>
          <t>Cable/Adapter</t>
        </is>
      </c>
      <c r="D360" s="324" t="n">
        <v>26.00629310344828</v>
      </c>
      <c r="E360" s="53" t="n">
        <v>34930.6</v>
      </c>
      <c r="F360" s="53" t="n">
        <v>3016.73</v>
      </c>
      <c r="G360" s="55" t="n">
        <v>1351</v>
      </c>
      <c r="H360" s="57" t="n">
        <v>116</v>
      </c>
      <c r="I360" s="55" t="n">
        <v>168</v>
      </c>
      <c r="J360" s="56" t="n">
        <v>4.6</v>
      </c>
      <c r="K360" s="56" t="inlineStr">
        <is>
          <t>https://amazon.com/dp/B0B7K3VFJ3</t>
        </is>
      </c>
      <c r="L360" s="70">
        <f>HYPERLINK(Table3559[[#This Row],[Column1]])</f>
        <v/>
      </c>
    </row>
    <row r="361" ht="60" customHeight="1" s="290">
      <c r="A361" s="30" t="inlineStr">
        <is>
          <t>LAUNCH X431 CRP919EBT 2026 Wireless Bidirectional Scan Tool, All-in-One Full System OBD2 Scanner, ECU Coding, 35+ Services, CANFD&amp;DOIP, FCA AutoAuth, VAG Guide, 2Yrs Free Update, Upgraded of CRP919E</t>
        </is>
      </c>
      <c r="B361" s="30" t="inlineStr">
        <is>
          <t>B0C6TC2ZF3</t>
        </is>
      </c>
      <c r="C361" s="30" t="inlineStr">
        <is>
          <t>Tablet</t>
        </is>
      </c>
      <c r="D361" s="324" t="n">
        <v>497.8381578947369</v>
      </c>
      <c r="E361" s="53" t="n">
        <v>1033924.47</v>
      </c>
      <c r="F361" s="53" t="n">
        <v>56753.55</v>
      </c>
      <c r="G361" s="55" t="n">
        <v>2136</v>
      </c>
      <c r="H361" s="57" t="n">
        <v>114</v>
      </c>
      <c r="I361" s="55" t="n">
        <v>262</v>
      </c>
      <c r="J361" s="56" t="n">
        <v>4.5</v>
      </c>
      <c r="K361" s="56" t="inlineStr">
        <is>
          <t>https://amazon.com/dp/B0C6TC2ZF3</t>
        </is>
      </c>
      <c r="L361" s="70">
        <f>HYPERLINK(Table3559[[#This Row],[Column1]])</f>
        <v/>
      </c>
    </row>
    <row r="362" ht="60" customHeight="1" s="290">
      <c r="A362" s="30" t="inlineStr">
        <is>
          <t>2026 LAUNCH Creader Elite V2.0 fit for Mercedes-Benz MB Sprinter Maybach Bi-Directional Scan Tool, OBD2 Scanner, Full System Diagnostic, All Reset Service, ECU Code, Auto Vin, Lifetime Free Update</t>
        </is>
      </c>
      <c r="B362" s="30" t="inlineStr">
        <is>
          <t>B0CMG7Q7YP</t>
        </is>
      </c>
      <c r="C362" s="30" t="inlineStr">
        <is>
          <t>Tablet</t>
        </is>
      </c>
      <c r="D362" s="324" t="n">
        <v>191.3456756756757</v>
      </c>
      <c r="E362" s="53" t="n">
        <v>262237.54</v>
      </c>
      <c r="F362" s="53" t="n">
        <v>21239.37</v>
      </c>
      <c r="G362" s="55" t="n">
        <v>1538</v>
      </c>
      <c r="H362" s="57" t="n">
        <v>111</v>
      </c>
      <c r="I362" s="55" t="n">
        <v>640</v>
      </c>
      <c r="J362" s="56" t="n">
        <v>3.9</v>
      </c>
      <c r="K362" s="56" t="inlineStr">
        <is>
          <t>https://amazon.com/dp/B0CMG7Q7YP</t>
        </is>
      </c>
      <c r="L362" s="70">
        <f>HYPERLINK(Table3559[[#This Row],[Column1]])</f>
        <v/>
      </c>
    </row>
    <row r="363" ht="60" customHeight="1" s="290">
      <c r="A363" s="30" t="inlineStr">
        <is>
          <t>Launch CRP129HD Heavy Duty Truck Scanner with DPF Regen, Speed Limit Adjust Reset, Full System Diesel Semi Truck Diagnostic Tool &amp; Code Reader for Cummins Detroit Allison International Paccar</t>
        </is>
      </c>
      <c r="B363" s="30" t="inlineStr">
        <is>
          <t>B07Y1VNQPG</t>
        </is>
      </c>
      <c r="C363" s="30" t="inlineStr">
        <is>
          <t>Tablet</t>
        </is>
      </c>
      <c r="D363" s="324" t="n">
        <v>481.9239805825243</v>
      </c>
      <c r="E363" s="53" t="n">
        <v>432460.67</v>
      </c>
      <c r="F363" s="53" t="n">
        <v>49638.17</v>
      </c>
      <c r="G363" s="55" t="n">
        <v>850</v>
      </c>
      <c r="H363" s="57" t="n">
        <v>103</v>
      </c>
      <c r="I363" s="55" t="n">
        <v>1554</v>
      </c>
      <c r="J363" s="56" t="n">
        <v>4.4</v>
      </c>
      <c r="K363" s="56" t="inlineStr">
        <is>
          <t>https://amazon.com/dp/B07Y1VNQPG</t>
        </is>
      </c>
      <c r="L363" s="70">
        <f>HYPERLINK(Table3559[[#This Row],[Column1]])</f>
        <v/>
      </c>
    </row>
    <row r="364" ht="45" customHeight="1" s="290">
      <c r="A364" s="30" t="inlineStr">
        <is>
          <t>LAUNCH Creader Elite V2.0 for BMW OBD2 Scanner, Full System Diagnostic Bi-Directional Scan Tool, ECU Code, All Services, Active Tests, Battery Registration Tool for BMW Mini RR, Lifetime Free Update</t>
        </is>
      </c>
      <c r="B364" s="30" t="inlineStr">
        <is>
          <t>B0F4QHR93X</t>
        </is>
      </c>
      <c r="C364" s="30" t="inlineStr">
        <is>
          <t>Tablet</t>
        </is>
      </c>
      <c r="D364" s="324" t="n">
        <v>199.6461386138614</v>
      </c>
      <c r="E364" s="53" t="n">
        <v>109586.5261538461</v>
      </c>
      <c r="F364" s="53" t="n">
        <v>20164.26</v>
      </c>
      <c r="G364" s="55" t="n">
        <v>387</v>
      </c>
      <c r="H364" s="57" t="n">
        <v>101</v>
      </c>
      <c r="I364" s="55" t="n">
        <v>17</v>
      </c>
      <c r="J364" s="56" t="n">
        <v>4.1</v>
      </c>
      <c r="K364" s="56" t="inlineStr">
        <is>
          <t>https://amazon.com/dp/B0F4QHR93X</t>
        </is>
      </c>
      <c r="L364" s="70">
        <f>HYPERLINK(Table3559[[#This Row],[Column1]])</f>
        <v/>
      </c>
    </row>
    <row r="365" ht="45" customHeight="1" s="290">
      <c r="A365" s="30" t="inlineStr">
        <is>
          <t>OBD2 Scanner LAUNCH CRP129X V3.0 Elite Scan Tool, Upgrade of CRP123X, 12 Reset Services, ABS/SRS/Transmission/Check Engine Car Code Reader, Lifetime Free Update, FCA AutoAuth &amp; Auto VIN, CANFD &amp; DoIP</t>
        </is>
      </c>
      <c r="B365" s="30" t="inlineStr">
        <is>
          <t>B07RMYN7ZL</t>
        </is>
      </c>
      <c r="C365" s="30" t="inlineStr">
        <is>
          <t>Tablet</t>
        </is>
      </c>
      <c r="D365" s="324" t="n">
        <v>264.0227272727273</v>
      </c>
      <c r="E365" s="53" t="n">
        <v>401399.91</v>
      </c>
      <c r="F365" s="53" t="n">
        <v>26138.25</v>
      </c>
      <c r="G365" s="55" t="n">
        <v>1675</v>
      </c>
      <c r="H365" s="57" t="n">
        <v>99</v>
      </c>
      <c r="I365" s="55" t="n">
        <v>1978</v>
      </c>
      <c r="J365" s="56" t="n">
        <v>4.4</v>
      </c>
      <c r="K365" s="56" t="inlineStr">
        <is>
          <t>https://amazon.com/dp/B07RMYN7ZL</t>
        </is>
      </c>
      <c r="L365" s="70">
        <f>HYPERLINK(Table3559[[#This Row],[Column1]])</f>
        <v/>
      </c>
    </row>
    <row r="366" ht="45" customHeight="1" s="290">
      <c r="A366" s="30" t="inlineStr">
        <is>
          <t>Launch Creader Elite for BMW OBD2 Scanner, 2025 Full Systems Diagnostic Bi-Directional Scan Tool, All Reset Service, ECU Code, Battery Registration Tool for BMW Mini Rolls-Royce,Lifetime Free Update</t>
        </is>
      </c>
      <c r="B366" s="30" t="inlineStr">
        <is>
          <t>B0DKHL1H22</t>
        </is>
      </c>
      <c r="C366" s="30" t="inlineStr">
        <is>
          <t>Handheld</t>
        </is>
      </c>
      <c r="D366" s="324" t="n">
        <v>169.7656701030928</v>
      </c>
      <c r="E366" s="53" t="n">
        <v>260082.87</v>
      </c>
      <c r="F366" s="53" t="n">
        <v>16467.27</v>
      </c>
      <c r="G366" s="55" t="n">
        <v>1571</v>
      </c>
      <c r="H366" s="57" t="n">
        <v>97</v>
      </c>
      <c r="I366" s="55" t="n">
        <v>76</v>
      </c>
      <c r="J366" s="56" t="n">
        <v>4</v>
      </c>
      <c r="K366" s="56" t="inlineStr">
        <is>
          <t>https://amazon.com/dp/B0DKHL1H22</t>
        </is>
      </c>
      <c r="L366" s="70">
        <f>HYPERLINK(Table3559[[#This Row],[Column1]])</f>
        <v/>
      </c>
    </row>
    <row r="367" ht="45" customHeight="1" s="290">
      <c r="A367" s="30" t="inlineStr">
        <is>
          <t>LAUNCH OBD2 Extension Cable Full 16Pin Male to Female OBDII Extend Cable for Car OBD Diagnostic Extender Cord Connector Reinforced Nylon Material (36CM/1.2FT)</t>
        </is>
      </c>
      <c r="B367" s="30" t="inlineStr">
        <is>
          <t>B09TKZ5RF4</t>
        </is>
      </c>
      <c r="C367" s="30" t="inlineStr">
        <is>
          <t>Cable/Adapter</t>
        </is>
      </c>
      <c r="D367" s="324" t="n">
        <v>12.01233333333333</v>
      </c>
      <c r="E367" s="53" t="n">
        <v>12585.31</v>
      </c>
      <c r="F367" s="53" t="n">
        <v>1081.11</v>
      </c>
      <c r="G367" s="55" t="n">
        <v>1050</v>
      </c>
      <c r="H367" s="57" t="n">
        <v>90</v>
      </c>
      <c r="I367" s="55" t="n">
        <v>190</v>
      </c>
      <c r="J367" s="56" t="n">
        <v>4.6</v>
      </c>
      <c r="K367" s="56" t="inlineStr">
        <is>
          <t>https://amazon.com/dp/B09TKZ5RF4</t>
        </is>
      </c>
      <c r="L367" s="70">
        <f>HYPERLINK(Table3559[[#This Row],[Column1]])</f>
        <v/>
      </c>
    </row>
    <row r="368" ht="60" customHeight="1" s="290">
      <c r="A368" s="30" t="inlineStr">
        <is>
          <t>LAUNCH CRP123 V2.0 Plus [2026 New Model] All System Scan Tool with 3 Reset Oil Service/Throttle Relearn/SAS Reset,OBD2 Scanner Diagnostic Tool,Lifetime Free Update</t>
        </is>
      </c>
      <c r="B368" s="30" t="inlineStr">
        <is>
          <t>B0CL2B9TQG</t>
        </is>
      </c>
      <c r="C368" s="30" t="inlineStr">
        <is>
          <t>Tablet</t>
        </is>
      </c>
      <c r="D368" s="324" t="n">
        <v>107.4648314606742</v>
      </c>
      <c r="E368" s="53" t="n">
        <v>47191.67</v>
      </c>
      <c r="F368" s="53" t="n">
        <v>9564.370000000001</v>
      </c>
      <c r="G368" s="55" t="n">
        <v>395</v>
      </c>
      <c r="H368" s="57" t="n">
        <v>89</v>
      </c>
      <c r="I368" s="55" t="n">
        <v>232</v>
      </c>
      <c r="J368" s="56" t="n">
        <v>4.2</v>
      </c>
      <c r="K368" s="56" t="inlineStr">
        <is>
          <t>https://amazon.com/dp/B0CL2B9TQG</t>
        </is>
      </c>
      <c r="L368" s="70">
        <f>HYPERLINK(Table3559[[#This Row],[Column1]])</f>
        <v/>
      </c>
    </row>
    <row r="369" ht="60" customHeight="1" s="290">
      <c r="A369" s="30" t="inlineStr">
        <is>
          <t>LAUNCH CRP129E V2.0 Elite OBD2 Scanner Diagnostic Tool, 12 Reset Scan Tool, FCA AutoAuth, ABS SRS Transmission Engine Code Reader, Oil/Brake/SAS/DPF/TPMS/BMS Reset, Lifetime Free Update, Auto VIN</t>
        </is>
      </c>
      <c r="B369" s="30" t="inlineStr">
        <is>
          <t>B0DKH5871C</t>
        </is>
      </c>
      <c r="C369" s="30" t="inlineStr">
        <is>
          <t>Tablet</t>
        </is>
      </c>
      <c r="D369" s="324" t="n">
        <v>223.8860674157303</v>
      </c>
      <c r="E369" s="53" t="n">
        <v>231820.11</v>
      </c>
      <c r="F369" s="53" t="n">
        <v>19925.86</v>
      </c>
      <c r="G369" s="55" t="n">
        <v>993</v>
      </c>
      <c r="H369" s="57" t="n">
        <v>89</v>
      </c>
      <c r="I369" s="55" t="n">
        <v>72</v>
      </c>
      <c r="J369" s="56" t="n">
        <v>4.4</v>
      </c>
      <c r="K369" s="56" t="inlineStr">
        <is>
          <t>https://amazon.com/dp/B0DKH5871C</t>
        </is>
      </c>
      <c r="L369" s="70">
        <f>HYPERLINK(Table3559[[#This Row],[Column1]])</f>
        <v/>
      </c>
    </row>
    <row r="370" ht="45" customHeight="1" s="290">
      <c r="A370" s="30" t="inlineStr">
        <is>
          <t>LAUNCH Creader 3001 OBD2 Scanner-2025 Upgrade Ver. Engine Fault Code Reader,Support O2 Sensor,Lifetime Free Update,Scanner for All OBDII Protocol Cars Since 1996</t>
        </is>
      </c>
      <c r="B370" s="30" t="inlineStr">
        <is>
          <t>B07CH4D68Q</t>
        </is>
      </c>
      <c r="C370" s="30" t="inlineStr">
        <is>
          <t>Handheld</t>
        </is>
      </c>
      <c r="D370" s="324" t="n">
        <v>17.49011363636364</v>
      </c>
      <c r="E370" s="53" t="n">
        <v>27965.43</v>
      </c>
      <c r="F370" s="53" t="n">
        <v>1539.13</v>
      </c>
      <c r="G370" s="55" t="n">
        <v>1506</v>
      </c>
      <c r="H370" s="57" t="n">
        <v>88</v>
      </c>
      <c r="I370" s="55" t="n">
        <v>1258</v>
      </c>
      <c r="J370" s="56" t="n">
        <v>4.4</v>
      </c>
      <c r="K370" s="56" t="inlineStr">
        <is>
          <t>https://amazon.com/dp/B07CH4D68Q</t>
        </is>
      </c>
      <c r="L370" s="70">
        <f>HYPERLINK(Table3559[[#This Row],[Column1]])</f>
        <v/>
      </c>
    </row>
    <row r="371" ht="60" customHeight="1" s="290">
      <c r="A371" s="30" t="inlineStr">
        <is>
          <t>2026 LAUNCH Creader Elite OBD2 Scanner for Honda Acura, Full System Bi-Directional Diagnostic Scan Tool, Full Reset Code Reader, AUTO VIN, Battery Registration, Lifetime Free Update</t>
        </is>
      </c>
      <c r="B371" s="30" t="inlineStr">
        <is>
          <t>B0C7W2V589</t>
        </is>
      </c>
      <c r="C371" s="30" t="inlineStr">
        <is>
          <t>Handheld</t>
        </is>
      </c>
      <c r="D371" s="324" t="n">
        <v>133.1489655172414</v>
      </c>
      <c r="E371" s="53" t="n">
        <v>154737.2</v>
      </c>
      <c r="F371" s="53" t="n">
        <v>11583.96</v>
      </c>
      <c r="G371" s="55" t="n">
        <v>1098</v>
      </c>
      <c r="H371" s="57" t="n">
        <v>87</v>
      </c>
      <c r="I371" s="55" t="n">
        <v>357</v>
      </c>
      <c r="J371" s="56" t="n">
        <v>4.3</v>
      </c>
      <c r="K371" s="56" t="inlineStr">
        <is>
          <t>https://amazon.com/dp/B0C7W2V589</t>
        </is>
      </c>
      <c r="L371" s="70">
        <f>HYPERLINK(Table3559[[#This Row],[Column1]])</f>
        <v/>
      </c>
    </row>
    <row r="372" ht="45" customHeight="1" s="290">
      <c r="A372" s="30" t="inlineStr">
        <is>
          <t>LAUNCH X431 PRO V 5.0,2026 New Gen. OEM Bluetooth Bidirectional Scan Tool w/Canfd Doip,Same as Pro3s+ 5.0,Online Code &amp; 38+ Reset for All Cars,2 Yrs Free Update</t>
        </is>
      </c>
      <c r="B372" s="30" t="inlineStr">
        <is>
          <t>B01GRN4BRQ</t>
        </is>
      </c>
      <c r="C372" s="30" t="inlineStr">
        <is>
          <t>Tablet</t>
        </is>
      </c>
      <c r="D372" s="324" t="n">
        <v>791.61</v>
      </c>
      <c r="E372" s="53" t="n">
        <v>928559.4800000001</v>
      </c>
      <c r="F372" s="53" t="n">
        <v>64912.02</v>
      </c>
      <c r="G372" s="55" t="n">
        <v>1209</v>
      </c>
      <c r="H372" s="57" t="n">
        <v>82</v>
      </c>
      <c r="I372" s="55" t="n">
        <v>1044</v>
      </c>
      <c r="J372" s="56" t="n">
        <v>4.3</v>
      </c>
      <c r="K372" s="56" t="inlineStr">
        <is>
          <t>https://amazon.com/dp/B01GRN4BRQ</t>
        </is>
      </c>
      <c r="L372" s="70">
        <f>HYPERLINK(Table3559[[#This Row],[Column1]])</f>
        <v/>
      </c>
    </row>
    <row r="373" ht="45" customHeight="1" s="290">
      <c r="A373" s="30" t="inlineStr">
        <is>
          <t>LAUNCH Creader Elite V3.0 for BMW OBD2 Scanner, 2026 Full Systems Bi-Directional Scan Tool, All Reset Services, ECU Code, CAN-FD &amp; DOIP, Battery Registration Tool for BMW Mini RR, Lifetime Free Update</t>
        </is>
      </c>
      <c r="B373" s="30" t="inlineStr">
        <is>
          <t>B0DKHL6YHJ</t>
        </is>
      </c>
      <c r="C373" s="30" t="inlineStr">
        <is>
          <t>Tablet</t>
        </is>
      </c>
      <c r="D373" s="324" t="n">
        <v>197.2075308641975</v>
      </c>
      <c r="E373" s="53" t="n">
        <v>174643.35</v>
      </c>
      <c r="F373" s="53" t="n">
        <v>15973.81</v>
      </c>
      <c r="G373" s="55" t="n">
        <v>952</v>
      </c>
      <c r="H373" s="57" t="n">
        <v>81</v>
      </c>
      <c r="I373" s="55" t="n">
        <v>100</v>
      </c>
      <c r="J373" s="56" t="n">
        <v>4.3</v>
      </c>
      <c r="K373" s="56" t="inlineStr">
        <is>
          <t>https://amazon.com/dp/B0DKHL6YHJ</t>
        </is>
      </c>
      <c r="L373" s="70">
        <f>HYPERLINK(Table3559[[#This Row],[Column1]])</f>
        <v/>
      </c>
    </row>
    <row r="374" ht="45" customHeight="1" s="290">
      <c r="A374" s="30" t="inlineStr">
        <is>
          <t>LAUNCH X431 PRO3S+ Smartlink HD Heavy Duty Truck Scanner,2026 Diesel&amp;Gasoline Bidirectional Diagnostic Scan Tool with J2534 Protocols,Topology Map,60+Service,ECU Code,CANFD &amp;DOIP,2 Yrs Free Update</t>
        </is>
      </c>
      <c r="B374" s="30" t="inlineStr">
        <is>
          <t>B08V59JNYP</t>
        </is>
      </c>
      <c r="C374" s="30" t="inlineStr">
        <is>
          <t>Tablet</t>
        </is>
      </c>
      <c r="D374" s="324" t="n">
        <v>1909.047012987013</v>
      </c>
      <c r="E374" s="53" t="n">
        <v>1847936.39</v>
      </c>
      <c r="F374" s="53" t="n">
        <v>146996.62</v>
      </c>
      <c r="G374" s="55" t="n">
        <v>996</v>
      </c>
      <c r="H374" s="57" t="n">
        <v>77</v>
      </c>
      <c r="I374" s="55" t="n">
        <v>180</v>
      </c>
      <c r="J374" s="56" t="n">
        <v>4.2</v>
      </c>
      <c r="K374" s="56" t="inlineStr">
        <is>
          <t>https://amazon.com/dp/B08V59JNYP</t>
        </is>
      </c>
      <c r="L374" s="70">
        <f>HYPERLINK(Table3559[[#This Row],[Column1]])</f>
        <v/>
      </c>
    </row>
    <row r="375" ht="45" customHeight="1" s="290">
      <c r="A375" s="30" t="inlineStr">
        <is>
          <t>2026 Upgraded LAUNCH OBD2 Scanner CRP123E V2.0 Elite, Diagnostics Tool for Engine, ABS, SRS, AT, with 7 Resets, Oil/Throttle/SAS/BMS/EPB/DPF/ABS Bleeding, Battery Test, FCA SGW, Lifetime Updates</t>
        </is>
      </c>
      <c r="B375" s="30" t="inlineStr">
        <is>
          <t>B07QZBY49X</t>
        </is>
      </c>
      <c r="C375" s="30" t="inlineStr">
        <is>
          <t>Tablet</t>
        </is>
      </c>
      <c r="D375" s="324" t="n">
        <v>179.0327631578947</v>
      </c>
      <c r="E375" s="53" t="n">
        <v>180669.48</v>
      </c>
      <c r="F375" s="53" t="n">
        <v>13606.49</v>
      </c>
      <c r="G375" s="55" t="n">
        <v>1123</v>
      </c>
      <c r="H375" s="57" t="n">
        <v>76</v>
      </c>
      <c r="I375" s="55" t="n">
        <v>534</v>
      </c>
      <c r="J375" s="56" t="n">
        <v>4.4</v>
      </c>
      <c r="K375" s="56" t="inlineStr">
        <is>
          <t>https://amazon.com/dp/B07QZBY49X</t>
        </is>
      </c>
      <c r="L375" s="70">
        <f>HYPERLINK(Table3559[[#This Row],[Column1]])</f>
        <v/>
      </c>
    </row>
    <row r="376" ht="45" customHeight="1" s="290">
      <c r="A376" s="30" t="inlineStr">
        <is>
          <t>Launch CRP129I V3.0 OBD2 Scanner Diagnostic Tool, 2026 New Code Reader for Cars and Trucks, ABS SRS Transmission Engine Code Reader, 12 Reset, Oil/EPB/SAS/TPMS/Injector Code, Lifetime Free Update</t>
        </is>
      </c>
      <c r="B376" s="30" t="inlineStr">
        <is>
          <t>B07QRYR288</t>
        </is>
      </c>
      <c r="C376" s="30" t="inlineStr">
        <is>
          <t>Tablet</t>
        </is>
      </c>
      <c r="D376" s="324" t="n">
        <v>213.13</v>
      </c>
      <c r="E376" s="53" t="n">
        <v>176061.27</v>
      </c>
      <c r="F376" s="53" t="n">
        <v>15558.49</v>
      </c>
      <c r="G376" s="55" t="n">
        <v>812</v>
      </c>
      <c r="H376" s="57" t="n">
        <v>73</v>
      </c>
      <c r="I376" s="55" t="n">
        <v>950</v>
      </c>
      <c r="J376" s="56" t="n">
        <v>4.4</v>
      </c>
      <c r="K376" s="56" t="inlineStr">
        <is>
          <t>https://amazon.com/dp/B07QRYR288</t>
        </is>
      </c>
      <c r="L376" s="70">
        <f>HYPERLINK(Table3559[[#This Row],[Column1]])</f>
        <v/>
      </c>
    </row>
    <row r="377" ht="45" customHeight="1" s="290">
      <c r="A377" s="30" t="inlineStr">
        <is>
          <t>Launch X431 CRP919XBT Wireless Bidirectional Scan Tool with ECU Code, CANFD&amp;DoIP, 2026 All System OBD2 Diagnostic Scanner, FCA AutoAuth, VAG Guided, 35+ Resets, 2 Yrs Free Update, Upgraded of CRP919X</t>
        </is>
      </c>
      <c r="B377" s="30" t="inlineStr">
        <is>
          <t>B0C5D1YM1F</t>
        </is>
      </c>
      <c r="C377" s="30" t="inlineStr">
        <is>
          <t>Tablet</t>
        </is>
      </c>
      <c r="D377" s="324" t="n">
        <v>505.906338028169</v>
      </c>
      <c r="E377" s="53" t="n">
        <v>401114.89</v>
      </c>
      <c r="F377" s="53" t="n">
        <v>35919.35</v>
      </c>
      <c r="G377" s="55" t="n">
        <v>828</v>
      </c>
      <c r="H377" s="57" t="n">
        <v>71</v>
      </c>
      <c r="I377" s="55" t="n">
        <v>553</v>
      </c>
      <c r="J377" s="56" t="n">
        <v>4.3</v>
      </c>
      <c r="K377" s="56" t="inlineStr">
        <is>
          <t>https://amazon.com/dp/B0C5D1YM1F</t>
        </is>
      </c>
      <c r="L377" s="70">
        <f>HYPERLINK(Table3559[[#This Row],[Column1]])</f>
        <v/>
      </c>
    </row>
    <row r="378" ht="45" customHeight="1" s="290">
      <c r="A378" s="30" t="inlineStr">
        <is>
          <t>LAUNCH X431 PRO Elite 2026 New Bidirectional Scan Tool, 38+ Reset, ECU Coding, All-in-One Full System Diagnostic Scanner, CANFD&amp;DoIP, FCA AutoAuth, VAG Guide,Same as Pro3s+ 5.0,2 Years Free Update</t>
        </is>
      </c>
      <c r="B378" s="30" t="inlineStr">
        <is>
          <t>B0C6TGKYLF</t>
        </is>
      </c>
      <c r="C378" s="30" t="inlineStr">
        <is>
          <t>Tablet</t>
        </is>
      </c>
      <c r="D378" s="324" t="n">
        <v>635.9860869565217</v>
      </c>
      <c r="E378" s="53" t="n">
        <v>532813.33</v>
      </c>
      <c r="F378" s="53" t="n">
        <v>43883.04</v>
      </c>
      <c r="G378" s="55" t="n">
        <v>853</v>
      </c>
      <c r="H378" s="57" t="n">
        <v>69</v>
      </c>
      <c r="I378" s="55" t="n">
        <v>248</v>
      </c>
      <c r="J378" s="56" t="n">
        <v>4.3</v>
      </c>
      <c r="K378" s="56" t="inlineStr">
        <is>
          <t>https://amazon.com/dp/B0C6TGKYLF</t>
        </is>
      </c>
      <c r="L378" s="70">
        <f>HYPERLINK(Table3559[[#This Row],[Column1]])</f>
        <v/>
      </c>
    </row>
    <row r="379" ht="30" customHeight="1" s="290">
      <c r="A379" s="30" t="inlineStr">
        <is>
          <t>LAUNCH Scanner CRP129X V2.0 (Upgrade of CRP123X/CRP129X), 12 Reset Scan Tool,Lifetime Free Update,FCA SGW Car Scanner,ABS SRS Transmission,Check Engine Code Reader,AutoVIN,Battery Test, 5 Years Backup</t>
        </is>
      </c>
      <c r="B379" s="30" t="inlineStr">
        <is>
          <t>B07RK9GCK3</t>
        </is>
      </c>
      <c r="C379" s="30" t="inlineStr">
        <is>
          <t>Tablet</t>
        </is>
      </c>
      <c r="D379" s="324" t="n">
        <v>236.1228985507246</v>
      </c>
      <c r="E379" s="53" t="n">
        <v>348187.01</v>
      </c>
      <c r="F379" s="53" t="n">
        <v>16292.48</v>
      </c>
      <c r="G379" s="55" t="n">
        <v>1508</v>
      </c>
      <c r="H379" s="57" t="n">
        <v>69</v>
      </c>
      <c r="I379" s="55" t="n">
        <v>2365</v>
      </c>
      <c r="J379" s="56" t="n">
        <v>4.3</v>
      </c>
      <c r="K379" s="56" t="inlineStr">
        <is>
          <t>https://amazon.com/dp/B07RK9GCK3</t>
        </is>
      </c>
      <c r="L379" s="70">
        <f>HYPERLINK(Table3559[[#This Row],[Column1]])</f>
        <v/>
      </c>
    </row>
    <row r="380" ht="45" customHeight="1" s="290">
      <c r="A380" s="30" t="inlineStr">
        <is>
          <t>LAUNCH Remote Key Frequency Tester 315/433/868/902MHz Infrared Signal Detection, Key Fob Signal Tester</t>
        </is>
      </c>
      <c r="B380" s="30" t="inlineStr">
        <is>
          <t>B0CX8181JG</t>
        </is>
      </c>
      <c r="C380" s="30" t="inlineStr">
        <is>
          <t>Key</t>
        </is>
      </c>
      <c r="D380" s="324" t="n">
        <v>39.83285714285714</v>
      </c>
      <c r="E380" s="53" t="n">
        <v>33352.59</v>
      </c>
      <c r="F380" s="53" t="n">
        <v>2509.47</v>
      </c>
      <c r="G380" s="55" t="n">
        <v>837</v>
      </c>
      <c r="H380" s="57" t="n">
        <v>63</v>
      </c>
      <c r="I380" s="55" t="n">
        <v>97</v>
      </c>
      <c r="J380" s="56" t="n">
        <v>4.5</v>
      </c>
      <c r="K380" s="56" t="inlineStr">
        <is>
          <t>https://amazon.com/dp/B0CX8181JG</t>
        </is>
      </c>
      <c r="L380" s="70">
        <f>HYPERLINK(Table3559[[#This Row],[Column1]])</f>
        <v/>
      </c>
    </row>
    <row r="381" ht="45" customHeight="1" s="290">
      <c r="A381" s="30" t="inlineStr">
        <is>
          <t>Launch OBD2 Scanner CR319 Check Engine Code Reader with Full OBD2 Functions</t>
        </is>
      </c>
      <c r="B381" s="30" t="inlineStr">
        <is>
          <t>B07QLTYKDW</t>
        </is>
      </c>
      <c r="C381" s="30" t="inlineStr">
        <is>
          <t>Handheld</t>
        </is>
      </c>
      <c r="D381" s="324" t="n">
        <v>27.17949152542373</v>
      </c>
      <c r="E381" s="53" t="n">
        <v>21283.1</v>
      </c>
      <c r="F381" s="53" t="n">
        <v>1603.59</v>
      </c>
      <c r="G381" s="55" t="n">
        <v>822</v>
      </c>
      <c r="H381" s="57" t="n">
        <v>59</v>
      </c>
      <c r="I381" s="55" t="n">
        <v>3846</v>
      </c>
      <c r="J381" s="56" t="n">
        <v>4.5</v>
      </c>
      <c r="K381" s="56" t="inlineStr">
        <is>
          <t>https://amazon.com/dp/B07QLTYKDW</t>
        </is>
      </c>
      <c r="L381" s="70">
        <f>HYPERLINK(Table3559[[#This Row],[Column1]])</f>
        <v/>
      </c>
    </row>
    <row r="382" ht="45" customHeight="1" s="290">
      <c r="A382" s="30" t="inlineStr">
        <is>
          <t>Launch X431 CRP919X OBD2 Scanner, 2026 US Ver. ECU Coding Car Scanner, Bidirectional Scan Tool, CANFD/DOIP, FCA Autoauth, 35+ Service,10.0 OS As X431, 4000+ Active Test,OE All System Diagnostic Tool</t>
        </is>
      </c>
      <c r="B382" s="30" t="inlineStr">
        <is>
          <t>B0DTPTB8MS</t>
        </is>
      </c>
      <c r="C382" s="30" t="inlineStr">
        <is>
          <t>Tablet</t>
        </is>
      </c>
      <c r="D382" s="324" t="n">
        <v>447.0414285714286</v>
      </c>
      <c r="E382" s="53" t="n">
        <v>360909.36</v>
      </c>
      <c r="F382" s="53" t="n">
        <v>25034.32</v>
      </c>
      <c r="G382" s="55" t="n">
        <v>842</v>
      </c>
      <c r="H382" s="57" t="n">
        <v>56</v>
      </c>
      <c r="I382" s="55" t="n">
        <v>71</v>
      </c>
      <c r="J382" s="56" t="n">
        <v>4.5</v>
      </c>
      <c r="K382" s="56" t="inlineStr">
        <is>
          <t>https://amazon.com/dp/B0DTPTB8MS</t>
        </is>
      </c>
      <c r="L382" s="70">
        <f>HYPERLINK(Table3559[[#This Row],[Column1]])</f>
        <v/>
      </c>
    </row>
    <row r="383" ht="45" customHeight="1" s="290">
      <c r="A383" s="30" t="inlineStr">
        <is>
          <t>LAUNCH CRP129X OBD2 Scanner, 2026 Elite Lifetime Free Update Scan Tool, 8 Reset, Injector Coding, ABS/SRS/TCM/Engine System Diagnostic Scanner, Auto Vin, Car Scanner Diagnostic for All Cars</t>
        </is>
      </c>
      <c r="B383" s="30" t="inlineStr">
        <is>
          <t>B08HGV8B9F</t>
        </is>
      </c>
      <c r="C383" s="30" t="inlineStr">
        <is>
          <t>Tablet</t>
        </is>
      </c>
      <c r="D383" s="324" t="n">
        <v>183.4962962962963</v>
      </c>
      <c r="E383" s="53" t="n">
        <v>99153.50461538465</v>
      </c>
      <c r="F383" s="53" t="n">
        <v>9908.799999999999</v>
      </c>
      <c r="G383" s="55" t="n">
        <v>437</v>
      </c>
      <c r="H383" s="57" t="n">
        <v>54</v>
      </c>
      <c r="I383" s="55" t="n">
        <v>247</v>
      </c>
      <c r="J383" s="56" t="n">
        <v>4.2</v>
      </c>
      <c r="K383" s="56" t="inlineStr">
        <is>
          <t>https://amazon.com/dp/B08HGV8B9F</t>
        </is>
      </c>
      <c r="L383" s="70">
        <f>HYPERLINK(Table3559[[#This Row],[Column1]])</f>
        <v/>
      </c>
    </row>
    <row r="384" ht="45" customHeight="1" s="290">
      <c r="A384" s="30" t="inlineStr">
        <is>
          <t>LAUNCH Creader Elite OBD2 Scanner Diagnostic Tool Fit for Audi Volkswagen Skoda Seat,Full System All Reset Bi-Directional Code Reader for VAG Vehicles,Active Test, ECU Code,Lifetime Update</t>
        </is>
      </c>
      <c r="B384" s="30" t="inlineStr">
        <is>
          <t>B0DY7S79PV</t>
        </is>
      </c>
      <c r="C384" s="30" t="inlineStr">
        <is>
          <t>Handheld</t>
        </is>
      </c>
      <c r="D384" s="324" t="n">
        <v>138.5340740740741</v>
      </c>
      <c r="E384" s="53" t="n">
        <v>43400.6</v>
      </c>
      <c r="F384" s="53" t="n">
        <v>7480.84</v>
      </c>
      <c r="G384" s="55" t="n">
        <v>314</v>
      </c>
      <c r="H384" s="57" t="n">
        <v>54</v>
      </c>
      <c r="I384" s="55" t="n">
        <v>522</v>
      </c>
      <c r="J384" s="56" t="n">
        <v>4.1</v>
      </c>
      <c r="K384" s="56" t="inlineStr">
        <is>
          <t>https://amazon.com/dp/B0DY7S79PV</t>
        </is>
      </c>
      <c r="L384" s="70">
        <f>HYPERLINK(Table3559[[#This Row],[Column1]])</f>
        <v/>
      </c>
    </row>
    <row r="385" ht="45" customHeight="1" s="290">
      <c r="A385" s="30" t="inlineStr">
        <is>
          <t>LAUNCH Creader 300 OBD2 Scanner,Engine Fault Code Reader,Support Read Data Stream,Scanner for All OBDII Protocol Cars Since 1996, 2026 Upgraded Ver. of CR3001</t>
        </is>
      </c>
      <c r="B385" s="30" t="inlineStr">
        <is>
          <t>B0DSVH6KQ2</t>
        </is>
      </c>
      <c r="C385" s="30" t="inlineStr">
        <is>
          <t>Handheld</t>
        </is>
      </c>
      <c r="D385" s="324" t="n">
        <v>23.71909090909091</v>
      </c>
      <c r="E385" s="53" t="n">
        <v>10650.72</v>
      </c>
      <c r="F385" s="53" t="n">
        <v>1043.64</v>
      </c>
      <c r="G385" s="55" t="n">
        <v>546</v>
      </c>
      <c r="H385" s="57" t="n">
        <v>44</v>
      </c>
      <c r="I385" s="55" t="n">
        <v>70</v>
      </c>
      <c r="J385" s="56" t="n">
        <v>4.4</v>
      </c>
      <c r="K385" s="56" t="inlineStr">
        <is>
          <t>https://amazon.com/dp/B0DSVH6KQ2</t>
        </is>
      </c>
      <c r="L385" s="70">
        <f>HYPERLINK(Table3559[[#This Row],[Column1]])</f>
        <v/>
      </c>
    </row>
    <row r="386" ht="45" customHeight="1" s="290">
      <c r="A386" s="30" t="inlineStr">
        <is>
          <t>Launch OBD2 Scanner CRP123X Elite V2.0, 2025 Lifetime Free Update Diagnostic Scan Tool Car Engine Code Reader with Oil/Brake/SAS/BMS/D.P.F/ABS Bleeding/Throttle Reset, Auto VIN</t>
        </is>
      </c>
      <c r="B386" s="30" t="inlineStr">
        <is>
          <t>B07RLF2XNM</t>
        </is>
      </c>
      <c r="C386" s="30" t="inlineStr">
        <is>
          <t>Tablet</t>
        </is>
      </c>
      <c r="D386" s="324" t="n">
        <v>179.7684090909091</v>
      </c>
      <c r="E386" s="53" t="n">
        <v>160030.04</v>
      </c>
      <c r="F386" s="53" t="n">
        <v>7909.81</v>
      </c>
      <c r="G386" s="55" t="n">
        <v>952</v>
      </c>
      <c r="H386" s="57" t="n">
        <v>44</v>
      </c>
      <c r="I386" s="55" t="n">
        <v>1658</v>
      </c>
      <c r="J386" s="56" t="n">
        <v>4.5</v>
      </c>
      <c r="K386" s="56" t="inlineStr">
        <is>
          <t>https://amazon.com/dp/B07RLF2XNM</t>
        </is>
      </c>
      <c r="L386" s="70">
        <f>HYPERLINK(Table3559[[#This Row],[Column1]])</f>
        <v/>
      </c>
    </row>
    <row r="387" ht="45" customHeight="1" s="290">
      <c r="A387" s="30" t="inlineStr">
        <is>
          <t>LAUNCH X431 CRP919EBT OBD2 Scanner, Advanced Wireless Bluetooth Bidirectional Scan Tool, ECU Code, CANFD/DOIP, FCA AutoAuth, 35+ Resets, VAG Guided, All Systems for all Vehicles, Upgraded of CRP919E</t>
        </is>
      </c>
      <c r="B387" s="30" t="inlineStr">
        <is>
          <t>B0DKFFP66V</t>
        </is>
      </c>
      <c r="C387" s="30" t="inlineStr">
        <is>
          <t>Tablet</t>
        </is>
      </c>
      <c r="D387" s="324" t="n">
        <v>526.5897674418604</v>
      </c>
      <c r="E387" s="53" t="n">
        <v>464914.77</v>
      </c>
      <c r="F387" s="53" t="n">
        <v>22643.36</v>
      </c>
      <c r="G387" s="55" t="n">
        <v>956</v>
      </c>
      <c r="H387" s="57" t="n">
        <v>43</v>
      </c>
      <c r="I387" s="55" t="n">
        <v>146</v>
      </c>
      <c r="J387" s="56" t="n">
        <v>4.6</v>
      </c>
      <c r="K387" s="56" t="inlineStr">
        <is>
          <t>https://amazon.com/dp/B0DKFFP66V</t>
        </is>
      </c>
      <c r="L387" s="70">
        <f>HYPERLINK(Table3559[[#This Row],[Column1]])</f>
        <v/>
      </c>
    </row>
    <row r="388" ht="45" customHeight="1" s="290">
      <c r="A388" s="30" t="inlineStr">
        <is>
          <t>LAUNCH Original Adapter for DBSCar VII and SmartLink C VCI Connector, DR15 Male to OBD2 16 Pin Male Replacement Connector Work with X431 CRP919EBT, PRO3 ACE, PRO 3S+, PRO 5, PAD VII, PAD V</t>
        </is>
      </c>
      <c r="B388" s="30" t="inlineStr">
        <is>
          <t>B0D8PPVD5D</t>
        </is>
      </c>
      <c r="C388" s="30" t="inlineStr">
        <is>
          <t>Cable/Adapter</t>
        </is>
      </c>
      <c r="D388" s="324" t="n">
        <v>23.19690476190476</v>
      </c>
      <c r="E388" s="53" t="n">
        <v>8268.82</v>
      </c>
      <c r="F388" s="53" t="n">
        <v>974.27</v>
      </c>
      <c r="G388" s="55" t="n">
        <v>359</v>
      </c>
      <c r="H388" s="57" t="n">
        <v>42</v>
      </c>
      <c r="I388" s="55" t="n">
        <v>27</v>
      </c>
      <c r="J388" s="56" t="n">
        <v>4.5</v>
      </c>
      <c r="K388" s="56" t="inlineStr">
        <is>
          <t>https://amazon.com/dp/B0D8PPVD5D</t>
        </is>
      </c>
      <c r="L388" s="70">
        <f>HYPERLINK(Table3559[[#This Row],[Column1]])</f>
        <v/>
      </c>
    </row>
    <row r="389" ht="45" customHeight="1" s="290">
      <c r="A389" s="30" t="inlineStr">
        <is>
          <t>Launch X431 Creader Elite 2.0 FGC OBD2 Scanner, Bi-Directional Scan Tool for Ford/GM/Chrysler Series, ECU Coding, Lifetime FR-EE Update, All System Diagnostic, 100+ Services, Full OBD2 Code Reader</t>
        </is>
      </c>
      <c r="B389" s="30" t="inlineStr">
        <is>
          <t>B0CNRN359J</t>
        </is>
      </c>
      <c r="C389" s="30" t="inlineStr">
        <is>
          <t>Tablet</t>
        </is>
      </c>
      <c r="D389" s="324" t="n">
        <v>253.0165853658537</v>
      </c>
      <c r="E389" s="53" t="n">
        <v>178413.29</v>
      </c>
      <c r="F389" s="53" t="n">
        <v>10373.68</v>
      </c>
      <c r="G389" s="55" t="n">
        <v>788</v>
      </c>
      <c r="H389" s="57" t="n">
        <v>41</v>
      </c>
      <c r="I389" s="55" t="n">
        <v>200</v>
      </c>
      <c r="J389" s="56" t="n">
        <v>4.1</v>
      </c>
      <c r="K389" s="56" t="inlineStr">
        <is>
          <t>https://amazon.com/dp/B0CNRN359J</t>
        </is>
      </c>
      <c r="L389" s="70">
        <f>HYPERLINK(Table3559[[#This Row],[Column1]])</f>
        <v/>
      </c>
    </row>
    <row r="390" ht="45" customHeight="1" s="290">
      <c r="A390" s="30" t="inlineStr">
        <is>
          <t>Launch Creader Elite 2.0 Bidirectional Scan Tool fit for Toyota/Lexus, 2026 Full System OBD2 Scanner, All Reset Service Code Reader, ECU Code, AUTO VIN, Battery Registration, Lifetime Free Update</t>
        </is>
      </c>
      <c r="B390" s="30" t="inlineStr">
        <is>
          <t>B0FNC5ZTMY</t>
        </is>
      </c>
      <c r="C390" s="30" t="inlineStr">
        <is>
          <t>Tablet</t>
        </is>
      </c>
      <c r="D390" s="324" t="n">
        <v>191.0756097560976</v>
      </c>
      <c r="E390" s="53" t="n">
        <v>86660.68846153849</v>
      </c>
      <c r="F390" s="53" t="n">
        <v>7834.1</v>
      </c>
      <c r="G390" s="55" t="n">
        <v>194</v>
      </c>
      <c r="H390" s="57" t="n">
        <v>41</v>
      </c>
      <c r="I390" s="55" t="n">
        <v>67</v>
      </c>
      <c r="J390" s="56" t="n">
        <v>4.3</v>
      </c>
      <c r="K390" s="56" t="inlineStr">
        <is>
          <t>https://amazon.com/dp/B0FNC5ZTMY</t>
        </is>
      </c>
      <c r="L390" s="70">
        <f>HYPERLINK(Table3559[[#This Row],[Column1]])</f>
        <v/>
      </c>
    </row>
    <row r="391" ht="45" customHeight="1" s="290">
      <c r="A391" s="30" t="inlineStr">
        <is>
          <t>LAUNCH OBD2 Extension Cable 16Pin Male to Female Full Function OBDII Extender, Reinforced Nylon Diagnostic Cord Connector 36CM/1.2FT</t>
        </is>
      </c>
      <c r="B391" s="30" t="inlineStr">
        <is>
          <t>B0FX3Q2MFY</t>
        </is>
      </c>
      <c r="C391" s="30" t="inlineStr">
        <is>
          <t>Cable/Adapter</t>
        </is>
      </c>
      <c r="D391" s="324" t="n">
        <v>11.15425</v>
      </c>
      <c r="E391" s="53" t="n">
        <v>3894.394615384616</v>
      </c>
      <c r="F391" s="53" t="n">
        <v>446.17</v>
      </c>
      <c r="G391" s="55" t="n">
        <v>86</v>
      </c>
      <c r="H391" s="57" t="n">
        <v>40</v>
      </c>
      <c r="I391" s="55" t="n">
        <v>1</v>
      </c>
      <c r="J391" s="56" t="n">
        <v>4</v>
      </c>
      <c r="K391" s="56" t="inlineStr">
        <is>
          <t>https://amazon.com/dp/B0FX3Q2MFY</t>
        </is>
      </c>
      <c r="L391" s="70">
        <f>HYPERLINK(Table3559[[#This Row],[Column1]])</f>
        <v/>
      </c>
    </row>
    <row r="392" ht="45" customHeight="1" s="290">
      <c r="A392" s="30" t="inlineStr">
        <is>
          <t>Launch X431 PROS V 5.0 2026 Newly Bidirectional Scan Tool Bluetooth Launch Scanner with DBSCar VII Connector 38+ Reset for All Cars Online ECU Code CANFD FCA AutoAuth VAG Guide 2 Yrs F-Ree Update</t>
        </is>
      </c>
      <c r="B392" s="30" t="inlineStr">
        <is>
          <t>B0CLS8B1BK</t>
        </is>
      </c>
      <c r="C392" s="30" t="inlineStr">
        <is>
          <t>Tablet</t>
        </is>
      </c>
      <c r="D392" s="324" t="n">
        <v>839.754358974359</v>
      </c>
      <c r="E392" s="53" t="n">
        <v>1007256.67</v>
      </c>
      <c r="F392" s="53" t="n">
        <v>32750.42</v>
      </c>
      <c r="G392" s="55" t="n">
        <v>1328</v>
      </c>
      <c r="H392" s="57" t="n">
        <v>39</v>
      </c>
      <c r="I392" s="55" t="n">
        <v>251</v>
      </c>
      <c r="J392" s="56" t="n">
        <v>4.4</v>
      </c>
      <c r="K392" s="56" t="inlineStr">
        <is>
          <t>https://amazon.com/dp/B0CLS8B1BK</t>
        </is>
      </c>
      <c r="L392" s="70">
        <f>HYPERLINK(Table3559[[#This Row],[Column1]])</f>
        <v/>
      </c>
    </row>
    <row r="393" ht="60" customHeight="1" s="290">
      <c r="A393" s="30" t="inlineStr">
        <is>
          <t>Launch X431 PRO3 (V+) V5.0 2026 Upgraded Bidirectional Scan Tool, OEM Topology Map, Scan HD Trucks, AutoAuth for FCA SGW, ECU Coding, 55+ Services, All System Diagnose, 2-Year Free Update, CAN FD</t>
        </is>
      </c>
      <c r="B393" s="30" t="inlineStr">
        <is>
          <t>B0CYLYFJW9</t>
        </is>
      </c>
      <c r="C393" s="30" t="inlineStr">
        <is>
          <t>Tablet</t>
        </is>
      </c>
      <c r="D393" s="324" t="n">
        <v>1072.371621621622</v>
      </c>
      <c r="E393" s="53" t="n">
        <v>612406.14</v>
      </c>
      <c r="F393" s="53" t="n">
        <v>39677.75</v>
      </c>
      <c r="G393" s="55" t="n">
        <v>592</v>
      </c>
      <c r="H393" s="57" t="n">
        <v>37</v>
      </c>
      <c r="I393" s="55" t="n">
        <v>142</v>
      </c>
      <c r="J393" s="56" t="n">
        <v>4.2</v>
      </c>
      <c r="K393" s="56" t="inlineStr">
        <is>
          <t>https://amazon.com/dp/B0CYLYFJW9</t>
        </is>
      </c>
      <c r="L393" s="70">
        <f>HYPERLINK(Table3559[[#This Row],[Column1]])</f>
        <v/>
      </c>
    </row>
    <row r="394" ht="45" customHeight="1" s="290">
      <c r="A394" s="30" t="inlineStr">
        <is>
          <t>LAUNCH Creader 3001 OBD2 Scanner, Engine Fault Code Reader, Mode 6 &amp; CAN Diagnostic Scan Tool, Works with All 1996+ OBDII Protocol Vehicles, Lifetime Free Update</t>
        </is>
      </c>
      <c r="B394" s="30" t="inlineStr">
        <is>
          <t>B09B2C4TBV</t>
        </is>
      </c>
      <c r="C394" s="30" t="inlineStr">
        <is>
          <t>Handheld</t>
        </is>
      </c>
      <c r="D394" s="324" t="n">
        <v>17.10864864864865</v>
      </c>
      <c r="E394" s="53" t="n">
        <v>6389.919230769231</v>
      </c>
      <c r="F394" s="53" t="n">
        <v>633.02</v>
      </c>
      <c r="G394" s="55" t="n">
        <v>97</v>
      </c>
      <c r="H394" s="57" t="n">
        <v>37</v>
      </c>
      <c r="I394" s="55" t="n">
        <v>4</v>
      </c>
      <c r="J394" s="56" t="n">
        <v>5</v>
      </c>
      <c r="K394" s="56" t="inlineStr">
        <is>
          <t>https://amazon.com/dp/B09B2C4TBV</t>
        </is>
      </c>
      <c r="L394" s="70">
        <f>HYPERLINK(Table3559[[#This Row],[Column1]])</f>
        <v/>
      </c>
    </row>
    <row r="395" ht="45" customHeight="1" s="290">
      <c r="A395" s="30" t="inlineStr">
        <is>
          <t>2026 LAUNCH Creader Elite V2.0 OBD2 Scanner for VW Audi Skoda Seat, Full Systems Bi-Directional Scan Tool for VAG Vehicles, All Services Car Code Reader, AUTO VIN, Free Update</t>
        </is>
      </c>
      <c r="B395" s="30" t="inlineStr">
        <is>
          <t>B0CR3X6PYQ</t>
        </is>
      </c>
      <c r="C395" s="30" t="inlineStr">
        <is>
          <t>Tablet</t>
        </is>
      </c>
      <c r="D395" s="324" t="n">
        <v>193.871935483871</v>
      </c>
      <c r="E395" s="53" t="n">
        <v>60747.21</v>
      </c>
      <c r="F395" s="53" t="n">
        <v>6010.03</v>
      </c>
      <c r="G395" s="55" t="n">
        <v>351</v>
      </c>
      <c r="H395" s="57" t="n">
        <v>31</v>
      </c>
      <c r="I395" s="55" t="n">
        <v>68</v>
      </c>
      <c r="J395" s="56" t="n">
        <v>3.5</v>
      </c>
      <c r="K395" s="56" t="inlineStr">
        <is>
          <t>https://amazon.com/dp/B0CR3X6PYQ</t>
        </is>
      </c>
      <c r="L395" s="70">
        <f>HYPERLINK(Table3559[[#This Row],[Column1]])</f>
        <v/>
      </c>
    </row>
    <row r="396" ht="45" customHeight="1" s="290">
      <c r="A396" s="30" t="inlineStr">
        <is>
          <t>LAUNCH X431 Creader Elite OBDII Scanner for GM Vehicles, Full-System Bi-Directional Diagnostic Tool for Buick/Chevrolet/Cadillac/GMC, All Reset Service Code Reader, Lifetime Updated</t>
        </is>
      </c>
      <c r="B396" s="30" t="inlineStr">
        <is>
          <t>B0DTH2Z6G6</t>
        </is>
      </c>
      <c r="C396" s="30" t="inlineStr">
        <is>
          <t>Handheld</t>
        </is>
      </c>
      <c r="D396" s="324" t="n">
        <v>147.9483333333333</v>
      </c>
      <c r="E396" s="53" t="n">
        <v>56881.38</v>
      </c>
      <c r="F396" s="53" t="n">
        <v>4438.45</v>
      </c>
      <c r="G396" s="55" t="n">
        <v>389</v>
      </c>
      <c r="H396" s="57" t="n">
        <v>30</v>
      </c>
      <c r="I396" s="55" t="n">
        <v>29</v>
      </c>
      <c r="J396" s="56" t="n">
        <v>3.9</v>
      </c>
      <c r="K396" s="56" t="inlineStr">
        <is>
          <t>https://amazon.com/dp/B0DTH2Z6G6</t>
        </is>
      </c>
      <c r="L396" s="70">
        <f>HYPERLINK(Table3559[[#This Row],[Column1]])</f>
        <v/>
      </c>
    </row>
    <row r="397" ht="45" customHeight="1" s="290">
      <c r="A397" s="30" t="inlineStr">
        <is>
          <t>2026 LAUNCH Creader Elite V2.0 fit for Kia and Hyundai Bi-Directional Scan Tool, All Reset Functions, Full System Diagnostic Scanner, Full OBD2 Code Reader, ECU Code, AUTO VIN, Lifetime Free Update</t>
        </is>
      </c>
      <c r="B397" s="30" t="inlineStr">
        <is>
          <t>B0D61QMD2M</t>
        </is>
      </c>
      <c r="C397" s="30" t="inlineStr">
        <is>
          <t>Tablet</t>
        </is>
      </c>
      <c r="D397" s="324" t="n">
        <v>192.222</v>
      </c>
      <c r="E397" s="53" t="n">
        <v>62226.38</v>
      </c>
      <c r="F397" s="53" t="n">
        <v>5766.66</v>
      </c>
      <c r="G397" s="55" t="n">
        <v>363</v>
      </c>
      <c r="H397" s="57" t="n">
        <v>30</v>
      </c>
      <c r="I397" s="55" t="n">
        <v>49</v>
      </c>
      <c r="J397" s="56" t="n">
        <v>3.6</v>
      </c>
      <c r="K397" s="56" t="inlineStr">
        <is>
          <t>https://amazon.com/dp/B0D61QMD2M</t>
        </is>
      </c>
      <c r="L397" s="70">
        <f>HYPERLINK(Table3559[[#This Row],[Column1]])</f>
        <v/>
      </c>
    </row>
    <row r="398" ht="45" customHeight="1" s="290">
      <c r="A398" s="30" t="inlineStr">
        <is>
          <t>Launch X431 PAD VII Elite, 2026 Top Intelligent Diagnostic Scanner, J2534 Protocol, Topology Map, Remote Diagnosis with Smartlink C, 2-Year Free Update, Bi-Directional Scan,60+ Service</t>
        </is>
      </c>
      <c r="B398" s="30" t="inlineStr">
        <is>
          <t>B0B1HT1J23</t>
        </is>
      </c>
      <c r="C398" s="30" t="inlineStr">
        <is>
          <t>Tablet</t>
        </is>
      </c>
      <c r="D398" s="324" t="n">
        <v>2692.295</v>
      </c>
      <c r="E398" s="53" t="n">
        <v>793527.1199999999</v>
      </c>
      <c r="F398" s="53" t="n">
        <v>80768.85000000001</v>
      </c>
      <c r="G398" s="55" t="n">
        <v>294</v>
      </c>
      <c r="H398" s="57" t="n">
        <v>30</v>
      </c>
      <c r="I398" s="55" t="n">
        <v>130</v>
      </c>
      <c r="J398" s="56" t="n">
        <v>4.2</v>
      </c>
      <c r="K398" s="56" t="inlineStr">
        <is>
          <t>https://amazon.com/dp/B0B1HT1J23</t>
        </is>
      </c>
      <c r="L398" s="70">
        <f>HYPERLINK(Table3559[[#This Row],[Column1]])</f>
        <v/>
      </c>
    </row>
    <row r="399" ht="45" customHeight="1" s="290">
      <c r="A399" s="30" t="inlineStr">
        <is>
          <t>LAUNCH X431 Creader Elite 2.0 Lifetime Update OBD2 Scanner for BBA, 2026 New Bidirectional Scan Tool for BMW, for Mercedes-Benz,for Audi, ECU Code,Full System,Full Services, Battery Register</t>
        </is>
      </c>
      <c r="B399" s="30" t="inlineStr">
        <is>
          <t>B0F2Y5HBYR</t>
        </is>
      </c>
      <c r="C399" s="30" t="inlineStr">
        <is>
          <t>Tablet</t>
        </is>
      </c>
      <c r="D399" s="324" t="n">
        <v>229.53</v>
      </c>
      <c r="E399" s="53" t="n">
        <v>47660.61461538461</v>
      </c>
      <c r="F399" s="53" t="n">
        <v>6656.37</v>
      </c>
      <c r="G399" s="55" t="n">
        <v>126</v>
      </c>
      <c r="H399" s="57" t="n">
        <v>29</v>
      </c>
      <c r="I399" s="55" t="n">
        <v>6</v>
      </c>
      <c r="J399" s="56" t="n">
        <v>4.4</v>
      </c>
      <c r="K399" s="56" t="inlineStr">
        <is>
          <t>https://amazon.com/dp/B0F2Y5HBYR</t>
        </is>
      </c>
      <c r="L399" s="70">
        <f>HYPERLINK(Table3559[[#This Row],[Column1]])</f>
        <v/>
      </c>
    </row>
    <row r="400" ht="45" customHeight="1" s="290">
      <c r="A400" s="30" t="inlineStr">
        <is>
          <t>Launch OBD2 Scanner CRP123X Elite, 2026 Lifetime Update WiFi Scan Tool, Engine at SRS Airbag Scanner, 3 Resets Diagnostic Scanner, Code Reader for All Cars, AutoVIN, FCA SGW, Voltage Monitor</t>
        </is>
      </c>
      <c r="B400" s="30" t="inlineStr">
        <is>
          <t>B08NK3DD76</t>
        </is>
      </c>
      <c r="C400" s="30" t="inlineStr">
        <is>
          <t>Tablet</t>
        </is>
      </c>
      <c r="D400" s="324" t="n">
        <v>127.0485185185185</v>
      </c>
      <c r="E400" s="53" t="n">
        <v>41118.47999999999</v>
      </c>
      <c r="F400" s="53" t="n">
        <v>3430.31</v>
      </c>
      <c r="G400" s="55" t="n">
        <v>307</v>
      </c>
      <c r="H400" s="57" t="n">
        <v>27</v>
      </c>
      <c r="I400" s="55" t="n">
        <v>186</v>
      </c>
      <c r="J400" s="56" t="n">
        <v>4.3</v>
      </c>
      <c r="K400" s="56" t="inlineStr">
        <is>
          <t>https://amazon.com/dp/B08NK3DD76</t>
        </is>
      </c>
      <c r="L400" s="70">
        <f>HYPERLINK(Table3559[[#This Row],[Column1]])</f>
        <v/>
      </c>
    </row>
    <row r="401" ht="45" customHeight="1" s="290">
      <c r="A401" s="30" t="inlineStr">
        <is>
          <t>Launch Crp123 V2.0 Obd2 Scanner, 2026 Engine/Abs/SRS/Transmission Car Diagnostic Tool with Oil Reset/Throttle Adaption/SAS Relearn, Check Engine Code Reader, Lifetime Update Scan Tool</t>
        </is>
      </c>
      <c r="B401" s="30" t="inlineStr">
        <is>
          <t>B01HNO5PLY</t>
        </is>
      </c>
      <c r="C401" s="30" t="inlineStr">
        <is>
          <t>Tablet</t>
        </is>
      </c>
      <c r="D401" s="324" t="n">
        <v>126.1359259259259</v>
      </c>
      <c r="E401" s="53" t="n">
        <v>150832.4</v>
      </c>
      <c r="F401" s="53" t="n">
        <v>3405.67</v>
      </c>
      <c r="G401" s="55" t="n">
        <v>1216</v>
      </c>
      <c r="H401" s="57" t="n">
        <v>27</v>
      </c>
      <c r="I401" s="55" t="n">
        <v>673</v>
      </c>
      <c r="J401" s="56" t="n">
        <v>4.3</v>
      </c>
      <c r="K401" s="56" t="inlineStr">
        <is>
          <t>https://amazon.com/dp/B01HNO5PLY</t>
        </is>
      </c>
      <c r="L401" s="70">
        <f>HYPERLINK(Table3559[[#This Row],[Column1]])</f>
        <v/>
      </c>
    </row>
    <row r="402" ht="45" customHeight="1" s="290">
      <c r="A402" s="30" t="inlineStr">
        <is>
          <t>LAUNCH X431 PRO Elite 2026 New Bidirectional Scan Tool, 38+ Services, ECU Code, All-in-One Full System Diagnostic Scanner with CANFD &amp; DoIP,FCA AutoAuth,V.A.G Guide,2 Years Free Update</t>
        </is>
      </c>
      <c r="B402" s="30" t="inlineStr">
        <is>
          <t>B0D1V2X5KG</t>
        </is>
      </c>
      <c r="C402" s="30" t="inlineStr">
        <is>
          <t>Tablet</t>
        </is>
      </c>
      <c r="D402" s="324" t="n">
        <v>681.3457692307693</v>
      </c>
      <c r="E402" s="53" t="n">
        <v>79623.15000000001</v>
      </c>
      <c r="F402" s="53" t="n">
        <v>17714.99</v>
      </c>
      <c r="G402" s="55" t="n">
        <v>120</v>
      </c>
      <c r="H402" s="57" t="n">
        <v>26</v>
      </c>
      <c r="I402" s="55" t="n">
        <v>248</v>
      </c>
      <c r="J402" s="56" t="n">
        <v>4.3</v>
      </c>
      <c r="K402" s="56" t="inlineStr">
        <is>
          <t>https://amazon.com/dp/B0D1V2X5KG</t>
        </is>
      </c>
      <c r="L402" s="70">
        <f>HYPERLINK(Table3559[[#This Row],[Column1]])</f>
        <v/>
      </c>
    </row>
    <row r="403" ht="45" customHeight="1" s="290">
      <c r="A403" s="30" t="inlineStr">
        <is>
          <t>LAUNCH OBD2 Scanner 2026 US Ver. CRP123X V2.0 Elite, 7 Reset Scan Tool, FCA SGW, Engine ABS SRS Transmission Code Reader, Cloud Report, Lifetime Free Wi-Fi Update Diagnostic Tool, Battery Test,AutoVIN</t>
        </is>
      </c>
      <c r="B403" s="30" t="inlineStr">
        <is>
          <t>B0D2Q1MDJ8</t>
        </is>
      </c>
      <c r="C403" s="30" t="inlineStr">
        <is>
          <t>Tablet</t>
        </is>
      </c>
      <c r="D403" s="324" t="n">
        <v>176.9046153846154</v>
      </c>
      <c r="E403" s="53" t="n">
        <v>231646.14</v>
      </c>
      <c r="F403" s="53" t="n">
        <v>4599.52</v>
      </c>
      <c r="G403" s="55" t="n">
        <v>1365</v>
      </c>
      <c r="H403" s="57" t="n">
        <v>26</v>
      </c>
      <c r="I403" s="55" t="n">
        <v>191</v>
      </c>
      <c r="J403" s="56" t="n">
        <v>4.1</v>
      </c>
      <c r="K403" s="56" t="inlineStr">
        <is>
          <t>https://amazon.com/dp/B0D2Q1MDJ8</t>
        </is>
      </c>
      <c r="L403" s="70">
        <f>HYPERLINK(Table3559[[#This Row],[Column1]])</f>
        <v/>
      </c>
    </row>
    <row r="404" ht="45" customHeight="1" s="290">
      <c r="A404" s="30" t="inlineStr">
        <is>
          <t>Launch X431 PRO3S+ V5.0,2026 Upgrade All-in-One Bidirectional Scan Tool,HD Trucks Scan,Topology Map,ECU Code,55+ Service,Full System,CANFD&amp;DOIP,DBSCar VII VCI 2-Year Update</t>
        </is>
      </c>
      <c r="B404" s="30" t="inlineStr">
        <is>
          <t>B092894STV</t>
        </is>
      </c>
      <c r="C404" s="30" t="inlineStr">
        <is>
          <t>Tablet</t>
        </is>
      </c>
      <c r="D404" s="324" t="n">
        <v>1115.912692307692</v>
      </c>
      <c r="E404" s="53" t="n">
        <v>1332698.63</v>
      </c>
      <c r="F404" s="53" t="n">
        <v>29013.73</v>
      </c>
      <c r="G404" s="55" t="n">
        <v>1273</v>
      </c>
      <c r="H404" s="57" t="n">
        <v>26</v>
      </c>
      <c r="I404" s="55" t="n">
        <v>674</v>
      </c>
      <c r="J404" s="56" t="n">
        <v>4.2</v>
      </c>
      <c r="K404" s="56" t="inlineStr">
        <is>
          <t>https://amazon.com/dp/B092894STV</t>
        </is>
      </c>
      <c r="L404" s="70">
        <f>HYPERLINK(Table3559[[#This Row],[Column1]])</f>
        <v/>
      </c>
    </row>
    <row r="405" ht="45" customHeight="1" s="290">
      <c r="A405" s="30" t="inlineStr">
        <is>
          <t>LAUNCH OBD2 Extension Cable, Full 16 Pin Male to Female Extension Cable for Car OBD Diagnostic Extender Cord Connector OBD2 Cable (60CM/23.6Inch)</t>
        </is>
      </c>
      <c r="B405" s="30" t="inlineStr">
        <is>
          <t>B0DKJHML88</t>
        </is>
      </c>
      <c r="C405" s="30" t="inlineStr">
        <is>
          <t>Cable/Adapter</t>
        </is>
      </c>
      <c r="D405" s="324" t="n">
        <v>14.19730769230769</v>
      </c>
      <c r="E405" s="53" t="n">
        <v>4554.12</v>
      </c>
      <c r="F405" s="53" t="n">
        <v>369.13</v>
      </c>
      <c r="G405" s="55" t="n">
        <v>326</v>
      </c>
      <c r="H405" s="57" t="n">
        <v>26</v>
      </c>
      <c r="I405" s="55" t="n">
        <v>10</v>
      </c>
      <c r="J405" s="56" t="n">
        <v>4.9</v>
      </c>
      <c r="K405" s="56" t="inlineStr">
        <is>
          <t>https://amazon.com/dp/B0DKJHML88</t>
        </is>
      </c>
      <c r="L405" s="70">
        <f>HYPERLINK(Table3559[[#This Row],[Column1]])</f>
        <v/>
      </c>
    </row>
    <row r="406" ht="45" customHeight="1" s="290">
      <c r="A406" s="30" t="inlineStr">
        <is>
          <t>LAUNCH AIOBD Bluetooth OBD2 Scanner, Free Engine Diagnostics, Optional Subscription for Full System &amp; Reset Functions, AI Code Explain, Cost Estimate, iOS Android, 1996+ OBDII Cars</t>
        </is>
      </c>
      <c r="B406" s="30" t="inlineStr">
        <is>
          <t>B0FWPQVGHF</t>
        </is>
      </c>
      <c r="C406" s="30" t="inlineStr">
        <is>
          <t>Dongle</t>
        </is>
      </c>
      <c r="D406" s="324" t="n">
        <v>36.8872</v>
      </c>
      <c r="E406" s="53" t="n">
        <v>10936.26461538462</v>
      </c>
      <c r="F406" s="53" t="n">
        <v>922.1799999999999</v>
      </c>
      <c r="G406" s="55" t="n">
        <v>103</v>
      </c>
      <c r="H406" s="57" t="n">
        <v>25</v>
      </c>
      <c r="I406" s="55" t="n">
        <v>7</v>
      </c>
      <c r="J406" s="56" t="n">
        <v>2.6</v>
      </c>
      <c r="K406" s="56" t="inlineStr">
        <is>
          <t>https://amazon.com/dp/B0FWPQVGHF</t>
        </is>
      </c>
      <c r="L406" s="70">
        <f>HYPERLINK(Table3559[[#This Row],[Column1]])</f>
        <v/>
      </c>
    </row>
    <row r="407" ht="45" customHeight="1" s="290">
      <c r="A407" s="30" t="inlineStr">
        <is>
          <t>LAUNCH X431 X PROG3 Advanced Scan Tool with EEPROM Adapter,for X431 V/V+,PRO3S+,Pro3,Pro5 and PAD III/PAD V,etc.</t>
        </is>
      </c>
      <c r="B407" s="30" t="inlineStr">
        <is>
          <t>B09DK5H1F5</t>
        </is>
      </c>
      <c r="C407" s="30" t="inlineStr">
        <is>
          <t>Key</t>
        </is>
      </c>
      <c r="D407" s="324" t="n">
        <v>593.6168</v>
      </c>
      <c r="E407" s="53" t="n">
        <v>130865.64</v>
      </c>
      <c r="F407" s="53" t="n">
        <v>14840.42</v>
      </c>
      <c r="G407" s="55" t="n">
        <v>213</v>
      </c>
      <c r="H407" s="57" t="n">
        <v>25</v>
      </c>
      <c r="I407" s="55" t="n">
        <v>30</v>
      </c>
      <c r="J407" s="56" t="n">
        <v>3.6</v>
      </c>
      <c r="K407" s="56" t="inlineStr">
        <is>
          <t>https://amazon.com/dp/B09DK5H1F5</t>
        </is>
      </c>
      <c r="L407" s="70">
        <f>HYPERLINK(Table3559[[#This Row],[Column1]])</f>
        <v/>
      </c>
    </row>
    <row r="408" ht="45" customHeight="1" s="290">
      <c r="A408" s="30" t="inlineStr">
        <is>
          <t>LAUNCH OBD2 Scanner Engine Fault Code Reader, CR319 Code Reader Scanner, CAN Diagnostic Scan Tool Supports DTC Lookup, Mode6 O2 Sensor for OBDII Protocol Cars Since 1996 Black</t>
        </is>
      </c>
      <c r="B408" s="30" t="inlineStr">
        <is>
          <t>B07RTVPC4B</t>
        </is>
      </c>
      <c r="C408" s="30" t="inlineStr">
        <is>
          <t>Handheld</t>
        </is>
      </c>
      <c r="D408" s="324" t="n">
        <v>24.45347826086956</v>
      </c>
      <c r="E408" s="53" t="n">
        <v>9047.09</v>
      </c>
      <c r="F408" s="53" t="n">
        <v>562.4299999999999</v>
      </c>
      <c r="G408" s="55" t="n">
        <v>338</v>
      </c>
      <c r="H408" s="57" t="n">
        <v>23</v>
      </c>
      <c r="I408" s="55" t="n">
        <v>967</v>
      </c>
      <c r="J408" s="56" t="n">
        <v>4.4</v>
      </c>
      <c r="K408" s="56" t="inlineStr">
        <is>
          <t>https://amazon.com/dp/B07RTVPC4B</t>
        </is>
      </c>
      <c r="L408" s="70">
        <f>HYPERLINK(Table3559[[#This Row],[Column1]])</f>
        <v/>
      </c>
    </row>
    <row r="409" ht="60" customHeight="1" s="290">
      <c r="A409" s="30" t="inlineStr">
        <is>
          <t>LAUNCH Creader VII+ V2.0 OBD2 Scanner, 2026 New Engine/Transmission/ABS/SRS Diagnostic Scan Tool With Oil Reset/Throttle Adaption/SAS Relearn, Check Engine Code Reader, Full OBD2, Lifetime Free Update</t>
        </is>
      </c>
      <c r="B409" s="30" t="inlineStr">
        <is>
          <t>B00BGH0EAC</t>
        </is>
      </c>
      <c r="C409" s="30" t="inlineStr">
        <is>
          <t>Tablet</t>
        </is>
      </c>
      <c r="D409" s="324" t="n">
        <v>133.3421739130435</v>
      </c>
      <c r="E409" s="53" t="n">
        <v>61118.38000000001</v>
      </c>
      <c r="F409" s="53" t="n">
        <v>3066.87</v>
      </c>
      <c r="G409" s="55" t="n">
        <v>476</v>
      </c>
      <c r="H409" s="57" t="n">
        <v>23</v>
      </c>
      <c r="I409" s="55" t="n">
        <v>1438</v>
      </c>
      <c r="J409" s="56" t="n">
        <v>4.2</v>
      </c>
      <c r="K409" s="56" t="inlineStr">
        <is>
          <t>https://amazon.com/dp/B00BGH0EAC</t>
        </is>
      </c>
      <c r="L409" s="70">
        <f>HYPERLINK(Table3559[[#This Row],[Column1]])</f>
        <v/>
      </c>
    </row>
    <row r="410" ht="45" customHeight="1" s="290">
      <c r="A410" s="30" t="inlineStr">
        <is>
          <t>LAUNCH X431 PRO3S+ V5.0,2026 Upgrade Bluetooth Bi-Directional Scan Tool,HD Trucks Scan,OEM Topology Map,Online Code,55+ Service,CAN FD Connector,VAG Guided,AutoAuth FCA SGW,2 Yrs Free Update</t>
        </is>
      </c>
      <c r="B410" s="30" t="inlineStr">
        <is>
          <t>B09L1514WP</t>
        </is>
      </c>
      <c r="C410" s="30" t="inlineStr">
        <is>
          <t>Tablet</t>
        </is>
      </c>
      <c r="D410" s="324" t="n">
        <v>1125.928260869565</v>
      </c>
      <c r="E410" s="53" t="n">
        <v>166510.47</v>
      </c>
      <c r="F410" s="53" t="n">
        <v>25896.35</v>
      </c>
      <c r="G410" s="55" t="n">
        <v>153</v>
      </c>
      <c r="H410" s="57" t="n">
        <v>23</v>
      </c>
      <c r="I410" s="55" t="n">
        <v>84</v>
      </c>
      <c r="J410" s="56" t="n">
        <v>4.1</v>
      </c>
      <c r="K410" s="56" t="inlineStr">
        <is>
          <t>https://amazon.com/dp/B09L1514WP</t>
        </is>
      </c>
      <c r="L410" s="70">
        <f>HYPERLINK(Table3559[[#This Row],[Column1]])</f>
        <v/>
      </c>
    </row>
    <row r="411" ht="45" customHeight="1" s="290">
      <c r="A411" s="30" t="inlineStr">
        <is>
          <t>LAUNCH AIOBD Bluetooth OBD2 Scanner Connector, High-Speed Universal OBD2 Scanner Connector for 95% Cars, Bi-Directional &amp; Advanced Diagnostics with Creader Series/CRP/X-431 Diagnostic Tools.</t>
        </is>
      </c>
      <c r="B411" s="30" t="inlineStr">
        <is>
          <t>B0G49V5TKG</t>
        </is>
      </c>
      <c r="C411" s="30" t="inlineStr">
        <is>
          <t>Handheld</t>
        </is>
      </c>
      <c r="D411" s="324" t="n">
        <v>80.44863636363635</v>
      </c>
      <c r="E411" s="53" t="n">
        <v>21629.45538461538</v>
      </c>
      <c r="F411" s="53" t="n">
        <v>1769.87</v>
      </c>
      <c r="G411" s="55" t="n">
        <v>86</v>
      </c>
      <c r="H411" s="57" t="n">
        <v>22</v>
      </c>
      <c r="I411" s="55" t="n"/>
      <c r="J411" s="56" t="n"/>
      <c r="K411" s="56" t="inlineStr">
        <is>
          <t>https://amazon.com/dp/B0G49V5TKG</t>
        </is>
      </c>
      <c r="L411" s="70">
        <f>HYPERLINK(Table3559[[#This Row],[Column1]])</f>
        <v/>
      </c>
    </row>
    <row r="412" ht="60" customHeight="1" s="290">
      <c r="A412" s="30" t="inlineStr">
        <is>
          <t>Launch X431 PRO Dyno 2026 Upgrade Bidirectional Scan Tool for 99.99% of Cars, ECU Coding, Active Tests, 38+ Services, All System Diagnostic Scanner, CAN-FD, FCA AutoAuth, 2 Years Free Update</t>
        </is>
      </c>
      <c r="B412" s="30" t="inlineStr">
        <is>
          <t>B0CH2TFY41</t>
        </is>
      </c>
      <c r="C412" s="30" t="inlineStr">
        <is>
          <t>Tablet</t>
        </is>
      </c>
      <c r="D412" s="324" t="n">
        <v>814.3713636363635</v>
      </c>
      <c r="E412" s="53" t="n">
        <v>227987.92</v>
      </c>
      <c r="F412" s="53" t="n">
        <v>17916.17</v>
      </c>
      <c r="G412" s="55" t="n">
        <v>280</v>
      </c>
      <c r="H412" s="57" t="n">
        <v>22</v>
      </c>
      <c r="I412" s="55" t="n">
        <v>97</v>
      </c>
      <c r="J412" s="56" t="n">
        <v>4.6</v>
      </c>
      <c r="K412" s="56" t="inlineStr">
        <is>
          <t>https://amazon.com/dp/B0CH2TFY41</t>
        </is>
      </c>
      <c r="L412" s="70">
        <f>HYPERLINK(Table3559[[#This Row],[Column1]])</f>
        <v/>
      </c>
    </row>
    <row r="413" ht="45" customHeight="1" s="290">
      <c r="A413" s="30" t="inlineStr">
        <is>
          <t>LAUNCH CR629 OBD2 Scanner ABS SRS Scan Tool with Active Test, 3 Service Oil/SAS/BMS Reset Tool, Full OBD2 Functions Car Code Scanner, Lifetime Free Update (More Powerful Than LAUNCH CR529, CRP123X)</t>
        </is>
      </c>
      <c r="B413" s="30" t="inlineStr">
        <is>
          <t>B089M629LG</t>
        </is>
      </c>
      <c r="C413" s="30" t="inlineStr">
        <is>
          <t>Handheld</t>
        </is>
      </c>
      <c r="D413" s="324" t="n">
        <v>95.77136363636365</v>
      </c>
      <c r="E413" s="53" t="n">
        <v>28881.95</v>
      </c>
      <c r="F413" s="53" t="n">
        <v>2106.97</v>
      </c>
      <c r="G413" s="55" t="n">
        <v>314</v>
      </c>
      <c r="H413" s="57" t="n">
        <v>22</v>
      </c>
      <c r="I413" s="55" t="n">
        <v>471</v>
      </c>
      <c r="J413" s="56" t="n">
        <v>4.1</v>
      </c>
      <c r="K413" s="56" t="inlineStr">
        <is>
          <t>https://amazon.com/dp/B089M629LG</t>
        </is>
      </c>
      <c r="L413" s="70">
        <f>HYPERLINK(Table3559[[#This Row],[Column1]])</f>
        <v/>
      </c>
    </row>
    <row r="414" ht="45" customHeight="1" s="290">
      <c r="A414" s="30" t="inlineStr">
        <is>
          <t>LAUNCH CRP129HD Heavy Duty Truck Scanner 2026 Semi Trucks Full System Diagnostic Tool with Speed Limit Adjust Reset, D.P.F Regen, Oil Reset for Commercial Vehicle, Cummins Detroit International Paccar</t>
        </is>
      </c>
      <c r="B414" s="30" t="inlineStr">
        <is>
          <t>B0F58Y97Z2</t>
        </is>
      </c>
      <c r="C414" s="30" t="inlineStr">
        <is>
          <t>Tablet</t>
        </is>
      </c>
      <c r="D414" s="324" t="n">
        <v>508.7904545454545</v>
      </c>
      <c r="E414" s="53" t="n">
        <v>78144.18999999999</v>
      </c>
      <c r="F414" s="53" t="n">
        <v>11193.39</v>
      </c>
      <c r="G414" s="55" t="n">
        <v>113</v>
      </c>
      <c r="H414" s="57" t="n">
        <v>22</v>
      </c>
      <c r="I414" s="55" t="n">
        <v>7</v>
      </c>
      <c r="J414" s="56" t="n">
        <v>4.8</v>
      </c>
      <c r="K414" s="56" t="inlineStr">
        <is>
          <t>https://amazon.com/dp/B0F58Y97Z2</t>
        </is>
      </c>
      <c r="L414" s="70">
        <f>HYPERLINK(Table3559[[#This Row],[Column1]])</f>
        <v/>
      </c>
    </row>
    <row r="415" ht="45" customHeight="1" s="290">
      <c r="A415" s="30" t="inlineStr">
        <is>
          <t>Launch CR629 OBD2 Scanner Code Reader 2026 New Scan Tool with Reset Oil/BMS Service+Live Data, Professional Mechanic Full OBDII Diagnostic Tool for Read/Clear DTCs Lifetime Free Update</t>
        </is>
      </c>
      <c r="B415" s="30" t="inlineStr">
        <is>
          <t>B089KD1L9Q</t>
        </is>
      </c>
      <c r="C415" s="30" t="inlineStr">
        <is>
          <t>Handheld</t>
        </is>
      </c>
      <c r="D415" s="324" t="n">
        <v>95.01095238095238</v>
      </c>
      <c r="E415" s="53" t="n">
        <v>18277.45153846154</v>
      </c>
      <c r="F415" s="53" t="n">
        <v>1995.23</v>
      </c>
      <c r="G415" s="55" t="n">
        <v>164</v>
      </c>
      <c r="H415" s="57" t="n">
        <v>21</v>
      </c>
      <c r="I415" s="55" t="n">
        <v>334</v>
      </c>
      <c r="J415" s="56" t="n">
        <v>4.4</v>
      </c>
      <c r="K415" s="56" t="inlineStr">
        <is>
          <t>https://amazon.com/dp/B089KD1L9Q</t>
        </is>
      </c>
      <c r="L415" s="70">
        <f>HYPERLINK(Table3559[[#This Row],[Column1]])</f>
        <v/>
      </c>
    </row>
    <row r="416" ht="45" customHeight="1" s="290">
      <c r="A416" s="30" t="inlineStr">
        <is>
          <t>LAUNCH Creader Elite Bidirectional Tool Fit for Ford Lincoln Mercury Mazda, Full Systems All Resets OBD2 Scanner, PMI Function Diagnostic Scann Tool, Battery Registration, Lifetime Free Update</t>
        </is>
      </c>
      <c r="B416" s="30" t="inlineStr">
        <is>
          <t>B0CN6G9LL8</t>
        </is>
      </c>
      <c r="C416" s="30" t="inlineStr">
        <is>
          <t>Handheld</t>
        </is>
      </c>
      <c r="D416" s="324" t="n">
        <v>165.2357142857143</v>
      </c>
      <c r="E416" s="53" t="n">
        <v>36970.06076923077</v>
      </c>
      <c r="F416" s="53" t="n">
        <v>3469.95</v>
      </c>
      <c r="G416" s="55" t="n">
        <v>219</v>
      </c>
      <c r="H416" s="57" t="n">
        <v>21</v>
      </c>
      <c r="I416" s="55" t="n">
        <v>19</v>
      </c>
      <c r="J416" s="56" t="n">
        <v>4.5</v>
      </c>
      <c r="K416" s="56" t="inlineStr">
        <is>
          <t>https://amazon.com/dp/B0CN6G9LL8</t>
        </is>
      </c>
      <c r="L416" s="70">
        <f>HYPERLINK(Table3559[[#This Row],[Column1]])</f>
        <v/>
      </c>
    </row>
    <row r="417" ht="45" customHeight="1" s="290">
      <c r="A417" s="30" t="inlineStr">
        <is>
          <t>2026 Launch X431 Full System Bi-Directional Scanner for Nissan/for Infiniti/fit for GTR, OBD2 Scanner Code Reader with All Free Reset Service</t>
        </is>
      </c>
      <c r="B417" s="30" t="inlineStr">
        <is>
          <t>B0C7CC6231</t>
        </is>
      </c>
      <c r="C417" s="30" t="inlineStr">
        <is>
          <t>Handheld</t>
        </is>
      </c>
      <c r="D417" s="324" t="n">
        <v>142.0280952380952</v>
      </c>
      <c r="E417" s="53" t="n">
        <v>27582.8</v>
      </c>
      <c r="F417" s="53" t="n">
        <v>2982.59</v>
      </c>
      <c r="G417" s="55" t="n">
        <v>184</v>
      </c>
      <c r="H417" s="57" t="n">
        <v>21</v>
      </c>
      <c r="I417" s="55" t="n">
        <v>62</v>
      </c>
      <c r="J417" s="56" t="n">
        <v>3.8</v>
      </c>
      <c r="K417" s="56" t="inlineStr">
        <is>
          <t>https://amazon.com/dp/B0C7CC6231</t>
        </is>
      </c>
      <c r="L417" s="70">
        <f>HYPERLINK(Table3559[[#This Row],[Column1]])</f>
        <v/>
      </c>
    </row>
    <row r="418" ht="45" customHeight="1" s="290">
      <c r="A418" s="30" t="inlineStr">
        <is>
          <t>LAUNCH CRP129HD Heavy Duty Truck Scanner,Full System Diesel Scan Tool with 7+ Resets,DPF Force Regen &amp; Reset,Speed Limit Adjust,Oil Reset for Cummins Detroit Freightliner International Volvo &amp; More</t>
        </is>
      </c>
      <c r="B418" s="30" t="inlineStr">
        <is>
          <t>B0D5GNGT1D</t>
        </is>
      </c>
      <c r="C418" s="30" t="inlineStr">
        <is>
          <t>Tablet</t>
        </is>
      </c>
      <c r="D418" s="324" t="n">
        <v>502.9734999999999</v>
      </c>
      <c r="E418" s="53" t="n">
        <v>115352.09</v>
      </c>
      <c r="F418" s="53" t="n">
        <v>10059.47</v>
      </c>
      <c r="G418" s="55" t="n">
        <v>221</v>
      </c>
      <c r="H418" s="57" t="n">
        <v>20</v>
      </c>
      <c r="I418" s="55" t="n">
        <v>47</v>
      </c>
      <c r="J418" s="56" t="n">
        <v>4</v>
      </c>
      <c r="K418" s="56" t="inlineStr">
        <is>
          <t>https://amazon.com/dp/B0D5GNGT1D</t>
        </is>
      </c>
      <c r="L418" s="70">
        <f>HYPERLINK(Table3559[[#This Row],[Column1]])</f>
        <v/>
      </c>
    </row>
    <row r="419" ht="45" customHeight="1" s="290">
      <c r="A419" s="30" t="inlineStr">
        <is>
          <t>LAUNCH AIOBD Bluetooth OBD2 Scanner - Full System Diagnostics, AI Explains Faults Simply, Parts/Labor/Cost Estimates, Works with iPhone &amp; Android</t>
        </is>
      </c>
      <c r="B419" s="30" t="inlineStr">
        <is>
          <t>B0FWCFYRHN</t>
        </is>
      </c>
      <c r="C419" s="30" t="inlineStr">
        <is>
          <t>Dongle</t>
        </is>
      </c>
      <c r="D419" s="324" t="n">
        <v>38.01000000000001</v>
      </c>
      <c r="E419" s="53" t="n">
        <v>11057.16153846154</v>
      </c>
      <c r="F419" s="53" t="n">
        <v>760.2</v>
      </c>
      <c r="G419" s="55" t="n">
        <v>134</v>
      </c>
      <c r="H419" s="57" t="n">
        <v>20</v>
      </c>
      <c r="I419" s="55" t="n">
        <v>30</v>
      </c>
      <c r="J419" s="56" t="n">
        <v>3.5</v>
      </c>
      <c r="K419" s="56" t="inlineStr">
        <is>
          <t>https://amazon.com/dp/B0FWCFYRHN</t>
        </is>
      </c>
      <c r="L419" s="70">
        <f>HYPERLINK(Table3559[[#This Row],[Column1]])</f>
        <v/>
      </c>
    </row>
    <row r="420" ht="30" customHeight="1" s="290">
      <c r="A420" s="30" t="inlineStr">
        <is>
          <t>LAUNCH CRP123I V3.0 Elite OBD2 Scanner Diagnostic Tool with DOIP &amp; CAN FD, 2026 New Code Reader for Cars and Trucks, Engine ABS SRS Transmission Car Scanner, Oil/EPB/DPF/SAS/Throttle Relearn</t>
        </is>
      </c>
      <c r="B420" s="30" t="inlineStr">
        <is>
          <t>B07YDP2JTP</t>
        </is>
      </c>
      <c r="C420" s="30" t="inlineStr">
        <is>
          <t>Tablet</t>
        </is>
      </c>
      <c r="D420" s="324" t="n">
        <v>179.248</v>
      </c>
      <c r="E420" s="53" t="n">
        <v>470072.48</v>
      </c>
      <c r="F420" s="53" t="n">
        <v>3584.96</v>
      </c>
      <c r="G420" s="55" t="n">
        <v>2688</v>
      </c>
      <c r="H420" s="57" t="n">
        <v>20</v>
      </c>
      <c r="I420" s="55" t="n">
        <v>227</v>
      </c>
      <c r="J420" s="56" t="n">
        <v>4.3</v>
      </c>
      <c r="K420" s="56" t="inlineStr">
        <is>
          <t>https://amazon.com/dp/B07YDP2JTP</t>
        </is>
      </c>
      <c r="L420" s="70">
        <f>HYPERLINK(Table3559[[#This Row],[Column1]])</f>
        <v/>
      </c>
    </row>
    <row r="421" ht="45" customHeight="1" s="290">
      <c r="A421" s="30" t="inlineStr">
        <is>
          <t>LAUNCH X431 CRP919E Lite Bidirectional Scan Tool, 2026 All System OBD2 Scanner Diagnostic Tool,Active Tests, 32+ Services,FCA AutoAuth,AutoVIN &amp; AutoScan,2-Year Free Update,Upgraded of CRP909E</t>
        </is>
      </c>
      <c r="B421" s="30" t="inlineStr">
        <is>
          <t>B0DBLCM29P</t>
        </is>
      </c>
      <c r="C421" s="30" t="inlineStr">
        <is>
          <t>Tablet</t>
        </is>
      </c>
      <c r="D421" s="324" t="n">
        <v>370.031052631579</v>
      </c>
      <c r="E421" s="53" t="n">
        <v>52247.09999999999</v>
      </c>
      <c r="F421" s="53" t="n">
        <v>7030.59</v>
      </c>
      <c r="G421" s="55" t="n">
        <v>140</v>
      </c>
      <c r="H421" s="57" t="n">
        <v>19</v>
      </c>
      <c r="I421" s="55" t="n">
        <v>32</v>
      </c>
      <c r="J421" s="56" t="n">
        <v>4.5</v>
      </c>
      <c r="K421" s="56" t="inlineStr">
        <is>
          <t>https://amazon.com/dp/B0DBLCM29P</t>
        </is>
      </c>
      <c r="L421" s="70">
        <f>HYPERLINK(Table3559[[#This Row],[Column1]])</f>
        <v/>
      </c>
    </row>
    <row r="422" ht="45" customHeight="1" s="290">
      <c r="A422" s="30" t="inlineStr">
        <is>
          <t>LAUNCH X431 Creader Elite 2.0 FGC OBD2 Scanner,ECU Code, Bi-Directional Scan Tool for Ford, for GM, for Chrysler,100+ Reset, Full System Diagnose, FCA AUTOAUTH, AUTOVIN, Lifetime Free Update</t>
        </is>
      </c>
      <c r="B422" s="30" t="inlineStr">
        <is>
          <t>B0CLDJV7V9</t>
        </is>
      </c>
      <c r="C422" s="30" t="inlineStr">
        <is>
          <t>Tablet</t>
        </is>
      </c>
      <c r="D422" s="324" t="n">
        <v>254.3963157894737</v>
      </c>
      <c r="E422" s="53" t="n">
        <v>156146.05</v>
      </c>
      <c r="F422" s="53" t="n">
        <v>4833.53</v>
      </c>
      <c r="G422" s="55" t="n">
        <v>680</v>
      </c>
      <c r="H422" s="57" t="n">
        <v>19</v>
      </c>
      <c r="I422" s="55" t="n">
        <v>522</v>
      </c>
      <c r="J422" s="56" t="n">
        <v>4.1</v>
      </c>
      <c r="K422" s="56" t="inlineStr">
        <is>
          <t>https://amazon.com/dp/B0CLDJV7V9</t>
        </is>
      </c>
      <c r="L422" s="70">
        <f>HYPERLINK(Table3559[[#This Row],[Column1]])</f>
        <v/>
      </c>
    </row>
    <row r="423" ht="60" customHeight="1" s="290">
      <c r="A423" s="30" t="inlineStr">
        <is>
          <t>Launch Scan Tool X431 CRP919MAX Wireless Bidirectional Tool, All System Diagnosis Scanner, 31+ Service Functions, Code Assist, ECU Coding, FCA AutoAuth, V.A.G Guided, CANFD/DOIP, 2 Years Free Update</t>
        </is>
      </c>
      <c r="B423" s="30" t="inlineStr">
        <is>
          <t>B0CP1SXB9Y</t>
        </is>
      </c>
      <c r="C423" s="30" t="inlineStr">
        <is>
          <t>Tablet</t>
        </is>
      </c>
      <c r="D423" s="324" t="n">
        <v>415.6578947368421</v>
      </c>
      <c r="E423" s="53" t="n">
        <v>73924.86</v>
      </c>
      <c r="F423" s="53" t="n">
        <v>7897.5</v>
      </c>
      <c r="G423" s="55" t="n">
        <v>173</v>
      </c>
      <c r="H423" s="57" t="n">
        <v>19</v>
      </c>
      <c r="I423" s="55" t="n">
        <v>81</v>
      </c>
      <c r="J423" s="56" t="n">
        <v>4.5</v>
      </c>
      <c r="K423" s="56" t="inlineStr">
        <is>
          <t>https://amazon.com/dp/B0CP1SXB9Y</t>
        </is>
      </c>
      <c r="L423" s="70">
        <f>HYPERLINK(Table3559[[#This Row],[Column1]])</f>
        <v/>
      </c>
    </row>
    <row r="424" ht="45" customHeight="1" s="290">
      <c r="A424" s="30" t="inlineStr">
        <is>
          <t>LAUNCH CRP123I V2.0 Elite OBD2 Scanner for All Cars&amp;Brands,2026 Lifetime Free Update Engine ABS SRS Transmission Car Scanner,Oil/Brake/BMS/SAS/DPF/ABS Bleeding/Throttle Adaption,FCA SGW,Battery Test</t>
        </is>
      </c>
      <c r="B424" s="30" t="inlineStr">
        <is>
          <t>B0D9VTQWST</t>
        </is>
      </c>
      <c r="C424" s="30" t="inlineStr">
        <is>
          <t>Tablet</t>
        </is>
      </c>
      <c r="D424" s="324" t="n">
        <v>181.1863157894737</v>
      </c>
      <c r="E424" s="53" t="n">
        <v>39774.7</v>
      </c>
      <c r="F424" s="53" t="n">
        <v>3442.54</v>
      </c>
      <c r="G424" s="55" t="n">
        <v>224</v>
      </c>
      <c r="H424" s="57" t="n">
        <v>19</v>
      </c>
      <c r="I424" s="55" t="n">
        <v>76</v>
      </c>
      <c r="J424" s="56" t="n">
        <v>4.3</v>
      </c>
      <c r="K424" s="56" t="inlineStr">
        <is>
          <t>https://amazon.com/dp/B0D9VTQWST</t>
        </is>
      </c>
      <c r="L424" s="70">
        <f>HYPERLINK(Table3559[[#This Row],[Column1]])</f>
        <v/>
      </c>
    </row>
    <row r="425" ht="60" customHeight="1" s="290">
      <c r="A425" s="30" t="inlineStr">
        <is>
          <t>LAUNCH X431 Creader Elite 2.0 BBA OBD2 Car Scanner for BMW/Mercedes-Benz/VW/Audi/Maybach/Mini/RollsRoyce, Full System Bidirectional Scan Tool, ECU Coding, Full Reset Services, Lifetime Free Update</t>
        </is>
      </c>
      <c r="B425" s="30" t="inlineStr">
        <is>
          <t>B079FLTJZ1</t>
        </is>
      </c>
      <c r="C425" s="30" t="inlineStr">
        <is>
          <t>Tablet</t>
        </is>
      </c>
      <c r="D425" s="324" t="n">
        <v>248.9816666666667</v>
      </c>
      <c r="E425" s="53" t="n">
        <v>78028.81</v>
      </c>
      <c r="F425" s="53" t="n">
        <v>4481.67</v>
      </c>
      <c r="G425" s="55" t="n">
        <v>331</v>
      </c>
      <c r="H425" s="57" t="n">
        <v>18</v>
      </c>
      <c r="I425" s="55" t="n">
        <v>183</v>
      </c>
      <c r="J425" s="56" t="n">
        <v>4.1</v>
      </c>
      <c r="K425" s="56" t="inlineStr">
        <is>
          <t>https://amazon.com/dp/B079FLTJZ1</t>
        </is>
      </c>
      <c r="L425" s="70">
        <f>HYPERLINK(Table3559[[#This Row],[Column1]])</f>
        <v/>
      </c>
    </row>
    <row r="426" ht="45" customHeight="1" s="290">
      <c r="A426" s="30" t="inlineStr">
        <is>
          <t>LAUNCH Creader Elite for Land Rover Jaguar OBD2 Scanner, Full System Diagnostic Tool, Bi-Directional Scan Tool, All Reset Services, Active Tests, Height Calibration, Auto VIN, Lifetime Free Update</t>
        </is>
      </c>
      <c r="B426" s="30" t="inlineStr">
        <is>
          <t>B0F4QRXPRC</t>
        </is>
      </c>
      <c r="C426" s="30" t="inlineStr">
        <is>
          <t>Tablet</t>
        </is>
      </c>
      <c r="D426" s="324" t="n">
        <v>127.7005555555556</v>
      </c>
      <c r="E426" s="53" t="n">
        <v>36359.72769230769</v>
      </c>
      <c r="F426" s="53" t="n">
        <v>2298.61</v>
      </c>
      <c r="G426" s="55" t="n">
        <v>204</v>
      </c>
      <c r="H426" s="57" t="n">
        <v>18</v>
      </c>
      <c r="I426" s="55" t="n">
        <v>17</v>
      </c>
      <c r="J426" s="56" t="n">
        <v>3.6</v>
      </c>
      <c r="K426" s="56" t="inlineStr">
        <is>
          <t>https://amazon.com/dp/B0F4QRXPRC</t>
        </is>
      </c>
      <c r="L426" s="70">
        <f>HYPERLINK(Table3559[[#This Row],[Column1]])</f>
        <v/>
      </c>
    </row>
    <row r="427" ht="45" customHeight="1" s="290">
      <c r="A427" s="30" t="inlineStr">
        <is>
          <t>2026 NEW Launch OBD2 Scanner CR529 Code Reader Check Engine Light for All OBDII Car After 1996 Full OBD2 Functions Mode 8, I/M Readiness DTC Lookup Lifetime Free Update Scan Tool [Upgrade Version]</t>
        </is>
      </c>
      <c r="B427" s="30" t="inlineStr">
        <is>
          <t>B0811JXH3M</t>
        </is>
      </c>
      <c r="C427" s="30" t="inlineStr">
        <is>
          <t>Handheld</t>
        </is>
      </c>
      <c r="D427" s="324" t="n">
        <v>44.19823529411764</v>
      </c>
      <c r="E427" s="53" t="n">
        <v>19139.95</v>
      </c>
      <c r="F427" s="53" t="n">
        <v>751.37</v>
      </c>
      <c r="G427" s="55" t="n">
        <v>413</v>
      </c>
      <c r="H427" s="57" t="n">
        <v>17</v>
      </c>
      <c r="I427" s="55" t="n">
        <v>2777</v>
      </c>
      <c r="J427" s="56" t="n">
        <v>4.3</v>
      </c>
      <c r="K427" s="56" t="inlineStr">
        <is>
          <t>https://amazon.com/dp/B0811JXH3M</t>
        </is>
      </c>
      <c r="L427" s="70">
        <f>HYPERLINK(Table3559[[#This Row],[Column1]])</f>
        <v/>
      </c>
    </row>
    <row r="428" ht="45" customHeight="1" s="290">
      <c r="A428" s="30" t="inlineStr">
        <is>
          <t>LAUNCH X431 PRO3S+SMARTLINK HD Heavy Duty Truck Scanner,2026 Diesel&amp;Gasoline Bidirectional Diagnostic Scan Tool,60+Service,ECU Code,Topology Mapping,AutoAuth FCA SGW,2 YSR Free Update</t>
        </is>
      </c>
      <c r="B428" s="30" t="inlineStr">
        <is>
          <t>B098XDBRK4</t>
        </is>
      </c>
      <c r="C428" s="30" t="inlineStr">
        <is>
          <t>Tablet</t>
        </is>
      </c>
      <c r="D428" s="324" t="n">
        <v>1816.024117647059</v>
      </c>
      <c r="E428" s="53" t="n">
        <v>516285.3799999999</v>
      </c>
      <c r="F428" s="53" t="n">
        <v>30872.41</v>
      </c>
      <c r="G428" s="55" t="n">
        <v>268</v>
      </c>
      <c r="H428" s="57" t="n">
        <v>17</v>
      </c>
      <c r="I428" s="55" t="n">
        <v>47</v>
      </c>
      <c r="J428" s="56" t="n">
        <v>4.4</v>
      </c>
      <c r="K428" s="56" t="inlineStr">
        <is>
          <t>https://amazon.com/dp/B098XDBRK4</t>
        </is>
      </c>
      <c r="L428" s="70">
        <f>HYPERLINK(Table3559[[#This Row],[Column1]])</f>
        <v/>
      </c>
    </row>
    <row r="429" ht="45" customHeight="1" s="290">
      <c r="A429" s="30" t="inlineStr">
        <is>
          <t>Launch X431 PROS V 5.0: 2026 Bluetooth Bidirectional Scan Tool with ECU Coding 38+ Reset for All System Car Diagnostic CANFD DOIP OBD2 Scanner 2 Yrs Update, Upgraded of PROS Elite, Same as V+</t>
        </is>
      </c>
      <c r="B429" s="30" t="inlineStr">
        <is>
          <t>B0GL81NX9N</t>
        </is>
      </c>
      <c r="C429" s="30" t="inlineStr">
        <is>
          <t>Tablet</t>
        </is>
      </c>
      <c r="D429" s="324" t="n">
        <v>815.0517647058823</v>
      </c>
      <c r="E429" s="53" t="n">
        <v>167336.3969230769</v>
      </c>
      <c r="F429" s="53" t="n">
        <v>13855.88</v>
      </c>
      <c r="G429" s="55" t="n">
        <v>17</v>
      </c>
      <c r="H429" s="57" t="n">
        <v>17</v>
      </c>
      <c r="I429" s="55" t="n"/>
      <c r="J429" s="56" t="n"/>
      <c r="K429" s="56" t="inlineStr">
        <is>
          <t>https://amazon.com/dp/B0GL81NX9N</t>
        </is>
      </c>
      <c r="L429" s="70">
        <f>HYPERLINK(Table3559[[#This Row],[Column1]])</f>
        <v/>
      </c>
    </row>
    <row r="430" ht="45" customHeight="1" s="290">
      <c r="A430" s="30" t="inlineStr">
        <is>
          <t>Launch CRP919X Lite Bidirectional Scan Tool, 2026 New FCA SGW AutoAuth, 32 Reset Services, All System Diagnostic Scanner, Injector Coding, Auto VIN OBD2 Scanner Diagnostic Tool with 2-Year Updates</t>
        </is>
      </c>
      <c r="B430" s="30" t="inlineStr">
        <is>
          <t>B0DFMC4CQX</t>
        </is>
      </c>
      <c r="C430" s="30" t="inlineStr">
        <is>
          <t>Tablet</t>
        </is>
      </c>
      <c r="D430" s="324" t="n">
        <v>367.935625</v>
      </c>
      <c r="E430" s="53" t="n">
        <v>52745.46000000001</v>
      </c>
      <c r="F430" s="53" t="n">
        <v>5886.97</v>
      </c>
      <c r="G430" s="55" t="n">
        <v>143</v>
      </c>
      <c r="H430" s="57" t="n">
        <v>16</v>
      </c>
      <c r="I430" s="55" t="n">
        <v>31</v>
      </c>
      <c r="J430" s="56" t="n">
        <v>4.8</v>
      </c>
      <c r="K430" s="56" t="inlineStr">
        <is>
          <t>https://amazon.com/dp/B0DFMC4CQX</t>
        </is>
      </c>
      <c r="L430" s="70">
        <f>HYPERLINK(Table3559[[#This Row],[Column1]])</f>
        <v/>
      </c>
    </row>
    <row r="431" ht="45" customHeight="1" s="290">
      <c r="A431" s="30" t="inlineStr">
        <is>
          <t>Launch X431 PADVII Elite, 2026 Full Function Diagnostic Scanner, J2534 J2534 Protocol, HD Trucks, EVs, Topology Map, 60+Service,Online Coding, Bidirectional Scan Tool,</t>
        </is>
      </c>
      <c r="B431" s="30" t="inlineStr">
        <is>
          <t>B09PDVDKXW</t>
        </is>
      </c>
      <c r="C431" s="30" t="inlineStr">
        <is>
          <t>Tablet</t>
        </is>
      </c>
      <c r="D431" s="324" t="n">
        <v>2749.40125</v>
      </c>
      <c r="E431" s="53" t="n">
        <v>419145.36</v>
      </c>
      <c r="F431" s="53" t="n">
        <v>43990.42</v>
      </c>
      <c r="G431" s="55" t="n">
        <v>162</v>
      </c>
      <c r="H431" s="57" t="n">
        <v>16</v>
      </c>
      <c r="I431" s="55" t="n">
        <v>5188</v>
      </c>
      <c r="J431" s="56" t="n">
        <v>4.4</v>
      </c>
      <c r="K431" s="56" t="inlineStr">
        <is>
          <t>https://amazon.com/dp/B09PDVDKXW</t>
        </is>
      </c>
      <c r="L431" s="70">
        <f>HYPERLINK(Table3559[[#This Row],[Column1]])</f>
        <v/>
      </c>
    </row>
    <row r="432" ht="60" customHeight="1" s="290">
      <c r="A432" s="30" t="inlineStr">
        <is>
          <t>Launch CRP 129 HD Heavy Duty Truck Scanner, Full System Diesel Diagnostic Tool with Speed Limit Adjust, D.P.F Regen, 7+ Resets Code Reader for Cummins, Detroit, Isuzu, Volvo&amp;More</t>
        </is>
      </c>
      <c r="B432" s="30" t="inlineStr">
        <is>
          <t>B0DTDXZSHM</t>
        </is>
      </c>
      <c r="C432" s="30" t="inlineStr">
        <is>
          <t>Tablet</t>
        </is>
      </c>
      <c r="D432" s="324" t="n">
        <v>491.593125</v>
      </c>
      <c r="E432" s="53" t="n">
        <v>76437.90999999999</v>
      </c>
      <c r="F432" s="53" t="n">
        <v>7865.49</v>
      </c>
      <c r="G432" s="55" t="n">
        <v>146</v>
      </c>
      <c r="H432" s="57" t="n">
        <v>16</v>
      </c>
      <c r="I432" s="55" t="n">
        <v>21</v>
      </c>
      <c r="J432" s="56" t="n">
        <v>3.7</v>
      </c>
      <c r="K432" s="56" t="inlineStr">
        <is>
          <t>https://amazon.com/dp/B0DTDXZSHM</t>
        </is>
      </c>
      <c r="L432" s="70">
        <f>HYPERLINK(Table3559[[#This Row],[Column1]])</f>
        <v/>
      </c>
    </row>
    <row r="433" ht="45" customHeight="1" s="290">
      <c r="A433" s="30" t="inlineStr">
        <is>
          <t>Launch X431 Elite 2.0 Bidirectional Tool Fit for Chrysler for Dodge for Jeep, 2026 Upgrade Full System Diagnostic Code Reader, 100+ Resets, AutoVIN, FCA Autoauth, Lifetime Free Update</t>
        </is>
      </c>
      <c r="B433" s="30" t="inlineStr">
        <is>
          <t>B0D9GL67MH</t>
        </is>
      </c>
      <c r="C433" s="30" t="inlineStr">
        <is>
          <t>Tablet</t>
        </is>
      </c>
      <c r="D433" s="324" t="n">
        <v>174.599375</v>
      </c>
      <c r="E433" s="53" t="n">
        <v>43308.23</v>
      </c>
      <c r="F433" s="53" t="n">
        <v>2793.59</v>
      </c>
      <c r="G433" s="55" t="n">
        <v>245</v>
      </c>
      <c r="H433" s="57" t="n">
        <v>16</v>
      </c>
      <c r="I433" s="55" t="n">
        <v>37</v>
      </c>
      <c r="J433" s="56" t="n">
        <v>3.5</v>
      </c>
      <c r="K433" s="56" t="inlineStr">
        <is>
          <t>https://amazon.com/dp/B0D9GL67MH</t>
        </is>
      </c>
      <c r="L433" s="70">
        <f>HYPERLINK(Table3559[[#This Row],[Column1]])</f>
        <v/>
      </c>
    </row>
    <row r="434" ht="45" customHeight="1" s="290">
      <c r="A434" s="30" t="inlineStr">
        <is>
          <t>LAUNCH X431 CRP919X Car Scanner, ECU Coding OBD2 Scanner Diagnostic Tool, 2026 Bi-Directional Scan Tool, CANFD/DoIP/FCA SGW, 35+ Reset,Active Test,All-in-One Full System Diagnostic Scanner,2Yrs Update</t>
        </is>
      </c>
      <c r="B434" s="30" t="inlineStr">
        <is>
          <t>B07FPDPN92</t>
        </is>
      </c>
      <c r="C434" s="30" t="inlineStr">
        <is>
          <t>Tablet</t>
        </is>
      </c>
      <c r="D434" s="324" t="n">
        <v>448.555625</v>
      </c>
      <c r="E434" s="53" t="n">
        <v>225125.5615384616</v>
      </c>
      <c r="F434" s="53" t="n">
        <v>7176.89</v>
      </c>
      <c r="G434" s="55" t="n">
        <v>501</v>
      </c>
      <c r="H434" s="57" t="n">
        <v>16</v>
      </c>
      <c r="I434" s="55" t="n">
        <v>273</v>
      </c>
      <c r="J434" s="56" t="n">
        <v>4.2</v>
      </c>
      <c r="K434" s="56" t="inlineStr">
        <is>
          <t>https://amazon.com/dp/B07FPDPN92</t>
        </is>
      </c>
      <c r="L434" s="70">
        <f>HYPERLINK(Table3559[[#This Row],[Column1]])</f>
        <v/>
      </c>
    </row>
    <row r="435" ht="45" customHeight="1" s="290">
      <c r="A435" s="30" t="inlineStr">
        <is>
          <t>LAUNCH X431 PRO Elite OBD2 Scanner, 2026 All-in-One New Bidirectional Scan Tool with CANFD DOIP, ECU Diagnostics,38+ Resets, Full System,FCA Autoauth,VAG Guide, 2 Years Update Included</t>
        </is>
      </c>
      <c r="B435" s="30" t="inlineStr">
        <is>
          <t>B0DKHBSHZB</t>
        </is>
      </c>
      <c r="C435" s="30" t="inlineStr">
        <is>
          <t>Tablet</t>
        </is>
      </c>
      <c r="D435" s="324" t="n">
        <v>672.266875</v>
      </c>
      <c r="E435" s="53" t="n">
        <v>196281.22</v>
      </c>
      <c r="F435" s="53" t="n">
        <v>10756.27</v>
      </c>
      <c r="G435" s="55" t="n">
        <v>314</v>
      </c>
      <c r="H435" s="57" t="n">
        <v>16</v>
      </c>
      <c r="I435" s="55" t="n">
        <v>40</v>
      </c>
      <c r="J435" s="56" t="n">
        <v>4.3</v>
      </c>
      <c r="K435" s="56" t="inlineStr">
        <is>
          <t>https://amazon.com/dp/B0DKHBSHZB</t>
        </is>
      </c>
      <c r="L435" s="70">
        <f>HYPERLINK(Table3559[[#This Row],[Column1]])</f>
        <v/>
      </c>
    </row>
    <row r="436" ht="45" customHeight="1" s="290">
      <c r="A436" s="30" t="inlineStr">
        <is>
          <t>Launch Creader Elite V2.0 for BMW OBD2 Scanner, 2025 Full Systems Bi-Directional Scan Tool, All Reset Services, ECU Code, Battery Registration Tool for BMW Mini RR, Lifetime Free Update, Auto VIN</t>
        </is>
      </c>
      <c r="B436" s="30" t="inlineStr">
        <is>
          <t>B0CMCYXFW4</t>
        </is>
      </c>
      <c r="C436" s="30" t="inlineStr">
        <is>
          <t>Tablet</t>
        </is>
      </c>
      <c r="D436" s="324" t="n">
        <v>162.02875</v>
      </c>
      <c r="E436" s="53" t="n">
        <v>35654.3</v>
      </c>
      <c r="F436" s="53" t="n">
        <v>2592.46</v>
      </c>
      <c r="G436" s="55" t="n">
        <v>190</v>
      </c>
      <c r="H436" s="57" t="n">
        <v>16</v>
      </c>
      <c r="I436" s="55" t="n">
        <v>15</v>
      </c>
      <c r="J436" s="56" t="n">
        <v>4.1</v>
      </c>
      <c r="K436" s="56" t="inlineStr">
        <is>
          <t>https://amazon.com/dp/B0CMCYXFW4</t>
        </is>
      </c>
      <c r="L436" s="70">
        <f>HYPERLINK(Table3559[[#This Row],[Column1]])</f>
        <v/>
      </c>
    </row>
    <row r="437" ht="45" customHeight="1" s="290">
      <c r="A437" s="30" t="inlineStr">
        <is>
          <t>LAUNCH X431 Creader Elite 2.0 Ford OBD2 Scanner, 2026 Bi-Directional Scan Tool for Ford/Lincoln/Mercury/Mazda, Full System,All Resets,ECU Code,AUTO VIN,Lifetime Update</t>
        </is>
      </c>
      <c r="B437" s="30" t="inlineStr">
        <is>
          <t>B0D5HQMNTV</t>
        </is>
      </c>
      <c r="C437" s="30" t="inlineStr">
        <is>
          <t>Tablet</t>
        </is>
      </c>
      <c r="D437" s="324" t="n">
        <v>169.538</v>
      </c>
      <c r="E437" s="53" t="n">
        <v>45006.13923076924</v>
      </c>
      <c r="F437" s="53" t="n">
        <v>2543.07</v>
      </c>
      <c r="G437" s="55" t="n">
        <v>242</v>
      </c>
      <c r="H437" s="57" t="n">
        <v>15</v>
      </c>
      <c r="I437" s="55" t="n">
        <v>31</v>
      </c>
      <c r="J437" s="56" t="n">
        <v>3.6</v>
      </c>
      <c r="K437" s="56" t="inlineStr">
        <is>
          <t>https://amazon.com/dp/B0D5HQMNTV</t>
        </is>
      </c>
      <c r="L437" s="70">
        <f>HYPERLINK(Table3559[[#This Row],[Column1]])</f>
        <v/>
      </c>
    </row>
    <row r="438" ht="45" customHeight="1" s="290">
      <c r="A438" s="30" t="inlineStr">
        <is>
          <t>LAUNCH CRP129E Plus V3.0 2026 OBD2 Scanner Diagnostic Tool, Full System Car Code Reader, 12 Reset Service TPMS/Oil/SAS/EPB/BMS/DPF Reset,FCA AutoAuth, Added CANFD&amp;DOIP, Free Update</t>
        </is>
      </c>
      <c r="B438" s="30" t="inlineStr">
        <is>
          <t>B0DY7QKBK7</t>
        </is>
      </c>
      <c r="C438" s="30" t="inlineStr">
        <is>
          <t>Tablet</t>
        </is>
      </c>
      <c r="D438" s="324" t="n">
        <v>278.3286666666667</v>
      </c>
      <c r="E438" s="53" t="n">
        <v>72603.37153846154</v>
      </c>
      <c r="F438" s="53" t="n">
        <v>4174.93</v>
      </c>
      <c r="G438" s="55" t="n">
        <v>268</v>
      </c>
      <c r="H438" s="57" t="n">
        <v>15</v>
      </c>
      <c r="I438" s="55" t="n">
        <v>31</v>
      </c>
      <c r="J438" s="56" t="n">
        <v>4.5</v>
      </c>
      <c r="K438" s="56" t="inlineStr">
        <is>
          <t>https://amazon.com/dp/B0DY7QKBK7</t>
        </is>
      </c>
      <c r="L438" s="70">
        <f>HYPERLINK(Table3559[[#This Row],[Column1]])</f>
        <v/>
      </c>
    </row>
    <row r="439" ht="45" customHeight="1" s="290">
      <c r="A439" s="30" t="inlineStr">
        <is>
          <t>LAUNCH Professional OBD2 Scanner Diagnostic Tool CR3008 Plus,One-Key I/M,Lifetime Update Code Reader,Enhanced Check Engine Code Reader OBDII Car Scan Tool for All Vehicles After 1996,Battery Test</t>
        </is>
      </c>
      <c r="B439" s="30" t="inlineStr">
        <is>
          <t>B0FWRMRK55</t>
        </is>
      </c>
      <c r="C439" s="30" t="inlineStr">
        <is>
          <t>Handheld</t>
        </is>
      </c>
      <c r="D439" s="324" t="n">
        <v>39.01214285714286</v>
      </c>
      <c r="E439" s="53" t="n">
        <v>5048.895384615383</v>
      </c>
      <c r="F439" s="53" t="n">
        <v>546.17</v>
      </c>
      <c r="G439" s="55" t="n">
        <v>27</v>
      </c>
      <c r="H439" s="57" t="n">
        <v>14</v>
      </c>
      <c r="I439" s="55" t="n">
        <v>1</v>
      </c>
      <c r="J439" s="56" t="n">
        <v>5</v>
      </c>
      <c r="K439" s="56" t="inlineStr">
        <is>
          <t>https://amazon.com/dp/B0FWRMRK55</t>
        </is>
      </c>
      <c r="L439" s="70">
        <f>HYPERLINK(Table3559[[#This Row],[Column1]])</f>
        <v/>
      </c>
    </row>
    <row r="440" ht="45" customHeight="1" s="290">
      <c r="A440" s="30" t="inlineStr">
        <is>
          <t>LAUNCH CRP129E 2026 OBD2 Scanner, 8 Reset Oil/EPB/TPMS/SAS/BMS/Throttle/DPF Reset, Injector Coding, ABS SRS Transmission Engine Code Reader, Lifetime Free Update Diagnostic Scan Tool, Auto VIN</t>
        </is>
      </c>
      <c r="B440" s="30" t="inlineStr">
        <is>
          <t>B07QR48Z38</t>
        </is>
      </c>
      <c r="C440" s="30" t="inlineStr">
        <is>
          <t>Tablet</t>
        </is>
      </c>
      <c r="D440" s="324" t="n">
        <v>174.1921428571429</v>
      </c>
      <c r="E440" s="53" t="n">
        <v>27388.79846153846</v>
      </c>
      <c r="F440" s="53" t="n">
        <v>2438.69</v>
      </c>
      <c r="G440" s="55" t="n">
        <v>136</v>
      </c>
      <c r="H440" s="57" t="n">
        <v>14</v>
      </c>
      <c r="I440" s="55" t="n">
        <v>547</v>
      </c>
      <c r="J440" s="56" t="n">
        <v>4.4</v>
      </c>
      <c r="K440" s="56" t="inlineStr">
        <is>
          <t>https://amazon.com/dp/B07QR48Z38</t>
        </is>
      </c>
      <c r="L440" s="70">
        <f>HYPERLINK(Table3559[[#This Row],[Column1]])</f>
        <v/>
      </c>
    </row>
    <row r="441" ht="45" customHeight="1" s="290">
      <c r="A441" s="30" t="inlineStr">
        <is>
          <t>LAUNCH Creader Elite OBD2 Scanner Fit for Chrysler Dodge Jeep Ram,Full Systems Code Reader with All Resets,Active Test,Battery Matching Bi-Directional Diagnostic Scan Tool</t>
        </is>
      </c>
      <c r="B441" s="30" t="inlineStr">
        <is>
          <t>B0F99K6WZV</t>
        </is>
      </c>
      <c r="C441" s="30" t="inlineStr">
        <is>
          <t>Tablet</t>
        </is>
      </c>
      <c r="D441" s="324" t="n">
        <v>130.4642857142857</v>
      </c>
      <c r="E441" s="53" t="n">
        <v>16931.84</v>
      </c>
      <c r="F441" s="53" t="n">
        <v>1826.5</v>
      </c>
      <c r="G441" s="55" t="n">
        <v>87</v>
      </c>
      <c r="H441" s="57" t="n">
        <v>14</v>
      </c>
      <c r="I441" s="55" t="n">
        <v>4</v>
      </c>
      <c r="J441" s="56" t="n">
        <v>3.7</v>
      </c>
      <c r="K441" s="56" t="inlineStr">
        <is>
          <t>https://amazon.com/dp/B0F99K6WZV</t>
        </is>
      </c>
      <c r="L441" s="70">
        <f>HYPERLINK(Table3559[[#This Row],[Column1]])</f>
        <v/>
      </c>
    </row>
    <row r="442" ht="60" customHeight="1" s="290">
      <c r="A442" s="30" t="inlineStr">
        <is>
          <t>LAUNCH Creader Elite for Land Rover Jaguar OBD2 Scanner, 2026 Full System Bi-Directional Diagnostic Scan Tool, All Reset Services, Active Tests, Height Calibration, Auto VIN, Lifetime Free Update</t>
        </is>
      </c>
      <c r="B442" s="30" t="inlineStr">
        <is>
          <t>B0DKHJLTHG</t>
        </is>
      </c>
      <c r="C442" s="30" t="inlineStr">
        <is>
          <t>Handheld</t>
        </is>
      </c>
      <c r="D442" s="324" t="n">
        <v>162.8669230769231</v>
      </c>
      <c r="E442" s="53" t="n">
        <v>59580.82000000001</v>
      </c>
      <c r="F442" s="53" t="n">
        <v>2117.27</v>
      </c>
      <c r="G442" s="55" t="n">
        <v>370</v>
      </c>
      <c r="H442" s="57" t="n">
        <v>13</v>
      </c>
      <c r="I442" s="55" t="n">
        <v>19</v>
      </c>
      <c r="J442" s="56" t="n">
        <v>3.7</v>
      </c>
      <c r="K442" s="56" t="inlineStr">
        <is>
          <t>https://amazon.com/dp/B0DKHJLTHG</t>
        </is>
      </c>
      <c r="L442" s="70">
        <f>HYPERLINK(Table3559[[#This Row],[Column1]])</f>
        <v/>
      </c>
    </row>
    <row r="443" ht="45" customHeight="1" s="290">
      <c r="A443" s="30" t="inlineStr">
        <is>
          <t>LAUNCH X431 Creader VII+ V2.0 Car Code Reader 2026,Full EOBD OBD2 Scanner Testing Engine/Transmission/ABS/Airbag System, 3 Reset Oil Service/Throttle Relearn/SAS Reset, Lifetime Free Update</t>
        </is>
      </c>
      <c r="B443" s="30" t="inlineStr">
        <is>
          <t>B00EN7JOQC</t>
        </is>
      </c>
      <c r="C443" s="30" t="inlineStr">
        <is>
          <t>Tablet</t>
        </is>
      </c>
      <c r="D443" s="324" t="n">
        <v>128.4215384615385</v>
      </c>
      <c r="E443" s="53" t="n">
        <v>24653.72846153846</v>
      </c>
      <c r="F443" s="53" t="n">
        <v>1669.48</v>
      </c>
      <c r="G443" s="55" t="n">
        <v>175</v>
      </c>
      <c r="H443" s="57" t="n">
        <v>13</v>
      </c>
      <c r="I443" s="55" t="n">
        <v>721</v>
      </c>
      <c r="J443" s="56" t="n">
        <v>4</v>
      </c>
      <c r="K443" s="56" t="inlineStr">
        <is>
          <t>https://amazon.com/dp/B00EN7JOQC</t>
        </is>
      </c>
      <c r="L443" s="70">
        <f>HYPERLINK(Table3559[[#This Row],[Column1]])</f>
        <v/>
      </c>
    </row>
    <row r="444" ht="45" customHeight="1" s="290">
      <c r="A444" s="30" t="inlineStr">
        <is>
          <t>LAUNCH OBD2 Scanner CRP Touch PRO Elite 2026 New Scan Tool with 20 Resets Injector Coding SAS BMS ABS B leeding Throttle Adaptation Car Scanner, All System Diagnostic Tool Auto VIN, Lifetime Update</t>
        </is>
      </c>
      <c r="B444" s="30" t="inlineStr">
        <is>
          <t>B08DV5NR93</t>
        </is>
      </c>
      <c r="C444" s="30" t="inlineStr">
        <is>
          <t>Tablet</t>
        </is>
      </c>
      <c r="D444" s="324" t="n">
        <v>204.4430769230769</v>
      </c>
      <c r="E444" s="53" t="n">
        <v>31274.64692307692</v>
      </c>
      <c r="F444" s="53" t="n">
        <v>2657.76</v>
      </c>
      <c r="G444" s="55" t="n">
        <v>110</v>
      </c>
      <c r="H444" s="57" t="n">
        <v>13</v>
      </c>
      <c r="I444" s="55" t="n">
        <v>248</v>
      </c>
      <c r="J444" s="56" t="n">
        <v>4.1</v>
      </c>
      <c r="K444" s="56" t="inlineStr">
        <is>
          <t>https://amazon.com/dp/B08DV5NR93</t>
        </is>
      </c>
      <c r="L444" s="70">
        <f>HYPERLINK(Table3559[[#This Row],[Column1]])</f>
        <v/>
      </c>
    </row>
    <row r="445" ht="45" customHeight="1" s="290">
      <c r="A445" s="30" t="inlineStr">
        <is>
          <t>Launch Scanner X431 1MM* Plus Car Tool with X-PROG3 (Valued $800), Engine/Gearbox ECU Clé, All-in-One Diagnostic Tool, ECU Coding as PAD, 39+ Services, All-System Scan, 2-Year Update, Black, Android</t>
        </is>
      </c>
      <c r="B445" s="30" t="inlineStr">
        <is>
          <t>B0F2HNM2VH</t>
        </is>
      </c>
      <c r="C445" s="30" t="inlineStr">
        <is>
          <t>Tablet</t>
        </is>
      </c>
      <c r="D445" s="324" t="n">
        <v>1581.762307692308</v>
      </c>
      <c r="E445" s="53" t="n">
        <v>588837.8599999999</v>
      </c>
      <c r="F445" s="53" t="n">
        <v>20562.91</v>
      </c>
      <c r="G445" s="55" t="n">
        <v>412</v>
      </c>
      <c r="H445" s="57" t="n">
        <v>13</v>
      </c>
      <c r="I445" s="55" t="n">
        <v>55</v>
      </c>
      <c r="J445" s="56" t="n">
        <v>4</v>
      </c>
      <c r="K445" s="56" t="inlineStr">
        <is>
          <t>https://amazon.com/dp/B0F2HNM2VH</t>
        </is>
      </c>
      <c r="L445" s="70">
        <f>HYPERLINK(Table3559[[#This Row],[Column1]])</f>
        <v/>
      </c>
    </row>
    <row r="446" ht="45" customHeight="1" s="290">
      <c r="A446" s="30" t="inlineStr">
        <is>
          <t>LAUNCH X431 PRO Elite 2026 Bidirectional Scan Tool, ECU Code,38+ Reset, All-in-One Full System Diagnostic Scanner, 4K+ Active Tests,CANFD&amp;DoIP, FCA AutoAuth, VAG Guide,2 Years Free Update</t>
        </is>
      </c>
      <c r="B446" s="30" t="inlineStr">
        <is>
          <t>B0GFCPGJK5</t>
        </is>
      </c>
      <c r="C446" s="30" t="inlineStr">
        <is>
          <t>Tablet</t>
        </is>
      </c>
      <c r="D446" s="324" t="n">
        <v>710.336923076923</v>
      </c>
      <c r="E446" s="53" t="n">
        <v>102998.8538461538</v>
      </c>
      <c r="F446" s="53" t="n">
        <v>9234.379999999999</v>
      </c>
      <c r="G446" s="55" t="n">
        <v>13</v>
      </c>
      <c r="H446" s="57" t="n">
        <v>13</v>
      </c>
      <c r="I446" s="55" t="n">
        <v>3</v>
      </c>
      <c r="J446" s="56" t="n">
        <v>5</v>
      </c>
      <c r="K446" s="56" t="inlineStr">
        <is>
          <t>https://amazon.com/dp/B0GFCPGJK5</t>
        </is>
      </c>
      <c r="L446" s="70">
        <f>HYPERLINK(Table3559[[#This Row],[Column1]])</f>
        <v/>
      </c>
    </row>
    <row r="447" ht="45" customHeight="1" s="290">
      <c r="A447" s="30" t="inlineStr">
        <is>
          <t>LAUNCH X431 Creader Elite 2.0 BBA fit for BMW, Benz, Audi Series, 2026 Bidirectional Scan for Cars,100+ Services, Full System OBD2 Scanner, ECU Code, Battery Registration, Lifetime Free Update</t>
        </is>
      </c>
      <c r="B447" s="30" t="inlineStr">
        <is>
          <t>B0D4HY7JPD</t>
        </is>
      </c>
      <c r="C447" s="30" t="inlineStr">
        <is>
          <t>Tablet</t>
        </is>
      </c>
      <c r="D447" s="324" t="n">
        <v>233.5269230769231</v>
      </c>
      <c r="E447" s="53" t="n">
        <v>66902.94307692308</v>
      </c>
      <c r="F447" s="53" t="n">
        <v>3035.85</v>
      </c>
      <c r="G447" s="55" t="n">
        <v>286</v>
      </c>
      <c r="H447" s="57" t="n">
        <v>13</v>
      </c>
      <c r="I447" s="55" t="n">
        <v>25</v>
      </c>
      <c r="J447" s="56" t="n">
        <v>3.7</v>
      </c>
      <c r="K447" s="56" t="inlineStr">
        <is>
          <t>https://amazon.com/dp/B0D4HY7JPD</t>
        </is>
      </c>
      <c r="L447" s="70">
        <f>HYPERLINK(Table3559[[#This Row],[Column1]])</f>
        <v/>
      </c>
    </row>
    <row r="448" ht="45" customHeight="1" s="290">
      <c r="A448" s="30" t="inlineStr">
        <is>
          <t>LAUNCH Original Diagnostic Cable with External Power Port DR15 Female to OBD2 16 Pin Famale Work for LAUNCH OBD1 Adapter</t>
        </is>
      </c>
      <c r="B448" s="30" t="inlineStr">
        <is>
          <t>B0DX6XPGQX</t>
        </is>
      </c>
      <c r="C448" s="30" t="inlineStr">
        <is>
          <t>OBD1</t>
        </is>
      </c>
      <c r="D448" s="324" t="n">
        <v>19.88583333333333</v>
      </c>
      <c r="E448" s="53" t="n">
        <v>2461.058461538461</v>
      </c>
      <c r="F448" s="53" t="n">
        <v>238.63</v>
      </c>
      <c r="G448" s="55" t="n">
        <v>13</v>
      </c>
      <c r="H448" s="57" t="n">
        <v>12</v>
      </c>
      <c r="I448" s="55" t="n">
        <v>1</v>
      </c>
      <c r="J448" s="56" t="n">
        <v>5</v>
      </c>
      <c r="K448" s="56" t="inlineStr">
        <is>
          <t>https://amazon.com/dp/B0DX6XPGQX</t>
        </is>
      </c>
      <c r="L448" s="70">
        <f>HYPERLINK(Table3559[[#This Row],[Column1]])</f>
        <v/>
      </c>
    </row>
    <row r="449" ht="45" customHeight="1" s="290">
      <c r="A449" s="30" t="inlineStr">
        <is>
          <t>LAUNCH X431 Creader Elite FGC OBD2 Scanner 2026, Full System Diagnostic Tool for F0rd, G.M, Chrysler, Bi-Directional Control, 100+ F.ree Resets, , AUTOVIN, ECU Coding, Lifetime F.ree Updates</t>
        </is>
      </c>
      <c r="B449" s="30" t="inlineStr">
        <is>
          <t>B0CX58T8N6</t>
        </is>
      </c>
      <c r="C449" s="30" t="inlineStr">
        <is>
          <t>Tablet</t>
        </is>
      </c>
      <c r="D449" s="324" t="n">
        <v>258.6441666666666</v>
      </c>
      <c r="E449" s="53" t="n">
        <v>29779.58</v>
      </c>
      <c r="F449" s="53" t="n">
        <v>3103.73</v>
      </c>
      <c r="G449" s="55" t="n">
        <v>121</v>
      </c>
      <c r="H449" s="57" t="n">
        <v>12</v>
      </c>
      <c r="I449" s="55" t="n">
        <v>231</v>
      </c>
      <c r="J449" s="56" t="n">
        <v>4.3</v>
      </c>
      <c r="K449" s="56" t="inlineStr">
        <is>
          <t>https://amazon.com/dp/B0CX58T8N6</t>
        </is>
      </c>
      <c r="L449" s="70">
        <f>HYPERLINK(Table3559[[#This Row],[Column1]])</f>
        <v/>
      </c>
    </row>
    <row r="450" ht="45" customHeight="1" s="290">
      <c r="A450" s="30" t="inlineStr">
        <is>
          <t>LAUNCH CRP129I V2.0 2026 OBD2 Scanner, ABS/SRS/at/ENG Car Diagnostic Tool, 12 Reset Services TPMS/Oil/EPB/SAS/BMS/DPF/Throttle Reset, Injector Coding, FCA AutoAuth, Lifetime Update</t>
        </is>
      </c>
      <c r="B450" s="30" t="inlineStr">
        <is>
          <t>B07VJM5MMY</t>
        </is>
      </c>
      <c r="C450" s="30" t="inlineStr">
        <is>
          <t>Tablet</t>
        </is>
      </c>
      <c r="D450" s="324" t="n">
        <v>249.1291666666667</v>
      </c>
      <c r="E450" s="53" t="n">
        <v>54975.94</v>
      </c>
      <c r="F450" s="53" t="n">
        <v>2989.55</v>
      </c>
      <c r="G450" s="55" t="n">
        <v>234</v>
      </c>
      <c r="H450" s="57" t="n">
        <v>12</v>
      </c>
      <c r="I450" s="55" t="n">
        <v>703</v>
      </c>
      <c r="J450" s="56" t="n">
        <v>4.4</v>
      </c>
      <c r="K450" s="56" t="inlineStr">
        <is>
          <t>https://amazon.com/dp/B07VJM5MMY</t>
        </is>
      </c>
      <c r="L450" s="70">
        <f>HYPERLINK(Table3559[[#This Row],[Column1]])</f>
        <v/>
      </c>
    </row>
    <row r="451" ht="45" customHeight="1" s="290">
      <c r="A451" s="30" t="inlineStr">
        <is>
          <t>LAUNCH X431 CSL12+8 Original OBD2 Adapter Fit for Chrysler 12+8 Programming Cable Connector, FCA Bypass Gateway Protocol OBDII Cable - 14.8 inches/37.5 cm</t>
        </is>
      </c>
      <c r="B451" s="30" t="inlineStr">
        <is>
          <t>B0DQKCKR5J</t>
        </is>
      </c>
      <c r="C451" s="30" t="inlineStr">
        <is>
          <t>Cable/Adapter</t>
        </is>
      </c>
      <c r="D451" s="324" t="n">
        <v>29.87666666666667</v>
      </c>
      <c r="E451" s="53" t="n">
        <v>5323.113076923078</v>
      </c>
      <c r="F451" s="53" t="n">
        <v>358.52</v>
      </c>
      <c r="G451" s="55" t="n">
        <v>156</v>
      </c>
      <c r="H451" s="57" t="n">
        <v>12</v>
      </c>
      <c r="I451" s="55" t="n">
        <v>5</v>
      </c>
      <c r="J451" s="56" t="n">
        <v>3.9</v>
      </c>
      <c r="K451" s="56" t="inlineStr">
        <is>
          <t>https://amazon.com/dp/B0DQKCKR5J</t>
        </is>
      </c>
      <c r="L451" s="70">
        <f>HYPERLINK(Table3559[[#This Row],[Column1]])</f>
        <v/>
      </c>
    </row>
    <row r="452" ht="45" customHeight="1" s="290">
      <c r="A452" s="30" t="inlineStr">
        <is>
          <t>LAUNCH Creader HD V2 Heavy Duty Truck Diagnostic Scanner 2-in-1 HDOBD OBD-II EOBD Code Reader for Freightliner, for Paccar, for International, for Volvo, for Cummins, for Caterpillar HD OBD Scan Tool</t>
        </is>
      </c>
      <c r="B452" s="30" t="inlineStr">
        <is>
          <t>B0GFFBM7CV</t>
        </is>
      </c>
      <c r="C452" s="30" t="inlineStr">
        <is>
          <t>Tablet</t>
        </is>
      </c>
      <c r="D452" s="324" t="n">
        <v>123.4472727272727</v>
      </c>
      <c r="E452" s="53" t="n">
        <v>16690.18615384615</v>
      </c>
      <c r="F452" s="53" t="n">
        <v>1357.92</v>
      </c>
      <c r="G452" s="55" t="n">
        <v>34</v>
      </c>
      <c r="H452" s="57" t="n">
        <v>11</v>
      </c>
      <c r="I452" s="55" t="n">
        <v>25</v>
      </c>
      <c r="J452" s="56" t="n">
        <v>4.5</v>
      </c>
      <c r="K452" s="56" t="inlineStr">
        <is>
          <t>https://amazon.com/dp/B0GFFBM7CV</t>
        </is>
      </c>
      <c r="L452" s="70">
        <f>HYPERLINK(Table3559[[#This Row],[Column1]])</f>
        <v/>
      </c>
    </row>
    <row r="453" ht="60" customHeight="1" s="290">
      <c r="A453" s="30" t="inlineStr">
        <is>
          <t>LAUNCH X431 PRO3S+ Elite, 2026 SmartlinkC 2.0 Bidirectional Scan Tool with J2534 Portocol, HD Trucks Scanner, 10.1 inch, Topology Map, 60+Service, Online Code, CANFD/DoIP/D-PDU, FCA</t>
        </is>
      </c>
      <c r="B453" s="30" t="inlineStr">
        <is>
          <t>B0FBWJBQX5</t>
        </is>
      </c>
      <c r="C453" s="30" t="inlineStr">
        <is>
          <t>Tablet</t>
        </is>
      </c>
      <c r="D453" s="324" t="n">
        <v>1190.5</v>
      </c>
      <c r="E453" s="53" t="n">
        <v>127929.7953846154</v>
      </c>
      <c r="F453" s="53" t="n">
        <v>11905</v>
      </c>
      <c r="G453" s="55" t="n">
        <v>39</v>
      </c>
      <c r="H453" s="57" t="n">
        <v>10</v>
      </c>
      <c r="I453" s="55" t="n">
        <v>54</v>
      </c>
      <c r="J453" s="56" t="n">
        <v>4.6</v>
      </c>
      <c r="K453" s="56" t="inlineStr">
        <is>
          <t>https://amazon.com/dp/B0FBWJBQX5</t>
        </is>
      </c>
      <c r="L453" s="70">
        <f>HYPERLINK(Table3559[[#This Row],[Column1]])</f>
        <v/>
      </c>
    </row>
    <row r="454" ht="45" customHeight="1" s="290">
      <c r="A454" s="30" t="inlineStr">
        <is>
          <t>Launch X431 PROS Elite [2026 New Model] Fully Functional Bidirectional Scan Tool, CANFD&amp;DOIP, ECU Coding, VAG Guided Function, FCA SGW Cars, 38+ Resets, FCA AutoAuth, Full System Scanner for All Cars</t>
        </is>
      </c>
      <c r="B454" s="30" t="inlineStr">
        <is>
          <t>B0CTCGBC8V</t>
        </is>
      </c>
      <c r="C454" s="30" t="inlineStr">
        <is>
          <t>Tablet</t>
        </is>
      </c>
      <c r="D454" s="324" t="n">
        <v>673.362</v>
      </c>
      <c r="E454" s="53" t="n">
        <v>66704.34999999999</v>
      </c>
      <c r="F454" s="53" t="n">
        <v>6733.62</v>
      </c>
      <c r="G454" s="55" t="n">
        <v>101</v>
      </c>
      <c r="H454" s="57" t="n">
        <v>10</v>
      </c>
      <c r="I454" s="55" t="n">
        <v>31</v>
      </c>
      <c r="J454" s="56" t="n">
        <v>4.1</v>
      </c>
      <c r="K454" s="56" t="inlineStr">
        <is>
          <t>https://amazon.com/dp/B0CTCGBC8V</t>
        </is>
      </c>
      <c r="L454" s="70">
        <f>HYPERLINK(Table3559[[#This Row],[Column1]])</f>
        <v/>
      </c>
    </row>
    <row r="455" ht="45" customHeight="1" s="290">
      <c r="A455" s="30" t="inlineStr">
        <is>
          <t>LAUNCH Professional OBD2 Scanner Diagnostic Tool CR3008 Plus,One-Click I/M,Lifetime Update Code Reader,Enhanced Check Engine Code Reader OBDII Car Scan Tool for All Vehicles After 1996,Battery Test</t>
        </is>
      </c>
      <c r="B455" s="30" t="inlineStr">
        <is>
          <t>B0CLDK3M3B</t>
        </is>
      </c>
      <c r="C455" s="30" t="inlineStr">
        <is>
          <t>Handheld</t>
        </is>
      </c>
      <c r="D455" s="324" t="n">
        <v>46.633</v>
      </c>
      <c r="E455" s="53" t="n">
        <v>29464.75</v>
      </c>
      <c r="F455" s="53" t="n">
        <v>466.33</v>
      </c>
      <c r="G455" s="55" t="n">
        <v>709</v>
      </c>
      <c r="H455" s="57" t="n">
        <v>10</v>
      </c>
      <c r="I455" s="55" t="n">
        <v>153</v>
      </c>
      <c r="J455" s="56" t="n">
        <v>4.3</v>
      </c>
      <c r="K455" s="56" t="inlineStr">
        <is>
          <t>https://amazon.com/dp/B0CLDK3M3B</t>
        </is>
      </c>
      <c r="L455" s="70">
        <f>HYPERLINK(Table3559[[#This Row],[Column1]])</f>
        <v/>
      </c>
    </row>
    <row r="456" ht="60" customHeight="1" s="290">
      <c r="A456" s="30" t="inlineStr">
        <is>
          <t>LAUNCH X431 1MM0 Elite Professional Diagnostic Scanner with X-PR0G3, 2026 Bi-Directional Control All System Scan Tool with CANFD &amp; DOIP, 39+ Reset, Active Test ，FCA SGW Automotive Tool, 2 Yrs Update</t>
        </is>
      </c>
      <c r="B456" s="30" t="inlineStr">
        <is>
          <t>B0DN5XKF1S</t>
        </is>
      </c>
      <c r="C456" s="30" t="inlineStr">
        <is>
          <t>Tablet</t>
        </is>
      </c>
      <c r="D456" s="324" t="n">
        <v>1217.822</v>
      </c>
      <c r="E456" s="53" t="n">
        <v>155252.3638461539</v>
      </c>
      <c r="F456" s="53" t="n">
        <v>12178.22</v>
      </c>
      <c r="G456" s="55" t="n">
        <v>110</v>
      </c>
      <c r="H456" s="57" t="n">
        <v>10</v>
      </c>
      <c r="I456" s="55" t="n">
        <v>185</v>
      </c>
      <c r="J456" s="56" t="n">
        <v>4.3</v>
      </c>
      <c r="K456" s="56" t="inlineStr">
        <is>
          <t>https://amazon.com/dp/B0DN5XKF1S</t>
        </is>
      </c>
      <c r="L456" s="70">
        <f>HYPERLINK(Table3559[[#This Row],[Column1]])</f>
        <v/>
      </c>
    </row>
    <row r="457" ht="45" customHeight="1" s="290">
      <c r="A457" s="30" t="inlineStr">
        <is>
          <t>2026 NEW LAUNCH X431 PROS V5.0 Bidirectional Scan Tool, Free Update, ECU Online Coding, CANFD&amp;DOIP, FCA AutoAuth, V.A.G Guide, 37+ Reset for All Cars, OEM Full System Car Scanner</t>
        </is>
      </c>
      <c r="B457" s="30" t="inlineStr">
        <is>
          <t>B06XC3RSMC</t>
        </is>
      </c>
      <c r="C457" s="30" t="inlineStr">
        <is>
          <t>Tablet</t>
        </is>
      </c>
      <c r="D457" s="324" t="n">
        <v>804.211</v>
      </c>
      <c r="E457" s="53" t="n">
        <v>81771.66</v>
      </c>
      <c r="F457" s="53" t="n">
        <v>8042.11</v>
      </c>
      <c r="G457" s="55" t="n">
        <v>98</v>
      </c>
      <c r="H457" s="57" t="n">
        <v>10</v>
      </c>
      <c r="I457" s="55" t="n">
        <v>292</v>
      </c>
      <c r="J457" s="56" t="n">
        <v>4.2</v>
      </c>
      <c r="K457" s="56" t="inlineStr">
        <is>
          <t>https://amazon.com/dp/B06XC3RSMC</t>
        </is>
      </c>
      <c r="L457" s="70">
        <f>HYPERLINK(Table3559[[#This Row],[Column1]])</f>
        <v/>
      </c>
    </row>
    <row r="458" ht="45" customHeight="1" s="290">
      <c r="A458" s="30" t="inlineStr">
        <is>
          <t>LAUNCH X-431 DoIP Connector Adapter Cable with USB and 16-Pin Male to Female for X-431 Series Diagnostic Scanner DBScar VII and SmartLink Connector</t>
        </is>
      </c>
      <c r="B458" s="30" t="inlineStr">
        <is>
          <t>B0CQ8GDK2L</t>
        </is>
      </c>
      <c r="C458" s="30" t="inlineStr">
        <is>
          <t>Cable/Adapter</t>
        </is>
      </c>
      <c r="D458" s="324" t="n">
        <v>82.40900000000001</v>
      </c>
      <c r="E458" s="53" t="n">
        <v>9348.924999999999</v>
      </c>
      <c r="F458" s="53" t="n">
        <v>824.09</v>
      </c>
      <c r="G458" s="55" t="n">
        <v>97</v>
      </c>
      <c r="H458" s="57" t="n">
        <v>10</v>
      </c>
      <c r="I458" s="55" t="n">
        <v>4</v>
      </c>
      <c r="J458" s="56" t="n">
        <v>4.7</v>
      </c>
      <c r="K458" s="56" t="inlineStr">
        <is>
          <t>https://amazon.com/dp/B0CQ8GDK2L</t>
        </is>
      </c>
      <c r="L458" s="70">
        <f>HYPERLINK(Table3559[[#This Row],[Column1]])</f>
        <v/>
      </c>
    </row>
    <row r="459" ht="45" customHeight="1" s="290">
      <c r="A459" s="30" t="inlineStr">
        <is>
          <t>Launch OBD2 Scanner CRP123X Plus V2.0, 2026 All System Scan Tool Lifetime Free Update with SAS/Throttle/Oil Reset for All Cars,Auto VIN OBD2, FCA SGW, Battery Test Scanner Code Reader</t>
        </is>
      </c>
      <c r="B459" s="30" t="inlineStr">
        <is>
          <t>B0CN8Q1H4S</t>
        </is>
      </c>
      <c r="C459" s="30" t="inlineStr">
        <is>
          <t>Tablet</t>
        </is>
      </c>
      <c r="D459" s="324" t="n">
        <v>238.309</v>
      </c>
      <c r="E459" s="53" t="n">
        <v>36275.46000000001</v>
      </c>
      <c r="F459" s="53" t="n">
        <v>2383.09</v>
      </c>
      <c r="G459" s="55" t="n">
        <v>145</v>
      </c>
      <c r="H459" s="57" t="n">
        <v>10</v>
      </c>
      <c r="I459" s="55" t="n">
        <v>97</v>
      </c>
      <c r="J459" s="56" t="n">
        <v>4.6</v>
      </c>
      <c r="K459" s="56" t="inlineStr">
        <is>
          <t>https://amazon.com/dp/B0CN8Q1H4S</t>
        </is>
      </c>
      <c r="L459" s="70">
        <f>HYPERLINK(Table3559[[#This Row],[Column1]])</f>
        <v/>
      </c>
    </row>
    <row r="460" ht="45" customHeight="1" s="290">
      <c r="A460" s="30" t="inlineStr">
        <is>
          <t>LAUNCH X431 PRO3S+ V5.0 2026 Upgraded Bidirectional Scan Tool, OEM Topology Map, Scan HD Trucks, ECU Code, 55+ Services, Full System, CAN FD &amp; DOIP, FCA AutoAuth, V.AG Guided, 2 Yrs Update</t>
        </is>
      </c>
      <c r="B460" s="30" t="inlineStr">
        <is>
          <t>B0DPFD4JV1</t>
        </is>
      </c>
      <c r="C460" s="30" t="inlineStr">
        <is>
          <t>Tablet</t>
        </is>
      </c>
      <c r="D460" s="324" t="n">
        <v>1185.607</v>
      </c>
      <c r="E460" s="53" t="n">
        <v>294277.6899999999</v>
      </c>
      <c r="F460" s="53" t="n">
        <v>11856.07</v>
      </c>
      <c r="G460" s="55" t="n">
        <v>263</v>
      </c>
      <c r="H460" s="57" t="n">
        <v>10</v>
      </c>
      <c r="I460" s="55" t="n">
        <v>32</v>
      </c>
      <c r="J460" s="56" t="n">
        <v>4.3</v>
      </c>
      <c r="K460" s="56" t="inlineStr">
        <is>
          <t>https://amazon.com/dp/B0DPFD4JV1</t>
        </is>
      </c>
      <c r="L460" s="70">
        <f>HYPERLINK(Table3559[[#This Row],[Column1]])</f>
        <v/>
      </c>
    </row>
    <row r="461" ht="30" customHeight="1" s="290">
      <c r="A461" s="30" t="inlineStr">
        <is>
          <t>LAUNCH Creader VII+ V2.0 OBD2 Scanner Diagnostic Scan Tool, 2026 New Automotive Check ABS SRS Transmission and Engine Code Reader, 3 Reset Oil Service/Throttle Relearn/SAS Reset, Free Update</t>
        </is>
      </c>
      <c r="B461" s="30" t="inlineStr">
        <is>
          <t>B00DZFHQN6</t>
        </is>
      </c>
      <c r="C461" s="30" t="inlineStr">
        <is>
          <t>Tablet</t>
        </is>
      </c>
      <c r="D461" s="324" t="n">
        <v>128.668</v>
      </c>
      <c r="E461" s="53" t="n">
        <v>14099.44</v>
      </c>
      <c r="F461" s="53" t="n">
        <v>1286.68</v>
      </c>
      <c r="G461" s="55" t="n">
        <v>109</v>
      </c>
      <c r="H461" s="57" t="n">
        <v>10</v>
      </c>
      <c r="I461" s="55" t="n">
        <v>200</v>
      </c>
      <c r="J461" s="56" t="n">
        <v>4.2</v>
      </c>
      <c r="K461" s="56" t="inlineStr">
        <is>
          <t>https://amazon.com/dp/B00DZFHQN6</t>
        </is>
      </c>
      <c r="L461" s="70">
        <f>HYPERLINK(Table3559[[#This Row],[Column1]])</f>
        <v/>
      </c>
    </row>
    <row r="462" ht="45" customHeight="1" s="290">
      <c r="A462" s="30" t="inlineStr">
        <is>
          <t>LAUNCH CRP129 HD Heavy Duty Truck Scanner, Full System Diesel Diagnostic Scan Tool with 7 Reset, DPF Regen Speed Limit Adjust Oil Reset,Commercial Code Reader for Heavy Truck Pickup Tractor Semi-Truck</t>
        </is>
      </c>
      <c r="B462" s="30" t="inlineStr">
        <is>
          <t>B0DKJ11FB6</t>
        </is>
      </c>
      <c r="C462" s="30" t="inlineStr">
        <is>
          <t>Tablet</t>
        </is>
      </c>
      <c r="D462" s="324" t="n">
        <v>551.489</v>
      </c>
      <c r="E462" s="53" t="n">
        <v>99822.12999999999</v>
      </c>
      <c r="F462" s="53" t="n">
        <v>5514.89</v>
      </c>
      <c r="G462" s="55" t="n">
        <v>180</v>
      </c>
      <c r="H462" s="57" t="n">
        <v>10</v>
      </c>
      <c r="I462" s="55" t="n">
        <v>12</v>
      </c>
      <c r="J462" s="56" t="n">
        <v>4.2</v>
      </c>
      <c r="K462" s="56" t="inlineStr">
        <is>
          <t>https://amazon.com/dp/B0DKJ11FB6</t>
        </is>
      </c>
      <c r="L462" s="70">
        <f>HYPERLINK(Table3559[[#This Row],[Column1]])</f>
        <v/>
      </c>
    </row>
    <row r="463" ht="45" customHeight="1" s="290">
      <c r="A463" s="30" t="inlineStr">
        <is>
          <t>LAUNCH Non-16 Pin Adapter Kit OE-Compliant Connectors Compatible for All LAUNCH X-431 Diagnostic Tool [X-431 V/V+, X-431 PRO S+/3S+/5/MINI, X-431 PAD III/V/VII]</t>
        </is>
      </c>
      <c r="B463" s="30" t="inlineStr">
        <is>
          <t>B0CBTJJ8W7</t>
        </is>
      </c>
      <c r="C463" s="30" t="inlineStr">
        <is>
          <t>Cable/Adapter</t>
        </is>
      </c>
      <c r="D463" s="324" t="n">
        <v>125.308</v>
      </c>
      <c r="E463" s="53" t="n">
        <v>9278.76</v>
      </c>
      <c r="F463" s="53" t="n">
        <v>1253.08</v>
      </c>
      <c r="G463" s="55" t="n">
        <v>72</v>
      </c>
      <c r="H463" s="57" t="n">
        <v>10</v>
      </c>
      <c r="I463" s="55" t="n">
        <v>6</v>
      </c>
      <c r="J463" s="56" t="n">
        <v>4.6</v>
      </c>
      <c r="K463" s="56" t="inlineStr">
        <is>
          <t>https://amazon.com/dp/B0CBTJJ8W7</t>
        </is>
      </c>
      <c r="L463" s="70">
        <f>HYPERLINK(Table3559[[#This Row],[Column1]])</f>
        <v/>
      </c>
    </row>
    <row r="464" ht="45" customHeight="1" s="290">
      <c r="A464" s="30" t="inlineStr">
        <is>
          <t>LAUNCH OBD2 Extension Cable, Full 16 Pin Male to Female Extension Cable for Car OBD Diagnostic Extender Cord Connector OBD2 Cable (36CM/14.2Inch)</t>
        </is>
      </c>
      <c r="B464" s="30" t="inlineStr">
        <is>
          <t>B0DKP276HJ</t>
        </is>
      </c>
      <c r="C464" s="30" t="inlineStr">
        <is>
          <t>Cable/Adapter</t>
        </is>
      </c>
      <c r="D464" s="324" t="n">
        <v>10.438</v>
      </c>
      <c r="E464" s="53" t="n">
        <v>2675.83</v>
      </c>
      <c r="F464" s="53" t="n">
        <v>104.38</v>
      </c>
      <c r="G464" s="55" t="n">
        <v>243</v>
      </c>
      <c r="H464" s="57" t="n">
        <v>10</v>
      </c>
      <c r="I464" s="55" t="n">
        <v>14</v>
      </c>
      <c r="J464" s="56" t="n">
        <v>4.4</v>
      </c>
      <c r="K464" s="56" t="inlineStr">
        <is>
          <t>https://amazon.com/dp/B0DKP276HJ</t>
        </is>
      </c>
      <c r="L464" s="70">
        <f>HYPERLINK(Table3559[[#This Row],[Column1]])</f>
        <v/>
      </c>
    </row>
    <row r="465" ht="45" customHeight="1" s="290">
      <c r="A465" s="30" t="inlineStr">
        <is>
          <t>LAUNCH Original Canvas Bag for X431 CRP123, CRP123I, CRP123E, CRP123X, CRP129, CRP129I, CRP129E, CRP129X, Creader VII+, Creader VIII OBD2 Scanner Replacement Carrying Bag</t>
        </is>
      </c>
      <c r="B465" s="30" t="inlineStr">
        <is>
          <t>B0DRFBYKNN</t>
        </is>
      </c>
      <c r="C465" s="30" t="inlineStr">
        <is>
          <t>Other</t>
        </is>
      </c>
      <c r="D465" s="324" t="n">
        <v>20.47111111111111</v>
      </c>
      <c r="E465" s="53" t="n">
        <v>1852.58</v>
      </c>
      <c r="F465" s="53" t="n">
        <v>184.24</v>
      </c>
      <c r="G465" s="55" t="n">
        <v>92</v>
      </c>
      <c r="H465" s="57" t="n">
        <v>9</v>
      </c>
      <c r="I465" s="55" t="n">
        <v>9</v>
      </c>
      <c r="J465" s="56" t="n">
        <v>5</v>
      </c>
      <c r="K465" s="56" t="inlineStr">
        <is>
          <t>https://amazon.com/dp/B0DRFBYKNN</t>
        </is>
      </c>
      <c r="L465" s="70">
        <f>HYPERLINK(Table3559[[#This Row],[Column1]])</f>
        <v/>
      </c>
    </row>
    <row r="466" ht="45" customHeight="1" s="290">
      <c r="A466" s="30" t="inlineStr">
        <is>
          <t>LAUNCH X431 CRP919EBT Bidirectional Scanner, 2026 Full System Wireless OBD2 Scan Tool,35+ Services,ECU Code,Active Test,CANFD&amp;DOIP, FCA Autoauth,V.A.G Guided,Upgraded of CRP919E</t>
        </is>
      </c>
      <c r="B466" s="30" t="inlineStr">
        <is>
          <t>B0C68BKGN3</t>
        </is>
      </c>
      <c r="C466" s="30" t="inlineStr">
        <is>
          <t>Tablet</t>
        </is>
      </c>
      <c r="D466" s="324" t="n">
        <v>523.0155555555556</v>
      </c>
      <c r="E466" s="53" t="n">
        <v>148671.19</v>
      </c>
      <c r="F466" s="53" t="n">
        <v>4707.14</v>
      </c>
      <c r="G466" s="55" t="n">
        <v>285</v>
      </c>
      <c r="H466" s="57" t="n">
        <v>9</v>
      </c>
      <c r="I466" s="55" t="n">
        <v>33</v>
      </c>
      <c r="J466" s="56" t="n">
        <v>4</v>
      </c>
      <c r="K466" s="56" t="inlineStr">
        <is>
          <t>https://amazon.com/dp/B0C68BKGN3</t>
        </is>
      </c>
      <c r="L466" s="70">
        <f>HYPERLINK(Table3559[[#This Row],[Column1]])</f>
        <v/>
      </c>
    </row>
    <row r="467" ht="45" customHeight="1" s="290">
      <c r="A467" s="30" t="inlineStr">
        <is>
          <t>LAUNCH OBD2 Scanner CRP123I V2.0, 2026 Lifetime Update Scan Tool,Muilti System with 7 Resets Oil/SAS Calibration/Brake/BMS/D.P.F/ABS Bleeding/Throttle Reset, Auto Vin, Battery Test,FCA SGW</t>
        </is>
      </c>
      <c r="B467" s="30" t="inlineStr">
        <is>
          <t>B088ZN6QJH</t>
        </is>
      </c>
      <c r="C467" s="30" t="inlineStr">
        <is>
          <t>Tablet</t>
        </is>
      </c>
      <c r="D467" s="324" t="n">
        <v>170.0033333333333</v>
      </c>
      <c r="E467" s="53" t="n">
        <v>42147.66</v>
      </c>
      <c r="F467" s="53" t="n">
        <v>1530.03</v>
      </c>
      <c r="G467" s="55" t="n">
        <v>249</v>
      </c>
      <c r="H467" s="57" t="n">
        <v>9</v>
      </c>
      <c r="I467" s="55" t="n">
        <v>552</v>
      </c>
      <c r="J467" s="56" t="n">
        <v>4.4</v>
      </c>
      <c r="K467" s="56" t="inlineStr">
        <is>
          <t>https://amazon.com/dp/B088ZN6QJH</t>
        </is>
      </c>
      <c r="L467" s="70">
        <f>HYPERLINK(Table3559[[#This Row],[Column1]])</f>
        <v/>
      </c>
    </row>
    <row r="468" ht="30" customHeight="1" s="290">
      <c r="A468" s="30" t="inlineStr">
        <is>
          <t>LAUNCH Creader Elite V3.0 for Land Rover Jaguar OBD2 Scanner, 2026 Bi-Directional Full Systems Diagnostic Scan Tool, CAN-FD &amp; DOIP, All Services, Active Test, Height Calibration, Lifetime Free Update</t>
        </is>
      </c>
      <c r="B468" s="30" t="inlineStr">
        <is>
          <t>B0DKHMPYVP</t>
        </is>
      </c>
      <c r="C468" s="30" t="inlineStr">
        <is>
          <t>Tablet</t>
        </is>
      </c>
      <c r="D468" s="324" t="n">
        <v>203.4644444444444</v>
      </c>
      <c r="E468" s="53" t="n">
        <v>52606.60999999999</v>
      </c>
      <c r="F468" s="53" t="n">
        <v>1831.18</v>
      </c>
      <c r="G468" s="55" t="n">
        <v>288</v>
      </c>
      <c r="H468" s="57" t="n">
        <v>9</v>
      </c>
      <c r="I468" s="55" t="n">
        <v>35</v>
      </c>
      <c r="J468" s="56" t="n">
        <v>3.7</v>
      </c>
      <c r="K468" s="56" t="inlineStr">
        <is>
          <t>https://amazon.com/dp/B0DKHMPYVP</t>
        </is>
      </c>
      <c r="L468" s="70">
        <f>HYPERLINK(Table3559[[#This Row],[Column1]])</f>
        <v/>
      </c>
    </row>
    <row r="469" ht="45" customHeight="1" s="290">
      <c r="A469" s="30" t="inlineStr">
        <is>
          <t>LAUNCH Original Main Cable Fit for X431 CRP123i, CRP123e, CRP123x, CRP129i, CRP129e, CRP129x OBD2 Replacement Cable - Black</t>
        </is>
      </c>
      <c r="B469" s="30" t="inlineStr">
        <is>
          <t>B0DQY5KS5C</t>
        </is>
      </c>
      <c r="C469" s="30" t="inlineStr">
        <is>
          <t>Cable/Adapter</t>
        </is>
      </c>
      <c r="D469" s="324" t="n">
        <v>27.04444444444444</v>
      </c>
      <c r="E469" s="53" t="n">
        <v>2242.54</v>
      </c>
      <c r="F469" s="53" t="n">
        <v>243.4</v>
      </c>
      <c r="G469" s="55" t="n">
        <v>81</v>
      </c>
      <c r="H469" s="57" t="n">
        <v>9</v>
      </c>
      <c r="I469" s="55" t="n">
        <v>50</v>
      </c>
      <c r="J469" s="56" t="n">
        <v>4.7</v>
      </c>
      <c r="K469" s="56" t="inlineStr">
        <is>
          <t>https://amazon.com/dp/B0DQY5KS5C</t>
        </is>
      </c>
      <c r="L469" s="70">
        <f>HYPERLINK(Table3559[[#This Row],[Column1]])</f>
        <v/>
      </c>
    </row>
    <row r="470" ht="45" customHeight="1" s="290">
      <c r="A470" s="30" t="inlineStr">
        <is>
          <t>LAUNCH X-431 DoIP Connector Adapter Cable with USB and 16-Pin Male to Female for X-431 Series Diagnostic Scanner DBScar VII DBScar 7</t>
        </is>
      </c>
      <c r="B470" s="30" t="inlineStr">
        <is>
          <t>B0GFM465BH</t>
        </is>
      </c>
      <c r="C470" s="30" t="inlineStr">
        <is>
          <t>Cable/Adapter</t>
        </is>
      </c>
      <c r="D470" s="324" t="n">
        <v>91.35555555555555</v>
      </c>
      <c r="E470" s="53" t="n">
        <v>9670.668461538462</v>
      </c>
      <c r="F470" s="53" t="n">
        <v>822.2</v>
      </c>
      <c r="G470" s="55" t="n">
        <v>23</v>
      </c>
      <c r="H470" s="57" t="n">
        <v>9</v>
      </c>
      <c r="I470" s="55" t="n"/>
      <c r="J470" s="56" t="n"/>
      <c r="K470" s="56" t="inlineStr">
        <is>
          <t>https://amazon.com/dp/B0GFM465BH</t>
        </is>
      </c>
      <c r="L470" s="70">
        <f>HYPERLINK(Table3559[[#This Row],[Column1]])</f>
        <v/>
      </c>
    </row>
    <row r="471" ht="60" customHeight="1" s="290">
      <c r="A471" s="30" t="inlineStr">
        <is>
          <t>Launch X431 PRO3 V+ Elite J2534 ECU Protocol, Code Scanner, Smartlink C, 60 Hot Services, FCA SGW, Bidirectional 3000+ Active Tests, 2026 All System Launch Scanner, 200+ Brands, CANFD DoIP, Android 10</t>
        </is>
      </c>
      <c r="B471" s="30" t="inlineStr">
        <is>
          <t>B0FPF2S57B</t>
        </is>
      </c>
      <c r="C471" s="30" t="inlineStr">
        <is>
          <t>Tablet</t>
        </is>
      </c>
      <c r="D471" s="324" t="n">
        <v>1462.117777777778</v>
      </c>
      <c r="E471" s="53" t="n">
        <v>202006.8476923078</v>
      </c>
      <c r="F471" s="53" t="n">
        <v>13159.06</v>
      </c>
      <c r="G471" s="55" t="n">
        <v>93</v>
      </c>
      <c r="H471" s="57" t="n">
        <v>9</v>
      </c>
      <c r="I471" s="55" t="n">
        <v>12</v>
      </c>
      <c r="J471" s="56" t="n">
        <v>5</v>
      </c>
      <c r="K471" s="56" t="inlineStr">
        <is>
          <t>https://amazon.com/dp/B0FPF2S57B</t>
        </is>
      </c>
      <c r="L471" s="70">
        <f>HYPERLINK(Table3559[[#This Row],[Column1]])</f>
        <v/>
      </c>
    </row>
    <row r="472" ht="60" customHeight="1" s="290">
      <c r="A472" s="30" t="inlineStr">
        <is>
          <t>2026 Elite LAUNCH Creader Elite 205 OBD2 Scanner,4 System Diagnostic Scanner with 5 Resets, ABS Bleeding, Injector Coding, EPB,DPF Regeneration，Free Update, AutoVIN, FCA AutoAuth, 5 Years Backup</t>
        </is>
      </c>
      <c r="B472" s="30" t="inlineStr">
        <is>
          <t>B09D9K2FYX</t>
        </is>
      </c>
      <c r="C472" s="30" t="inlineStr">
        <is>
          <t>Handheld</t>
        </is>
      </c>
      <c r="D472" s="324" t="n">
        <v>98.53749999999999</v>
      </c>
      <c r="E472" s="53" t="n">
        <v>8670.949999999999</v>
      </c>
      <c r="F472" s="53" t="n">
        <v>788.3</v>
      </c>
      <c r="G472" s="55" t="n">
        <v>87</v>
      </c>
      <c r="H472" s="57" t="n">
        <v>8</v>
      </c>
      <c r="I472" s="55" t="n">
        <v>74</v>
      </c>
      <c r="J472" s="56" t="n">
        <v>3.7</v>
      </c>
      <c r="K472" s="56" t="inlineStr">
        <is>
          <t>https://amazon.com/dp/B09D9K2FYX</t>
        </is>
      </c>
      <c r="L472" s="70">
        <f>HYPERLINK(Table3559[[#This Row],[Column1]])</f>
        <v/>
      </c>
    </row>
    <row r="473" ht="45" customHeight="1" s="290">
      <c r="A473" s="30" t="inlineStr">
        <is>
          <t>Launch X431 CRP919 EV 2026 Bidirectional Scan Tool, for Electric Vehicles New Energy Cars, All-in-One Full System Diagnostic Scanner, 43+ Reset, ECU Coding, CANFD&amp;DOIP, FCA AutoAuth, 2Yrs Free Update</t>
        </is>
      </c>
      <c r="B473" s="30" t="inlineStr">
        <is>
          <t>B0DT9B4RX9</t>
        </is>
      </c>
      <c r="C473" s="30" t="inlineStr">
        <is>
          <t>Tablet</t>
        </is>
      </c>
      <c r="D473" s="324" t="n">
        <v>543.9</v>
      </c>
      <c r="E473" s="53" t="n">
        <v>35511.35000000001</v>
      </c>
      <c r="F473" s="53" t="n">
        <v>4351.2</v>
      </c>
      <c r="G473" s="55" t="n">
        <v>71</v>
      </c>
      <c r="H473" s="57" t="n">
        <v>8</v>
      </c>
      <c r="I473" s="55" t="n">
        <v>333</v>
      </c>
      <c r="J473" s="56" t="n">
        <v>4.3</v>
      </c>
      <c r="K473" s="56" t="inlineStr">
        <is>
          <t>https://amazon.com/dp/B0DT9B4RX9</t>
        </is>
      </c>
      <c r="L473" s="70">
        <f>HYPERLINK(Table3559[[#This Row],[Column1]])</f>
        <v/>
      </c>
    </row>
    <row r="474" ht="45" customHeight="1" s="290">
      <c r="A474" s="30" t="inlineStr">
        <is>
          <t>LAUNCH X431 CRP919E OBD2 Scanner, 2026 Bidirectional Scan Tool As CRP919EBT, CANFD DOIP, ECU Coding, Active Test, 35+ Service, Full System, FCA Autoauth, TPMS &amp;BST360, 2-Year Update</t>
        </is>
      </c>
      <c r="B474" s="30" t="inlineStr">
        <is>
          <t>B0DKHBS9Z1</t>
        </is>
      </c>
      <c r="C474" s="30" t="inlineStr">
        <is>
          <t>Tablet</t>
        </is>
      </c>
      <c r="D474" s="324" t="n">
        <v>434.74</v>
      </c>
      <c r="E474" s="53" t="n">
        <v>136149.19</v>
      </c>
      <c r="F474" s="53" t="n">
        <v>3477.92</v>
      </c>
      <c r="G474" s="55" t="n">
        <v>316</v>
      </c>
      <c r="H474" s="57" t="n">
        <v>8</v>
      </c>
      <c r="I474" s="55" t="n">
        <v>61</v>
      </c>
      <c r="J474" s="56" t="n">
        <v>4.2</v>
      </c>
      <c r="K474" s="56" t="inlineStr">
        <is>
          <t>https://amazon.com/dp/B0DKHBS9Z1</t>
        </is>
      </c>
      <c r="L474" s="70">
        <f>HYPERLINK(Table3559[[#This Row],[Column1]])</f>
        <v/>
      </c>
    </row>
    <row r="475" ht="45" customHeight="1" s="290">
      <c r="A475" s="30" t="inlineStr">
        <is>
          <t>LAUNCH X431 IM Elite X431 PRG3 Scan Tool 39 Hot Services, 4000 Active Tests, CAN-FD, DoIP, FCA SGW, 5000 ECU, MCU, EEPR0M Read, Write</t>
        </is>
      </c>
      <c r="B475" s="30" t="inlineStr">
        <is>
          <t>B0DLGSXQ95</t>
        </is>
      </c>
      <c r="C475" s="30" t="inlineStr">
        <is>
          <t>Tablet</t>
        </is>
      </c>
      <c r="D475" s="324" t="n">
        <v>1094.96625</v>
      </c>
      <c r="E475" s="53" t="n">
        <v>113148.82</v>
      </c>
      <c r="F475" s="53" t="n">
        <v>8759.73</v>
      </c>
      <c r="G475" s="55" t="n">
        <v>90</v>
      </c>
      <c r="H475" s="57" t="n">
        <v>8</v>
      </c>
      <c r="I475" s="55" t="n">
        <v>10</v>
      </c>
      <c r="J475" s="56" t="n">
        <v>3.7</v>
      </c>
      <c r="K475" s="56" t="inlineStr">
        <is>
          <t>https://amazon.com/dp/B0DLGSXQ95</t>
        </is>
      </c>
      <c r="L475" s="70">
        <f>HYPERLINK(Table3559[[#This Row],[Column1]])</f>
        <v/>
      </c>
    </row>
    <row r="476" ht="45" customHeight="1" s="290">
      <c r="A476" s="30" t="inlineStr">
        <is>
          <t>LAUNCH X431 PRO3S+ Elite with SmartlinkC 2.0,2026 Bi-Directional Scan Tool with J2534,OEM Topology Map, HD Truck Scan,ECU Code,CANFD &amp;DOIP,FCA AutoAuth,60+ Service,2 Years Update</t>
        </is>
      </c>
      <c r="B476" s="30" t="inlineStr">
        <is>
          <t>B0D5MC58JP</t>
        </is>
      </c>
      <c r="C476" s="30" t="inlineStr">
        <is>
          <t>Tablet</t>
        </is>
      </c>
      <c r="D476" s="324" t="n">
        <v>1291.74875</v>
      </c>
      <c r="E476" s="53" t="n">
        <v>202520.08</v>
      </c>
      <c r="F476" s="53" t="n">
        <v>10333.99</v>
      </c>
      <c r="G476" s="55" t="n">
        <v>152</v>
      </c>
      <c r="H476" s="57" t="n">
        <v>8</v>
      </c>
      <c r="I476" s="55" t="n">
        <v>32</v>
      </c>
      <c r="J476" s="56" t="n">
        <v>4</v>
      </c>
      <c r="K476" s="56" t="inlineStr">
        <is>
          <t>https://amazon.com/dp/B0D5MC58JP</t>
        </is>
      </c>
      <c r="L476" s="70">
        <f>HYPERLINK(Table3559[[#This Row],[Column1]])</f>
        <v/>
      </c>
    </row>
    <row r="477" ht="30" customHeight="1" s="290">
      <c r="A477" s="30" t="inlineStr">
        <is>
          <t>LAUNCH X431 Pro TT Bidirectional Scanner with 2026 Bluetooth Connector, 38+ Reset for All Cars, All-in-One Full System, ECU Code, CANFD &amp; DOIP, FCA AutoAuth, VAG Guide,2 Year Free Update</t>
        </is>
      </c>
      <c r="B477" s="30" t="inlineStr">
        <is>
          <t>B0CQY9ZH21</t>
        </is>
      </c>
      <c r="C477" s="30" t="inlineStr">
        <is>
          <t>Tablet</t>
        </is>
      </c>
      <c r="D477" s="324" t="n">
        <v>820.995</v>
      </c>
      <c r="E477" s="53" t="n">
        <v>236680.27</v>
      </c>
      <c r="F477" s="53" t="n">
        <v>6567.96</v>
      </c>
      <c r="G477" s="55" t="n">
        <v>298</v>
      </c>
      <c r="H477" s="57" t="n">
        <v>8</v>
      </c>
      <c r="I477" s="55" t="n">
        <v>59</v>
      </c>
      <c r="J477" s="56" t="n">
        <v>4.4</v>
      </c>
      <c r="K477" s="56" t="inlineStr">
        <is>
          <t>https://amazon.com/dp/B0CQY9ZH21</t>
        </is>
      </c>
      <c r="L477" s="70">
        <f>HYPERLINK(Table3559[[#This Row],[Column1]])</f>
        <v/>
      </c>
    </row>
    <row r="478" ht="45" customHeight="1" s="290">
      <c r="A478" s="30" t="inlineStr">
        <is>
          <t>LAUNCH X-431 CAN FD Adapter CANFD Protocols Car Diagnostic Tool for X-431 V/V+, Pad II/III, PRO 3/3S+/Mini, Diagun V</t>
        </is>
      </c>
      <c r="B478" s="30" t="inlineStr">
        <is>
          <t>B0CDGF2XTV</t>
        </is>
      </c>
      <c r="C478" s="30" t="inlineStr">
        <is>
          <t>Cable/Adapter</t>
        </is>
      </c>
      <c r="D478" s="324" t="n">
        <v>113.0425</v>
      </c>
      <c r="E478" s="53" t="n">
        <v>6492.769999999999</v>
      </c>
      <c r="F478" s="53" t="n">
        <v>904.34</v>
      </c>
      <c r="G478" s="55" t="n">
        <v>59</v>
      </c>
      <c r="H478" s="57" t="n">
        <v>8</v>
      </c>
      <c r="I478" s="55" t="n">
        <v>4</v>
      </c>
      <c r="J478" s="56" t="n">
        <v>5</v>
      </c>
      <c r="K478" s="56" t="inlineStr">
        <is>
          <t>https://amazon.com/dp/B0CDGF2XTV</t>
        </is>
      </c>
      <c r="L478" s="70">
        <f>HYPERLINK(Table3559[[#This Row],[Column1]])</f>
        <v/>
      </c>
    </row>
    <row r="479" ht="30" customHeight="1" s="290">
      <c r="A479" s="30" t="inlineStr">
        <is>
          <t>OBD2 Scanner LAUNCH Millennium 90 Pro Car Scanner, Full OBD2 Code Reader, Diagnostic Scan Tool for ABS SRS AT Engine, with Oil EPB BMS ABS Bleeding SAS Reset Service Functions, Lifetime Free Update</t>
        </is>
      </c>
      <c r="B479" s="30" t="inlineStr">
        <is>
          <t>B074XD3TRS</t>
        </is>
      </c>
      <c r="C479" s="30" t="inlineStr">
        <is>
          <t>Handheld</t>
        </is>
      </c>
      <c r="D479" s="324" t="n">
        <v>90.82714285714285</v>
      </c>
      <c r="E479" s="53" t="n">
        <v>13207.76</v>
      </c>
      <c r="F479" s="53" t="n">
        <v>635.79</v>
      </c>
      <c r="G479" s="55" t="n">
        <v>125</v>
      </c>
      <c r="H479" s="57" t="n">
        <v>7</v>
      </c>
      <c r="I479" s="55" t="n">
        <v>173</v>
      </c>
      <c r="J479" s="56" t="n">
        <v>4.4</v>
      </c>
      <c r="K479" s="56" t="inlineStr">
        <is>
          <t>https://amazon.com/dp/B074XD3TRS</t>
        </is>
      </c>
      <c r="L479" s="70">
        <f>HYPERLINK(Table3559[[#This Row],[Column1]])</f>
        <v/>
      </c>
    </row>
    <row r="480" ht="45" customHeight="1" s="290">
      <c r="A480" s="30" t="inlineStr">
        <is>
          <t>LAUNCH X431 CRP919X OBD2 Scanner,ECU Coding Bidirectional Scan Tool,31+Reset,CAN FD/DoIP,FCA Autoauth, 100+ Brands OBD2 Scanner Diagnostic Tool,All Systems Diagnostic Scanner, IMMO Car Scanner</t>
        </is>
      </c>
      <c r="B480" s="30" t="inlineStr">
        <is>
          <t>B07C9GB9VV</t>
        </is>
      </c>
      <c r="C480" s="30" t="inlineStr">
        <is>
          <t>Tablet</t>
        </is>
      </c>
      <c r="D480" s="324" t="n">
        <v>440.64</v>
      </c>
      <c r="E480" s="53" t="n">
        <v>92629.75999999999</v>
      </c>
      <c r="F480" s="53" t="n">
        <v>3084.48</v>
      </c>
      <c r="G480" s="55" t="n">
        <v>201</v>
      </c>
      <c r="H480" s="57" t="n">
        <v>7</v>
      </c>
      <c r="I480" s="55" t="n">
        <v>251</v>
      </c>
      <c r="J480" s="56" t="n">
        <v>4.2</v>
      </c>
      <c r="K480" s="56" t="inlineStr">
        <is>
          <t>https://amazon.com/dp/B07C9GB9VV</t>
        </is>
      </c>
      <c r="L480" s="70">
        <f>HYPERLINK(Table3559[[#This Row],[Column1]])</f>
        <v/>
      </c>
    </row>
    <row r="481" ht="45" customHeight="1" s="290">
      <c r="A481" s="30" t="inlineStr">
        <is>
          <t>Launch X431 PROS Elite (2026 New Model) Bidirectional ECU Coding Active Tests Scan Tool, 38+ Resets Full System Obd2 Scanner Diagnostic Tool, CAN FD DoIP FCA SGW, V.A.G Guided, 2-Year Update</t>
        </is>
      </c>
      <c r="B481" s="30" t="inlineStr">
        <is>
          <t>B0F2DNK3HJ</t>
        </is>
      </c>
      <c r="C481" s="30" t="inlineStr">
        <is>
          <t>Tablet</t>
        </is>
      </c>
      <c r="D481" s="324" t="n">
        <v>637.1750000000001</v>
      </c>
      <c r="E481" s="53" t="n">
        <v>46060.46923076923</v>
      </c>
      <c r="F481" s="53" t="n">
        <v>3823.05</v>
      </c>
      <c r="G481" s="55" t="n">
        <v>68</v>
      </c>
      <c r="H481" s="57" t="n">
        <v>6</v>
      </c>
      <c r="I481" s="55" t="n">
        <v>34</v>
      </c>
      <c r="J481" s="56" t="n">
        <v>4.8</v>
      </c>
      <c r="K481" s="56" t="inlineStr">
        <is>
          <t>https://amazon.com/dp/B0F2DNK3HJ</t>
        </is>
      </c>
      <c r="L481" s="70">
        <f>HYPERLINK(Table3559[[#This Row],[Column1]])</f>
        <v/>
      </c>
    </row>
    <row r="482" ht="45" customHeight="1" s="290">
      <c r="A482" s="30" t="inlineStr">
        <is>
          <t>Launch CRP129X Plus 2026 OBD2 Scanner Diagnostic Tool, All System Car Scanner, 8 Reset Injector Coding/Throttle/SAS/Oil/EPB/BMS/TPMS Reset Diagnostic Scanner for All Cars, Free Update Scan Tool</t>
        </is>
      </c>
      <c r="B482" s="30" t="inlineStr">
        <is>
          <t>B0CNSLR1VL</t>
        </is>
      </c>
      <c r="C482" s="30" t="inlineStr">
        <is>
          <t>Tablet</t>
        </is>
      </c>
      <c r="D482" s="324" t="n">
        <v>303.7483333333333</v>
      </c>
      <c r="E482" s="53" t="n">
        <v>72933.33846153846</v>
      </c>
      <c r="F482" s="53" t="n">
        <v>1822.49</v>
      </c>
      <c r="G482" s="55" t="n">
        <v>266</v>
      </c>
      <c r="H482" s="57" t="n">
        <v>6</v>
      </c>
      <c r="I482" s="55" t="n">
        <v>116</v>
      </c>
      <c r="J482" s="56" t="n">
        <v>4.3</v>
      </c>
      <c r="K482" s="56" t="inlineStr">
        <is>
          <t>https://amazon.com/dp/B0CNSLR1VL</t>
        </is>
      </c>
      <c r="L482" s="70">
        <f>HYPERLINK(Table3559[[#This Row],[Column1]])</f>
        <v/>
      </c>
    </row>
    <row r="483" ht="45" customHeight="1" s="290">
      <c r="A483" s="30" t="inlineStr">
        <is>
          <t>LAUNCH X431 PRO3 ACE 2026 Upgraded Bidirectional Scan Tool with DBSCar VII Connector,HD Truck Scan,OEM Topology Map,Online Code &amp; 55+ Reset Functions,CAN FD &amp; DoIP,FCA SGW,2-Year Free Update</t>
        </is>
      </c>
      <c r="B483" s="30" t="inlineStr">
        <is>
          <t>B0D4H5429Q</t>
        </is>
      </c>
      <c r="C483" s="30" t="inlineStr">
        <is>
          <t>Tablet</t>
        </is>
      </c>
      <c r="D483" s="324" t="n">
        <v>1109.828333333333</v>
      </c>
      <c r="E483" s="53" t="n">
        <v>184820.82</v>
      </c>
      <c r="F483" s="53" t="n">
        <v>6658.97</v>
      </c>
      <c r="G483" s="55" t="n">
        <v>168</v>
      </c>
      <c r="H483" s="57" t="n">
        <v>6</v>
      </c>
      <c r="I483" s="55" t="n">
        <v>36</v>
      </c>
      <c r="J483" s="56" t="n">
        <v>4.5</v>
      </c>
      <c r="K483" s="56" t="inlineStr">
        <is>
          <t>https://amazon.com/dp/B0D4H5429Q</t>
        </is>
      </c>
      <c r="L483" s="70">
        <f>HYPERLINK(Table3559[[#This Row],[Column1]])</f>
        <v/>
      </c>
    </row>
    <row r="484" ht="45" customHeight="1" s="290">
      <c r="A484" s="30" t="inlineStr">
        <is>
          <t>Launch X431 CRP919XBT ECU Coding OBD2 Scanner, All System Bidirectional Scan Tool, 35+ Hot Services, CANFD DOIP FCA SGW, 150 Brands, Android 10, 2 Years Upgrades</t>
        </is>
      </c>
      <c r="B484" s="30" t="inlineStr">
        <is>
          <t>B0FMHV2PL7</t>
        </is>
      </c>
      <c r="C484" s="30" t="inlineStr">
        <is>
          <t>Tablet</t>
        </is>
      </c>
      <c r="D484" s="324" t="n">
        <v>567.405</v>
      </c>
      <c r="E484" s="53" t="n">
        <v>35698.96307692308</v>
      </c>
      <c r="F484" s="53" t="n">
        <v>3404.43</v>
      </c>
      <c r="G484" s="55" t="n">
        <v>44</v>
      </c>
      <c r="H484" s="57" t="n">
        <v>6</v>
      </c>
      <c r="I484" s="55" t="n">
        <v>15</v>
      </c>
      <c r="J484" s="56" t="n">
        <v>4.6</v>
      </c>
      <c r="K484" s="56" t="inlineStr">
        <is>
          <t>https://amazon.com/dp/B0FMHV2PL7</t>
        </is>
      </c>
      <c r="L484" s="70">
        <f>HYPERLINK(Table3559[[#This Row],[Column1]])</f>
        <v/>
      </c>
    </row>
    <row r="485" ht="45" customHeight="1" s="290">
      <c r="A485" s="30" t="inlineStr">
        <is>
          <t>Launch X431 PRO Elite 2026 Bidirectional Scan Tool, 38+ Resets Full System Scanner,All-in-One Diagnostic Scanner with Active Tests,ECU Code,CANFD DOIP FCA Autoauth V.A.G Guided，2 Years Free Update</t>
        </is>
      </c>
      <c r="B485" s="30" t="inlineStr">
        <is>
          <t>B0C6GKSQ8K</t>
        </is>
      </c>
      <c r="C485" s="30" t="inlineStr">
        <is>
          <t>Tablet</t>
        </is>
      </c>
      <c r="D485" s="324" t="n">
        <v>624.3783333333333</v>
      </c>
      <c r="E485" s="53" t="n">
        <v>72922.78076923077</v>
      </c>
      <c r="F485" s="53" t="n">
        <v>3746.27</v>
      </c>
      <c r="G485" s="55" t="n">
        <v>101</v>
      </c>
      <c r="H485" s="57" t="n">
        <v>6</v>
      </c>
      <c r="I485" s="55" t="n">
        <v>9</v>
      </c>
      <c r="J485" s="56" t="n">
        <v>4</v>
      </c>
      <c r="K485" s="56" t="inlineStr">
        <is>
          <t>https://amazon.com/dp/B0C6GKSQ8K</t>
        </is>
      </c>
      <c r="L485" s="70">
        <f>HYPERLINK(Table3559[[#This Row],[Column1]])</f>
        <v/>
      </c>
    </row>
    <row r="486" ht="45" customHeight="1" s="290">
      <c r="A486" s="30" t="inlineStr">
        <is>
          <t>LAUNCH OBD2 Scanner CRP919X Lite: 2026 Bidirectional Scan Tool, Active Tests, 32+ Services, All System Diagnose, Injector Coding, 2-Year Free Update, FCA AutoAuth, AutoVIN &amp; AutoScan,Update of CRP909X</t>
        </is>
      </c>
      <c r="B486" s="30" t="inlineStr">
        <is>
          <t>B07QLV9X98</t>
        </is>
      </c>
      <c r="C486" s="30" t="inlineStr">
        <is>
          <t>Tablet</t>
        </is>
      </c>
      <c r="D486" s="324" t="n">
        <v>370.3933333333334</v>
      </c>
      <c r="E486" s="53" t="n">
        <v>67698.32000000001</v>
      </c>
      <c r="F486" s="53" t="n">
        <v>2222.36</v>
      </c>
      <c r="G486" s="55" t="n">
        <v>185</v>
      </c>
      <c r="H486" s="57" t="n">
        <v>6</v>
      </c>
      <c r="I486" s="55" t="n">
        <v>57</v>
      </c>
      <c r="J486" s="56" t="n">
        <v>4.6</v>
      </c>
      <c r="K486" s="56" t="inlineStr">
        <is>
          <t>https://amazon.com/dp/B07QLV9X98</t>
        </is>
      </c>
      <c r="L486" s="70">
        <f>HYPERLINK(Table3559[[#This Row],[Column1]])</f>
        <v/>
      </c>
    </row>
    <row r="487" ht="45" customHeight="1" s="290">
      <c r="A487" s="30" t="inlineStr">
        <is>
          <t>LAUNCH X431 CRP919E Lite OBD2 Scanner,2026 New Bidirectional Scan Tool, Full System Diagnostic Scanner,32+ Service,FCA AutoAuth,2 Year Update</t>
        </is>
      </c>
      <c r="B487" s="30" t="inlineStr">
        <is>
          <t>B0D5M8WX1Z</t>
        </is>
      </c>
      <c r="C487" s="30" t="inlineStr">
        <is>
          <t>Tablet</t>
        </is>
      </c>
      <c r="D487" s="324" t="n">
        <v>360.3733333333333</v>
      </c>
      <c r="E487" s="53" t="n">
        <v>51714.32</v>
      </c>
      <c r="F487" s="53" t="n">
        <v>2162.24</v>
      </c>
      <c r="G487" s="55" t="n">
        <v>143</v>
      </c>
      <c r="H487" s="57" t="n">
        <v>6</v>
      </c>
      <c r="I487" s="55" t="n">
        <v>36</v>
      </c>
      <c r="J487" s="56" t="n">
        <v>4.1</v>
      </c>
      <c r="K487" s="56" t="inlineStr">
        <is>
          <t>https://amazon.com/dp/B0D5M8WX1Z</t>
        </is>
      </c>
      <c r="L487" s="70">
        <f>HYPERLINK(Table3559[[#This Row],[Column1]])</f>
        <v/>
      </c>
    </row>
    <row r="488" ht="45" customHeight="1" s="290">
      <c r="A488" s="30" t="inlineStr">
        <is>
          <t>LAUNCH X-431 VSP-100 Endoscope Work with X-431 Tablet 5.5mm Ultra-Thin Digital HD USB Video Inspection Camera Multi-Angle Imaging One-Click Snapshot IP67 Waterproof Borescope Videoscope</t>
        </is>
      </c>
      <c r="B488" s="30" t="inlineStr">
        <is>
          <t>B0FDK1BNPW</t>
        </is>
      </c>
      <c r="C488" s="30" t="inlineStr">
        <is>
          <t>Other</t>
        </is>
      </c>
      <c r="D488" s="324" t="n">
        <v>50.83333333333334</v>
      </c>
      <c r="E488" s="53" t="n">
        <v>2779.895384615385</v>
      </c>
      <c r="F488" s="53" t="n">
        <v>305</v>
      </c>
      <c r="G488" s="55" t="n">
        <v>39</v>
      </c>
      <c r="H488" s="57" t="n">
        <v>6</v>
      </c>
      <c r="I488" s="55" t="n">
        <v>3</v>
      </c>
      <c r="J488" s="56" t="n">
        <v>5</v>
      </c>
      <c r="K488" s="56" t="inlineStr">
        <is>
          <t>https://amazon.com/dp/B0FDK1BNPW</t>
        </is>
      </c>
      <c r="L488" s="70">
        <f>HYPERLINK(Table3559[[#This Row],[Column1]])</f>
        <v/>
      </c>
    </row>
    <row r="489" ht="45" customHeight="1" s="290">
      <c r="A489" s="30" t="inlineStr">
        <is>
          <t>LAUNCH Original Diagnostic Cable for DBSCar VII VCI Connector, DR15 Female to DR15 Female Replacement Cable Work with X431 CRP919EBT, CRP919XBT, PROS V+5.0 Elite, PRO3 ACE, PRO Dyno</t>
        </is>
      </c>
      <c r="B489" s="30" t="inlineStr">
        <is>
          <t>B0D8PGZHF8</t>
        </is>
      </c>
      <c r="C489" s="30" t="inlineStr">
        <is>
          <t>Cable/Adapter</t>
        </is>
      </c>
      <c r="D489" s="324" t="n">
        <v>26.56833333333333</v>
      </c>
      <c r="E489" s="53" t="n">
        <v>1343.47</v>
      </c>
      <c r="F489" s="53" t="n">
        <v>159.41</v>
      </c>
      <c r="G489" s="55" t="n">
        <v>50</v>
      </c>
      <c r="H489" s="57" t="n">
        <v>6</v>
      </c>
      <c r="I489" s="55" t="n">
        <v>2</v>
      </c>
      <c r="J489" s="56" t="n">
        <v>4.5</v>
      </c>
      <c r="K489" s="56" t="inlineStr">
        <is>
          <t>https://amazon.com/dp/B0D8PGZHF8</t>
        </is>
      </c>
      <c r="L489" s="70">
        <f>HYPERLINK(Table3559[[#This Row],[Column1]])</f>
        <v/>
      </c>
    </row>
    <row r="490" ht="45" customHeight="1" s="290">
      <c r="A490" s="30" t="inlineStr">
        <is>
          <t>Launch X431 PRO 5 Scanner: 2026 J2534 Tool, ECU Online Coding, Topology Mapping, Upgraded of X431 V+, Bi-Directional Diagnostic Scanner, with SmartLink C V2.0, CANFD &amp; DOIP, 2 Years Update</t>
        </is>
      </c>
      <c r="B490" s="30" t="inlineStr">
        <is>
          <t>B09PYFPFNY</t>
        </is>
      </c>
      <c r="C490" s="30" t="inlineStr">
        <is>
          <t>Tablet</t>
        </is>
      </c>
      <c r="D490" s="324" t="n">
        <v>1432.656666666667</v>
      </c>
      <c r="E490" s="53" t="n">
        <v>380876.15</v>
      </c>
      <c r="F490" s="53" t="n">
        <v>8595.940000000001</v>
      </c>
      <c r="G490" s="55" t="n">
        <v>261</v>
      </c>
      <c r="H490" s="57" t="n">
        <v>6</v>
      </c>
      <c r="I490" s="55" t="n">
        <v>123</v>
      </c>
      <c r="J490" s="56" t="n">
        <v>4</v>
      </c>
      <c r="K490" s="56" t="inlineStr">
        <is>
          <t>https://amazon.com/dp/B09PYFPFNY</t>
        </is>
      </c>
      <c r="L490" s="70">
        <f>HYPERLINK(Table3559[[#This Row],[Column1]])</f>
        <v/>
      </c>
    </row>
    <row r="491" ht="45" customHeight="1" s="290">
      <c r="A491" s="30" t="inlineStr">
        <is>
          <t>2026 Launch CRP123 V2.0 OBD2 Scanner, Engine, ABS, SRS, Transmission Code Reader Car Diagnostic Scan Tool, Full OBDII Modes Automotive Scanner, Live Data Stream Graph, Lifetime Free Update</t>
        </is>
      </c>
      <c r="B491" s="30" t="inlineStr">
        <is>
          <t>B07Q8KJMTM</t>
        </is>
      </c>
      <c r="C491" s="30" t="inlineStr">
        <is>
          <t>Tablet</t>
        </is>
      </c>
      <c r="D491" s="324" t="n">
        <v>127.526</v>
      </c>
      <c r="E491" s="53" t="n">
        <v>34767.21999999999</v>
      </c>
      <c r="F491" s="53" t="n">
        <v>637.63</v>
      </c>
      <c r="G491" s="55" t="n">
        <v>265</v>
      </c>
      <c r="H491" s="57" t="n">
        <v>5</v>
      </c>
      <c r="I491" s="55" t="n">
        <v>364</v>
      </c>
      <c r="J491" s="56" t="n">
        <v>4.3</v>
      </c>
      <c r="K491" s="56" t="inlineStr">
        <is>
          <t>https://amazon.com/dp/B07Q8KJMTM</t>
        </is>
      </c>
      <c r="L491" s="70">
        <f>HYPERLINK(Table3559[[#This Row],[Column1]])</f>
        <v/>
      </c>
    </row>
    <row r="492" ht="45" customHeight="1" s="290">
      <c r="A492" s="30" t="inlineStr">
        <is>
          <t>LAUNCH X-431 X-PROG3 Advanced Diagnostic Tool with EEPROM for X431 V/V+, PRO3S+, Pro3, Pro5, PAD III, PAD V</t>
        </is>
      </c>
      <c r="B492" s="30" t="inlineStr">
        <is>
          <t>B0F2LYYMSP</t>
        </is>
      </c>
      <c r="C492" s="30" t="inlineStr">
        <is>
          <t>Tablet</t>
        </is>
      </c>
      <c r="D492" s="324" t="n">
        <v>578.332</v>
      </c>
      <c r="E492" s="53" t="n">
        <v>23625.94307692307</v>
      </c>
      <c r="F492" s="53" t="n">
        <v>2891.66</v>
      </c>
      <c r="G492" s="55" t="n">
        <v>18</v>
      </c>
      <c r="H492" s="57" t="n">
        <v>5</v>
      </c>
      <c r="I492" s="55" t="n">
        <v>5</v>
      </c>
      <c r="J492" s="56" t="n">
        <v>3.3</v>
      </c>
      <c r="K492" s="56" t="inlineStr">
        <is>
          <t>https://amazon.com/dp/B0F2LYYMSP</t>
        </is>
      </c>
      <c r="L492" s="70">
        <f>HYPERLINK(Table3559[[#This Row],[Column1]])</f>
        <v/>
      </c>
    </row>
    <row r="493" ht="45" customHeight="1" s="290">
      <c r="A493" s="30" t="inlineStr">
        <is>
          <t>LAUNCH X431 Elite 2.0 PRO fit for Nissan Bi-Directional Scanner, 2025 Upgrade Configure All Reset Full System Diagnose, AUTOVIN, Full OBD2 Functions for Nissan/for Inifitini/for GTR</t>
        </is>
      </c>
      <c r="B493" s="30" t="inlineStr">
        <is>
          <t>B0D9GLVQDW</t>
        </is>
      </c>
      <c r="C493" s="30" t="inlineStr">
        <is>
          <t>Tablet</t>
        </is>
      </c>
      <c r="D493" s="324" t="n">
        <v>266.654</v>
      </c>
      <c r="E493" s="53" t="n">
        <v>58627.84153846154</v>
      </c>
      <c r="F493" s="53" t="n">
        <v>1333.27</v>
      </c>
      <c r="G493" s="55" t="n">
        <v>322</v>
      </c>
      <c r="H493" s="57" t="n">
        <v>5</v>
      </c>
      <c r="I493" s="55" t="n">
        <v>42</v>
      </c>
      <c r="J493" s="56" t="n">
        <v>3.8</v>
      </c>
      <c r="K493" s="56" t="inlineStr">
        <is>
          <t>https://amazon.com/dp/B0D9GLVQDW</t>
        </is>
      </c>
      <c r="L493" s="70">
        <f>HYPERLINK(Table3559[[#This Row],[Column1]])</f>
        <v/>
      </c>
    </row>
    <row r="494" ht="45" customHeight="1" s="290">
      <c r="A494" s="30" t="inlineStr">
        <is>
          <t>LAUNCH X431 CRP919 EV Bidirectional Diagnostic Tool, 2026 New Full System OBD2 Scanner for Electric Vehicles, 43 Reset, ECU Coding, CANFD DOIP, FCA AutoAuth, 2 Years Free Update</t>
        </is>
      </c>
      <c r="B494" s="30" t="inlineStr">
        <is>
          <t>B0FX26XKPS</t>
        </is>
      </c>
      <c r="C494" s="30" t="inlineStr">
        <is>
          <t>Tablet</t>
        </is>
      </c>
      <c r="D494" s="324" t="n">
        <v>460.188</v>
      </c>
      <c r="E494" s="53" t="n">
        <v>24305.14153846154</v>
      </c>
      <c r="F494" s="53" t="n">
        <v>2300.94</v>
      </c>
      <c r="G494" s="55" t="n">
        <v>11</v>
      </c>
      <c r="H494" s="57" t="n">
        <v>5</v>
      </c>
      <c r="I494" s="55" t="n"/>
      <c r="J494" s="56" t="n"/>
      <c r="K494" s="56" t="inlineStr">
        <is>
          <t>https://amazon.com/dp/B0FX26XKPS</t>
        </is>
      </c>
      <c r="L494" s="70">
        <f>HYPERLINK(Table3559[[#This Row],[Column1]])</f>
        <v/>
      </c>
    </row>
    <row r="495" ht="60" customHeight="1" s="290">
      <c r="A495" s="30" t="inlineStr">
        <is>
          <t>LAUNCH Millennium Master 2.0 OBD2 Scanner, Check Engine/ABS/SRS/Transmission Diagnostic Scan Tool with 13 Service Functions, Support Battery Health/Start/Charging Test, Auto VIN (Use in the US &amp; CAN)</t>
        </is>
      </c>
      <c r="B495" s="30" t="inlineStr">
        <is>
          <t>B0CTMSQV1F</t>
        </is>
      </c>
      <c r="C495" s="30" t="inlineStr">
        <is>
          <t>Tablet</t>
        </is>
      </c>
      <c r="D495" s="324" t="n">
        <v>255.51</v>
      </c>
      <c r="E495" s="53" t="n">
        <v>12333.04</v>
      </c>
      <c r="F495" s="53" t="n">
        <v>1277.55</v>
      </c>
      <c r="G495" s="55" t="n">
        <v>45</v>
      </c>
      <c r="H495" s="57" t="n">
        <v>5</v>
      </c>
      <c r="I495" s="55" t="n">
        <v>4</v>
      </c>
      <c r="J495" s="56" t="n">
        <v>4.6</v>
      </c>
      <c r="K495" s="56" t="inlineStr">
        <is>
          <t>https://amazon.com/dp/B0CTMSQV1F</t>
        </is>
      </c>
      <c r="L495" s="70">
        <f>HYPERLINK(Table3559[[#This Row],[Column1]])</f>
        <v/>
      </c>
    </row>
    <row r="496" ht="45" customHeight="1" s="290">
      <c r="A496" s="30" t="inlineStr">
        <is>
          <t>LAUNCH Creader Elite V2.0 for Land Rover Jaguar OBD2 Scanner, Bi-Directional Full Systems Diagnostic Scan Tool, All Reset Services, Active Test, Battery Reset, Height Calibration, Lifetime Free Update</t>
        </is>
      </c>
      <c r="B496" s="30" t="inlineStr">
        <is>
          <t>B0F4QVVDN6</t>
        </is>
      </c>
      <c r="C496" s="30" t="inlineStr">
        <is>
          <t>Tablet</t>
        </is>
      </c>
      <c r="D496" s="324" t="n">
        <v>162.364</v>
      </c>
      <c r="E496" s="53" t="n">
        <v>26428.27923076924</v>
      </c>
      <c r="F496" s="53" t="n">
        <v>811.8200000000001</v>
      </c>
      <c r="G496" s="55" t="n">
        <v>131</v>
      </c>
      <c r="H496" s="57" t="n">
        <v>5</v>
      </c>
      <c r="I496" s="55" t="n">
        <v>6</v>
      </c>
      <c r="J496" s="56" t="n">
        <v>3.2</v>
      </c>
      <c r="K496" s="56" t="inlineStr">
        <is>
          <t>https://amazon.com/dp/B0F4QVVDN6</t>
        </is>
      </c>
      <c r="L496" s="70">
        <f>HYPERLINK(Table3559[[#This Row],[Column1]])</f>
        <v/>
      </c>
    </row>
    <row r="497" ht="60" customHeight="1" s="290">
      <c r="A497" s="30" t="inlineStr">
        <is>
          <t>Launch CRP129 HD Heavy Duty Truck Scanner, Car Diagnostic Scanner for Commercial Vehicles, Full Sysem Diagnostic Tool, 7+ Services, Power Balance Test, Full OBD2/HD OBD/EOBD, 51+ Brands</t>
        </is>
      </c>
      <c r="B497" s="30" t="inlineStr">
        <is>
          <t>B0DCZ4VCPQ</t>
        </is>
      </c>
      <c r="C497" s="30" t="inlineStr">
        <is>
          <t>Tablet</t>
        </is>
      </c>
      <c r="D497" s="324" t="n">
        <v>512.4880000000001</v>
      </c>
      <c r="E497" s="53" t="n">
        <v>21328.13692307693</v>
      </c>
      <c r="F497" s="53" t="n">
        <v>2562.44</v>
      </c>
      <c r="G497" s="55" t="n">
        <v>22</v>
      </c>
      <c r="H497" s="57" t="n">
        <v>5</v>
      </c>
      <c r="I497" s="55" t="n">
        <v>2</v>
      </c>
      <c r="J497" s="56" t="n">
        <v>4.5</v>
      </c>
      <c r="K497" s="56" t="inlineStr">
        <is>
          <t>https://amazon.com/dp/B0DCZ4VCPQ</t>
        </is>
      </c>
      <c r="L497" s="70">
        <f>HYPERLINK(Table3559[[#This Row],[Column1]])</f>
        <v/>
      </c>
    </row>
    <row r="498" ht="45" customHeight="1" s="290">
      <c r="A498" s="30" t="inlineStr">
        <is>
          <t>LAUNCH CRP129 HD Heavy Duty Truck Diagnostic Scanner Creader Elite, Oil Reset. DPF Regen. Injector Coding, Full System Code Reader Machinery Diesel Vehicle Vessel Scan Tool</t>
        </is>
      </c>
      <c r="B498" s="30" t="inlineStr">
        <is>
          <t>B0CXJKLRPC</t>
        </is>
      </c>
      <c r="C498" s="30" t="inlineStr">
        <is>
          <t>Tablet</t>
        </is>
      </c>
      <c r="D498" s="324" t="n">
        <v>446.0600000000001</v>
      </c>
      <c r="E498" s="53" t="n">
        <v>12487.57</v>
      </c>
      <c r="F498" s="53" t="n">
        <v>2230.3</v>
      </c>
      <c r="G498" s="55" t="n">
        <v>27</v>
      </c>
      <c r="H498" s="57" t="n">
        <v>5</v>
      </c>
      <c r="I498" s="55" t="n">
        <v>6</v>
      </c>
      <c r="J498" s="56" t="n">
        <v>3.9</v>
      </c>
      <c r="K498" s="56" t="inlineStr">
        <is>
          <t>https://amazon.com/dp/B0CXJKLRPC</t>
        </is>
      </c>
      <c r="L498" s="70">
        <f>HYPERLINK(Table3559[[#This Row],[Column1]])</f>
        <v/>
      </c>
    </row>
    <row r="499" ht="45" customHeight="1" s="290">
      <c r="A499" s="30" t="inlineStr">
        <is>
          <t>LAUNCH X431 CRP919E OBD2 Scanner, Bidirectional Scan Tool as X431, ECU Code, CAN FD &amp; DoIP, 35+ Reset, Active Test, All-in-One Full System Diagnostic Scanner, FCA Autoauth, 160+ Brands, 2 Yrs Update</t>
        </is>
      </c>
      <c r="B499" s="30" t="inlineStr">
        <is>
          <t>B0B4MJ5NK6</t>
        </is>
      </c>
      <c r="C499" s="30" t="inlineStr">
        <is>
          <t>Tablet</t>
        </is>
      </c>
      <c r="D499" s="324" t="n">
        <v>425.448</v>
      </c>
      <c r="E499" s="53" t="n">
        <v>36793.75461538461</v>
      </c>
      <c r="F499" s="53" t="n">
        <v>2127.24</v>
      </c>
      <c r="G499" s="55" t="n">
        <v>67</v>
      </c>
      <c r="H499" s="57" t="n">
        <v>5</v>
      </c>
      <c r="I499" s="55" t="n">
        <v>60</v>
      </c>
      <c r="J499" s="56" t="n">
        <v>4.5</v>
      </c>
      <c r="K499" s="56" t="inlineStr">
        <is>
          <t>https://amazon.com/dp/B0B4MJ5NK6</t>
        </is>
      </c>
      <c r="L499" s="70">
        <f>HYPERLINK(Table3559[[#This Row],[Column1]])</f>
        <v/>
      </c>
    </row>
    <row r="500" ht="45" customHeight="1" s="290">
      <c r="A500" s="30" t="inlineStr">
        <is>
          <t>LAUNCH X431 Scanner PRO3 APEX Bidirectional Scan Tool 2026 Upgraded, OEM Topology Map, Online Coding, HD Truck, 55+ Services All-System car Diagnostics Tool,10.1 Inch, CAN FD &amp; DoIP, FCA &amp; Renault SGW</t>
        </is>
      </c>
      <c r="B500" s="30" t="inlineStr">
        <is>
          <t>B08B643TZ9</t>
        </is>
      </c>
      <c r="C500" s="30" t="inlineStr">
        <is>
          <t>Tablet</t>
        </is>
      </c>
      <c r="D500" s="324" t="n">
        <v>1040.656</v>
      </c>
      <c r="E500" s="53" t="n">
        <v>19937.81</v>
      </c>
      <c r="F500" s="53" t="n">
        <v>5203.28</v>
      </c>
      <c r="G500" s="55" t="n">
        <v>18</v>
      </c>
      <c r="H500" s="57" t="n">
        <v>5</v>
      </c>
      <c r="I500" s="55" t="n">
        <v>11</v>
      </c>
      <c r="J500" s="56" t="n">
        <v>4.4</v>
      </c>
      <c r="K500" s="56" t="inlineStr">
        <is>
          <t>https://amazon.com/dp/B08B643TZ9</t>
        </is>
      </c>
      <c r="L500" s="70">
        <f>HYPERLINK(Table3559[[#This Row],[Column1]])</f>
        <v/>
      </c>
    </row>
    <row r="501" ht="45" customHeight="1" s="290">
      <c r="A501" s="30" t="inlineStr">
        <is>
          <t>LAUNCH X431 CRP919E OBD2 Scanner, 2026 Bidirectional Scan Tool As CRP919EBT, ECU Code, 35+ Services, Active Test, All System Diagnose, CANFD &amp; DOIP, FCA SGW, Android 10.0, 160+ Brands, 2 Year Update</t>
        </is>
      </c>
      <c r="B501" s="30" t="inlineStr">
        <is>
          <t>B0FN7NJWZV</t>
        </is>
      </c>
      <c r="C501" s="30" t="inlineStr">
        <is>
          <t>Tablet</t>
        </is>
      </c>
      <c r="D501" s="324" t="n">
        <v>460.872</v>
      </c>
      <c r="E501" s="53" t="n">
        <v>46432.08923076923</v>
      </c>
      <c r="F501" s="53" t="n">
        <v>2304.36</v>
      </c>
      <c r="G501" s="55" t="n">
        <v>74</v>
      </c>
      <c r="H501" s="57" t="n">
        <v>5</v>
      </c>
      <c r="I501" s="55" t="n">
        <v>60</v>
      </c>
      <c r="J501" s="56" t="n">
        <v>4.5</v>
      </c>
      <c r="K501" s="56" t="inlineStr">
        <is>
          <t>https://amazon.com/dp/B0FN7NJWZV</t>
        </is>
      </c>
      <c r="L501" s="70">
        <f>HYPERLINK(Table3559[[#This Row],[Column1]])</f>
        <v/>
      </c>
    </row>
    <row r="502" ht="45" customHeight="1" s="290">
      <c r="A502" s="30" t="inlineStr">
        <is>
          <t>LAUNCH X431 PRO5 J2534 Protocol Bidirectional Scan Tool with SmartLink C V2.0, Car Diagnostic Scanner with Topology Mapping, 60+ Services, Intelligent Diagnostics, Guided Functions, 2-Year Free Update</t>
        </is>
      </c>
      <c r="B502" s="30" t="inlineStr">
        <is>
          <t>B07L6WWL62</t>
        </is>
      </c>
      <c r="C502" s="30" t="inlineStr">
        <is>
          <t>Tablet</t>
        </is>
      </c>
      <c r="D502" s="324" t="n">
        <v>1443.308</v>
      </c>
      <c r="E502" s="53" t="n">
        <v>247494.6</v>
      </c>
      <c r="F502" s="53" t="n">
        <v>7216.54</v>
      </c>
      <c r="G502" s="55" t="n">
        <v>165</v>
      </c>
      <c r="H502" s="57" t="n">
        <v>5</v>
      </c>
      <c r="I502" s="55" t="n">
        <v>104</v>
      </c>
      <c r="J502" s="56" t="n">
        <v>4</v>
      </c>
      <c r="K502" s="56" t="inlineStr">
        <is>
          <t>https://amazon.com/dp/B07L6WWL62</t>
        </is>
      </c>
      <c r="L502" s="70">
        <f>HYPERLINK(Table3559[[#This Row],[Column1]])</f>
        <v/>
      </c>
    </row>
    <row r="503" ht="45" customHeight="1" s="290">
      <c r="A503" s="30" t="inlineStr">
        <is>
          <t>Launch Diagnostic Scanner Tool for BMW, 2024 Enhanced Multi-System OBD2 Scanner, Auto Fault Code Reader with Bi-Directional Control &amp; Battery Registration for BMW After 1996</t>
        </is>
      </c>
      <c r="B503" s="30" t="inlineStr">
        <is>
          <t>B09NN54ZJZ</t>
        </is>
      </c>
      <c r="C503" s="30" t="inlineStr">
        <is>
          <t>Handheld</t>
        </is>
      </c>
      <c r="D503" s="324" t="n">
        <v>128.996</v>
      </c>
      <c r="E503" s="53" t="n">
        <v>7316.376153846154</v>
      </c>
      <c r="F503" s="53" t="n">
        <v>644.98</v>
      </c>
      <c r="G503" s="55" t="n">
        <v>40</v>
      </c>
      <c r="H503" s="57" t="n">
        <v>5</v>
      </c>
      <c r="I503" s="55" t="n">
        <v>30</v>
      </c>
      <c r="J503" s="56" t="n">
        <v>4</v>
      </c>
      <c r="K503" s="56" t="inlineStr">
        <is>
          <t>https://amazon.com/dp/B09NN54ZJZ</t>
        </is>
      </c>
      <c r="L503" s="70">
        <f>HYPERLINK(Table3559[[#This Row],[Column1]])</f>
        <v/>
      </c>
    </row>
    <row r="504" ht="30" customHeight="1" s="290">
      <c r="A504" s="30" t="inlineStr">
        <is>
          <t>LAUNCH X431 PRO TT 2026 Newly Bidirectional Scan Tool, Bluetooth Launch Scanner with DBSCar VII Connector, 38+ Reset for All Cars, Online ECU Code, CANFD, FCA AutoAuth, VAG Guide, 2 Yrs Free Update</t>
        </is>
      </c>
      <c r="B504" s="30" t="inlineStr">
        <is>
          <t>B07HGZZCLX</t>
        </is>
      </c>
      <c r="C504" s="30" t="inlineStr">
        <is>
          <t>Tablet</t>
        </is>
      </c>
      <c r="D504" s="324" t="n">
        <v>769.362</v>
      </c>
      <c r="E504" s="53" t="n">
        <v>28148.5</v>
      </c>
      <c r="F504" s="53" t="n">
        <v>3846.81</v>
      </c>
      <c r="G504" s="55" t="n">
        <v>34</v>
      </c>
      <c r="H504" s="57" t="n">
        <v>5</v>
      </c>
      <c r="I504" s="55" t="n">
        <v>10</v>
      </c>
      <c r="J504" s="56" t="n">
        <v>4.6</v>
      </c>
      <c r="K504" s="56" t="inlineStr">
        <is>
          <t>https://amazon.com/dp/B07HGZZCLX</t>
        </is>
      </c>
      <c r="L504" s="70">
        <f>HYPERLINK(Table3559[[#This Row],[Column1]])</f>
        <v/>
      </c>
    </row>
    <row r="505" ht="45" customHeight="1" s="290">
      <c r="A505" s="30" t="inlineStr">
        <is>
          <t>LAUNCH OBD-II OBD2 Extension Cable, Ultra-Long 4ft 120cm 1.2M, Auto Car 16 Pin Male to Female OBD2 Diagnostic Extender Cord Adapter for All OBD2 Scanners(4ft 120cm 1.2M)</t>
        </is>
      </c>
      <c r="B505" s="30" t="inlineStr">
        <is>
          <t>B0DWXHXJG1</t>
        </is>
      </c>
      <c r="C505" s="30" t="inlineStr">
        <is>
          <t>Cable/Adapter</t>
        </is>
      </c>
      <c r="D505" s="324" t="n">
        <v>16.275</v>
      </c>
      <c r="E505" s="53" t="n">
        <v>1974.41</v>
      </c>
      <c r="F505" s="53" t="n">
        <v>65.09999999999999</v>
      </c>
      <c r="G505" s="55" t="n">
        <v>128</v>
      </c>
      <c r="H505" s="57" t="n">
        <v>4</v>
      </c>
      <c r="I505" s="55" t="n">
        <v>7</v>
      </c>
      <c r="J505" s="56" t="n">
        <v>4.8</v>
      </c>
      <c r="K505" s="56" t="inlineStr">
        <is>
          <t>https://amazon.com/dp/B0DWXHXJG1</t>
        </is>
      </c>
      <c r="L505" s="70">
        <f>HYPERLINK(Table3559[[#This Row],[Column1]])</f>
        <v/>
      </c>
    </row>
    <row r="506" ht="45" customHeight="1" s="290">
      <c r="A506" s="30" t="inlineStr">
        <is>
          <t>Launch OBD2 Scanner</t>
        </is>
      </c>
      <c r="B506" s="30" t="inlineStr">
        <is>
          <t>B08DV79QMN</t>
        </is>
      </c>
      <c r="C506" s="30" t="inlineStr">
        <is>
          <t>Handheld</t>
        </is>
      </c>
      <c r="D506" s="324" t="n">
        <v>73.2</v>
      </c>
      <c r="E506" s="53" t="n">
        <v>2822.870769230769</v>
      </c>
      <c r="F506" s="53" t="n">
        <v>292.8</v>
      </c>
      <c r="G506" s="55" t="n">
        <v>18</v>
      </c>
      <c r="H506" s="57" t="n">
        <v>4</v>
      </c>
      <c r="I506" s="55" t="n">
        <v>1</v>
      </c>
      <c r="J506" s="56" t="n">
        <v>5</v>
      </c>
      <c r="K506" s="56" t="inlineStr">
        <is>
          <t>https://amazon.com/dp/B08DV79QMN</t>
        </is>
      </c>
      <c r="L506" s="70">
        <f>HYPERLINK(Table3559[[#This Row],[Column1]])</f>
        <v/>
      </c>
    </row>
    <row r="507" ht="45" customHeight="1" s="290">
      <c r="A507" s="30" t="inlineStr">
        <is>
          <t>LAUNCH X431 PFP-100 Vehicle Flash Reprogramming Power Supply with Charging Mode, Programming Mode, Showroom Mode, Repair Mode and Starting Mode Car Battery Programming Flash Power</t>
        </is>
      </c>
      <c r="B507" s="30" t="inlineStr">
        <is>
          <t>B0FKTG8QJ8</t>
        </is>
      </c>
      <c r="C507" s="30" t="n"/>
      <c r="D507" s="324" t="n">
        <v>713.63</v>
      </c>
      <c r="E507" s="53" t="n">
        <v>34473.81846153846</v>
      </c>
      <c r="F507" s="53" t="n">
        <v>2854.52</v>
      </c>
      <c r="G507" s="55" t="n">
        <v>4</v>
      </c>
      <c r="H507" s="57" t="n">
        <v>4</v>
      </c>
      <c r="I507" s="55" t="n"/>
      <c r="J507" s="56" t="n"/>
      <c r="K507" s="56" t="inlineStr">
        <is>
          <t>https://amazon.com/dp/B0FKTG8QJ8</t>
        </is>
      </c>
      <c r="L507" s="70">
        <f>HYPERLINK(Table3559[[#This Row],[Column1]])</f>
        <v/>
      </c>
    </row>
    <row r="508" ht="30" customHeight="1" s="290">
      <c r="A508" s="30" t="inlineStr">
        <is>
          <t>Launch X431 PRO3 APEX OBD2 Scanner 2026 Upgraded Screen, Wireless Diagnostic Scan Tool with DBScar VII, OEM Topology Mapping, ECU Code, CANFD DoIP, 55+ Services, AutoAuth FCA SGW,10.1 Inch</t>
        </is>
      </c>
      <c r="B508" s="30" t="inlineStr">
        <is>
          <t>B0D3LBX9LR</t>
        </is>
      </c>
      <c r="C508" s="30" t="inlineStr">
        <is>
          <t>Tablet</t>
        </is>
      </c>
      <c r="D508" s="324" t="n">
        <v>1248.83</v>
      </c>
      <c r="E508" s="53" t="n">
        <v>228529.9846153846</v>
      </c>
      <c r="F508" s="53" t="n">
        <v>4995.32</v>
      </c>
      <c r="G508" s="55" t="n">
        <v>205</v>
      </c>
      <c r="H508" s="57" t="n">
        <v>4</v>
      </c>
      <c r="I508" s="55" t="n">
        <v>159</v>
      </c>
      <c r="J508" s="56" t="n">
        <v>4.4</v>
      </c>
      <c r="K508" s="56" t="inlineStr">
        <is>
          <t>https://amazon.com/dp/B0D3LBX9LR</t>
        </is>
      </c>
      <c r="L508" s="70">
        <f>HYPERLINK(Table3559[[#This Row],[Column1]])</f>
        <v/>
      </c>
    </row>
    <row r="509" ht="45" customHeight="1" s="290">
      <c r="A509" s="30" t="inlineStr">
        <is>
          <t>LAUNCH X-431 MCU3 Programmer Kit for X-PROG3 GIII Work for Mercedes-Benz ECU and TCU Reading</t>
        </is>
      </c>
      <c r="B509" s="30" t="inlineStr">
        <is>
          <t>B0CZNTHWP2</t>
        </is>
      </c>
      <c r="C509" s="30" t="inlineStr">
        <is>
          <t>Other</t>
        </is>
      </c>
      <c r="D509" s="324" t="n">
        <v>167.3075</v>
      </c>
      <c r="E509" s="53" t="n">
        <v>10815.07076923077</v>
      </c>
      <c r="F509" s="53" t="n">
        <v>669.23</v>
      </c>
      <c r="G509" s="55" t="n">
        <v>59</v>
      </c>
      <c r="H509" s="57" t="n">
        <v>4</v>
      </c>
      <c r="I509" s="55" t="n">
        <v>10</v>
      </c>
      <c r="J509" s="56" t="n">
        <v>4.4</v>
      </c>
      <c r="K509" s="56" t="inlineStr">
        <is>
          <t>https://amazon.com/dp/B0CZNTHWP2</t>
        </is>
      </c>
      <c r="L509" s="70">
        <f>HYPERLINK(Table3559[[#This Row],[Column1]])</f>
        <v/>
      </c>
    </row>
    <row r="510" ht="60" customHeight="1" s="290">
      <c r="A510" s="30" t="inlineStr">
        <is>
          <t>LAUNCH X431 PRO3 V+ Elite, 2026 J2534 Scan Tool, Online Coding, Topology Map Car Scanner, 3000+Active Test, FCA SGW Scan Tool, 60+ Reset,D-PDU/CANFD/DoIP Diagnostic Scanner, 2-Year Update</t>
        </is>
      </c>
      <c r="B510" s="30" t="inlineStr">
        <is>
          <t>B01E89UTQI</t>
        </is>
      </c>
      <c r="C510" s="30" t="inlineStr">
        <is>
          <t>Tablet</t>
        </is>
      </c>
      <c r="D510" s="324" t="n">
        <v>1233.0325</v>
      </c>
      <c r="E510" s="53" t="n">
        <v>194800.51</v>
      </c>
      <c r="F510" s="53" t="n">
        <v>4932.13</v>
      </c>
      <c r="G510" s="55" t="n">
        <v>149</v>
      </c>
      <c r="H510" s="57" t="n">
        <v>4</v>
      </c>
      <c r="I510" s="55" t="n">
        <v>119</v>
      </c>
      <c r="J510" s="56" t="n">
        <v>4.2</v>
      </c>
      <c r="K510" s="56" t="inlineStr">
        <is>
          <t>https://amazon.com/dp/B01E89UTQI</t>
        </is>
      </c>
      <c r="L510" s="70">
        <f>HYPERLINK(Table3559[[#This Row],[Column1]])</f>
        <v/>
      </c>
    </row>
    <row r="511" ht="60" customHeight="1" s="290">
      <c r="A511" s="30" t="inlineStr">
        <is>
          <t>Launch OBD2 Scanner CRP123I V2.0,Scan Tool Upgrade of CRP123E/CRP129E for ABS/SRS/AT/ENG, FCA SGW, 7 Reset Services, Oil/Brake/BMS/SAS/DPF/ABS Bleeding/Throttle Adaption, Free Lifetime Upgrade</t>
        </is>
      </c>
      <c r="B511" s="30" t="inlineStr">
        <is>
          <t>B0CC5N4XXN</t>
        </is>
      </c>
      <c r="C511" s="30" t="inlineStr">
        <is>
          <t>Tablet</t>
        </is>
      </c>
      <c r="D511" s="324" t="n">
        <v>211.695</v>
      </c>
      <c r="E511" s="53" t="n">
        <v>12951.95</v>
      </c>
      <c r="F511" s="53" t="n">
        <v>846.78</v>
      </c>
      <c r="G511" s="55" t="n">
        <v>71</v>
      </c>
      <c r="H511" s="57" t="n">
        <v>4</v>
      </c>
      <c r="I511" s="55" t="n">
        <v>80</v>
      </c>
      <c r="J511" s="56" t="n">
        <v>4.1</v>
      </c>
      <c r="K511" s="56" t="inlineStr">
        <is>
          <t>https://amazon.com/dp/B0CC5N4XXN</t>
        </is>
      </c>
      <c r="L511" s="70">
        <f>HYPERLINK(Table3559[[#This Row],[Column1]])</f>
        <v/>
      </c>
    </row>
    <row r="512" ht="45" customHeight="1" s="290">
      <c r="A512" s="30" t="inlineStr">
        <is>
          <t>LAUNCH CRP123 V2.0 Plus Elite OBD2 Scanner, 2025 New Full System Lifetime Free Update Scan Tool with 3 Reset Oil Service, Throttle Adaption, SAS Relearn, Car Scanner for All Cars</t>
        </is>
      </c>
      <c r="B512" s="30" t="inlineStr">
        <is>
          <t>B0DKHBV8Q6</t>
        </is>
      </c>
      <c r="C512" s="30" t="inlineStr">
        <is>
          <t>Tablet</t>
        </is>
      </c>
      <c r="D512" s="324" t="n">
        <v>159.4075</v>
      </c>
      <c r="E512" s="53" t="n">
        <v>27325.13</v>
      </c>
      <c r="F512" s="53" t="n">
        <v>637.63</v>
      </c>
      <c r="G512" s="55" t="n">
        <v>177</v>
      </c>
      <c r="H512" s="57" t="n">
        <v>4</v>
      </c>
      <c r="I512" s="55" t="n">
        <v>18</v>
      </c>
      <c r="J512" s="56" t="n">
        <v>3.9</v>
      </c>
      <c r="K512" s="56" t="inlineStr">
        <is>
          <t>https://amazon.com/dp/B0DKHBV8Q6</t>
        </is>
      </c>
      <c r="L512" s="70">
        <f>HYPERLINK(Table3559[[#This Row],[Column1]])</f>
        <v/>
      </c>
    </row>
    <row r="513" ht="60" customHeight="1" s="290">
      <c r="A513" s="30" t="inlineStr">
        <is>
          <t>Launch X431 PAD Scan Tool Global Ver. (Upgraded of X431 V+, X431 PROS) 50+ Reset ECU Coding OE-Level Bi-Directional All System Diagnostic Tool, Free Update</t>
        </is>
      </c>
      <c r="B513" s="30" t="inlineStr">
        <is>
          <t>B0FSSFT28B</t>
        </is>
      </c>
      <c r="C513" s="30" t="inlineStr">
        <is>
          <t>Tablet</t>
        </is>
      </c>
      <c r="D513" s="324" t="n">
        <v>987.5075000000001</v>
      </c>
      <c r="E513" s="53" t="n">
        <v>45315.07692307694</v>
      </c>
      <c r="F513" s="53" t="n">
        <v>3950.03</v>
      </c>
      <c r="G513" s="55" t="n">
        <v>5</v>
      </c>
      <c r="H513" s="57" t="n">
        <v>4</v>
      </c>
      <c r="I513" s="55" t="n">
        <v>97</v>
      </c>
      <c r="J513" s="56" t="n">
        <v>4.6</v>
      </c>
      <c r="K513" s="56" t="inlineStr">
        <is>
          <t>https://amazon.com/dp/B0FSSFT28B</t>
        </is>
      </c>
      <c r="L513" s="70">
        <f>HYPERLINK(Table3559[[#This Row],[Column1]])</f>
        <v/>
      </c>
    </row>
    <row r="514" ht="60" customHeight="1" s="290">
      <c r="A514" s="30" t="inlineStr">
        <is>
          <t>LAUNCH CRP PRO Heavy Duty Truck Diagnostic Scanner, Bi-Directional Full System Scan Tool for Semi Trucks &amp; Diesel Engines, ECU Coding, 40+ Reset Services, Compatible with Cummins Caterpillar and More</t>
        </is>
      </c>
      <c r="B514" s="30" t="inlineStr">
        <is>
          <t>B0G4VPXV9V</t>
        </is>
      </c>
      <c r="C514" s="30" t="inlineStr">
        <is>
          <t>Tablet</t>
        </is>
      </c>
      <c r="D514" s="324" t="n">
        <v>481.2025</v>
      </c>
      <c r="E514" s="53" t="n">
        <v>21090.26692307692</v>
      </c>
      <c r="F514" s="53" t="n">
        <v>1924.81</v>
      </c>
      <c r="G514" s="55" t="n">
        <v>6</v>
      </c>
      <c r="H514" s="57" t="n">
        <v>4</v>
      </c>
      <c r="I514" s="55" t="n"/>
      <c r="J514" s="56" t="n"/>
      <c r="K514" s="56" t="inlineStr">
        <is>
          <t>https://amazon.com/dp/B0G4VPXV9V</t>
        </is>
      </c>
      <c r="L514" s="70">
        <f>HYPERLINK(Table3559[[#This Row],[Column1]])</f>
        <v/>
      </c>
    </row>
    <row r="515" ht="45" customHeight="1" s="290">
      <c r="A515" s="30" t="inlineStr">
        <is>
          <t>Launch Creader Elite Code Reader Bi-Directional Scan Tool for Audi Full System Diagnostic Scanner, 31+ Services Online Coding AutoVIN WiFi Update</t>
        </is>
      </c>
      <c r="B515" s="30" t="inlineStr">
        <is>
          <t>B0D3D4QV4W</t>
        </is>
      </c>
      <c r="C515" s="30" t="inlineStr">
        <is>
          <t>Handheld</t>
        </is>
      </c>
      <c r="D515" s="324" t="n">
        <v>120.5475</v>
      </c>
      <c r="E515" s="53" t="n">
        <v>1405.92</v>
      </c>
      <c r="F515" s="53" t="n">
        <v>482.19</v>
      </c>
      <c r="G515" s="55" t="n">
        <v>11</v>
      </c>
      <c r="H515" s="57" t="n">
        <v>4</v>
      </c>
      <c r="I515" s="55" t="n">
        <v>1</v>
      </c>
      <c r="J515" s="56" t="n">
        <v>1</v>
      </c>
      <c r="K515" s="56" t="inlineStr">
        <is>
          <t>https://amazon.com/dp/B0D3D4QV4W</t>
        </is>
      </c>
      <c r="L515" s="70">
        <f>HYPERLINK(Table3559[[#This Row],[Column1]])</f>
        <v/>
      </c>
    </row>
    <row r="516" ht="45" customHeight="1" s="290">
      <c r="A516" s="30" t="inlineStr">
        <is>
          <t>LAUNCH Original USB to Micro USB Charging Cable Replacement Connector X-431 OBD2 Diagnostic Scanner</t>
        </is>
      </c>
      <c r="B516" s="30" t="inlineStr">
        <is>
          <t>B0DZXHLQ9K</t>
        </is>
      </c>
      <c r="C516" s="30" t="inlineStr">
        <is>
          <t>Cable/Adapter</t>
        </is>
      </c>
      <c r="D516" s="324" t="n">
        <v>6.4725</v>
      </c>
      <c r="E516" s="53" t="n">
        <v>432.3669230769232</v>
      </c>
      <c r="F516" s="53" t="n">
        <v>25.89</v>
      </c>
      <c r="G516" s="55" t="n">
        <v>57</v>
      </c>
      <c r="H516" s="57" t="n">
        <v>4</v>
      </c>
      <c r="I516" s="55" t="n">
        <v>2</v>
      </c>
      <c r="J516" s="56" t="n">
        <v>5</v>
      </c>
      <c r="K516" s="56" t="inlineStr">
        <is>
          <t>https://amazon.com/dp/B0DZXHLQ9K</t>
        </is>
      </c>
      <c r="L516" s="70">
        <f>HYPERLINK(Table3559[[#This Row],[Column1]])</f>
        <v/>
      </c>
    </row>
    <row r="517" ht="45" customHeight="1" s="290">
      <c r="A517" s="30" t="inlineStr">
        <is>
          <t>Launch Scanner CRP129i V3.0(Upgrade of CRP123I), Professional OBD2 Scanner Diagnostic Tool with ABS and SRS, ENG, Transmission, FCA AutoAuth Code Reader for Cars and Trucks,Oil,DPF,TPMS Car Scan Tool</t>
        </is>
      </c>
      <c r="B517" s="30" t="inlineStr">
        <is>
          <t>B0FPXR69TK</t>
        </is>
      </c>
      <c r="C517" s="30" t="inlineStr">
        <is>
          <t>Tablet</t>
        </is>
      </c>
      <c r="D517" s="324" t="n">
        <v>259.535</v>
      </c>
      <c r="E517" s="53" t="n">
        <v>9209.521538461539</v>
      </c>
      <c r="F517" s="53" t="n">
        <v>1038.14</v>
      </c>
      <c r="G517" s="55" t="n">
        <v>10</v>
      </c>
      <c r="H517" s="57" t="n">
        <v>4</v>
      </c>
      <c r="I517" s="55" t="n">
        <v>1</v>
      </c>
      <c r="J517" s="56" t="n">
        <v>5</v>
      </c>
      <c r="K517" s="56" t="inlineStr">
        <is>
          <t>https://amazon.com/dp/B0FPXR69TK</t>
        </is>
      </c>
      <c r="L517" s="70">
        <f>HYPERLINK(Table3559[[#This Row],[Column1]])</f>
        <v/>
      </c>
    </row>
    <row r="518" ht="30" customHeight="1" s="290">
      <c r="A518" s="30" t="inlineStr">
        <is>
          <t>LAUNCH X431 Creader 5011 V2 TPMS Tool，TPMS Sensor (315+433MHz) Read/Activate/Relearn/Reset Scanner Tool,OBD2 Code Reader&amp; 12 Hot Rests, Lifetime Free Update</t>
        </is>
      </c>
      <c r="B518" s="30" t="inlineStr">
        <is>
          <t>B0FWP57ZND</t>
        </is>
      </c>
      <c r="C518" s="30" t="inlineStr">
        <is>
          <t>Tablet</t>
        </is>
      </c>
      <c r="D518" s="324" t="n">
        <v>231.3275</v>
      </c>
      <c r="E518" s="53" t="n">
        <v>11338.72846153846</v>
      </c>
      <c r="F518" s="53" t="n">
        <v>925.3099999999999</v>
      </c>
      <c r="G518" s="55" t="n">
        <v>22</v>
      </c>
      <c r="H518" s="57" t="n">
        <v>4</v>
      </c>
      <c r="I518" s="55" t="n"/>
      <c r="J518" s="56" t="n"/>
      <c r="K518" s="56" t="inlineStr">
        <is>
          <t>https://amazon.com/dp/B0FWP57ZND</t>
        </is>
      </c>
      <c r="L518" s="70">
        <f>HYPERLINK(Table3559[[#This Row],[Column1]])</f>
        <v/>
      </c>
    </row>
    <row r="519" ht="45" customHeight="1" s="290">
      <c r="A519" s="30" t="inlineStr">
        <is>
          <t>LAUNCH Heavy Duty Truck Software for X431 PRO3S+Elite, PRO5, PRO3 V+ Elite, Get Free Adapter Set, Heavy Duty Truck Diesel Diagnostic, Work with X431 ProS+ Series for 24V HD Trucks&amp;Commercial Vehicles</t>
        </is>
      </c>
      <c r="B519" s="30" t="inlineStr">
        <is>
          <t>B0FBW56K4M</t>
        </is>
      </c>
      <c r="C519" s="30" t="inlineStr">
        <is>
          <t>VCI</t>
        </is>
      </c>
      <c r="D519" s="324" t="n">
        <v>840.54</v>
      </c>
      <c r="E519" s="53" t="n">
        <v>26673.41384615385</v>
      </c>
      <c r="F519" s="53" t="n">
        <v>2521.62</v>
      </c>
      <c r="G519" s="55" t="n">
        <v>10</v>
      </c>
      <c r="H519" s="57" t="n">
        <v>3</v>
      </c>
      <c r="I519" s="55" t="n"/>
      <c r="J519" s="56" t="n"/>
      <c r="K519" s="56" t="inlineStr">
        <is>
          <t>https://amazon.com/dp/B0FBW56K4M</t>
        </is>
      </c>
      <c r="L519" s="70">
        <f>HYPERLINK(Table3559[[#This Row],[Column1]])</f>
        <v/>
      </c>
    </row>
    <row r="520" ht="45" customHeight="1" s="290">
      <c r="A520" s="30" t="inlineStr">
        <is>
          <t>LAUNCH X431 Creader Elite FGC 2.0 OBD2 Scanner for Ford/GM/Chrysler Series, Bi-Directional Scan Tool, Lifetime Update, All System Diagnostic, 100+ Services, Advanced OBD2 Code Reader</t>
        </is>
      </c>
      <c r="B520" s="30" t="inlineStr">
        <is>
          <t>B0F8N73YYW</t>
        </is>
      </c>
      <c r="C520" s="30" t="inlineStr">
        <is>
          <t>Tablet</t>
        </is>
      </c>
      <c r="D520" s="324" t="n">
        <v>248.3366666666667</v>
      </c>
      <c r="E520" s="53" t="n">
        <v>13056.21461538462</v>
      </c>
      <c r="F520" s="53" t="n">
        <v>745.01</v>
      </c>
      <c r="G520" s="55" t="n">
        <v>46</v>
      </c>
      <c r="H520" s="57" t="n">
        <v>3</v>
      </c>
      <c r="I520" s="55" t="n">
        <v>4</v>
      </c>
      <c r="J520" s="56" t="n">
        <v>4.2</v>
      </c>
      <c r="K520" s="56" t="inlineStr">
        <is>
          <t>https://amazon.com/dp/B0F8N73YYW</t>
        </is>
      </c>
      <c r="L520" s="70">
        <f>HYPERLINK(Table3559[[#This Row],[Column1]])</f>
        <v/>
      </c>
    </row>
    <row r="521" ht="45" customHeight="1" s="290">
      <c r="A521" s="30" t="inlineStr">
        <is>
          <t>LAUNCH Original Main Cable Fit for X431 CRP123i, CRP123e, CRP123x, CRP129i, CRP129e, CRP129x OBD2 Replacement Cable - Yellow</t>
        </is>
      </c>
      <c r="B521" s="30" t="inlineStr">
        <is>
          <t>B0BZ4FF45W</t>
        </is>
      </c>
      <c r="C521" s="30" t="inlineStr">
        <is>
          <t>Cable/Adapter</t>
        </is>
      </c>
      <c r="D521" s="324" t="n">
        <v>31.57</v>
      </c>
      <c r="E521" s="53" t="n">
        <v>3349.84</v>
      </c>
      <c r="F521" s="53" t="n">
        <v>94.70999999999999</v>
      </c>
      <c r="G521" s="55" t="n">
        <v>124</v>
      </c>
      <c r="H521" s="57" t="n">
        <v>3</v>
      </c>
      <c r="I521" s="55" t="n">
        <v>50</v>
      </c>
      <c r="J521" s="56" t="n">
        <v>4.7</v>
      </c>
      <c r="K521" s="56" t="inlineStr">
        <is>
          <t>https://amazon.com/dp/B0BZ4FF45W</t>
        </is>
      </c>
      <c r="L521" s="70">
        <f>HYPERLINK(Table3559[[#This Row],[Column1]])</f>
        <v/>
      </c>
    </row>
    <row r="522" ht="45" customHeight="1" s="290">
      <c r="A522" s="30" t="inlineStr">
        <is>
          <t>Launch X431 Scanner PRO5 J2534 Pr0gram ECU Coding, Topology, 60+ Services, Bi-Directional All System Scan Tool, CANFD DOIP, 200+ Brands, Guided Functions, 10+ High-end Features</t>
        </is>
      </c>
      <c r="B522" s="30" t="inlineStr">
        <is>
          <t>B0FZKV8YMN</t>
        </is>
      </c>
      <c r="C522" s="30" t="inlineStr">
        <is>
          <t>Tablet</t>
        </is>
      </c>
      <c r="D522" s="324" t="n">
        <v>1516.23</v>
      </c>
      <c r="E522" s="53" t="n">
        <v>85499.12615384614</v>
      </c>
      <c r="F522" s="53" t="n">
        <v>4548.69</v>
      </c>
      <c r="G522" s="55" t="n">
        <v>34</v>
      </c>
      <c r="H522" s="57" t="n">
        <v>3</v>
      </c>
      <c r="I522" s="55" t="n">
        <v>97</v>
      </c>
      <c r="J522" s="56" t="n">
        <v>4.6</v>
      </c>
      <c r="K522" s="56" t="inlineStr">
        <is>
          <t>https://amazon.com/dp/B0FZKV8YMN</t>
        </is>
      </c>
      <c r="L522" s="70">
        <f>HYPERLINK(Table3559[[#This Row],[Column1]])</f>
        <v/>
      </c>
    </row>
    <row r="523" ht="45" customHeight="1" s="290">
      <c r="A523" s="30" t="inlineStr">
        <is>
          <t>Launch Millennium 30 OBD2 Scanner,Car Code Reader with Full OBD2 Functions,Check Engine Light Car Diagnostic Tool,O2 Sensor/EVAP System/Smog Test/Check I/M Readiness Car Scanner,Lifetime Free Update</t>
        </is>
      </c>
      <c r="B523" s="30" t="inlineStr">
        <is>
          <t>B07L5VQJQB</t>
        </is>
      </c>
      <c r="C523" s="30" t="inlineStr">
        <is>
          <t>Handheld</t>
        </is>
      </c>
      <c r="D523" s="324" t="n">
        <v>32.84</v>
      </c>
      <c r="E523" s="53" t="n">
        <v>738.52</v>
      </c>
      <c r="F523" s="53" t="n">
        <v>98.52</v>
      </c>
      <c r="G523" s="55" t="n">
        <v>21</v>
      </c>
      <c r="H523" s="57" t="n">
        <v>3</v>
      </c>
      <c r="I523" s="55" t="n">
        <v>132</v>
      </c>
      <c r="J523" s="56" t="n">
        <v>3.9</v>
      </c>
      <c r="K523" s="56" t="inlineStr">
        <is>
          <t>https://amazon.com/dp/B07L5VQJQB</t>
        </is>
      </c>
      <c r="L523" s="70">
        <f>HYPERLINK(Table3559[[#This Row],[Column1]])</f>
        <v/>
      </c>
    </row>
    <row r="524" ht="30" customHeight="1" s="290">
      <c r="A524" s="30" t="inlineStr">
        <is>
          <t>Launch X431 1MM0 Plus with PROG3 Tool, All-System Diagnostics, ECU Coding Scan Tool, 39+ Services, Bi-Directional Control, 2-Year Updating</t>
        </is>
      </c>
      <c r="B524" s="30" t="inlineStr">
        <is>
          <t>B0DHZJWCDS</t>
        </is>
      </c>
      <c r="C524" s="30" t="inlineStr">
        <is>
          <t>Tablet</t>
        </is>
      </c>
      <c r="D524" s="324" t="n">
        <v>1818.083333333333</v>
      </c>
      <c r="E524" s="53" t="n">
        <v>145516.02</v>
      </c>
      <c r="F524" s="53" t="n">
        <v>5454.25</v>
      </c>
      <c r="G524" s="55" t="n">
        <v>118</v>
      </c>
      <c r="H524" s="57" t="n">
        <v>3</v>
      </c>
      <c r="I524" s="55" t="n">
        <v>21</v>
      </c>
      <c r="J524" s="56" t="n">
        <v>3.6</v>
      </c>
      <c r="K524" s="56" t="inlineStr">
        <is>
          <t>https://amazon.com/dp/B0DHZJWCDS</t>
        </is>
      </c>
      <c r="L524" s="70">
        <f>HYPERLINK(Table3559[[#This Row],[Column1]])</f>
        <v/>
      </c>
    </row>
    <row r="525" ht="45" customHeight="1" s="290">
      <c r="A525" s="30" t="inlineStr">
        <is>
          <t>Launch X431 SmartLink Heavy-Duty Diagnostic Module, Compatible with X431 PRO3S+,V+,PAD3,PAD7 for 24V HD Trucks &amp; Commercial Vehicles, Support CANFD&amp;DOIP</t>
        </is>
      </c>
      <c r="B525" s="30" t="inlineStr">
        <is>
          <t>B09W5CVX9K</t>
        </is>
      </c>
      <c r="C525" s="30" t="inlineStr">
        <is>
          <t>Handheld</t>
        </is>
      </c>
      <c r="D525" s="324" t="n">
        <v>844.9899999999999</v>
      </c>
      <c r="E525" s="53" t="n">
        <v>30973.89999999999</v>
      </c>
      <c r="F525" s="53" t="n">
        <v>2534.97</v>
      </c>
      <c r="G525" s="55" t="n">
        <v>36</v>
      </c>
      <c r="H525" s="57" t="n">
        <v>3</v>
      </c>
      <c r="I525" s="55" t="n">
        <v>9</v>
      </c>
      <c r="J525" s="56" t="n">
        <v>4.4</v>
      </c>
      <c r="K525" s="56" t="inlineStr">
        <is>
          <t>https://amazon.com/dp/B09W5CVX9K</t>
        </is>
      </c>
      <c r="L525" s="70">
        <f>HYPERLINK(Table3559[[#This Row],[Column1]])</f>
        <v/>
      </c>
    </row>
    <row r="526" ht="45" customHeight="1" s="290">
      <c r="A526" s="30" t="inlineStr">
        <is>
          <t>OBD2 Scanner, LAUNCH Millennium 90 Pro Car Code Reader DIY Full OBDII Scanner Check Engine/ABS/SRS/Transmission Diagnostic Scan Tool, Oil/EPB/BMS/DPF/SAS Reset/ABS Brake Bleed Car Scanner, Free Update</t>
        </is>
      </c>
      <c r="B526" s="30" t="inlineStr">
        <is>
          <t>B08KDLMSM2</t>
        </is>
      </c>
      <c r="C526" s="30" t="inlineStr">
        <is>
          <t>Handheld</t>
        </is>
      </c>
      <c r="D526" s="324" t="n">
        <v>132.08</v>
      </c>
      <c r="E526" s="53" t="n">
        <v>9773.960000000001</v>
      </c>
      <c r="F526" s="53" t="n">
        <v>396.24</v>
      </c>
      <c r="G526" s="55" t="n">
        <v>45</v>
      </c>
      <c r="H526" s="57" t="n">
        <v>3</v>
      </c>
      <c r="I526" s="55" t="n">
        <v>173</v>
      </c>
      <c r="J526" s="56" t="n">
        <v>4.4</v>
      </c>
      <c r="K526" s="56" t="inlineStr">
        <is>
          <t>https://amazon.com/dp/B08KDLMSM2</t>
        </is>
      </c>
      <c r="L526" s="70">
        <f>HYPERLINK(Table3559[[#This Row],[Column1]])</f>
        <v/>
      </c>
    </row>
    <row r="527" ht="30" customHeight="1" s="290">
      <c r="A527" s="30" t="inlineStr">
        <is>
          <t>LAUNCH CAN FD Connector Adapter Cable for CRP Series Scan Tool, Compatible with Creader Professional OBD2 Scanners CRP123X/E/I V3.0, CRP129X/E/I V3.0, CRP129X/E/I Plus V3.0, CRP919X/E Lite</t>
        </is>
      </c>
      <c r="B527" s="30" t="inlineStr">
        <is>
          <t>B0GQZH4WNM</t>
        </is>
      </c>
      <c r="C527" s="30" t="inlineStr">
        <is>
          <t>Tablet</t>
        </is>
      </c>
      <c r="D527" s="324" t="n">
        <v>108.44</v>
      </c>
      <c r="E527" s="53" t="n">
        <v>3727.559230769231</v>
      </c>
      <c r="F527" s="53" t="n">
        <v>325.32</v>
      </c>
      <c r="G527" s="55" t="n">
        <v>4</v>
      </c>
      <c r="H527" s="57" t="n">
        <v>3</v>
      </c>
      <c r="I527" s="55" t="n"/>
      <c r="J527" s="56" t="n"/>
      <c r="K527" s="56" t="inlineStr">
        <is>
          <t>https://amazon.com/dp/B0GQZH4WNM</t>
        </is>
      </c>
      <c r="L527" s="70">
        <f>HYPERLINK(Table3559[[#This Row],[Column1]])</f>
        <v/>
      </c>
    </row>
    <row r="528" ht="45" customHeight="1" s="290">
      <c r="A528" s="30" t="inlineStr">
        <is>
          <t>LAUNCH CRP129MT Pro Motorcycle Scanner,Fully Functional Bidirectional Scanner with Multi Resets,38+ Brands,Motorcycle scan Tool Fits for Harley, Honda, Yamaha, Indian,Suzuki,Polaris,Victory,BMW &amp; More</t>
        </is>
      </c>
      <c r="B528" s="30" t="inlineStr">
        <is>
          <t>B0FYDTN3QS</t>
        </is>
      </c>
      <c r="C528" s="30" t="inlineStr">
        <is>
          <t>Tablet</t>
        </is>
      </c>
      <c r="D528" s="324" t="n">
        <v>497.46</v>
      </c>
      <c r="E528" s="53" t="n">
        <v>19556.6923076923</v>
      </c>
      <c r="F528" s="53" t="n">
        <v>1492.38</v>
      </c>
      <c r="G528" s="55" t="n">
        <v>16</v>
      </c>
      <c r="H528" s="57" t="n">
        <v>3</v>
      </c>
      <c r="I528" s="55" t="n">
        <v>2</v>
      </c>
      <c r="J528" s="56" t="n">
        <v>3.3</v>
      </c>
      <c r="K528" s="56" t="inlineStr">
        <is>
          <t>https://amazon.com/dp/B0FYDTN3QS</t>
        </is>
      </c>
      <c r="L528" s="70">
        <f>HYPERLINK(Table3559[[#This Row],[Column1]])</f>
        <v/>
      </c>
    </row>
    <row r="529" ht="45" customHeight="1" s="290">
      <c r="A529" s="30" t="inlineStr">
        <is>
          <t>LAUNCH X431 Sensor Simulator and Tester 2 Channels Digital S2-2 Sensorbox</t>
        </is>
      </c>
      <c r="B529" s="30" t="inlineStr">
        <is>
          <t>B0CJQY7SYQ</t>
        </is>
      </c>
      <c r="C529" s="30" t="inlineStr">
        <is>
          <t>VCI</t>
        </is>
      </c>
      <c r="D529" s="324" t="n">
        <v>468.76</v>
      </c>
      <c r="E529" s="53" t="n">
        <v>10147.76461538461</v>
      </c>
      <c r="F529" s="53" t="n">
        <v>1406.28</v>
      </c>
      <c r="G529" s="55" t="n">
        <v>17</v>
      </c>
      <c r="H529" s="57" t="n">
        <v>3</v>
      </c>
      <c r="I529" s="55" t="n">
        <v>1</v>
      </c>
      <c r="J529" s="56" t="n">
        <v>5</v>
      </c>
      <c r="K529" s="56" t="inlineStr">
        <is>
          <t>https://amazon.com/dp/B0CJQY7SYQ</t>
        </is>
      </c>
      <c r="L529" s="70">
        <f>HYPERLINK(Table3559[[#This Row],[Column1]])</f>
        <v/>
      </c>
    </row>
    <row r="530" ht="45" customHeight="1" s="290">
      <c r="A530" s="30" t="inlineStr">
        <is>
          <t>LAUNCH CRP 129MT 2-in-1 Motorcycle Diagnostic Tool OBD2 Scanner, Full System Diagnostics with ECU Reset, Car OBD-II Support, Compatible with Harley/Indian/Victory/Ducati/KTM/Honda/Kawasaki and More</t>
        </is>
      </c>
      <c r="B530" s="30" t="inlineStr">
        <is>
          <t>B0FWCHXD6F</t>
        </is>
      </c>
      <c r="C530" s="30" t="inlineStr">
        <is>
          <t>Tablet</t>
        </is>
      </c>
      <c r="D530" s="324" t="n">
        <v>548.91</v>
      </c>
      <c r="E530" s="53" t="n">
        <v>21003.24307692308</v>
      </c>
      <c r="F530" s="53" t="n">
        <v>1646.73</v>
      </c>
      <c r="G530" s="55" t="n">
        <v>9</v>
      </c>
      <c r="H530" s="57" t="n">
        <v>3</v>
      </c>
      <c r="I530" s="55" t="n"/>
      <c r="J530" s="56" t="n"/>
      <c r="K530" s="56" t="inlineStr">
        <is>
          <t>https://amazon.com/dp/B0FWCHXD6F</t>
        </is>
      </c>
      <c r="L530" s="70">
        <f>HYPERLINK(Table3559[[#This Row],[Column1]])</f>
        <v/>
      </c>
    </row>
    <row r="531" ht="45" customHeight="1" s="290">
      <c r="A531" s="30" t="inlineStr">
        <is>
          <t>LAUNCH X431 PRO3 (V+) V5.0 Scanner, 2026 Upgrade All-in-One Bidirectional Scan Tool, Topology Map, Scan HD Trucks, DBSCar VII VCI, 55+ Services&amp;Online Coding, All System,CANFD&amp;DOIP, 2-Year Free Update</t>
        </is>
      </c>
      <c r="B531" s="30" t="inlineStr">
        <is>
          <t>B00NID586M</t>
        </is>
      </c>
      <c r="C531" s="30" t="inlineStr">
        <is>
          <t>Tablet</t>
        </is>
      </c>
      <c r="D531" s="324" t="n">
        <v>1000.946666666667</v>
      </c>
      <c r="E531" s="53" t="n">
        <v>198486.97</v>
      </c>
      <c r="F531" s="53" t="n">
        <v>3002.84</v>
      </c>
      <c r="G531" s="55" t="n">
        <v>188</v>
      </c>
      <c r="H531" s="57" t="n">
        <v>3</v>
      </c>
      <c r="I531" s="55" t="n">
        <v>1401</v>
      </c>
      <c r="J531" s="56" t="n">
        <v>4.3</v>
      </c>
      <c r="K531" s="56" t="inlineStr">
        <is>
          <t>https://amazon.com/dp/B00NID586M</t>
        </is>
      </c>
      <c r="L531" s="70">
        <f>HYPERLINK(Table3559[[#This Row],[Column1]])</f>
        <v/>
      </c>
    </row>
    <row r="532" ht="60" customHeight="1" s="290">
      <c r="A532" s="30" t="inlineStr">
        <is>
          <t>LAUNCH CRP123I V2.0 Elite OBD2 Scanner, 2026 Upgraded Diagnostic Scan Tool with 7 Reset, Oil/SAS/Throttle/Brake/BMS/DPF Reset/ABS Bleeding, Multi System Code Reader, Lifetime Free Update, FCA SGW</t>
        </is>
      </c>
      <c r="B532" s="30" t="inlineStr">
        <is>
          <t>B0DKH9HZNY</t>
        </is>
      </c>
      <c r="C532" s="30" t="inlineStr">
        <is>
          <t>Tablet</t>
        </is>
      </c>
      <c r="D532" s="324" t="n">
        <v>176.64</v>
      </c>
      <c r="E532" s="53" t="n">
        <v>36119.60692307692</v>
      </c>
      <c r="F532" s="53" t="n">
        <v>529.92</v>
      </c>
      <c r="G532" s="55" t="n">
        <v>210</v>
      </c>
      <c r="H532" s="57" t="n">
        <v>3</v>
      </c>
      <c r="I532" s="55" t="n">
        <v>42</v>
      </c>
      <c r="J532" s="56" t="n">
        <v>4.2</v>
      </c>
      <c r="K532" s="56" t="inlineStr">
        <is>
          <t>https://amazon.com/dp/B0DKH9HZNY</t>
        </is>
      </c>
      <c r="L532" s="70">
        <f>HYPERLINK(Table3559[[#This Row],[Column1]])</f>
        <v/>
      </c>
    </row>
    <row r="533" ht="45" customHeight="1" s="290">
      <c r="A533" s="30" t="inlineStr">
        <is>
          <t>LAUNCH X431 PROS V Bidirectional Scan Tool, 2026 Full System Diagnostic Scanner, 2 Years Free Update, Calibration &amp; Matching, 38+ Services, AutoAuth FCA SGW, V.A.G Guided, CAN FD, Same As X431 PRO3</t>
        </is>
      </c>
      <c r="B533" s="30" t="inlineStr">
        <is>
          <t>B098B6HVGG</t>
        </is>
      </c>
      <c r="C533" s="30" t="inlineStr">
        <is>
          <t>Tablet</t>
        </is>
      </c>
      <c r="D533" s="324" t="n">
        <v>476.07</v>
      </c>
      <c r="E533" s="53" t="n">
        <v>37886.48</v>
      </c>
      <c r="F533" s="53" t="n">
        <v>952.14</v>
      </c>
      <c r="G533" s="55" t="n">
        <v>88</v>
      </c>
      <c r="H533" s="57" t="n">
        <v>2</v>
      </c>
      <c r="I533" s="55" t="n">
        <v>74</v>
      </c>
      <c r="J533" s="56" t="n">
        <v>4.1</v>
      </c>
      <c r="K533" s="56" t="inlineStr">
        <is>
          <t>https://amazon.com/dp/B098B6HVGG</t>
        </is>
      </c>
      <c r="L533" s="70">
        <f>HYPERLINK(Table3559[[#This Row],[Column1]])</f>
        <v/>
      </c>
    </row>
    <row r="534" ht="45" customHeight="1" s="290">
      <c r="A534" s="30" t="inlineStr">
        <is>
          <t>LAUNCH TECH USA 301050344 Millennium 80 Reset Tool</t>
        </is>
      </c>
      <c r="B534" s="30" t="inlineStr">
        <is>
          <t>B073WKR8TV</t>
        </is>
      </c>
      <c r="C534" s="30" t="inlineStr">
        <is>
          <t>Handheld</t>
        </is>
      </c>
      <c r="D534" s="324" t="n">
        <v>39.955</v>
      </c>
      <c r="E534" s="53" t="n">
        <v>625.23</v>
      </c>
      <c r="F534" s="53" t="n">
        <v>79.91</v>
      </c>
      <c r="G534" s="55" t="n">
        <v>14</v>
      </c>
      <c r="H534" s="57" t="n">
        <v>2</v>
      </c>
      <c r="I534" s="55" t="n">
        <v>3</v>
      </c>
      <c r="J534" s="56" t="n">
        <v>5</v>
      </c>
      <c r="K534" s="56" t="inlineStr">
        <is>
          <t>https://amazon.com/dp/B073WKR8TV</t>
        </is>
      </c>
      <c r="L534" s="70">
        <f>HYPERLINK(Table3559[[#This Row],[Column1]])</f>
        <v/>
      </c>
    </row>
    <row r="535" ht="45" customHeight="1" s="290">
      <c r="A535" s="30" t="inlineStr">
        <is>
          <t>LAUNCH CRP129I V3.0 OBD2 Scanner, 2026 Lifetime Free Update Scan Tool with 12 Reset, ABS Bleeding/TPMS/Oil/EPB/SAS/BMS/Adblue/Headlamp/Throttle Reset, Injector Coding, Auto VIN, Battery Test</t>
        </is>
      </c>
      <c r="B535" s="30" t="inlineStr">
        <is>
          <t>B0CDRMHDJX</t>
        </is>
      </c>
      <c r="C535" s="30" t="inlineStr">
        <is>
          <t>Tablet</t>
        </is>
      </c>
      <c r="D535" s="324" t="n">
        <v>196.625</v>
      </c>
      <c r="E535" s="53" t="n">
        <v>14442.34</v>
      </c>
      <c r="F535" s="53" t="n">
        <v>393.25</v>
      </c>
      <c r="G535" s="55" t="n">
        <v>58</v>
      </c>
      <c r="H535" s="57" t="n">
        <v>2</v>
      </c>
      <c r="I535" s="55" t="n">
        <v>59</v>
      </c>
      <c r="J535" s="56" t="n">
        <v>4.4</v>
      </c>
      <c r="K535" s="56" t="inlineStr">
        <is>
          <t>https://amazon.com/dp/B0CDRMHDJX</t>
        </is>
      </c>
      <c r="L535" s="70">
        <f>HYPERLINK(Table3559[[#This Row],[Column1]])</f>
        <v/>
      </c>
    </row>
    <row r="536" ht="45" customHeight="1" s="290">
      <c r="A536" s="30" t="inlineStr">
        <is>
          <t>LAUNCH OBD2 Scanner 2026 New CRP129X V2.0 (Upgraded of CRP129X,CRP123X Car Scanner), 12 Resets Scan Tool, Android 8.1 AutoVIN, 4 System Diagnostic Scanner,r, Lifetime Update, 5 Years Backup</t>
        </is>
      </c>
      <c r="B536" s="30" t="inlineStr">
        <is>
          <t>B08JCP3VQQ</t>
        </is>
      </c>
      <c r="C536" s="30" t="inlineStr">
        <is>
          <t>Tablet</t>
        </is>
      </c>
      <c r="D536" s="324" t="n">
        <v>238.98</v>
      </c>
      <c r="E536" s="53" t="n">
        <v>15459.24</v>
      </c>
      <c r="F536" s="53" t="n">
        <v>477.96</v>
      </c>
      <c r="G536" s="55" t="n">
        <v>60</v>
      </c>
      <c r="H536" s="57" t="n">
        <v>2</v>
      </c>
      <c r="I536" s="55" t="n">
        <v>169</v>
      </c>
      <c r="J536" s="56" t="n">
        <v>4</v>
      </c>
      <c r="K536" s="56" t="inlineStr">
        <is>
          <t>https://amazon.com/dp/B08JCP3VQQ</t>
        </is>
      </c>
      <c r="L536" s="70">
        <f>HYPERLINK(Table3559[[#This Row],[Column1]])</f>
        <v/>
      </c>
    </row>
    <row r="537" ht="30" customHeight="1" s="290">
      <c r="A537" s="30" t="inlineStr">
        <is>
          <t>LAUNCH (301050139 CReader VII Code Reader with Oil Light Reset</t>
        </is>
      </c>
      <c r="B537" s="30" t="inlineStr">
        <is>
          <t>B00GNO6L7S</t>
        </is>
      </c>
      <c r="C537" s="30" t="inlineStr">
        <is>
          <t>Handheld</t>
        </is>
      </c>
      <c r="D537" s="324" t="n">
        <v>74.69</v>
      </c>
      <c r="E537" s="53" t="n">
        <v>3066.55</v>
      </c>
      <c r="F537" s="53" t="n">
        <v>149.38</v>
      </c>
      <c r="G537" s="55" t="n">
        <v>43</v>
      </c>
      <c r="H537" s="57" t="n">
        <v>2</v>
      </c>
      <c r="I537" s="55" t="n">
        <v>53</v>
      </c>
      <c r="J537" s="56" t="n">
        <v>4.1</v>
      </c>
      <c r="K537" s="56" t="inlineStr">
        <is>
          <t>https://amazon.com/dp/B00GNO6L7S</t>
        </is>
      </c>
      <c r="L537" s="70">
        <f>HYPERLINK(Table3559[[#This Row],[Column1]])</f>
        <v/>
      </c>
    </row>
    <row r="538" ht="45" customHeight="1" s="290">
      <c r="A538" s="30" t="inlineStr">
        <is>
          <t>LAUNCH SmartLink OBD2 Scanner Extension Cable with RJ45 to DB9/OBD2 Female Adapter, 23cm Compatible with X431 V+, CRP123, Diagun V for iPhone iPad Android, Bi-Directional Controls &amp; ECU Coding</t>
        </is>
      </c>
      <c r="B538" s="30" t="inlineStr">
        <is>
          <t>B0G49TTMTJ</t>
        </is>
      </c>
      <c r="C538" s="30" t="inlineStr">
        <is>
          <t>Tablet</t>
        </is>
      </c>
      <c r="D538" s="324" t="n">
        <v>56.19</v>
      </c>
      <c r="E538" s="53" t="n">
        <v>1299.439230769231</v>
      </c>
      <c r="F538" s="53" t="n">
        <v>112.38</v>
      </c>
      <c r="G538" s="55" t="n">
        <v>3</v>
      </c>
      <c r="H538" s="57" t="n">
        <v>2</v>
      </c>
      <c r="I538" s="55" t="n"/>
      <c r="J538" s="56" t="n"/>
      <c r="K538" s="56" t="inlineStr">
        <is>
          <t>https://amazon.com/dp/B0G49TTMTJ</t>
        </is>
      </c>
      <c r="L538" s="70">
        <f>HYPERLINK(Table3559[[#This Row],[Column1]])</f>
        <v/>
      </c>
    </row>
    <row r="539" ht="45" customHeight="1" s="290">
      <c r="A539" s="30" t="inlineStr">
        <is>
          <t>Launch X431 1MM* Elite with X-PROG3 pr0grammér, K** Pr0gramming Tool, ECU Cl**é, Reading P1*N (All L0st), All System Diagnostic Scan Tool, 39 Services, Bidirectional Scan Tool, FCA AutoAuth, CAN-FD</t>
        </is>
      </c>
      <c r="B539" s="30" t="inlineStr">
        <is>
          <t>B0FCSJKBQ8</t>
        </is>
      </c>
      <c r="C539" s="30" t="inlineStr">
        <is>
          <t>Tablet</t>
        </is>
      </c>
      <c r="D539" s="324" t="n">
        <v>916.855</v>
      </c>
      <c r="E539" s="53" t="n">
        <v>31550.01692307692</v>
      </c>
      <c r="F539" s="53" t="n">
        <v>1833.71</v>
      </c>
      <c r="G539" s="55" t="n">
        <v>19</v>
      </c>
      <c r="H539" s="57" t="n">
        <v>2</v>
      </c>
      <c r="I539" s="55" t="n">
        <v>3</v>
      </c>
      <c r="J539" s="56" t="n">
        <v>5</v>
      </c>
      <c r="K539" s="56" t="inlineStr">
        <is>
          <t>https://amazon.com/dp/B0FCSJKBQ8</t>
        </is>
      </c>
      <c r="L539" s="70">
        <f>HYPERLINK(Table3559[[#This Row],[Column1]])</f>
        <v/>
      </c>
    </row>
    <row r="540" ht="45" customHeight="1" s="290">
      <c r="A540" s="30" t="inlineStr">
        <is>
          <t>LAUNCH CRP DoIP Connector Adapter Cable with USB-C and 16-Pin Male to DB-15 Female Connector for Creader Professional CRP Series Diagnostic Scanner</t>
        </is>
      </c>
      <c r="B540" s="30" t="inlineStr">
        <is>
          <t>B0GKF648YW</t>
        </is>
      </c>
      <c r="C540" s="30" t="inlineStr">
        <is>
          <t>Cable/Adapter</t>
        </is>
      </c>
      <c r="D540" s="324" t="n">
        <v>99.955</v>
      </c>
      <c r="E540" s="53" t="n">
        <v>2414.297692307693</v>
      </c>
      <c r="F540" s="53" t="n">
        <v>199.91</v>
      </c>
      <c r="G540" s="55" t="n">
        <v>2</v>
      </c>
      <c r="H540" s="57" t="n">
        <v>2</v>
      </c>
      <c r="I540" s="55" t="n"/>
      <c r="J540" s="56" t="n"/>
      <c r="K540" s="56" t="inlineStr">
        <is>
          <t>https://amazon.com/dp/B0GKF648YW</t>
        </is>
      </c>
      <c r="L540" s="70">
        <f>HYPERLINK(Table3559[[#This Row],[Column1]])</f>
        <v/>
      </c>
    </row>
    <row r="541" ht="45" customHeight="1" s="290">
      <c r="A541" s="30" t="inlineStr">
        <is>
          <t>LAUNCH Elite ABS Bleeding Scan Tool,Engine Transmission ABS SRS OBD2 Scanner Diagnostic Tool,Throttle Reset Code Reader,Lifetime Online Update,4'' Touch Screen,AUTO VIN,Battery Test,Live Data Graph</t>
        </is>
      </c>
      <c r="B541" s="30" t="inlineStr">
        <is>
          <t>B09CYFY2VD</t>
        </is>
      </c>
      <c r="C541" s="30" t="inlineStr">
        <is>
          <t>Handheld</t>
        </is>
      </c>
      <c r="D541" s="324" t="n">
        <v>114.555</v>
      </c>
      <c r="E541" s="53" t="n">
        <v>5481.05</v>
      </c>
      <c r="F541" s="53" t="n">
        <v>229.11</v>
      </c>
      <c r="G541" s="55" t="n">
        <v>52</v>
      </c>
      <c r="H541" s="57" t="n">
        <v>2</v>
      </c>
      <c r="I541" s="55" t="n">
        <v>100</v>
      </c>
      <c r="J541" s="56" t="n">
        <v>3.1</v>
      </c>
      <c r="K541" s="56" t="inlineStr">
        <is>
          <t>https://amazon.com/dp/B09CYFY2VD</t>
        </is>
      </c>
      <c r="L541" s="70">
        <f>HYPERLINK(Table3559[[#This Row],[Column1]])</f>
        <v/>
      </c>
    </row>
    <row r="542" ht="45" customHeight="1" s="290">
      <c r="A542" s="30" t="inlineStr">
        <is>
          <t>LAUNCH CRE Elite HD-H Heavy Duty Semi Truck Scanner, DPF Forced Regen for Hino, Bidirectional Full System Diesel Diagnostic Scan Tool</t>
        </is>
      </c>
      <c r="B542" s="30" t="inlineStr">
        <is>
          <t>B0F1Y69MX2</t>
        </is>
      </c>
      <c r="C542" s="30" t="inlineStr">
        <is>
          <t>Tablet</t>
        </is>
      </c>
      <c r="D542" s="324" t="n">
        <v>429</v>
      </c>
      <c r="E542" s="53" t="n">
        <v>9526.059999999999</v>
      </c>
      <c r="F542" s="53" t="n">
        <v>858</v>
      </c>
      <c r="G542" s="55" t="n">
        <v>15</v>
      </c>
      <c r="H542" s="57" t="n">
        <v>2</v>
      </c>
      <c r="I542" s="55" t="n"/>
      <c r="J542" s="56" t="n"/>
      <c r="K542" s="56" t="inlineStr">
        <is>
          <t>https://amazon.com/dp/B0F1Y69MX2</t>
        </is>
      </c>
      <c r="L542" s="70">
        <f>HYPERLINK(Table3559[[#This Row],[Column1]])</f>
        <v/>
      </c>
    </row>
    <row r="543" ht="30" customHeight="1" s="290">
      <c r="A543" s="30" t="inlineStr">
        <is>
          <t>LAUNCH CRE Elite HD-is Heavy Duty Semi Truck Scanner, DPF Regen for Isuzu, Bidirectional Full System Diesel Diagnostic Scan Tool</t>
        </is>
      </c>
      <c r="B543" s="30" t="inlineStr">
        <is>
          <t>B0F1Y369PY</t>
        </is>
      </c>
      <c r="C543" s="30" t="inlineStr">
        <is>
          <t>Tablet</t>
        </is>
      </c>
      <c r="D543" s="324" t="n">
        <v>527.95</v>
      </c>
      <c r="E543" s="53" t="n">
        <v>16883.29769230769</v>
      </c>
      <c r="F543" s="53" t="n">
        <v>1055.9</v>
      </c>
      <c r="G543" s="55" t="n">
        <v>30</v>
      </c>
      <c r="H543" s="57" t="n">
        <v>2</v>
      </c>
      <c r="I543" s="55" t="n">
        <v>2</v>
      </c>
      <c r="J543" s="56" t="n">
        <v>5</v>
      </c>
      <c r="K543" s="56" t="inlineStr">
        <is>
          <t>https://amazon.com/dp/B0F1Y369PY</t>
        </is>
      </c>
      <c r="L543" s="70">
        <f>HYPERLINK(Table3559[[#This Row],[Column1]])</f>
        <v/>
      </c>
    </row>
    <row r="544" ht="45" customHeight="1" s="290">
      <c r="A544" s="30" t="inlineStr">
        <is>
          <t>LAUNCH CRP129I OBD2 Scanner, 2026 FCA AutoAuth, Next-Gen, 8 Resets Oil/EPB/SAS/TPMS/BMS/Throttle/DPF Reset/Injector Coding, ABS SRS Transmission Engine Code Reader, Lifetime Free Update</t>
        </is>
      </c>
      <c r="B544" s="30" t="inlineStr">
        <is>
          <t>B0CSW76T88</t>
        </is>
      </c>
      <c r="C544" s="30" t="inlineStr">
        <is>
          <t>Tablet</t>
        </is>
      </c>
      <c r="D544" s="324" t="n">
        <v>277.22</v>
      </c>
      <c r="E544" s="53" t="n">
        <v>19406.69</v>
      </c>
      <c r="F544" s="53" t="n">
        <v>554.4400000000001</v>
      </c>
      <c r="G544" s="55" t="n">
        <v>75</v>
      </c>
      <c r="H544" s="57" t="n">
        <v>2</v>
      </c>
      <c r="I544" s="55" t="n">
        <v>50</v>
      </c>
      <c r="J544" s="56" t="n">
        <v>4.1</v>
      </c>
      <c r="K544" s="56" t="inlineStr">
        <is>
          <t>https://amazon.com/dp/B0CSW76T88</t>
        </is>
      </c>
      <c r="L544" s="70">
        <f>HYPERLINK(Table3559[[#This Row],[Column1]])</f>
        <v/>
      </c>
    </row>
    <row r="545" ht="30" customHeight="1" s="290">
      <c r="A545" s="30" t="inlineStr">
        <is>
          <t>Launch X431 PADIII Scan Tool Global Ver. (Upgraded of X431 V+, X431 PROS) 50+ Reset OE-Level Bi-Directional All System Diagnostic Tool, Free Update</t>
        </is>
      </c>
      <c r="B545" s="30" t="inlineStr">
        <is>
          <t>B0G2Q4PXNC</t>
        </is>
      </c>
      <c r="C545" s="30" t="inlineStr">
        <is>
          <t>Tablet</t>
        </is>
      </c>
      <c r="D545" s="324" t="n">
        <v>921.135</v>
      </c>
      <c r="E545" s="53" t="n">
        <v>20314.52538461538</v>
      </c>
      <c r="F545" s="53" t="n">
        <v>1842.27</v>
      </c>
      <c r="G545" s="55" t="n">
        <v>8</v>
      </c>
      <c r="H545" s="57" t="n">
        <v>2</v>
      </c>
      <c r="I545" s="55" t="n">
        <v>736</v>
      </c>
      <c r="J545" s="56" t="n">
        <v>4.2</v>
      </c>
      <c r="K545" s="56" t="inlineStr">
        <is>
          <t>https://amazon.com/dp/B0G2Q4PXNC</t>
        </is>
      </c>
      <c r="L545" s="70">
        <f>HYPERLINK(Table3559[[#This Row],[Column1]])</f>
        <v/>
      </c>
    </row>
    <row r="546" ht="45" customHeight="1" s="290">
      <c r="A546" s="30" t="inlineStr">
        <is>
          <t>LAUNCH Non-16 Pin Adapter Kit Work for LAUNCH CRP919E BT/ CRP919X BT X431 [X431 V/PROS, X431 V/V+ PRO S+/3S+/5/Mini, PAD III/V/VII] OE-Standard Connectors for 1996-2002 Vehicles</t>
        </is>
      </c>
      <c r="B546" s="30" t="inlineStr">
        <is>
          <t>B0D6276F4J</t>
        </is>
      </c>
      <c r="C546" s="30" t="inlineStr">
        <is>
          <t>Cable/Adapter</t>
        </is>
      </c>
      <c r="D546" s="324" t="n">
        <v>142.78</v>
      </c>
      <c r="E546" s="53" t="n">
        <v>2792.755384615385</v>
      </c>
      <c r="F546" s="53" t="n">
        <v>285.56</v>
      </c>
      <c r="G546" s="55" t="n">
        <v>13</v>
      </c>
      <c r="H546" s="57" t="n">
        <v>2</v>
      </c>
      <c r="I546" s="55" t="n">
        <v>1</v>
      </c>
      <c r="J546" s="56" t="n">
        <v>5</v>
      </c>
      <c r="K546" s="56" t="inlineStr">
        <is>
          <t>https://amazon.com/dp/B0D6276F4J</t>
        </is>
      </c>
      <c r="L546" s="70">
        <f>HYPERLINK(Table3559[[#This Row],[Column1]])</f>
        <v/>
      </c>
    </row>
    <row r="547" ht="30" customHeight="1" s="290">
      <c r="A547" s="30" t="inlineStr">
        <is>
          <t>LAUNCH CRP129E Plus OBD2 Scanner, All-in-ONE Full System Diagnostic Scan Tool, Lifetime Free Update, 12 Reset Oil/TPMS/EPB/SAS/BMS/Throttle Reset, Injector Coding, FCA AutoAuth, Battery Test,Auto VIN</t>
        </is>
      </c>
      <c r="B547" s="30" t="inlineStr">
        <is>
          <t>B0CL2BPJ47</t>
        </is>
      </c>
      <c r="C547" s="30" t="inlineStr">
        <is>
          <t>Tablet</t>
        </is>
      </c>
      <c r="D547" s="324" t="n">
        <v>335.31</v>
      </c>
      <c r="E547" s="53" t="n">
        <v>10408.12384615385</v>
      </c>
      <c r="F547" s="53" t="n">
        <v>670.62</v>
      </c>
      <c r="G547" s="55" t="n">
        <v>38</v>
      </c>
      <c r="H547" s="57" t="n">
        <v>2</v>
      </c>
      <c r="I547" s="55" t="n">
        <v>35</v>
      </c>
      <c r="J547" s="56" t="n">
        <v>4.2</v>
      </c>
      <c r="K547" s="56" t="inlineStr">
        <is>
          <t>https://amazon.com/dp/B0CL2BPJ47</t>
        </is>
      </c>
      <c r="L547" s="70">
        <f>HYPERLINK(Table3559[[#This Row],[Column1]])</f>
        <v/>
      </c>
    </row>
    <row r="548" ht="45" customHeight="1" s="290">
      <c r="A548" s="30" t="inlineStr">
        <is>
          <t>LAUNCH Millennium HD ProA Heavy Duty Truck Scanner All System Diesel Diagnostic Scan Tool with 8 Service Functions, for Freightliner Peterbilt Kenworth Western Star Mack (Use in the US &amp; CAN)</t>
        </is>
      </c>
      <c r="B548" s="30" t="inlineStr">
        <is>
          <t>B08QGK7QJW</t>
        </is>
      </c>
      <c r="C548" s="30" t="inlineStr">
        <is>
          <t>Tablet</t>
        </is>
      </c>
      <c r="D548" s="324" t="n">
        <v>539.455</v>
      </c>
      <c r="E548" s="53" t="n">
        <v>19639.11</v>
      </c>
      <c r="F548" s="53" t="n">
        <v>1078.91</v>
      </c>
      <c r="G548" s="55" t="n">
        <v>41</v>
      </c>
      <c r="H548" s="57" t="n">
        <v>2</v>
      </c>
      <c r="I548" s="55" t="n">
        <v>3</v>
      </c>
      <c r="J548" s="56" t="n">
        <v>3.5</v>
      </c>
      <c r="K548" s="56" t="inlineStr">
        <is>
          <t>https://amazon.com/dp/B08QGK7QJW</t>
        </is>
      </c>
      <c r="L548" s="70">
        <f>HYPERLINK(Table3559[[#This Row],[Column1]])</f>
        <v/>
      </c>
    </row>
    <row r="549" ht="45" customHeight="1" s="290">
      <c r="A549" s="30" t="inlineStr">
        <is>
          <t>2026 LAUNCH CRP129HD Heavy Duty Truck Scanner with DPF Regen, Speed Limit Adjust Reset, Full System Diesel Semi Truck Diagnostic Tool &amp; Code Reader for Cummins Detroit International Paccar</t>
        </is>
      </c>
      <c r="B549" s="30" t="inlineStr">
        <is>
          <t>B0FQB6SXX8</t>
        </is>
      </c>
      <c r="C549" s="30" t="inlineStr">
        <is>
          <t>Tablet</t>
        </is>
      </c>
      <c r="D549" s="324" t="n">
        <v>442.425</v>
      </c>
      <c r="E549" s="53" t="n">
        <v>10303.56153846154</v>
      </c>
      <c r="F549" s="53" t="n">
        <v>884.85</v>
      </c>
      <c r="G549" s="55" t="n">
        <v>7</v>
      </c>
      <c r="H549" s="57" t="n">
        <v>2</v>
      </c>
      <c r="I549" s="55" t="n">
        <v>1</v>
      </c>
      <c r="J549" s="56" t="n">
        <v>4</v>
      </c>
      <c r="K549" s="56" t="inlineStr">
        <is>
          <t>https://amazon.com/dp/B0FQB6SXX8</t>
        </is>
      </c>
      <c r="L549" s="70">
        <f>HYPERLINK(Table3559[[#This Row],[Column1]])</f>
        <v/>
      </c>
    </row>
    <row r="550" ht="45" customHeight="1" s="290">
      <c r="A550" s="30" t="inlineStr">
        <is>
          <t>LAUNCH CR319 OBD2 Scanner, 2026 Upgrade Ver. Engine Fault Code Reader,Support O2 Sensor,Lifetime Free Update,Scanner for All OBDII Protocol Cars Since 1996</t>
        </is>
      </c>
      <c r="B550" s="30" t="inlineStr">
        <is>
          <t>B07N5ZGJ2M</t>
        </is>
      </c>
      <c r="C550" s="30" t="inlineStr">
        <is>
          <t>Handheld</t>
        </is>
      </c>
      <c r="D550" s="324" t="n">
        <v>32.13</v>
      </c>
      <c r="E550" s="53" t="n">
        <v>610.4469230769231</v>
      </c>
      <c r="F550" s="53" t="n">
        <v>32.13</v>
      </c>
      <c r="G550" s="55" t="n">
        <v>24</v>
      </c>
      <c r="H550" s="57" t="n">
        <v>1</v>
      </c>
      <c r="I550" s="55" t="n">
        <v>736</v>
      </c>
      <c r="J550" s="56" t="n">
        <v>4.2</v>
      </c>
      <c r="K550" s="56" t="inlineStr">
        <is>
          <t>https://amazon.com/dp/B07N5ZGJ2M</t>
        </is>
      </c>
      <c r="L550" s="70">
        <f>HYPERLINK(Table3559[[#This Row],[Column1]])</f>
        <v/>
      </c>
    </row>
    <row r="551" ht="45" customHeight="1" s="290">
      <c r="A551" s="30" t="inlineStr">
        <is>
          <t>Launch X431 PRO Dyno Bidirectional Scan Tool, ECU Coding Online Offline, 38 HOT Services, CANFD DoIP, FCA SGW, 8 Expansion Modules</t>
        </is>
      </c>
      <c r="B551" s="30" t="inlineStr">
        <is>
          <t>B0F3D296G2</t>
        </is>
      </c>
      <c r="C551" s="30" t="inlineStr">
        <is>
          <t>Tablet</t>
        </is>
      </c>
      <c r="D551" s="324" t="n">
        <v>431.46</v>
      </c>
      <c r="E551" s="53" t="n">
        <v>6673.500000000001</v>
      </c>
      <c r="F551" s="53" t="n">
        <v>431.46</v>
      </c>
      <c r="G551" s="55" t="n">
        <v>8</v>
      </c>
      <c r="H551" s="57" t="n">
        <v>1</v>
      </c>
      <c r="I551" s="55" t="n">
        <v>1</v>
      </c>
      <c r="J551" s="56" t="n">
        <v>5</v>
      </c>
      <c r="K551" s="56" t="inlineStr">
        <is>
          <t>https://amazon.com/dp/B0F3D296G2</t>
        </is>
      </c>
      <c r="L551" s="70">
        <f>HYPERLINK(Table3559[[#This Row],[Column1]])</f>
        <v/>
      </c>
    </row>
    <row r="552" ht="45" customHeight="1" s="290">
      <c r="A552" s="30" t="inlineStr">
        <is>
          <t>LAUNCH Creader Elite HD-C Heavy Duty Truck Scanner for Caterpillar, All System Active Test Diesel Diagnostic Tool-25 Calibration/Reset Special Service, 4-in-1 Live Graph Data Car Scan Tool</t>
        </is>
      </c>
      <c r="B552" s="30" t="inlineStr">
        <is>
          <t>B0DQ3YVKZS</t>
        </is>
      </c>
      <c r="C552" s="30" t="inlineStr">
        <is>
          <t>Tablet</t>
        </is>
      </c>
      <c r="D552" s="324" t="n">
        <v>505.32</v>
      </c>
      <c r="E552" s="53" t="n">
        <v>3658.106923076923</v>
      </c>
      <c r="F552" s="53" t="n">
        <v>505.32</v>
      </c>
      <c r="G552" s="55" t="n">
        <v>4</v>
      </c>
      <c r="H552" s="57" t="n">
        <v>1</v>
      </c>
      <c r="I552" s="55" t="n"/>
      <c r="J552" s="56" t="n"/>
      <c r="K552" s="56" t="inlineStr">
        <is>
          <t>https://amazon.com/dp/B0DQ3YVKZS</t>
        </is>
      </c>
      <c r="L552" s="70">
        <f>HYPERLINK(Table3559[[#This Row],[Column1]])</f>
        <v/>
      </c>
    </row>
    <row r="553" ht="45" customHeight="1" s="290">
      <c r="A553" s="30" t="inlineStr">
        <is>
          <t>LAUNCH Original X-431 OBD2 Extension Cable 16-Pin Male to Female OBDII Extend Adapter for Car OBD Diagnostic Extender Cord Connector - 1.2ft/36.5cm</t>
        </is>
      </c>
      <c r="B553" s="30" t="inlineStr">
        <is>
          <t>B0DWRVQT25</t>
        </is>
      </c>
      <c r="C553" s="30" t="inlineStr">
        <is>
          <t>Cable/Adapter</t>
        </is>
      </c>
      <c r="D553" s="324" t="n">
        <v>11.58</v>
      </c>
      <c r="E553" s="53" t="n">
        <v>294.7</v>
      </c>
      <c r="F553" s="53" t="n">
        <v>11.58</v>
      </c>
      <c r="G553" s="55" t="n">
        <v>27</v>
      </c>
      <c r="H553" s="57" t="n">
        <v>1</v>
      </c>
      <c r="I553" s="55" t="n">
        <v>11</v>
      </c>
      <c r="J553" s="56" t="n">
        <v>4.8</v>
      </c>
      <c r="K553" s="56" t="inlineStr">
        <is>
          <t>https://amazon.com/dp/B0DWRVQT25</t>
        </is>
      </c>
      <c r="L553" s="70">
        <f>HYPERLINK(Table3559[[#This Row],[Column1]])</f>
        <v/>
      </c>
    </row>
    <row r="554" ht="45" customHeight="1" s="290">
      <c r="A554" s="30" t="inlineStr">
        <is>
          <t>LAUNCH 301050231 CRP 123 Premium</t>
        </is>
      </c>
      <c r="B554" s="30" t="inlineStr">
        <is>
          <t>B01N480P72</t>
        </is>
      </c>
      <c r="C554" s="30" t="inlineStr">
        <is>
          <t>Tablet</t>
        </is>
      </c>
      <c r="D554" s="324" t="n">
        <v>210.29</v>
      </c>
      <c r="E554" s="53" t="n">
        <v>1424.98</v>
      </c>
      <c r="F554" s="53" t="n">
        <v>210.29</v>
      </c>
      <c r="G554" s="55" t="n">
        <v>8</v>
      </c>
      <c r="H554" s="57" t="n">
        <v>1</v>
      </c>
      <c r="I554" s="55" t="n">
        <v>221</v>
      </c>
      <c r="J554" s="56" t="n">
        <v>4</v>
      </c>
      <c r="K554" s="56" t="inlineStr">
        <is>
          <t>https://amazon.com/dp/B01N480P72</t>
        </is>
      </c>
      <c r="L554" s="70">
        <f>HYPERLINK(Table3559[[#This Row],[Column1]])</f>
        <v/>
      </c>
    </row>
    <row r="555" ht="30" customHeight="1" s="290">
      <c r="A555" s="30" t="inlineStr">
        <is>
          <t>LAUNCH X431 Remote Assisted Diagnostic Tool, Heavy Duty Truck Scanner, Bidirectional Diesel Scan Tool for 24V HD Trucks &amp; Commercial Vehicle, Support CANFD&amp;DOIP, Semi Trucks All System Diagnostic Tool</t>
        </is>
      </c>
      <c r="B555" s="30" t="inlineStr">
        <is>
          <t>B0D8FPG2LW</t>
        </is>
      </c>
      <c r="C555" s="30" t="inlineStr">
        <is>
          <t>VCI</t>
        </is>
      </c>
      <c r="D555" s="324" t="n">
        <v>887.4299999999999</v>
      </c>
      <c r="E555" s="53" t="n">
        <v>6290.97</v>
      </c>
      <c r="F555" s="53" t="n">
        <v>887.4299999999999</v>
      </c>
      <c r="G555" s="55" t="n">
        <v>7</v>
      </c>
      <c r="H555" s="57" t="n">
        <v>1</v>
      </c>
      <c r="I555" s="55" t="n">
        <v>1</v>
      </c>
      <c r="J555" s="56" t="n">
        <v>5</v>
      </c>
      <c r="K555" s="56" t="inlineStr">
        <is>
          <t>https://amazon.com/dp/B0D8FPG2LW</t>
        </is>
      </c>
      <c r="L555" s="70">
        <f>HYPERLINK(Table3559[[#This Row],[Column1]])</f>
        <v/>
      </c>
    </row>
    <row r="556" ht="45" customHeight="1" s="290">
      <c r="A556" s="30" t="inlineStr">
        <is>
          <t>2026 LAUNCH CRP909E Elite OBD2 Scanner, OE-Level Full System Car Diagnostic Tool, 28+ Reset Service, Injector Code, SAS, ABS Bleeding, Auto VIN, 2 Years Free Update</t>
        </is>
      </c>
      <c r="B556" s="30" t="inlineStr">
        <is>
          <t>B089Y3T3BJ</t>
        </is>
      </c>
      <c r="C556" s="30" t="inlineStr">
        <is>
          <t>Tablet</t>
        </is>
      </c>
      <c r="D556" s="324" t="n">
        <v>398.75</v>
      </c>
      <c r="E556" s="53" t="n">
        <v>5116.675384615383</v>
      </c>
      <c r="F556" s="53" t="n">
        <v>398.75</v>
      </c>
      <c r="G556" s="55" t="n">
        <v>6</v>
      </c>
      <c r="H556" s="57" t="n">
        <v>1</v>
      </c>
      <c r="I556" s="55" t="n">
        <v>95</v>
      </c>
      <c r="J556" s="56" t="n">
        <v>4.2</v>
      </c>
      <c r="K556" s="56" t="inlineStr">
        <is>
          <t>https://amazon.com/dp/B089Y3T3BJ</t>
        </is>
      </c>
      <c r="L556" s="70">
        <f>HYPERLINK(Table3559[[#This Row],[Column1]])</f>
        <v/>
      </c>
    </row>
    <row r="557" ht="45" customHeight="1" s="290">
      <c r="A557" s="30" t="inlineStr">
        <is>
          <t>LAUNCH Original OBD1 External Power Supply via Battery Clipper Fit for DR15 Female to OBD2 16 Pin Famale Cable with External Power Port</t>
        </is>
      </c>
      <c r="B557" s="30" t="inlineStr">
        <is>
          <t>B0DXNYBDQP</t>
        </is>
      </c>
      <c r="C557" s="30" t="inlineStr">
        <is>
          <t>Other</t>
        </is>
      </c>
      <c r="D557" s="324" t="n">
        <v>20.15</v>
      </c>
      <c r="E557" s="53" t="n">
        <v>272.41</v>
      </c>
      <c r="F557" s="53" t="n">
        <v>20.15</v>
      </c>
      <c r="G557" s="55" t="n">
        <v>15</v>
      </c>
      <c r="H557" s="57" t="n">
        <v>1</v>
      </c>
      <c r="I557" s="55" t="n"/>
      <c r="J557" s="56" t="n"/>
      <c r="K557" s="56" t="inlineStr">
        <is>
          <t>https://amazon.com/dp/B0DXNYBDQP</t>
        </is>
      </c>
      <c r="L557" s="70">
        <f>HYPERLINK(Table3559[[#This Row],[Column1]])</f>
        <v/>
      </c>
    </row>
    <row r="558" ht="45" customHeight="1" s="290">
      <c r="A558" s="30" t="inlineStr">
        <is>
          <t>LAUNCH Original Main Cable for X-431 CRP123i, CRP123e, CRP123x, CRP129i, CRP129e, CRP129x</t>
        </is>
      </c>
      <c r="B558" s="30" t="inlineStr">
        <is>
          <t>B0DZCGJ4D2</t>
        </is>
      </c>
      <c r="C558" s="30" t="inlineStr">
        <is>
          <t>Other</t>
        </is>
      </c>
      <c r="D558" s="324" t="n">
        <v>21.55</v>
      </c>
      <c r="E558" s="53" t="n">
        <v>443.5523076923077</v>
      </c>
      <c r="F558" s="53" t="n">
        <v>21.55</v>
      </c>
      <c r="G558" s="55" t="n">
        <v>17</v>
      </c>
      <c r="H558" s="57" t="n">
        <v>1</v>
      </c>
      <c r="I558" s="55" t="n"/>
      <c r="J558" s="56" t="n"/>
      <c r="K558" s="56" t="inlineStr">
        <is>
          <t>https://amazon.com/dp/B0DZCGJ4D2</t>
        </is>
      </c>
      <c r="L558" s="70">
        <f>HYPERLINK(Table3559[[#This Row],[Column1]])</f>
        <v/>
      </c>
    </row>
    <row r="559" ht="45" customHeight="1" s="290">
      <c r="A559" s="30" t="inlineStr">
        <is>
          <t>Launch CRP 123X Plus 2026 OBD2 Scanner Diagnostic Tool, All System Car Scan Tool Lifetime F.Ree Update, Oil Reset, SAS Calibration, Throttle Adaptation, Auto VIN, Battery Test, Upgraded of CRP123X</t>
        </is>
      </c>
      <c r="B559" s="30" t="inlineStr">
        <is>
          <t>B0GS274MRY</t>
        </is>
      </c>
      <c r="C559" s="30" t="inlineStr">
        <is>
          <t>Tablet</t>
        </is>
      </c>
      <c r="D559" s="324" t="n">
        <v>286.66</v>
      </c>
      <c r="E559" s="53" t="n">
        <v>3461.970769230768</v>
      </c>
      <c r="F559" s="53" t="n">
        <v>286.66</v>
      </c>
      <c r="G559" s="55" t="n">
        <v>1</v>
      </c>
      <c r="H559" s="57" t="n">
        <v>1</v>
      </c>
      <c r="I559" s="55" t="n"/>
      <c r="J559" s="56" t="n"/>
      <c r="K559" s="56" t="inlineStr">
        <is>
          <t>https://amazon.com/dp/B0GS274MRY</t>
        </is>
      </c>
      <c r="L559" s="70">
        <f>HYPERLINK(Table3559[[#This Row],[Column1]])</f>
        <v/>
      </c>
    </row>
    <row r="560" ht="30" customHeight="1" s="290">
      <c r="A560" s="30" t="inlineStr">
        <is>
          <t>Launch CRP129 MT Pro Motorcycle Scanner, OE All System Bidirectional Active Tests, Resets for Harley Honda Yamaha Kawasaki Indian Suzuki Polaris Victory, 38+ Brands, 11 Languages, 2 Years Upgrades</t>
        </is>
      </c>
      <c r="B560" s="30" t="inlineStr">
        <is>
          <t>B0GVQZLFX2</t>
        </is>
      </c>
      <c r="C560" s="30" t="inlineStr">
        <is>
          <t>Tablet</t>
        </is>
      </c>
      <c r="D560" s="324" t="n">
        <v>563.02</v>
      </c>
      <c r="E560" s="53" t="n">
        <v>6799.549230769229</v>
      </c>
      <c r="F560" s="53" t="n">
        <v>563.02</v>
      </c>
      <c r="G560" s="55" t="n">
        <v>1</v>
      </c>
      <c r="H560" s="57" t="n">
        <v>1</v>
      </c>
      <c r="I560" s="55" t="n"/>
      <c r="J560" s="56" t="n"/>
      <c r="K560" s="56" t="inlineStr">
        <is>
          <t>https://amazon.com/dp/B0GVQZLFX2</t>
        </is>
      </c>
      <c r="L560" s="70">
        <f>HYPERLINK(Table3559[[#This Row],[Column1]])</f>
        <v/>
      </c>
    </row>
    <row r="561" ht="30" customHeight="1" s="290">
      <c r="A561" s="30" t="inlineStr">
        <is>
          <t>LAUNCH CRP129 HD Heavy Duty Truck Scanner with DPF Regen Injector Cutoff, Full System Diesel Diagnostic Scan Tool for Cummins Caterpillar Pickup Tractor &amp; More Commercial Vehicle Semi-Trucks</t>
        </is>
      </c>
      <c r="B561" s="30" t="inlineStr">
        <is>
          <t>B0D2XLZ5JX</t>
        </is>
      </c>
      <c r="C561" s="30" t="inlineStr">
        <is>
          <t>Tablet</t>
        </is>
      </c>
      <c r="D561" s="324" t="n">
        <v>499</v>
      </c>
      <c r="E561" s="53" t="n">
        <v>39385.23</v>
      </c>
      <c r="F561" s="53" t="n">
        <v>499</v>
      </c>
      <c r="G561" s="55" t="n">
        <v>74</v>
      </c>
      <c r="H561" s="57" t="n">
        <v>1</v>
      </c>
      <c r="I561" s="55" t="n">
        <v>10</v>
      </c>
      <c r="J561" s="56" t="n">
        <v>4.5</v>
      </c>
      <c r="K561" s="56" t="inlineStr">
        <is>
          <t>https://amazon.com/dp/B0D2XLZ5JX</t>
        </is>
      </c>
      <c r="L561" s="70">
        <f>HYPERLINK(Table3559[[#This Row],[Column1]])</f>
        <v/>
      </c>
    </row>
    <row r="562" ht="45" customHeight="1" s="290">
      <c r="A562" s="30" t="inlineStr">
        <is>
          <t>Launch OBD2 Scanner CRP123I V3.0 Elite, 2026 Lifetime Free WiFi Update Scan Tool, FCA SGW, CANFD&amp;DoIP, SAS/Throttle/Brake/BMS/D-P-F/Oil/ABS Service Multi Systems Car Scanner, Battery Test, Auto VIN</t>
        </is>
      </c>
      <c r="B562" s="30" t="inlineStr">
        <is>
          <t>B0FPXSL6N1</t>
        </is>
      </c>
      <c r="C562" s="30" t="inlineStr">
        <is>
          <t>Tablet</t>
        </is>
      </c>
      <c r="D562" s="324" t="n">
        <v>105.36</v>
      </c>
      <c r="E562" s="53" t="n">
        <v>1236.917692307692</v>
      </c>
      <c r="F562" s="53" t="n">
        <v>105.36</v>
      </c>
      <c r="G562" s="55" t="n">
        <v>4</v>
      </c>
      <c r="H562" s="57" t="n">
        <v>1</v>
      </c>
      <c r="I562" s="55" t="n"/>
      <c r="J562" s="56" t="n"/>
      <c r="K562" s="56" t="inlineStr">
        <is>
          <t>https://amazon.com/dp/B0FPXSL6N1</t>
        </is>
      </c>
      <c r="L562" s="70">
        <f>HYPERLINK(Table3559[[#This Row],[Column1]])</f>
        <v/>
      </c>
    </row>
    <row r="563" ht="30" customHeight="1" s="290">
      <c r="A563" s="30" t="inlineStr">
        <is>
          <t>LAUNCH X431 Elite with X-PROG3, 2026 Professional Diagnostic Scanner with X-PROG3 and DBScar VII VCI, CANFD &amp; DOIP, 38 Services, Bidirectional Control, All System Basic Diagnose, 2 Yrs Update</t>
        </is>
      </c>
      <c r="B563" s="30" t="inlineStr">
        <is>
          <t>B0DCBHDYB6</t>
        </is>
      </c>
      <c r="C563" s="30" t="inlineStr">
        <is>
          <t>Tablet</t>
        </is>
      </c>
      <c r="D563" s="324" t="n">
        <v>1712.9</v>
      </c>
      <c r="E563" s="53" t="n">
        <v>12963.2</v>
      </c>
      <c r="F563" s="53" t="n">
        <v>1712.9</v>
      </c>
      <c r="G563" s="55" t="n">
        <v>10</v>
      </c>
      <c r="H563" s="57" t="n">
        <v>1</v>
      </c>
      <c r="I563" s="55" t="n">
        <v>3</v>
      </c>
      <c r="J563" s="56" t="n">
        <v>1</v>
      </c>
      <c r="K563" s="56" t="inlineStr">
        <is>
          <t>https://amazon.com/dp/B0DCBHDYB6</t>
        </is>
      </c>
      <c r="L563" s="70">
        <f>HYPERLINK(Table3559[[#This Row],[Column1]])</f>
        <v/>
      </c>
    </row>
    <row r="564" ht="45" customHeight="1" s="290">
      <c r="A564" s="30" t="inlineStr">
        <is>
          <t>Launch Creader 200 OBD2 Scanner 2025 Engine/ABS/SRS/Transmission Car Diagnostic Scan Tool, 4 System Code Reader, Auto Vin, Full OBD2 Function, Lifetime Free Update</t>
        </is>
      </c>
      <c r="B564" s="30" t="inlineStr">
        <is>
          <t>B0F7QLD4PV</t>
        </is>
      </c>
      <c r="C564" s="30" t="inlineStr">
        <is>
          <t>Tablet</t>
        </is>
      </c>
      <c r="D564" s="324" t="n">
        <v>107.9</v>
      </c>
      <c r="E564" s="53" t="n">
        <v>6212.35</v>
      </c>
      <c r="F564" s="53" t="n">
        <v>107.9</v>
      </c>
      <c r="G564" s="55" t="n">
        <v>67</v>
      </c>
      <c r="H564" s="57" t="n">
        <v>1</v>
      </c>
      <c r="I564" s="55" t="n">
        <v>4</v>
      </c>
      <c r="J564" s="56" t="n">
        <v>2.9</v>
      </c>
      <c r="K564" s="56" t="inlineStr">
        <is>
          <t>https://amazon.com/dp/B0F7QLD4PV</t>
        </is>
      </c>
      <c r="L564" s="70">
        <f>HYPERLINK(Table3559[[#This Row],[Column1]])</f>
        <v/>
      </c>
    </row>
    <row r="565" ht="45" customHeight="1" s="290">
      <c r="A565" s="30" t="inlineStr">
        <is>
          <t>LAUNCH CRP123E Plus OBD2 Scanner, All System Car Diagnostic Scan Tool with Oil Reset, SAS Calibration, Throttle Adaptation,Battery Test, Auto Vin, FCA Autoauth, Lifetime Free Update</t>
        </is>
      </c>
      <c r="B565" s="30" t="inlineStr">
        <is>
          <t>B0DKHL3V7V</t>
        </is>
      </c>
      <c r="C565" s="30" t="inlineStr">
        <is>
          <t>Tablet</t>
        </is>
      </c>
      <c r="D565" s="324" t="n">
        <v>207.13</v>
      </c>
      <c r="E565" s="53" t="n">
        <v>11336.82692307692</v>
      </c>
      <c r="F565" s="53" t="n">
        <v>207.13</v>
      </c>
      <c r="G565" s="55" t="n">
        <v>46</v>
      </c>
      <c r="H565" s="57" t="n">
        <v>1</v>
      </c>
      <c r="I565" s="55" t="n">
        <v>12</v>
      </c>
      <c r="J565" s="56" t="n">
        <v>3.5</v>
      </c>
      <c r="K565" s="56" t="inlineStr">
        <is>
          <t>https://amazon.com/dp/B0DKHL3V7V</t>
        </is>
      </c>
      <c r="L565" s="70">
        <f>HYPERLINK(Table3559[[#This Row],[Column1]])</f>
        <v/>
      </c>
    </row>
    <row r="566" ht="30" customHeight="1" s="290">
      <c r="A566" s="30" t="inlineStr">
        <is>
          <t>NEW 2026 LAUNCH Scanner International Heavy Duty Truck Cummins MAXXFORCE Diagnostic Scan Tool, Actuation Test,Coding,Special Functions, Full System Diagnosis,Lifetime Free Upgrade</t>
        </is>
      </c>
      <c r="B566" s="30" t="inlineStr">
        <is>
          <t>B0DCNN3ZT5</t>
        </is>
      </c>
      <c r="C566" s="30" t="inlineStr">
        <is>
          <t>Tablet</t>
        </is>
      </c>
      <c r="D566" s="324" t="n">
        <v>277.97</v>
      </c>
      <c r="E566" s="53" t="n">
        <v>12209</v>
      </c>
      <c r="F566" s="53" t="n">
        <v>277.97</v>
      </c>
      <c r="G566" s="55" t="n">
        <v>28</v>
      </c>
      <c r="H566" s="57" t="n">
        <v>1</v>
      </c>
      <c r="I566" s="55" t="n">
        <v>2</v>
      </c>
      <c r="J566" s="56" t="n">
        <v>2.5</v>
      </c>
      <c r="K566" s="56" t="inlineStr">
        <is>
          <t>https://amazon.com/dp/B0DCNN3ZT5</t>
        </is>
      </c>
      <c r="L566" s="70">
        <f>HYPERLINK(Table3559[[#This Row],[Column1]])</f>
        <v/>
      </c>
    </row>
    <row r="567" ht="30" customHeight="1" s="290">
      <c r="A567" s="30" t="inlineStr">
        <is>
          <t>Launch X431 PRO Star OBDII Scanner, All System Diagnostics, ECU Coding, 37+ Services, Full Bi-Directional Scan Tool, FCA SGW, CAN FD/DoIP, Quick Guide, 2 Years Fr-ee Update, Android 10.0</t>
        </is>
      </c>
      <c r="B567" s="30" t="inlineStr">
        <is>
          <t>B0DRNV2NMJ</t>
        </is>
      </c>
      <c r="C567" s="30" t="inlineStr">
        <is>
          <t>Tablet</t>
        </is>
      </c>
      <c r="D567" s="324" t="n">
        <v>658.71</v>
      </c>
      <c r="E567" s="53" t="n">
        <v>6064.01</v>
      </c>
      <c r="F567" s="53" t="n">
        <v>658.71</v>
      </c>
      <c r="G567" s="55" t="n">
        <v>6</v>
      </c>
      <c r="H567" s="57" t="n">
        <v>1</v>
      </c>
      <c r="I567" s="55" t="n"/>
      <c r="J567" s="56" t="n"/>
      <c r="K567" s="56" t="inlineStr">
        <is>
          <t>https://amazon.com/dp/B0DRNV2NMJ</t>
        </is>
      </c>
      <c r="L567" s="70">
        <f>HYPERLINK(Table3559[[#This Row],[Column1]])</f>
        <v/>
      </c>
    </row>
    <row r="568" ht="45" customHeight="1" s="290">
      <c r="A568" s="30" t="inlineStr">
        <is>
          <t>LAUNCH X431 Motorcycle OBD Diagnostic Connector Kit 2.0 with Motorcycle Diagnostic Software Work with LAUNCH X-431 Diagnostic Scanner</t>
        </is>
      </c>
      <c r="B568" s="30" t="inlineStr">
        <is>
          <t>B0FN7RYXGM</t>
        </is>
      </c>
      <c r="C568" s="30" t="inlineStr">
        <is>
          <t>Cable/Adapter</t>
        </is>
      </c>
      <c r="D568" s="324" t="n">
        <v>437.95</v>
      </c>
      <c r="E568" s="53" t="n">
        <v>3732.16923076923</v>
      </c>
      <c r="F568" s="53" t="n">
        <v>437.95</v>
      </c>
      <c r="G568" s="55" t="n">
        <v>3</v>
      </c>
      <c r="H568" s="57" t="n">
        <v>1</v>
      </c>
      <c r="I568" s="55" t="n"/>
      <c r="J568" s="56" t="n"/>
      <c r="K568" s="56" t="inlineStr">
        <is>
          <t>https://amazon.com/dp/B0FN7RYXGM</t>
        </is>
      </c>
      <c r="L568" s="70">
        <f>HYPERLINK(Table3559[[#This Row],[Column1]])</f>
        <v/>
      </c>
    </row>
    <row r="569" ht="45" customHeight="1" s="290">
      <c r="A569" s="30" t="inlineStr">
        <is>
          <t>LAUNCH OBD2 Scanner CRP123I V3.0, 2026 Lifetime Free WiFi Update Scan Tool, FCA SGW, CANFD&amp;DoIP, Oil/ABS/SAS/Throttle/Brake/BMS/DPF Service Multi Systems Car Scanner, Battery Test, Auto VIN</t>
        </is>
      </c>
      <c r="B569" s="30" t="inlineStr">
        <is>
          <t>B08B7VWX7P</t>
        </is>
      </c>
      <c r="C569" s="30" t="inlineStr">
        <is>
          <t>Tablet</t>
        </is>
      </c>
      <c r="D569" s="324" t="n">
        <v>199.33</v>
      </c>
      <c r="E569" s="53" t="n">
        <v>2678.84</v>
      </c>
      <c r="F569" s="53" t="n">
        <v>199.33</v>
      </c>
      <c r="G569" s="55" t="n">
        <v>17</v>
      </c>
      <c r="H569" s="57" t="n">
        <v>1</v>
      </c>
      <c r="I569" s="55" t="n">
        <v>495</v>
      </c>
      <c r="J569" s="56" t="n">
        <v>4.2</v>
      </c>
      <c r="K569" s="56" t="inlineStr">
        <is>
          <t>https://amazon.com/dp/B08B7VWX7P</t>
        </is>
      </c>
      <c r="L569" s="70">
        <f>HYPERLINK(Table3559[[#This Row],[Column1]])</f>
        <v/>
      </c>
    </row>
    <row r="570" ht="45" customHeight="1" s="290">
      <c r="A570" s="30" t="inlineStr">
        <is>
          <t>LAUNCH X431 Pro V5.0 2026 New Generation Automotive Diagnostic Scanner Tool, OEM Bluetooth Bidirectional OBD2 Scan Tool with CANFD &amp; DOIP, 38+ Special Functions for All Cars</t>
        </is>
      </c>
      <c r="B570" s="30" t="inlineStr">
        <is>
          <t>B0FG2CNXWD</t>
        </is>
      </c>
      <c r="C570" s="30" t="inlineStr">
        <is>
          <t>Tablet</t>
        </is>
      </c>
      <c r="D570" s="324" t="n">
        <v>1005</v>
      </c>
      <c r="E570" s="53" t="n">
        <v>18732.26615384616</v>
      </c>
      <c r="F570" s="53" t="n">
        <v>1005</v>
      </c>
      <c r="G570" s="55" t="n">
        <v>14</v>
      </c>
      <c r="H570" s="57" t="n">
        <v>1</v>
      </c>
      <c r="I570" s="55" t="n">
        <v>385</v>
      </c>
      <c r="J570" s="56" t="n">
        <v>4.2</v>
      </c>
      <c r="K570" s="56" t="inlineStr">
        <is>
          <t>https://amazon.com/dp/B0FG2CNXWD</t>
        </is>
      </c>
      <c r="L570" s="70">
        <f>HYPERLINK(Table3559[[#This Row],[Column1]])</f>
        <v/>
      </c>
    </row>
    <row r="571" ht="30" customHeight="1" s="290">
      <c r="A571" s="30" t="inlineStr">
        <is>
          <t>LAUNCH X431 V+ 5.0, SmartLink C Heavy Duty Truck Scanner for Commercial/Passenger Vehicles, J2534 D-PDU, ECU Program, ECU Coding, Topology, 60 Reset, Bi-Directional Scan Tool, All System</t>
        </is>
      </c>
      <c r="B571" s="30" t="inlineStr">
        <is>
          <t>B0BGZQ78JB</t>
        </is>
      </c>
      <c r="C571" s="30" t="inlineStr">
        <is>
          <t>Tablet</t>
        </is>
      </c>
      <c r="D571" s="324" t="n">
        <v>1779</v>
      </c>
      <c r="E571" s="53" t="n">
        <v>15076.37</v>
      </c>
      <c r="F571" s="53" t="n">
        <v>0</v>
      </c>
      <c r="G571" s="55" t="n">
        <v>8</v>
      </c>
      <c r="H571" s="57" t="n">
        <v>0</v>
      </c>
      <c r="I571" s="55" t="n">
        <v>5</v>
      </c>
      <c r="J571" s="56" t="n">
        <v>3.8</v>
      </c>
      <c r="K571" s="56" t="inlineStr">
        <is>
          <t>https://amazon.com/dp/B0BGZQ78JB</t>
        </is>
      </c>
      <c r="L571" s="70">
        <f>HYPERLINK(Table3559[[#This Row],[Column1]])</f>
        <v/>
      </c>
    </row>
    <row r="572" ht="45" customHeight="1" s="290">
      <c r="A572" s="30" t="inlineStr">
        <is>
          <t>LAUNCH Original Adapter for Honda DR15 Male to OBD1 3 Pin Male [Note: Can't Work Alone] for X-431 Diagnostic Scanner</t>
        </is>
      </c>
      <c r="B572" s="30" t="inlineStr">
        <is>
          <t>B0DX6T6JG5</t>
        </is>
      </c>
      <c r="C572" s="30" t="inlineStr">
        <is>
          <t>OBD1</t>
        </is>
      </c>
      <c r="D572" s="324" t="n">
        <v>14.99</v>
      </c>
      <c r="E572" s="53" t="n">
        <v>0</v>
      </c>
      <c r="F572" s="53" t="n">
        <v>0</v>
      </c>
      <c r="G572" s="55" t="n">
        <v>0</v>
      </c>
      <c r="H572" s="57" t="n">
        <v>0</v>
      </c>
      <c r="I572" s="55" t="n"/>
      <c r="J572" s="56" t="n"/>
      <c r="K572" s="56" t="inlineStr">
        <is>
          <t>https://amazon.com/dp/B0DX6T6JG5</t>
        </is>
      </c>
      <c r="L572" s="70">
        <f>HYPERLINK(Table3559[[#This Row],[Column1]])</f>
        <v/>
      </c>
    </row>
    <row r="573" ht="45" customHeight="1" s="290">
      <c r="A573" s="30" t="inlineStr">
        <is>
          <t>LAUNCH Creader Elite HD-in Heavy Duty Truck Scanner for International with 4 System Diagnosis Actuation Test/DP-F Regen/Live Graph Data/Special Service Diesel Diagnostic Tool Lifetime Free Upgrade</t>
        </is>
      </c>
      <c r="B573" s="30" t="inlineStr">
        <is>
          <t>B0DQ4KT4X8</t>
        </is>
      </c>
      <c r="C573" s="30" t="inlineStr">
        <is>
          <t>Tablet</t>
        </is>
      </c>
      <c r="D573" s="324" t="n">
        <v>429</v>
      </c>
      <c r="E573" s="53" t="n">
        <v>0</v>
      </c>
      <c r="F573" s="53" t="n">
        <v>0</v>
      </c>
      <c r="G573" s="55" t="n">
        <v>0</v>
      </c>
      <c r="H573" s="57" t="n">
        <v>0</v>
      </c>
      <c r="I573" s="55" t="n"/>
      <c r="J573" s="56" t="n"/>
      <c r="K573" s="56" t="inlineStr">
        <is>
          <t>https://amazon.com/dp/B0DQ4KT4X8</t>
        </is>
      </c>
      <c r="L573" s="70">
        <f>HYPERLINK(Table3559[[#This Row],[Column1]])</f>
        <v/>
      </c>
    </row>
    <row r="574" ht="45" customHeight="1" s="290">
      <c r="A574" s="30" t="inlineStr">
        <is>
          <t>LAUNCH Creader Elite OBD2 Scanner Fit for Chrysler Dodge Jeep,Full Systems Code Reader with All Free Resets,FCA Autoauth, Active Test,Battery Registration Bi-Directional Diagnostic Scan Tool</t>
        </is>
      </c>
      <c r="B574" s="30" t="inlineStr">
        <is>
          <t>B0C77RGZN7</t>
        </is>
      </c>
      <c r="C574" s="30" t="inlineStr">
        <is>
          <t>Handheld</t>
        </is>
      </c>
      <c r="D574" s="324" t="n">
        <v>133.6725</v>
      </c>
      <c r="E574" s="53" t="n">
        <v>22827.51</v>
      </c>
      <c r="F574" s="53" t="n">
        <v>0</v>
      </c>
      <c r="G574" s="55" t="n">
        <v>158</v>
      </c>
      <c r="H574" s="57" t="n">
        <v>0</v>
      </c>
      <c r="I574" s="55" t="n">
        <v>13</v>
      </c>
      <c r="J574" s="56" t="n">
        <v>3.3</v>
      </c>
      <c r="K574" s="56" t="inlineStr">
        <is>
          <t>https://amazon.com/dp/B0C77RGZN7</t>
        </is>
      </c>
      <c r="L574" s="70">
        <f>HYPERLINK(Table3559[[#This Row],[Column1]])</f>
        <v/>
      </c>
    </row>
    <row r="575" ht="30" customHeight="1" s="290">
      <c r="A575" s="30" t="inlineStr">
        <is>
          <t>2024 LAUNCH X431 Elite OBD2 Scanner, Full System Bi-Directional Diagnostic Scan Tool, All Reset Service Code Reader, AUTO VIN, Battery Registration, Lifetime Free WiFi Update</t>
        </is>
      </c>
      <c r="B575" s="30" t="inlineStr">
        <is>
          <t>B0CKSBCMH7</t>
        </is>
      </c>
      <c r="C575" s="30" t="inlineStr">
        <is>
          <t>Tablet</t>
        </is>
      </c>
      <c r="D575" s="324" t="n">
        <v>119</v>
      </c>
      <c r="E575" s="53" t="n">
        <v>0</v>
      </c>
      <c r="F575" s="53" t="n">
        <v>0</v>
      </c>
      <c r="G575" s="55" t="n">
        <v>0</v>
      </c>
      <c r="H575" s="57" t="n">
        <v>0</v>
      </c>
      <c r="I575" s="55" t="n">
        <v>485</v>
      </c>
      <c r="J575" s="56" t="n">
        <v>4.3</v>
      </c>
      <c r="K575" s="56" t="inlineStr">
        <is>
          <t>https://amazon.com/dp/B0CKSBCMH7</t>
        </is>
      </c>
      <c r="L575" s="70">
        <f>HYPERLINK(Table3559[[#This Row],[Column1]])</f>
        <v/>
      </c>
    </row>
    <row r="576" ht="30" customHeight="1" s="290">
      <c r="A576" s="30" t="inlineStr">
        <is>
          <t>LAUNCH X431 V+ SmartLink HD Heavy Duty Truck Diagnostic Scanner Diesel Vehicle Construction Machinery Agricultural Bus Scan Tool, J2534 ECU Coding, All System Diagnosis, Active Test</t>
        </is>
      </c>
      <c r="B576" s="30" t="inlineStr">
        <is>
          <t>B09TVYSD9Z</t>
        </is>
      </c>
      <c r="C576" s="30" t="inlineStr">
        <is>
          <t>VCI</t>
        </is>
      </c>
      <c r="D576" s="324" t="n">
        <v>1439</v>
      </c>
      <c r="E576" s="53" t="n">
        <v>935.22</v>
      </c>
      <c r="F576" s="53" t="n">
        <v>0</v>
      </c>
      <c r="G576" s="55" t="n">
        <v>1</v>
      </c>
      <c r="H576" s="57" t="n">
        <v>0</v>
      </c>
      <c r="I576" s="55" t="n">
        <v>3</v>
      </c>
      <c r="J576" s="56" t="n">
        <v>5</v>
      </c>
      <c r="K576" s="56" t="inlineStr">
        <is>
          <t>https://amazon.com/dp/B09TVYSD9Z</t>
        </is>
      </c>
      <c r="L576" s="70">
        <f>HYPERLINK(Table3559[[#This Row],[Column1]])</f>
        <v/>
      </c>
    </row>
    <row r="577" ht="45" customHeight="1" s="290">
      <c r="A577" s="30" t="inlineStr">
        <is>
          <t>LAUNCH CRP909E OBD2 Scanner, 2025 New Full System Car Scanner with 28+Reset Functions, Oil,TPMS,SAS,DPF,ABS Bleeding,Throttle,2 Yrs Free Update</t>
        </is>
      </c>
      <c r="B577" s="30" t="inlineStr">
        <is>
          <t>B09N8W7TYM</t>
        </is>
      </c>
      <c r="C577" s="30" t="inlineStr">
        <is>
          <t>Tablet</t>
        </is>
      </c>
      <c r="D577" s="324" t="n">
        <v>397.48</v>
      </c>
      <c r="E577" s="53" t="n">
        <v>16154.41</v>
      </c>
      <c r="F577" s="53" t="n">
        <v>0</v>
      </c>
      <c r="G577" s="55" t="n">
        <v>46</v>
      </c>
      <c r="H577" s="57" t="n">
        <v>0</v>
      </c>
      <c r="I577" s="55" t="n">
        <v>89</v>
      </c>
      <c r="J577" s="56" t="n">
        <v>4.2</v>
      </c>
      <c r="K577" s="56" t="inlineStr">
        <is>
          <t>https://amazon.com/dp/B09N8W7TYM</t>
        </is>
      </c>
      <c r="L577" s="70">
        <f>HYPERLINK(Table3559[[#This Row],[Column1]])</f>
        <v/>
      </c>
    </row>
    <row r="578" ht="45" customHeight="1" s="290">
      <c r="A578" s="30" t="inlineStr">
        <is>
          <t>Launch Code Reader, All Systems Bi-Directional Professional Automotive Diagnostic Scan Tool</t>
        </is>
      </c>
      <c r="B578" s="30" t="inlineStr">
        <is>
          <t>B09PBJGBY2</t>
        </is>
      </c>
      <c r="C578" s="30" t="inlineStr">
        <is>
          <t>Tablet</t>
        </is>
      </c>
      <c r="D578" s="324" t="n">
        <v>119</v>
      </c>
      <c r="E578" s="53" t="n">
        <v>507</v>
      </c>
      <c r="F578" s="53" t="n">
        <v>0</v>
      </c>
      <c r="G578" s="55" t="n">
        <v>3</v>
      </c>
      <c r="H578" s="57" t="n">
        <v>0</v>
      </c>
      <c r="I578" s="55" t="n">
        <v>3</v>
      </c>
      <c r="J578" s="56" t="n">
        <v>5</v>
      </c>
      <c r="K578" s="56" t="inlineStr">
        <is>
          <t>https://amazon.com/dp/B09PBJGBY2</t>
        </is>
      </c>
      <c r="L578" s="70">
        <f>HYPERLINK(Table3559[[#This Row],[Column1]])</f>
        <v/>
      </c>
    </row>
    <row r="579" ht="45" customHeight="1" s="290">
      <c r="A579" s="30" t="inlineStr">
        <is>
          <t>LAUNCH Full System Heavy Duty Truck Scanner, Creader Elite HD International Semi Bidirectional Diesel Diagnostic Scan Tool with DPF Regen, ECU Coding, Actuation Test, 70+ Reset</t>
        </is>
      </c>
      <c r="B579" s="30" t="inlineStr">
        <is>
          <t>B0DHZRS4L2</t>
        </is>
      </c>
      <c r="C579" s="30" t="inlineStr">
        <is>
          <t>Tablet</t>
        </is>
      </c>
      <c r="D579" s="324" t="n">
        <v>399.99</v>
      </c>
      <c r="E579" s="53" t="n">
        <v>822.3</v>
      </c>
      <c r="F579" s="53" t="n">
        <v>0</v>
      </c>
      <c r="G579" s="55" t="n">
        <v>2</v>
      </c>
      <c r="H579" s="57" t="n">
        <v>0</v>
      </c>
      <c r="I579" s="55" t="n">
        <v>1</v>
      </c>
      <c r="J579" s="56" t="n">
        <v>3</v>
      </c>
      <c r="K579" s="56" t="inlineStr">
        <is>
          <t>https://amazon.com/dp/B0DHZRS4L2</t>
        </is>
      </c>
      <c r="L579" s="70">
        <f>HYPERLINK(Table3559[[#This Row],[Column1]])</f>
        <v/>
      </c>
    </row>
    <row r="580" ht="30" customHeight="1" s="290">
      <c r="A580" s="30" t="inlineStr">
        <is>
          <t>LAUNCH CRP909E Elite Full System OBD2 Scanner,2026 OE-Level Car Diagnostic Scan Tool,28+ Reset Service,TPMS,SAS,DPF,ABS Bleeding,2 Years Free Update</t>
        </is>
      </c>
      <c r="B580" s="30" t="inlineStr">
        <is>
          <t>B089XW3CGB</t>
        </is>
      </c>
      <c r="C580" s="30" t="inlineStr">
        <is>
          <t>Tablet</t>
        </is>
      </c>
      <c r="D580" s="324" t="n">
        <v>283.49</v>
      </c>
      <c r="E580" s="53" t="n">
        <v>15919.29</v>
      </c>
      <c r="F580" s="53" t="n">
        <v>0</v>
      </c>
      <c r="G580" s="55" t="n">
        <v>51</v>
      </c>
      <c r="H580" s="57" t="n">
        <v>0</v>
      </c>
      <c r="I580" s="55" t="n">
        <v>509</v>
      </c>
      <c r="J580" s="56" t="n">
        <v>4.1</v>
      </c>
      <c r="K580" s="56" t="inlineStr">
        <is>
          <t>https://amazon.com/dp/B089XW3CGB</t>
        </is>
      </c>
      <c r="L580" s="70">
        <f>HYPERLINK(Table3559[[#This Row],[Column1]])</f>
        <v/>
      </c>
    </row>
    <row r="581" ht="45" customHeight="1" s="290">
      <c r="A581" s="30" t="inlineStr">
        <is>
          <t>Launch Millennium Max Bi-Directional Scan Tool, Full Systems Car Diagnostic Scanner, 29+ Reset Functions, ECU Coding, DoIP &amp; CAN FD Supported, Code Assist, FCA Autoauth, 1 Year Free Update</t>
        </is>
      </c>
      <c r="B581" s="30" t="inlineStr">
        <is>
          <t>B0BT71N6HQ</t>
        </is>
      </c>
      <c r="C581" s="30" t="inlineStr">
        <is>
          <t>Tablet</t>
        </is>
      </c>
      <c r="D581" s="324" t="n">
        <v>521.37</v>
      </c>
      <c r="E581" s="53" t="n">
        <v>530.24</v>
      </c>
      <c r="F581" s="53" t="n">
        <v>0</v>
      </c>
      <c r="G581" s="55" t="n">
        <v>1</v>
      </c>
      <c r="H581" s="57" t="n">
        <v>0</v>
      </c>
      <c r="I581" s="55" t="n">
        <v>2</v>
      </c>
      <c r="J581" s="56" t="n">
        <v>1.6</v>
      </c>
      <c r="K581" s="56" t="inlineStr">
        <is>
          <t>https://amazon.com/dp/B0BT71N6HQ</t>
        </is>
      </c>
      <c r="L581" s="70">
        <f>HYPERLINK(Table3559[[#This Row],[Column1]])</f>
        <v/>
      </c>
    </row>
    <row r="582" ht="30" customHeight="1" s="290">
      <c r="A582" s="30" t="inlineStr">
        <is>
          <t>LAUNCH TECH USA 301050340 Millennium 40</t>
        </is>
      </c>
      <c r="B582" s="30" t="inlineStr">
        <is>
          <t>B073WKRBVS</t>
        </is>
      </c>
      <c r="C582" s="30" t="inlineStr">
        <is>
          <t>Handheld</t>
        </is>
      </c>
      <c r="D582" s="324" t="n">
        <v>42.74</v>
      </c>
      <c r="E582" s="53" t="n">
        <v>0</v>
      </c>
      <c r="F582" s="53" t="n">
        <v>0</v>
      </c>
      <c r="G582" s="55" t="n">
        <v>0</v>
      </c>
      <c r="H582" s="57" t="n">
        <v>0</v>
      </c>
      <c r="I582" s="55" t="n">
        <v>1</v>
      </c>
      <c r="J582" s="56" t="n">
        <v>5</v>
      </c>
      <c r="K582" s="56" t="inlineStr">
        <is>
          <t>https://amazon.com/dp/B073WKRBVS</t>
        </is>
      </c>
      <c r="L582" s="70">
        <f>HYPERLINK(Table3559[[#This Row],[Column1]])</f>
        <v/>
      </c>
    </row>
    <row r="583" ht="30" customHeight="1" s="290">
      <c r="A583" s="30" t="inlineStr">
        <is>
          <t>Heavy Duty Truck Scanner for Cummins, LAUNCH Elite HD-CM All System/Units Active Test Diesel Vehicle Diagnostic Scan Tool,Reset Special Service, 4-in-1 Live Graph Data Car Scan Tool</t>
        </is>
      </c>
      <c r="B583" s="30" t="inlineStr">
        <is>
          <t>B0DQ4JVGCS</t>
        </is>
      </c>
      <c r="C583" s="30" t="inlineStr">
        <is>
          <t>Tablet</t>
        </is>
      </c>
      <c r="D583" s="324" t="n">
        <v>429.99</v>
      </c>
      <c r="E583" s="53" t="n">
        <v>2756.69</v>
      </c>
      <c r="F583" s="53" t="n">
        <v>0</v>
      </c>
      <c r="G583" s="55" t="n">
        <v>6</v>
      </c>
      <c r="H583" s="57" t="n">
        <v>0</v>
      </c>
      <c r="I583" s="55" t="n"/>
      <c r="J583" s="56" t="n"/>
      <c r="K583" s="56" t="inlineStr">
        <is>
          <t>https://amazon.com/dp/B0DQ4JVGCS</t>
        </is>
      </c>
      <c r="L583" s="70">
        <f>HYPERLINK(Table3559[[#This Row],[Column1]])</f>
        <v/>
      </c>
    </row>
    <row r="584" ht="45" customHeight="1" s="290">
      <c r="A584" s="30" t="inlineStr">
        <is>
          <t>Launch CRP129 MT Pro Motorcycle Scanner, OE All System Bidirectional Active Tests, Resets for Harley Honda Yamaha Kawasaki Indian Suzuki Polaris Victory, 38+ Brands, 11 Languages, 2 Years Upgrades</t>
        </is>
      </c>
      <c r="B584" s="30" t="inlineStr">
        <is>
          <t>B0GBWPH47T</t>
        </is>
      </c>
      <c r="C584" s="30" t="inlineStr">
        <is>
          <t>Tablet</t>
        </is>
      </c>
      <c r="D584" s="324" t="n">
        <v>640.96</v>
      </c>
      <c r="E584" s="53" t="n">
        <v>9604.469999999999</v>
      </c>
      <c r="F584" s="53" t="n">
        <v>0</v>
      </c>
      <c r="G584" s="55" t="n">
        <v>17</v>
      </c>
      <c r="H584" s="57" t="n">
        <v>0</v>
      </c>
      <c r="I584" s="55" t="n">
        <v>3</v>
      </c>
      <c r="J584" s="56" t="n">
        <v>3.5</v>
      </c>
      <c r="K584" s="56" t="inlineStr">
        <is>
          <t>https://amazon.com/dp/B0GBWPH47T</t>
        </is>
      </c>
      <c r="L584" s="70">
        <f>HYPERLINK(Table3559[[#This Row],[Column1]])</f>
        <v/>
      </c>
    </row>
    <row r="585" ht="45" customHeight="1" s="290">
      <c r="A585" s="30" t="inlineStr">
        <is>
          <t>LAUNCH CR319 Full OBD2 Functions Scanner Check Engine Code Reader</t>
        </is>
      </c>
      <c r="B585" s="30" t="inlineStr">
        <is>
          <t>B0FY4TMWHK</t>
        </is>
      </c>
      <c r="C585" s="30" t="inlineStr">
        <is>
          <t>Handheld</t>
        </is>
      </c>
      <c r="D585" s="324" t="n">
        <v>61.11</v>
      </c>
      <c r="E585" s="53" t="n">
        <v>0</v>
      </c>
      <c r="F585" s="53" t="n">
        <v>0</v>
      </c>
      <c r="G585" s="55" t="n">
        <v>0</v>
      </c>
      <c r="H585" s="57" t="n">
        <v>0</v>
      </c>
      <c r="I585" s="55" t="n">
        <v>9</v>
      </c>
      <c r="J585" s="56" t="n">
        <v>4.2</v>
      </c>
      <c r="K585" s="56" t="inlineStr">
        <is>
          <t>https://amazon.com/dp/B0FY4TMWHK</t>
        </is>
      </c>
      <c r="L585" s="70">
        <f>HYPERLINK(Table3559[[#This Row],[Column1]])</f>
        <v/>
      </c>
    </row>
    <row r="586" ht="30" customHeight="1" s="290">
      <c r="A586" s="30" t="inlineStr">
        <is>
          <t>2026 LAUNCH Creader Elite for GM Bi-Directional OBD2 Scanner, All Resets Full System Diagnostic Scan Tool, Full OBD2 Code Reader for Buick/Chevrolet/Cadillac/GMC, Lifetime Free Update</t>
        </is>
      </c>
      <c r="B586" s="30" t="inlineStr">
        <is>
          <t>B09XV8VR35</t>
        </is>
      </c>
      <c r="C586" s="30" t="inlineStr">
        <is>
          <t>Handheld</t>
        </is>
      </c>
      <c r="D586" s="324" t="n">
        <v>148.2040243902439</v>
      </c>
      <c r="E586" s="53" t="n">
        <v>115770.05</v>
      </c>
      <c r="F586" s="53" t="n">
        <v>0</v>
      </c>
      <c r="G586" s="55" t="n">
        <v>770</v>
      </c>
      <c r="H586" s="57" t="n">
        <v>0</v>
      </c>
      <c r="I586" s="55" t="n">
        <v>202</v>
      </c>
      <c r="J586" s="56" t="n">
        <v>3.9</v>
      </c>
      <c r="K586" s="56" t="inlineStr">
        <is>
          <t>https://amazon.com/dp/B09XV8VR35</t>
        </is>
      </c>
      <c r="L586" s="70">
        <f>HYPERLINK(Table3559[[#This Row],[Column1]])</f>
        <v/>
      </c>
    </row>
    <row r="587" ht="30" customHeight="1" s="290">
      <c r="A587" s="30" t="inlineStr">
        <is>
          <t>LAUNCH CRP 129 HD Heavy Duty Truck Scanner, All System Diesel Diagnostic DP-F Regen Tool 7+Resets/165 Live Graph Data Code Reader for Cummins, Detroit, Freightliner, International, Paccar &amp;More</t>
        </is>
      </c>
      <c r="B587" s="30" t="inlineStr">
        <is>
          <t>B0DPPQ8DWT</t>
        </is>
      </c>
      <c r="C587" s="30" t="inlineStr">
        <is>
          <t>Tablet</t>
        </is>
      </c>
      <c r="D587" s="324" t="n">
        <v>499.99</v>
      </c>
      <c r="E587" s="53" t="n">
        <v>1199.95</v>
      </c>
      <c r="F587" s="53" t="n">
        <v>0</v>
      </c>
      <c r="G587" s="55" t="n">
        <v>2</v>
      </c>
      <c r="H587" s="57" t="n">
        <v>0</v>
      </c>
      <c r="I587" s="55" t="n"/>
      <c r="J587" s="56" t="n"/>
      <c r="K587" s="56" t="inlineStr">
        <is>
          <t>https://amazon.com/dp/B0DPPQ8DWT</t>
        </is>
      </c>
      <c r="L587" s="70">
        <f>HYPERLINK(Table3559[[#This Row],[Column1]])</f>
        <v/>
      </c>
    </row>
    <row r="588" ht="30" customHeight="1" s="290">
      <c r="A588" s="30" t="inlineStr">
        <is>
          <t>LAUNCH BST880D Battery Tester Diagnostic Scan Tool</t>
        </is>
      </c>
      <c r="B588" s="30" t="inlineStr">
        <is>
          <t>B0BT72CBN3</t>
        </is>
      </c>
      <c r="C588" s="30" t="inlineStr">
        <is>
          <t>Handheld</t>
        </is>
      </c>
      <c r="D588" s="324" t="n">
        <v>311.2</v>
      </c>
      <c r="E588" s="53" t="n">
        <v>575.27</v>
      </c>
      <c r="F588" s="53" t="n">
        <v>0</v>
      </c>
      <c r="G588" s="55" t="n">
        <v>2</v>
      </c>
      <c r="H588" s="57" t="n">
        <v>0</v>
      </c>
      <c r="I588" s="55" t="n"/>
      <c r="J588" s="56" t="n"/>
      <c r="K588" s="56" t="inlineStr">
        <is>
          <t>https://amazon.com/dp/B0BT72CBN3</t>
        </is>
      </c>
      <c r="L588" s="70">
        <f>HYPERLINK(Table3559[[#This Row],[Column1]])</f>
        <v/>
      </c>
    </row>
    <row r="589" ht="45" customHeight="1" s="290">
      <c r="A589" s="30" t="inlineStr">
        <is>
          <t>2026 LAUNCH CRB3001 OBD2 Scanner 12V Car Battery Tester, 2 in 1 Code Reader Scan Tool Automotive Battery Alternator Load Tester,Check Engine Light</t>
        </is>
      </c>
      <c r="B589" s="30" t="inlineStr">
        <is>
          <t>B0B4RYKRR8</t>
        </is>
      </c>
      <c r="C589" s="30" t="inlineStr">
        <is>
          <t>Handheld</t>
        </is>
      </c>
      <c r="D589" s="324" t="n">
        <v>49.99</v>
      </c>
      <c r="E589" s="53" t="n">
        <v>0</v>
      </c>
      <c r="F589" s="53" t="n">
        <v>0</v>
      </c>
      <c r="G589" s="55" t="n">
        <v>0</v>
      </c>
      <c r="H589" s="57" t="n">
        <v>0</v>
      </c>
      <c r="I589" s="55" t="n">
        <v>21</v>
      </c>
      <c r="J589" s="56" t="n">
        <v>3.4</v>
      </c>
      <c r="K589" s="56" t="inlineStr">
        <is>
          <t>https://amazon.com/dp/B0B4RYKRR8</t>
        </is>
      </c>
      <c r="L589" s="70">
        <f>HYPERLINK(Table3559[[#This Row],[Column1]])</f>
        <v/>
      </c>
    </row>
    <row r="590" ht="45" customHeight="1" s="290">
      <c r="A590" s="30" t="inlineStr">
        <is>
          <t>LAUNCH CR319 OBD2 Scanner, Check Engine Code Reader, OBD2 Full Functions</t>
        </is>
      </c>
      <c r="B590" s="30" t="inlineStr">
        <is>
          <t>B07Y5G811Q</t>
        </is>
      </c>
      <c r="C590" s="30" t="inlineStr">
        <is>
          <t>Handheld</t>
        </is>
      </c>
      <c r="D590" s="324" t="n">
        <v>19.99</v>
      </c>
      <c r="E590" s="53" t="n">
        <v>25.79</v>
      </c>
      <c r="F590" s="53" t="n">
        <v>0</v>
      </c>
      <c r="G590" s="55" t="n">
        <v>1</v>
      </c>
      <c r="H590" s="57" t="n">
        <v>0</v>
      </c>
      <c r="I590" s="55" t="n">
        <v>6</v>
      </c>
      <c r="J590" s="56" t="n">
        <v>4.4</v>
      </c>
      <c r="K590" s="56" t="inlineStr">
        <is>
          <t>https://amazon.com/dp/B07Y5G811Q</t>
        </is>
      </c>
      <c r="L590" s="70">
        <f>HYPERLINK(Table3559[[#This Row],[Column1]])</f>
        <v/>
      </c>
    </row>
    <row r="591" ht="45" customHeight="1" s="290">
      <c r="A591" s="30" t="inlineStr">
        <is>
          <t>LAUNCH X431 CRP919X OBD2 Scanner,ECU Coding, bidirectional scan Tool(4000+ Active Tests), CANFD, DOIP, and FCA SGW. 35+ Services, Android 10.0,Full-System Diagnostics</t>
        </is>
      </c>
      <c r="B591" s="30" t="inlineStr">
        <is>
          <t>B0F8NQK491</t>
        </is>
      </c>
      <c r="C591" s="30" t="inlineStr">
        <is>
          <t>Tablet</t>
        </is>
      </c>
      <c r="D591" s="324" t="n">
        <v>888.28</v>
      </c>
      <c r="E591" s="53" t="n">
        <v>1944.8</v>
      </c>
      <c r="F591" s="53" t="n">
        <v>0</v>
      </c>
      <c r="G591" s="55" t="n">
        <v>4</v>
      </c>
      <c r="H591" s="57" t="n">
        <v>0</v>
      </c>
      <c r="I591" s="55" t="n">
        <v>10</v>
      </c>
      <c r="J591" s="56" t="n">
        <v>4.3</v>
      </c>
      <c r="K591" s="56" t="inlineStr">
        <is>
          <t>https://amazon.com/dp/B0F8NQK491</t>
        </is>
      </c>
      <c r="L591" s="70">
        <f>HYPERLINK(Table3559[[#This Row],[Column1]])</f>
        <v/>
      </c>
    </row>
    <row r="592" ht="45" customHeight="1" s="290">
      <c r="A592" s="30" t="inlineStr">
        <is>
          <t>Launch CRP123 V2.0 OBD2 Scanner, 2025 Upgrade 4 Systems Scanner with 3 Reset, Oil, SAS, Throttle Reset, Full OBD2 Code Reader, Free Update Lifetime</t>
        </is>
      </c>
      <c r="B592" s="30" t="inlineStr">
        <is>
          <t>B01FDKNBC0</t>
        </is>
      </c>
      <c r="C592" s="30" t="inlineStr">
        <is>
          <t>Tablet</t>
        </is>
      </c>
      <c r="D592" s="324" t="n">
        <v>137.7628571428571</v>
      </c>
      <c r="E592" s="53" t="n">
        <v>9963.92</v>
      </c>
      <c r="F592" s="53" t="n">
        <v>0</v>
      </c>
      <c r="G592" s="55" t="n">
        <v>72</v>
      </c>
      <c r="H592" s="57" t="n">
        <v>0</v>
      </c>
      <c r="I592" s="55" t="n">
        <v>506</v>
      </c>
      <c r="J592" s="56" t="n">
        <v>4.2</v>
      </c>
      <c r="K592" s="56" t="inlineStr">
        <is>
          <t>https://amazon.com/dp/B01FDKNBC0</t>
        </is>
      </c>
      <c r="L592" s="70">
        <f>HYPERLINK(Table3559[[#This Row],[Column1]])</f>
        <v/>
      </c>
    </row>
    <row r="593" ht="60" customHeight="1" s="290">
      <c r="A593" s="30" t="inlineStr">
        <is>
          <t>LAUNCH Original USB Charging Cable for X431 CRP123i CRP123e CRP123x, CRP129i CRP129e CRP129x, CRP909e CRP909x OBD2 Scanner 5V DC</t>
        </is>
      </c>
      <c r="B593" s="30" t="inlineStr">
        <is>
          <t>B0DZNGCY22</t>
        </is>
      </c>
      <c r="C593" s="30" t="inlineStr">
        <is>
          <t>Cable/Adapter</t>
        </is>
      </c>
      <c r="D593" s="324" t="n">
        <v>12.99</v>
      </c>
      <c r="E593" s="53" t="n">
        <v>241.83</v>
      </c>
      <c r="F593" s="53" t="n">
        <v>0</v>
      </c>
      <c r="G593" s="55" t="n">
        <v>19</v>
      </c>
      <c r="H593" s="57" t="n">
        <v>0</v>
      </c>
      <c r="I593" s="55" t="n">
        <v>3</v>
      </c>
      <c r="J593" s="56" t="n">
        <v>5</v>
      </c>
      <c r="K593" s="56" t="inlineStr">
        <is>
          <t>https://amazon.com/dp/B0DZNGCY22</t>
        </is>
      </c>
      <c r="L593" s="70">
        <f>HYPERLINK(Table3559[[#This Row],[Column1]])</f>
        <v/>
      </c>
    </row>
    <row r="594" ht="45" customHeight="1" s="290">
      <c r="A594" s="30" t="inlineStr">
        <is>
          <t>LAUNCH Elite HD-V Heavy Duty Truck Scanner for Volvo, All System Active Test Diesel Diagnostic Tool, All Calibration/Reset Services Scan Tool for Diesel Vehicle of Volvo, 4-in-1 Live Graph Data</t>
        </is>
      </c>
      <c r="B594" s="30" t="inlineStr">
        <is>
          <t>B0DQ3WWNXC</t>
        </is>
      </c>
      <c r="C594" s="30" t="inlineStr">
        <is>
          <t>Tablet</t>
        </is>
      </c>
      <c r="D594" s="324" t="n">
        <v>429.99</v>
      </c>
      <c r="E594" s="53" t="n">
        <v>0</v>
      </c>
      <c r="F594" s="53" t="n">
        <v>0</v>
      </c>
      <c r="G594" s="55" t="n">
        <v>0</v>
      </c>
      <c r="H594" s="57" t="n">
        <v>0</v>
      </c>
      <c r="I594" s="55" t="n"/>
      <c r="J594" s="56" t="n"/>
      <c r="K594" s="56" t="inlineStr">
        <is>
          <t>https://amazon.com/dp/B0DQ3WWNXC</t>
        </is>
      </c>
      <c r="L594" s="70">
        <f>HYPERLINK(Table3559[[#This Row],[Column1]])</f>
        <v/>
      </c>
    </row>
    <row r="595" ht="45" customHeight="1" s="290">
      <c r="A595" s="30" t="inlineStr">
        <is>
          <t>LAUNCH X431 PADVII Elite, ECU Pr0gramming , HD Trucks Scanner, EVs, MotorCycles Scan, J2534 Pr0gramming Tool, Online Coding, Topology Map, 60+Service, Remote Diagnosis with Smartlink C 2.0</t>
        </is>
      </c>
      <c r="B595" s="30" t="inlineStr">
        <is>
          <t>B0FCMGZV3K</t>
        </is>
      </c>
      <c r="C595" s="30" t="inlineStr">
        <is>
          <t>Tablet</t>
        </is>
      </c>
      <c r="D595" s="324" t="n">
        <v>2796.005</v>
      </c>
      <c r="E595" s="53" t="n">
        <v>39999.48</v>
      </c>
      <c r="F595" s="53" t="n">
        <v>0</v>
      </c>
      <c r="G595" s="55" t="n">
        <v>15</v>
      </c>
      <c r="H595" s="57" t="n">
        <v>0</v>
      </c>
      <c r="I595" s="55" t="n">
        <v>10</v>
      </c>
      <c r="J595" s="56" t="n">
        <v>3.6</v>
      </c>
      <c r="K595" s="56" t="inlineStr">
        <is>
          <t>https://amazon.com/dp/B0FCMGZV3K</t>
        </is>
      </c>
      <c r="L595" s="70">
        <f>HYPERLINK(Table3559[[#This Row],[Column1]])</f>
        <v/>
      </c>
    </row>
    <row r="596" ht="45" customHeight="1" s="290">
      <c r="A596" s="30" t="inlineStr">
        <is>
          <t>Launch Roxi-WiFi</t>
        </is>
      </c>
      <c r="B596" s="30" t="inlineStr">
        <is>
          <t>B07RWFRF2L</t>
        </is>
      </c>
      <c r="C596" s="30" t="inlineStr">
        <is>
          <t>Handheld</t>
        </is>
      </c>
      <c r="D596" s="324" t="n">
        <v>699.99</v>
      </c>
      <c r="E596" s="53" t="n">
        <v>0</v>
      </c>
      <c r="F596" s="53" t="n">
        <v>0</v>
      </c>
      <c r="G596" s="55" t="n">
        <v>0</v>
      </c>
      <c r="H596" s="57" t="n">
        <v>0</v>
      </c>
      <c r="I596" s="55" t="n">
        <v>0</v>
      </c>
      <c r="J596" s="56" t="n"/>
      <c r="K596" s="56" t="inlineStr">
        <is>
          <t>https://amazon.com/dp/B07RWFRF2L</t>
        </is>
      </c>
      <c r="L596" s="70">
        <f>HYPERLINK(Table3559[[#This Row],[Column1]])</f>
        <v/>
      </c>
    </row>
    <row r="597" ht="30" customHeight="1" s="290">
      <c r="A597" s="30" t="inlineStr">
        <is>
          <t>Launch Creader Elite 3.0 Bidirectional Scan Tool fit for Toyota/Lexus, 2026 All Reset Service Code Reader, Full System OBD2 Scanner, ECU Code, AUTO VIN, Battery Registration, Lifetime Free Update</t>
        </is>
      </c>
      <c r="B597" s="30" t="inlineStr">
        <is>
          <t>B0GG9RNRJM</t>
        </is>
      </c>
      <c r="C597" s="30" t="inlineStr">
        <is>
          <t>Tablet</t>
        </is>
      </c>
      <c r="D597" s="324" t="n">
        <v>151.04</v>
      </c>
      <c r="E597" s="53" t="n">
        <v>0</v>
      </c>
      <c r="F597" s="53" t="n">
        <v>0</v>
      </c>
      <c r="G597" s="55" t="n">
        <v>0</v>
      </c>
      <c r="H597" s="57" t="n">
        <v>0</v>
      </c>
      <c r="I597" s="55" t="n"/>
      <c r="J597" s="56" t="n"/>
      <c r="K597" s="56" t="inlineStr">
        <is>
          <t>https://amazon.com/dp/B0GG9RNRJM</t>
        </is>
      </c>
      <c r="L597" s="70">
        <f>HYPERLINK(Table3559[[#This Row],[Column1]])</f>
        <v/>
      </c>
    </row>
    <row r="598" ht="45" customHeight="1" s="290">
      <c r="A598" s="30" t="inlineStr">
        <is>
          <t>LAUNCH Original Adapter for Mercedes-Benz DR15 Male to OBD1 38 Pin Male [Note: Can't Work Alone] for X-431 Diagnostic Scanner</t>
        </is>
      </c>
      <c r="B598" s="30" t="inlineStr">
        <is>
          <t>B0FFLLDNXC</t>
        </is>
      </c>
      <c r="C598" s="30" t="inlineStr">
        <is>
          <t>OBD1</t>
        </is>
      </c>
      <c r="D598" s="324" t="n">
        <v>25.72</v>
      </c>
      <c r="E598" s="53" t="n">
        <v>447.79</v>
      </c>
      <c r="F598" s="53" t="n">
        <v>0</v>
      </c>
      <c r="G598" s="55" t="n">
        <v>23</v>
      </c>
      <c r="H598" s="57" t="n">
        <v>0</v>
      </c>
      <c r="I598" s="55" t="n"/>
      <c r="J598" s="56" t="n"/>
      <c r="K598" s="56" t="inlineStr">
        <is>
          <t>https://amazon.com/dp/B0FFLLDNXC</t>
        </is>
      </c>
      <c r="L598" s="70">
        <f>HYPERLINK(Table3559[[#This Row],[Column1]])</f>
        <v/>
      </c>
    </row>
    <row r="599" ht="60" customHeight="1" s="290">
      <c r="A599" s="30" t="inlineStr">
        <is>
          <t>Launch Millennium 90 Pro OBD2 Scanner, DIY Full OBD Function Car Code Reader, Check Engine/ABS/SRS/Transmission Diagnostic Scan Tool, Oil/EPB/BMS/DPF/SAS Reset/ABS Bleeding Car Scanner, Free Update</t>
        </is>
      </c>
      <c r="B599" s="30" t="inlineStr">
        <is>
          <t>B09G332FWP</t>
        </is>
      </c>
      <c r="C599" s="30" t="inlineStr">
        <is>
          <t>Handheld</t>
        </is>
      </c>
      <c r="D599" s="324" t="n">
        <v>139.99</v>
      </c>
      <c r="E599" s="53" t="n">
        <v>5829.36</v>
      </c>
      <c r="F599" s="53" t="n">
        <v>0</v>
      </c>
      <c r="G599" s="55" t="n">
        <v>46</v>
      </c>
      <c r="H599" s="57" t="n">
        <v>0</v>
      </c>
      <c r="I599" s="55" t="n">
        <v>33</v>
      </c>
      <c r="J599" s="56" t="n">
        <v>4.4</v>
      </c>
      <c r="K599" s="56" t="inlineStr">
        <is>
          <t>https://amazon.com/dp/B09G332FWP</t>
        </is>
      </c>
      <c r="L599" s="70">
        <f>HYPERLINK(Table3559[[#This Row],[Column1]])</f>
        <v/>
      </c>
    </row>
    <row r="600" ht="45" customHeight="1" s="290">
      <c r="A600" s="30" t="inlineStr">
        <is>
          <t>LAUNCH X431 Plus, with X-PROG3 Tool, All-System Diagnostics, Bi-Directional Scan Tool, 39+ Services, ECU Code Scanner, V.A.G Guided, CAN FD&amp;DOIP</t>
        </is>
      </c>
      <c r="B600" s="30" t="inlineStr">
        <is>
          <t>B0DHCN8WKP</t>
        </is>
      </c>
      <c r="C600" s="30" t="inlineStr">
        <is>
          <t>Tablet</t>
        </is>
      </c>
      <c r="D600" s="324" t="n">
        <v>1499</v>
      </c>
      <c r="E600" s="53" t="n">
        <v>15609.17</v>
      </c>
      <c r="F600" s="53" t="n">
        <v>0</v>
      </c>
      <c r="G600" s="55" t="n">
        <v>12</v>
      </c>
      <c r="H600" s="57" t="n">
        <v>0</v>
      </c>
      <c r="I600" s="55" t="n">
        <v>1</v>
      </c>
      <c r="J600" s="56" t="n">
        <v>3</v>
      </c>
      <c r="K600" s="56" t="inlineStr">
        <is>
          <t>https://amazon.com/dp/B0DHCN8WKP</t>
        </is>
      </c>
      <c r="L600" s="70">
        <f>HYPERLINK(Table3559[[#This Row],[Column1]])</f>
        <v/>
      </c>
    </row>
    <row r="601" ht="45" customHeight="1" s="290">
      <c r="A601" s="30" t="inlineStr">
        <is>
          <t>LAUNCH Scanner X431 PRO Star Bidirectional Scan Tool, 2026 8 Inch Car Scanner with ECU Coding, CANFD &amp; DOIP Crankshaft Relearn - All System Diagnostic Tool, 38+ Reset, Active Test, FCA Autoauth</t>
        </is>
      </c>
      <c r="B601" s="30" t="inlineStr">
        <is>
          <t>B0D978QJ71</t>
        </is>
      </c>
      <c r="C601" s="30" t="inlineStr">
        <is>
          <t>Tablet</t>
        </is>
      </c>
      <c r="D601" s="324" t="n">
        <v>799</v>
      </c>
      <c r="E601" s="53" t="n">
        <v>16047.28</v>
      </c>
      <c r="F601" s="53" t="n">
        <v>0</v>
      </c>
      <c r="G601" s="55" t="n">
        <v>23</v>
      </c>
      <c r="H601" s="57" t="n">
        <v>0</v>
      </c>
      <c r="I601" s="55" t="n">
        <v>19</v>
      </c>
      <c r="J601" s="56" t="n">
        <v>4.6</v>
      </c>
      <c r="K601" s="56" t="inlineStr">
        <is>
          <t>https://amazon.com/dp/B0D978QJ71</t>
        </is>
      </c>
      <c r="L601" s="70">
        <f>HYPERLINK(Table3559[[#This Row],[Column1]])</f>
        <v/>
      </c>
    </row>
    <row r="602" ht="45" customHeight="1" s="290">
      <c r="A602" s="30" t="inlineStr">
        <is>
          <t>Launch DBScar VII OBD2 Diagnostic Cable with Adapter, J2534 Reprogramming &amp; ECU Coding Enhanced Compatibility Scanner Tool Cable</t>
        </is>
      </c>
      <c r="B602" s="30" t="inlineStr">
        <is>
          <t>B0G49WNX5Q</t>
        </is>
      </c>
      <c r="C602" s="30" t="inlineStr">
        <is>
          <t>Tablet</t>
        </is>
      </c>
      <c r="D602" s="324" t="n">
        <v>41.99</v>
      </c>
      <c r="E602" s="53" t="n">
        <v>0</v>
      </c>
      <c r="F602" s="53" t="n">
        <v>0</v>
      </c>
      <c r="G602" s="55" t="n">
        <v>0</v>
      </c>
      <c r="H602" s="57" t="n">
        <v>0</v>
      </c>
      <c r="I602" s="55" t="n"/>
      <c r="J602" s="56" t="n"/>
      <c r="K602" s="56" t="inlineStr">
        <is>
          <t>https://amazon.com/dp/B0G49WNX5Q</t>
        </is>
      </c>
      <c r="L602" s="70">
        <f>HYPERLINK(Table3559[[#This Row],[Column1]])</f>
        <v/>
      </c>
    </row>
    <row r="603" ht="45" customHeight="1" s="290">
      <c r="A603" s="30" t="inlineStr">
        <is>
          <t>Launch X431 OBD1 Scanner Cable - Original Launch OBD I Diagnostic Cable Adapter for X431 PAD/V/PAD VII/Scanners, Compatible with GM Ford Chrysler Honda Toyota Nissan Vehicles (16 Pin ALDL Connector)</t>
        </is>
      </c>
      <c r="B603" s="30" t="inlineStr">
        <is>
          <t>B0G49SQ7LD</t>
        </is>
      </c>
      <c r="C603" s="30" t="inlineStr">
        <is>
          <t>Cable/Adapter</t>
        </is>
      </c>
      <c r="D603" s="324" t="n">
        <v>20.99</v>
      </c>
      <c r="E603" s="53" t="n">
        <v>137.27</v>
      </c>
      <c r="F603" s="53" t="n">
        <v>0</v>
      </c>
      <c r="G603" s="55" t="n">
        <v>7</v>
      </c>
      <c r="H603" s="57" t="n">
        <v>0</v>
      </c>
      <c r="I603" s="55" t="n"/>
      <c r="J603" s="56" t="n"/>
      <c r="K603" s="56" t="inlineStr">
        <is>
          <t>https://amazon.com/dp/B0G49SQ7LD</t>
        </is>
      </c>
      <c r="L603" s="70">
        <f>HYPERLINK(Table3559[[#This Row],[Column1]])</f>
        <v/>
      </c>
    </row>
    <row r="604" ht="45" customHeight="1" s="290">
      <c r="A604" s="30" t="inlineStr">
        <is>
          <t>LAUNCH CRP919 New Energy Vehicle Scanner, EV Scan Tool with All System, ECU Coding, Bidirectional Control, 43 Service, CANFD and DOIP, 2 Yers Free Update</t>
        </is>
      </c>
      <c r="B604" s="30" t="inlineStr">
        <is>
          <t>B0F21GPYPT</t>
        </is>
      </c>
      <c r="C604" s="30" t="inlineStr">
        <is>
          <t>Tablet</t>
        </is>
      </c>
      <c r="D604" s="324" t="n">
        <v>549</v>
      </c>
      <c r="E604" s="53" t="n">
        <v>1610.16</v>
      </c>
      <c r="F604" s="53" t="n">
        <v>0</v>
      </c>
      <c r="G604" s="55" t="n">
        <v>4</v>
      </c>
      <c r="H604" s="57" t="n">
        <v>0</v>
      </c>
      <c r="I604" s="55" t="n"/>
      <c r="J604" s="56" t="n"/>
      <c r="K604" s="56" t="inlineStr">
        <is>
          <t>https://amazon.com/dp/B0F21GPYPT</t>
        </is>
      </c>
      <c r="L604" s="70">
        <f>HYPERLINK(Table3559[[#This Row],[Column1]])</f>
        <v/>
      </c>
    </row>
    <row r="605" ht="45" customHeight="1" s="290">
      <c r="A605" s="30" t="inlineStr">
        <is>
          <t>LAUNCH X431 CAN FD Adapter Code Reader Cable CANFD Protocols Car Diagnostic OBD2 Scanner for X431 V/V+/ Pad II/PAD III/ PRO3/ PRO3S+/DIAGUN V/PRO Mini, Compatible with GM, BMW</t>
        </is>
      </c>
      <c r="B605" s="30" t="inlineStr">
        <is>
          <t>B0B8D789HP</t>
        </is>
      </c>
      <c r="C605" s="30" t="inlineStr">
        <is>
          <t>Cable/Adapter</t>
        </is>
      </c>
      <c r="D605" s="324" t="n">
        <v>109</v>
      </c>
      <c r="E605" s="53" t="n">
        <v>425.75</v>
      </c>
      <c r="F605" s="53" t="n">
        <v>0</v>
      </c>
      <c r="G605" s="55" t="n">
        <v>4</v>
      </c>
      <c r="H605" s="57" t="n">
        <v>0</v>
      </c>
      <c r="I605" s="55" t="n">
        <v>2</v>
      </c>
      <c r="J605" s="56" t="n">
        <v>5</v>
      </c>
      <c r="K605" s="56" t="inlineStr">
        <is>
          <t>https://amazon.com/dp/B0B8D789HP</t>
        </is>
      </c>
      <c r="L605" s="70">
        <f>HYPERLINK(Table3559[[#This Row],[Column1]])</f>
        <v/>
      </c>
    </row>
    <row r="606" ht="45" customHeight="1" s="290">
      <c r="A606" s="30" t="inlineStr">
        <is>
          <t>LAUNCH X-431 HTD180 Handheld Laser Tire Tread Depth Gauge with Touch Screen, 0.1mm High Accuracy Real-time Data Tire Health Scan Tool Support Wi-Fi and Bluetooth Connection</t>
        </is>
      </c>
      <c r="B606" s="30" t="inlineStr">
        <is>
          <t>B0FGN4MBD2</t>
        </is>
      </c>
      <c r="C606" s="30" t="inlineStr">
        <is>
          <t>Other</t>
        </is>
      </c>
      <c r="D606" s="324" t="n">
        <v>299</v>
      </c>
      <c r="E606" s="53" t="n">
        <v>3297.49</v>
      </c>
      <c r="F606" s="53" t="n">
        <v>0</v>
      </c>
      <c r="G606" s="55" t="n">
        <v>11</v>
      </c>
      <c r="H606" s="57" t="n">
        <v>0</v>
      </c>
      <c r="I606" s="55" t="n"/>
      <c r="J606" s="56" t="n"/>
      <c r="K606" s="56" t="inlineStr">
        <is>
          <t>https://amazon.com/dp/B0FGN4MBD2</t>
        </is>
      </c>
      <c r="L606" s="70">
        <f>HYPERLINK(Table3559[[#This Row],[Column1]])</f>
        <v/>
      </c>
    </row>
    <row r="607" ht="45" customHeight="1" s="290">
      <c r="A607" s="30" t="inlineStr">
        <is>
          <t>LAUNCH Creader Elite V3.0 for Land Rover Jaguar OBD2 Scanner, Bi-Directional Full Systems Diagnostic Scan Tool, All Reset Services, Active Test, CAN-FD &amp; DOIP, Height Calibration, Lifetime Free Update</t>
        </is>
      </c>
      <c r="B607" s="30" t="inlineStr">
        <is>
          <t>B0GGPBVP63</t>
        </is>
      </c>
      <c r="C607" s="30" t="inlineStr">
        <is>
          <t>Tablet</t>
        </is>
      </c>
      <c r="D607" s="324" t="n">
        <v>209</v>
      </c>
      <c r="E607" s="53" t="n">
        <v>0</v>
      </c>
      <c r="F607" s="53" t="n">
        <v>0</v>
      </c>
      <c r="G607" s="55" t="n">
        <v>0</v>
      </c>
      <c r="H607" s="57" t="n">
        <v>0</v>
      </c>
      <c r="I607" s="55" t="n"/>
      <c r="J607" s="56" t="n"/>
      <c r="K607" s="56" t="inlineStr">
        <is>
          <t>https://amazon.com/dp/B0GGPBVP63</t>
        </is>
      </c>
      <c r="L607" s="70">
        <f>HYPERLINK(Table3559[[#This Row],[Column1]])</f>
        <v/>
      </c>
    </row>
    <row r="608" ht="45" customHeight="1" s="290">
      <c r="A608" s="30" t="inlineStr">
        <is>
          <t>LAUNCH OBD2 Scanner CRP919X Lite, Active Tests &amp; 32+ Reset Services Bidirectional Scan Tool, 2-Year Free Update, OE-Level Full System Scan Tool, ABS Bleeding, BMS/Oil Reset, Auto VIN</t>
        </is>
      </c>
      <c r="B608" s="30" t="inlineStr">
        <is>
          <t>B08BFW6R3N</t>
        </is>
      </c>
      <c r="C608" s="30" t="inlineStr">
        <is>
          <t>Tablet</t>
        </is>
      </c>
      <c r="D608" s="324" t="n">
        <v>405</v>
      </c>
      <c r="E608" s="53" t="n">
        <v>19002.99</v>
      </c>
      <c r="F608" s="53" t="n">
        <v>0</v>
      </c>
      <c r="G608" s="55" t="n">
        <v>53</v>
      </c>
      <c r="H608" s="57" t="n">
        <v>0</v>
      </c>
      <c r="I608" s="55" t="n">
        <v>412</v>
      </c>
      <c r="J608" s="56" t="n">
        <v>4.2</v>
      </c>
      <c r="K608" s="56" t="inlineStr">
        <is>
          <t>https://amazon.com/dp/B08BFW6R3N</t>
        </is>
      </c>
      <c r="L608" s="70">
        <f>HYPERLINK(Table3559[[#This Row],[Column1]])</f>
        <v/>
      </c>
    </row>
    <row r="609" ht="45" customHeight="1" s="290">
      <c r="A609" s="30" t="inlineStr">
        <is>
          <t>LAUNCH X431 PAD V Elite,2026 Scan Tool, ECU Online Code Scan Tool,Topology Map,Bi-Directional Control Scanner,60+ Services,CANFD/DOIP, HD Truck,2 Yrs Free Update</t>
        </is>
      </c>
      <c r="B609" s="30" t="inlineStr">
        <is>
          <t>B0CT8LN72G</t>
        </is>
      </c>
      <c r="C609" s="30" t="inlineStr">
        <is>
          <t>Tablet</t>
        </is>
      </c>
      <c r="D609" s="324" t="n">
        <v>1899</v>
      </c>
      <c r="E609" s="53" t="n">
        <v>11603.08</v>
      </c>
      <c r="F609" s="53" t="n">
        <v>0</v>
      </c>
      <c r="G609" s="55" t="n">
        <v>7</v>
      </c>
      <c r="H609" s="57" t="n">
        <v>0</v>
      </c>
      <c r="I609" s="55" t="n">
        <v>3</v>
      </c>
      <c r="J609" s="56" t="n">
        <v>5</v>
      </c>
      <c r="K609" s="56" t="inlineStr">
        <is>
          <t>https://amazon.com/dp/B0CT8LN72G</t>
        </is>
      </c>
      <c r="L609" s="70">
        <f>HYPERLINK(Table3559[[#This Row],[Column1]])</f>
        <v/>
      </c>
    </row>
    <row r="610" ht="45" customHeight="1" s="290">
      <c r="A610" s="30" t="inlineStr">
        <is>
          <t>2026 LAUNCH X431 Pro Dyno All-in-one Diagnostic scan Tool for All Cars, ECU Coding Bi-Directional Control 38+ Services Full System OBD2 Scanner, CANFD DOIP, AutoAuth FCA SGW, 2 Years Free Update</t>
        </is>
      </c>
      <c r="B610" s="30" t="inlineStr">
        <is>
          <t>B0CGHC72MX</t>
        </is>
      </c>
      <c r="C610" s="30" t="inlineStr">
        <is>
          <t>Tablet</t>
        </is>
      </c>
      <c r="D610" s="324" t="n">
        <v>749</v>
      </c>
      <c r="E610" s="53" t="n">
        <v>32846.21</v>
      </c>
      <c r="F610" s="53" t="n">
        <v>0</v>
      </c>
      <c r="G610" s="55" t="n">
        <v>39</v>
      </c>
      <c r="H610" s="57" t="n">
        <v>0</v>
      </c>
      <c r="I610" s="55" t="n">
        <v>76</v>
      </c>
      <c r="J610" s="56" t="n">
        <v>4.4</v>
      </c>
      <c r="K610" s="56" t="inlineStr">
        <is>
          <t>https://amazon.com/dp/B0CGHC72MX</t>
        </is>
      </c>
      <c r="L610" s="70">
        <f>HYPERLINK(Table3559[[#This Row],[Column1]])</f>
        <v/>
      </c>
    </row>
    <row r="611" ht="45" customHeight="1" s="290">
      <c r="A611" s="30" t="inlineStr">
        <is>
          <t>LAUNCH CRP 123X OR LAUNCH X431 1MM0 Elite</t>
        </is>
      </c>
      <c r="B611" s="30" t="inlineStr">
        <is>
          <t>B0FCXZ7FGB</t>
        </is>
      </c>
      <c r="C611" s="30" t="inlineStr">
        <is>
          <t>Tablet</t>
        </is>
      </c>
      <c r="D611" s="324" t="n">
        <v>1299</v>
      </c>
      <c r="E611" s="53" t="n">
        <v>0</v>
      </c>
      <c r="F611" s="53" t="n">
        <v>0</v>
      </c>
      <c r="G611" s="55" t="n">
        <v>0</v>
      </c>
      <c r="H611" s="57" t="n">
        <v>0</v>
      </c>
      <c r="I611" s="55" t="n">
        <v>186</v>
      </c>
      <c r="J611" s="56" t="n">
        <v>4.3</v>
      </c>
      <c r="K611" s="56" t="inlineStr">
        <is>
          <t>https://amazon.com/dp/B0FCXZ7FGB</t>
        </is>
      </c>
      <c r="L611" s="70">
        <f>HYPERLINK(Table3559[[#This Row],[Column1]])</f>
        <v/>
      </c>
    </row>
    <row r="612" ht="45" customHeight="1" s="290">
      <c r="A612" s="30" t="inlineStr">
        <is>
          <t>LAUNCH Creader Elite HD Cummins Detroit MAXXFORCE Heavy Duty Truck Diesel Diagnostic Scanner Machinery Vessel Scan Tool, Actuation Test, Special Functions,System Diagnosis, Lifetime Free Upgrade</t>
        </is>
      </c>
      <c r="B612" s="30" t="inlineStr">
        <is>
          <t>B0D7HSGQGZ</t>
        </is>
      </c>
      <c r="C612" s="30" t="inlineStr">
        <is>
          <t>Tablet</t>
        </is>
      </c>
      <c r="D612" s="324" t="n">
        <v>429</v>
      </c>
      <c r="E612" s="53" t="n">
        <v>0</v>
      </c>
      <c r="F612" s="53" t="n">
        <v>0</v>
      </c>
      <c r="G612" s="55" t="n">
        <v>0</v>
      </c>
      <c r="H612" s="57" t="n">
        <v>0</v>
      </c>
      <c r="I612" s="55" t="n">
        <v>1</v>
      </c>
      <c r="J612" s="56" t="n">
        <v>5</v>
      </c>
      <c r="K612" s="56" t="inlineStr">
        <is>
          <t>https://amazon.com/dp/B0D7HSGQGZ</t>
        </is>
      </c>
      <c r="L612" s="70">
        <f>HYPERLINK(Table3559[[#This Row],[Column1]])</f>
        <v/>
      </c>
    </row>
    <row r="613" ht="45" customHeight="1" s="290">
      <c r="A613" s="30" t="inlineStr">
        <is>
          <t>LAUNCH Creader Elite HD-Volvo International Isuzu Hino Heavy Duty Truck Cummins Detroit MAXXFORCE Diagnostic Scanner, Diagnosis,Actuation Test,Coding, Special Functions, Lifetime Free Upgrade</t>
        </is>
      </c>
      <c r="B613" s="30" t="inlineStr">
        <is>
          <t>B0DD7T894N</t>
        </is>
      </c>
      <c r="C613" s="30" t="inlineStr">
        <is>
          <t>Tablet</t>
        </is>
      </c>
      <c r="D613" s="324" t="n">
        <v>429</v>
      </c>
      <c r="E613" s="53" t="n">
        <v>20871.51</v>
      </c>
      <c r="F613" s="53" t="n">
        <v>0</v>
      </c>
      <c r="G613" s="55" t="n">
        <v>49</v>
      </c>
      <c r="H613" s="57" t="n">
        <v>0</v>
      </c>
      <c r="I613" s="55" t="n">
        <v>2</v>
      </c>
      <c r="J613" s="56" t="n">
        <v>5</v>
      </c>
      <c r="K613" s="56" t="inlineStr">
        <is>
          <t>https://amazon.com/dp/B0DD7T894N</t>
        </is>
      </c>
      <c r="L613" s="70">
        <f>HYPERLINK(Table3559[[#This Row],[Column1]])</f>
        <v/>
      </c>
    </row>
    <row r="614" ht="45" customHeight="1" s="290">
      <c r="A614" s="30" t="inlineStr">
        <is>
          <t>LAUNCH Creader Elite HD Cummins Detroit MAXXFORCE Caterpillar HD-Volvo International Isuzu Hino Heavy Duty Truck Diesel Diagnostic Scaner,Actuation Test,Coding,Special Functions,Lifetime Free Upgrade</t>
        </is>
      </c>
      <c r="B614" s="30" t="inlineStr">
        <is>
          <t>B0DCNCJ5MM</t>
        </is>
      </c>
      <c r="C614" s="30" t="inlineStr">
        <is>
          <t>Tablet</t>
        </is>
      </c>
      <c r="D614" s="324" t="n">
        <v>429</v>
      </c>
      <c r="E614" s="53" t="n">
        <v>24030.77</v>
      </c>
      <c r="F614" s="53" t="n">
        <v>0</v>
      </c>
      <c r="G614" s="55" t="n">
        <v>55</v>
      </c>
      <c r="H614" s="57" t="n">
        <v>0</v>
      </c>
      <c r="I614" s="55" t="n">
        <v>2</v>
      </c>
      <c r="J614" s="56" t="n">
        <v>5</v>
      </c>
      <c r="K614" s="56" t="inlineStr">
        <is>
          <t>https://amazon.com/dp/B0DCNCJ5MM</t>
        </is>
      </c>
      <c r="L614" s="70">
        <f>HYPERLINK(Table3559[[#This Row],[Column1]])</f>
        <v/>
      </c>
    </row>
    <row r="615" ht="30" customHeight="1" s="290">
      <c r="A615" s="30" t="inlineStr">
        <is>
          <t>LAUNCH X431 PRO3 ACE 2026 Upgraded Bidirectional Scan Tool, DBSCar VII Connector, OEM Topology Map, HD Trucks Scan, 55+ Service, Online Code, All System, CAN FD &amp; DoIP, FCA SGW</t>
        </is>
      </c>
      <c r="B615" s="30" t="inlineStr">
        <is>
          <t>B0DFB9W42Z</t>
        </is>
      </c>
      <c r="C615" s="30" t="inlineStr">
        <is>
          <t>Tablet</t>
        </is>
      </c>
      <c r="D615" s="324" t="n">
        <v>1099</v>
      </c>
      <c r="E615" s="53" t="n">
        <v>17764.86</v>
      </c>
      <c r="F615" s="53" t="n">
        <v>0</v>
      </c>
      <c r="G615" s="55" t="n">
        <v>15</v>
      </c>
      <c r="H615" s="57" t="n">
        <v>0</v>
      </c>
      <c r="I615" s="55" t="n">
        <v>4</v>
      </c>
      <c r="J615" s="56" t="n">
        <v>5</v>
      </c>
      <c r="K615" s="56" t="inlineStr">
        <is>
          <t>https://amazon.com/dp/B0DFB9W42Z</t>
        </is>
      </c>
      <c r="L615" s="70">
        <f>HYPERLINK(Table3559[[#This Row],[Column1]])</f>
        <v/>
      </c>
    </row>
    <row r="616" ht="45" customHeight="1" s="290">
      <c r="A616" s="30" t="inlineStr">
        <is>
          <t>LAUNCH CR301 Two Button Scan Tool</t>
        </is>
      </c>
      <c r="B616" s="30" t="inlineStr">
        <is>
          <t>B07CTYQPF6</t>
        </is>
      </c>
      <c r="C616" s="30" t="inlineStr">
        <is>
          <t>Handheld</t>
        </is>
      </c>
      <c r="D616" s="324" t="n">
        <v>22.92</v>
      </c>
      <c r="E616" s="53" t="n">
        <v>91.69</v>
      </c>
      <c r="F616" s="53" t="n">
        <v>0</v>
      </c>
      <c r="G616" s="55" t="n">
        <v>4</v>
      </c>
      <c r="H616" s="57" t="n">
        <v>0</v>
      </c>
      <c r="I616" s="55" t="n">
        <v>11</v>
      </c>
      <c r="J616" s="56" t="n">
        <v>4.5</v>
      </c>
      <c r="K616" s="56" t="inlineStr">
        <is>
          <t>https://amazon.com/dp/B07CTYQPF6</t>
        </is>
      </c>
      <c r="L616" s="70">
        <f>HYPERLINK(Table3559[[#This Row],[Column1]])</f>
        <v/>
      </c>
    </row>
    <row r="617" ht="45" customHeight="1" s="290">
      <c r="A617" s="30" t="inlineStr">
        <is>
          <t>LAUNCH OBD2 Scanner Diagnostic Scan Tool, Millennium OBD Check Engine Code Reader, One-Click to Check I/M Readiness, Battery Voltage Test, DTC Lookup, Lifetime Update, for All Vehicles After 1996</t>
        </is>
      </c>
      <c r="B617" s="30" t="inlineStr">
        <is>
          <t>B08QGNRKZZ</t>
        </is>
      </c>
      <c r="C617" s="30" t="inlineStr">
        <is>
          <t>Handheld</t>
        </is>
      </c>
      <c r="D617" s="324" t="n">
        <v>68.90000000000001</v>
      </c>
      <c r="E617" s="53" t="n">
        <v>991.1200000000001</v>
      </c>
      <c r="F617" s="53" t="n">
        <v>0</v>
      </c>
      <c r="G617" s="55" t="n">
        <v>24</v>
      </c>
      <c r="H617" s="57" t="n">
        <v>0</v>
      </c>
      <c r="I617" s="55" t="n">
        <v>4</v>
      </c>
      <c r="J617" s="56" t="n">
        <v>5</v>
      </c>
      <c r="K617" s="56" t="inlineStr">
        <is>
          <t>https://amazon.com/dp/B08QGNRKZZ</t>
        </is>
      </c>
      <c r="L617" s="70">
        <f>HYPERLINK(Table3559[[#This Row],[Column1]])</f>
        <v/>
      </c>
    </row>
    <row r="618" ht="30" customHeight="1" s="290">
      <c r="A618" s="30" t="inlineStr">
        <is>
          <t>LAUNCH X431 OBD2 Scanner V+ SmartLink HD All System Heavy Duty Trcuk Diagnostic Scan Tool Diesel Bidirectional Code Reader for Commercial Vehicle with ABS SRS DPF Regen</t>
        </is>
      </c>
      <c r="B618" s="30" t="inlineStr">
        <is>
          <t>B0CX5963CY</t>
        </is>
      </c>
      <c r="C618" s="30" t="inlineStr">
        <is>
          <t>Tablet</t>
        </is>
      </c>
      <c r="D618" s="324" t="n">
        <v>1499</v>
      </c>
      <c r="E618" s="53" t="n">
        <v>23560.38</v>
      </c>
      <c r="F618" s="53" t="n">
        <v>0</v>
      </c>
      <c r="G618" s="55" t="n">
        <v>20</v>
      </c>
      <c r="H618" s="57" t="n">
        <v>0</v>
      </c>
      <c r="I618" s="55" t="n"/>
      <c r="J618" s="56" t="n"/>
      <c r="K618" s="56" t="inlineStr">
        <is>
          <t>https://amazon.com/dp/B0CX5963CY</t>
        </is>
      </c>
      <c r="L618" s="70">
        <f>HYPERLINK(Table3559[[#This Row],[Column1]])</f>
        <v/>
      </c>
    </row>
    <row r="619" ht="30" customHeight="1" s="290">
      <c r="A619" s="30" t="inlineStr">
        <is>
          <t>LAUNCH X431 Creader 5011 V2 TPMS Scan Tool，Tire Pressure Monitoring TPMS Sensor (315+433MHz) Read/Activate/Relearn Scanner,OBD2 Code Reader &amp; 12 Hot Reset, Lifetime Free Update</t>
        </is>
      </c>
      <c r="B619" s="30" t="inlineStr">
        <is>
          <t>B0DQ12V9NH</t>
        </is>
      </c>
      <c r="C619" s="30" t="inlineStr">
        <is>
          <t>Handheld</t>
        </is>
      </c>
      <c r="D619" s="324" t="n">
        <v>209</v>
      </c>
      <c r="E619" s="53" t="n">
        <v>6148.18</v>
      </c>
      <c r="F619" s="53" t="n">
        <v>0</v>
      </c>
      <c r="G619" s="55" t="n">
        <v>26</v>
      </c>
      <c r="H619" s="57" t="n">
        <v>0</v>
      </c>
      <c r="I619" s="55" t="n">
        <v>3</v>
      </c>
      <c r="J619" s="56" t="n">
        <v>5</v>
      </c>
      <c r="K619" s="56" t="inlineStr">
        <is>
          <t>https://amazon.com/dp/B0DQ12V9NH</t>
        </is>
      </c>
      <c r="L619" s="70">
        <f>HYPERLINK(Table3559[[#This Row],[Column1]])</f>
        <v/>
      </c>
    </row>
    <row r="620" ht="30" customHeight="1" s="290">
      <c r="A620" s="30" t="inlineStr">
        <is>
          <t>LAUNCH X431 CRP919 New Energy Vehicle Scanner, 2026 EV Scan Tool with All System, ECU Code, Bidirectional Control, 43 Service, CANFD and DOIP, 2 Years Free Update</t>
        </is>
      </c>
      <c r="B620" s="30" t="inlineStr">
        <is>
          <t>B0DP4KWH9R</t>
        </is>
      </c>
      <c r="C620" s="30" t="inlineStr">
        <is>
          <t>Tablet</t>
        </is>
      </c>
      <c r="D620" s="324" t="n">
        <v>549</v>
      </c>
      <c r="E620" s="53" t="n">
        <v>16922.97</v>
      </c>
      <c r="F620" s="53" t="n">
        <v>0</v>
      </c>
      <c r="G620" s="55" t="n">
        <v>35</v>
      </c>
      <c r="H620" s="57" t="n">
        <v>0</v>
      </c>
      <c r="I620" s="55" t="n">
        <v>7</v>
      </c>
      <c r="J620" s="56" t="n">
        <v>2.7</v>
      </c>
      <c r="K620" s="56" t="inlineStr">
        <is>
          <t>https://amazon.com/dp/B0DP4KWH9R</t>
        </is>
      </c>
      <c r="L620" s="70">
        <f>HYPERLINK(Table3559[[#This Row],[Column1]])</f>
        <v/>
      </c>
    </row>
    <row r="621" ht="17" customHeight="1" s="290">
      <c r="A621" s="30" t="inlineStr">
        <is>
          <t>2024 LAUNCH Creader Elite Bidirectional Scan Tool fit for VW Audi Skoda Seat, Online Coding OBD2 Scanner, Full System All Reset Diagnostic for V.A.G After 1996, Battery Register, Lifetime Update</t>
        </is>
      </c>
      <c r="B621" s="30" t="inlineStr">
        <is>
          <t>B09XV5W3HD</t>
        </is>
      </c>
      <c r="C621" s="30" t="inlineStr">
        <is>
          <t>Handheld</t>
        </is>
      </c>
      <c r="D621" s="324" t="n">
        <v>315.88</v>
      </c>
      <c r="E621" s="53" t="n">
        <v>0</v>
      </c>
      <c r="F621" s="53" t="n">
        <v>0</v>
      </c>
      <c r="G621" s="55" t="n">
        <v>0</v>
      </c>
      <c r="H621" s="57" t="n">
        <v>0</v>
      </c>
      <c r="I621" s="55" t="n">
        <v>175</v>
      </c>
      <c r="J621" s="56" t="n">
        <v>4.1</v>
      </c>
      <c r="K621" s="56" t="inlineStr">
        <is>
          <t>https://amazon.com/dp/B09XV5W3HD</t>
        </is>
      </c>
      <c r="L621" s="70">
        <f>HYPERLINK(Table3559[[#This Row],[Column1]])</f>
        <v/>
      </c>
    </row>
    <row r="622">
      <c r="A622" s="30" t="inlineStr">
        <is>
          <t>LAUNCH X431 PRO Star [2025 Lastest Version] Bi-Directional Diagnostic Scanner, 37+ Services, ECU Coding, Full System OBD2 Scan Tool with CANFD, DoIP, FCA AutoAuth, Quick Guided, 2 Years Free Update</t>
        </is>
      </c>
      <c r="B622" s="30" t="inlineStr">
        <is>
          <t>B0D7W36PVD</t>
        </is>
      </c>
      <c r="C622" s="30" t="inlineStr">
        <is>
          <t>Tablet</t>
        </is>
      </c>
      <c r="D622" s="324" t="n">
        <v>645</v>
      </c>
      <c r="E622" s="53" t="n">
        <v>7750.51</v>
      </c>
      <c r="F622" s="53" t="n">
        <v>0</v>
      </c>
      <c r="G622" s="55" t="n">
        <v>13</v>
      </c>
      <c r="H622" s="57" t="n">
        <v>0</v>
      </c>
      <c r="I622" s="55" t="n">
        <v>7</v>
      </c>
      <c r="J622" s="56" t="n">
        <v>4.7</v>
      </c>
      <c r="K622" s="56" t="inlineStr">
        <is>
          <t>https://amazon.com/dp/B0D7W36PVD</t>
        </is>
      </c>
      <c r="L622" s="70">
        <f>HYPERLINK(Table3559[[#This Row],[Column1]])</f>
        <v/>
      </c>
    </row>
    <row r="623">
      <c r="A623" s="30" t="inlineStr">
        <is>
          <t>LAUNCH X431 PAD V Elite ECU Coding Scan Tool,Topology Map,Full System Diagnostic Scanner,Full Bi-Directional Control &amp; 60+ Reset Functions,Heavy Duty Truck,CAN FD,2 Yrs Update</t>
        </is>
      </c>
      <c r="B623" s="30" t="inlineStr">
        <is>
          <t>B092LYKYF5</t>
        </is>
      </c>
      <c r="C623" s="30" t="inlineStr">
        <is>
          <t>Tablet</t>
        </is>
      </c>
      <c r="D623" s="324" t="n">
        <v>1899</v>
      </c>
      <c r="E623" s="53" t="n">
        <v>23861.84</v>
      </c>
      <c r="F623" s="53" t="n">
        <v>0</v>
      </c>
      <c r="G623" s="55" t="n">
        <v>13</v>
      </c>
      <c r="H623" s="57" t="n">
        <v>0</v>
      </c>
      <c r="I623" s="55" t="n">
        <v>54</v>
      </c>
      <c r="J623" s="56" t="n">
        <v>3.8</v>
      </c>
      <c r="K623" s="56" t="inlineStr">
        <is>
          <t>https://amazon.com/dp/B092LYKYF5</t>
        </is>
      </c>
      <c r="L623" s="70">
        <f>HYPERLINK(Table3559[[#This Row],[Column1]])</f>
        <v/>
      </c>
    </row>
    <row r="624">
      <c r="A624" s="30" t="inlineStr">
        <is>
          <t>LAUNCH Creader Elite HD CRE CUMMIS Full System Heavy Duty Truck Scanner Semi Bidirectional Diesel Diagnostic Scan Tool with DPF Regen, 40+ Reset for Cummins</t>
        </is>
      </c>
      <c r="B624" s="30" t="inlineStr">
        <is>
          <t>B0DHCD4XK4</t>
        </is>
      </c>
      <c r="C624" s="30" t="inlineStr">
        <is>
          <t>Tablet</t>
        </is>
      </c>
      <c r="D624" s="324" t="n">
        <v>429</v>
      </c>
      <c r="E624" s="53" t="n">
        <v>8480.93</v>
      </c>
      <c r="F624" s="53" t="n">
        <v>0</v>
      </c>
      <c r="G624" s="55" t="n">
        <v>19</v>
      </c>
      <c r="H624" s="57" t="n">
        <v>0</v>
      </c>
      <c r="I624" s="55" t="n">
        <v>8</v>
      </c>
      <c r="J624" s="56" t="n">
        <v>4.8</v>
      </c>
      <c r="K624" s="56" t="inlineStr">
        <is>
          <t>https://amazon.com/dp/B0DHCD4XK4</t>
        </is>
      </c>
      <c r="L624" s="70">
        <f>HYPERLINK(Table3559[[#This Row],[Column1]])</f>
        <v/>
      </c>
    </row>
    <row r="625">
      <c r="A625" s="30" t="inlineStr">
        <is>
          <t>LAUNCH X431 SmartLink C V2.0 HD Lite Heavy Duty Diagnostic Module,Diesel Scan Tool for 24V HD Trucks &amp; Commercial Vehicle,CANFD&amp;DOIP,Compatible with 8-inch Tablet X431 PRO V5.0/PROS 5.0/PRO TT/Dyno</t>
        </is>
      </c>
      <c r="B625" s="30" t="inlineStr">
        <is>
          <t>B0FKG56Q8C</t>
        </is>
      </c>
      <c r="C625" s="30" t="inlineStr">
        <is>
          <t>Tablet</t>
        </is>
      </c>
      <c r="D625" s="324" t="n">
        <v>699</v>
      </c>
      <c r="E625" s="53" t="n">
        <v>6220.46</v>
      </c>
      <c r="F625" s="53" t="n">
        <v>0</v>
      </c>
      <c r="G625" s="55" t="n">
        <v>7</v>
      </c>
      <c r="H625" s="57" t="n">
        <v>0</v>
      </c>
      <c r="I625" s="55" t="n">
        <v>1</v>
      </c>
      <c r="J625" s="56" t="n">
        <v>1</v>
      </c>
      <c r="K625" s="56" t="inlineStr">
        <is>
          <t>https://amazon.com/dp/B0FKG56Q8C</t>
        </is>
      </c>
      <c r="L625" s="70">
        <f>HYPERLINK(Table3559[[#This Row],[Column1]])</f>
        <v/>
      </c>
    </row>
    <row r="626">
      <c r="A626" s="30" t="inlineStr">
        <is>
          <t>LAUNCH X431 V+ SmartLink HD Heavy Duty Truck Diagnostic Scanner Diesel Commercial Vehicle Construction Machinery Agricultural Bus Scan Tool, J2534 ECU Coding, All System Diagnosis, Active Test</t>
        </is>
      </c>
      <c r="B626" s="30" t="inlineStr">
        <is>
          <t>B0CF1VLD5R</t>
        </is>
      </c>
      <c r="C626" s="30" t="inlineStr">
        <is>
          <t>Tablet</t>
        </is>
      </c>
      <c r="D626" s="324" t="n">
        <v>1439</v>
      </c>
      <c r="E626" s="53" t="n">
        <v>0</v>
      </c>
      <c r="F626" s="53" t="n">
        <v>0</v>
      </c>
      <c r="G626" s="55" t="n">
        <v>0</v>
      </c>
      <c r="H626" s="57" t="n">
        <v>0</v>
      </c>
      <c r="I626" s="55" t="n">
        <v>2</v>
      </c>
      <c r="J626" s="56" t="n">
        <v>5</v>
      </c>
      <c r="K626" s="56" t="inlineStr">
        <is>
          <t>https://amazon.com/dp/B0CF1VLD5R</t>
        </is>
      </c>
      <c r="L626" s="70">
        <f>HYPERLINK(TABLE626)</f>
        <v/>
      </c>
    </row>
    <row r="627">
      <c r="A627" s="30" t="inlineStr">
        <is>
          <t>Launch X431 PRO3 V+ 5.0, 2026 Upgrade Bluetooth Bi-Directional Scan Tool, OEM Topology Mapping, HD Trucks Diagnosis, Online Coding, 55+ Services, CAN FD AutoAuth FCA SGW, 2-Year Free Update</t>
        </is>
      </c>
      <c r="B627" s="30" t="inlineStr">
        <is>
          <t>B0F1SJ938Y</t>
        </is>
      </c>
      <c r="C627" s="30" t="inlineStr">
        <is>
          <t>Tablet</t>
        </is>
      </c>
      <c r="D627" s="324" t="n">
        <v>1169</v>
      </c>
      <c r="E627" s="53" t="n">
        <v>12263.95</v>
      </c>
      <c r="F627" s="53" t="n">
        <v>0</v>
      </c>
      <c r="G627" s="55" t="n">
        <v>12</v>
      </c>
      <c r="H627" s="57" t="n">
        <v>0</v>
      </c>
      <c r="I627" s="55" t="n">
        <v>3</v>
      </c>
      <c r="J627" s="56" t="n">
        <v>5</v>
      </c>
      <c r="K627" s="56" t="inlineStr">
        <is>
          <t>https://amazon.com/dp/B0F1SJ938Y</t>
        </is>
      </c>
      <c r="L627" s="70">
        <f>HYPERLINK(TABLE627)</f>
        <v/>
      </c>
    </row>
    <row r="628">
      <c r="A628" s="30" t="inlineStr">
        <is>
          <t>LAUNCH X431 PRO Star 2026 Elite Bi-Directional Scan Tool, Full System Diagnostic Scanner with ECU Coding, 38+ Reset Services, CANFD &amp; DOIP, FCA AutoAuth, 2-Year Free Updates, 1996+ OBD2 Vehicles</t>
        </is>
      </c>
      <c r="B628" s="30" t="inlineStr">
        <is>
          <t>B0FQ9MGM32</t>
        </is>
      </c>
      <c r="C628" s="30" t="inlineStr">
        <is>
          <t>Tablet</t>
        </is>
      </c>
      <c r="D628" s="324" t="n">
        <v>526.99</v>
      </c>
      <c r="E628" s="53" t="n">
        <v>2542.06</v>
      </c>
      <c r="F628" s="53" t="n">
        <v>0</v>
      </c>
      <c r="G628" s="55" t="n">
        <v>5</v>
      </c>
      <c r="H628" s="57" t="n">
        <v>0</v>
      </c>
      <c r="I628" s="55" t="n"/>
      <c r="J628" s="56" t="n"/>
      <c r="K628" s="56" t="inlineStr">
        <is>
          <t>https://amazon.com/dp/B0FQ9MGM32</t>
        </is>
      </c>
      <c r="L628" s="70">
        <f>HYPERLINK(TABLE628)</f>
        <v/>
      </c>
    </row>
    <row r="629">
      <c r="A629" s="30" t="inlineStr">
        <is>
          <t>LAUNCH CRP123E Plus OBD2 Scanner, All System Car Diagnostic Scan Tool with Oil Reset, SAS Calibration, Throttle Adaptation,Support FCA,Lifetime Free Update</t>
        </is>
      </c>
      <c r="B629" s="30" t="inlineStr">
        <is>
          <t>B0G3P6W7YX</t>
        </is>
      </c>
      <c r="C629" s="30" t="inlineStr">
        <is>
          <t>Tablet</t>
        </is>
      </c>
      <c r="D629" s="324" t="n">
        <v>199</v>
      </c>
      <c r="E629" s="53" t="n">
        <v>259</v>
      </c>
      <c r="F629" s="53" t="n">
        <v>0</v>
      </c>
      <c r="G629" s="55" t="n">
        <v>1</v>
      </c>
      <c r="H629" s="57" t="n">
        <v>0</v>
      </c>
      <c r="I629" s="55" t="n">
        <v>8</v>
      </c>
      <c r="J629" s="56" t="n">
        <v>4.4</v>
      </c>
      <c r="K629" s="56" t="inlineStr">
        <is>
          <t>https://amazon.com/dp/B0G3P6W7YX</t>
        </is>
      </c>
      <c r="L629" s="70">
        <f>HYPERLINK(TABLE629)</f>
        <v/>
      </c>
    </row>
    <row r="630">
      <c r="A630" s="30" t="inlineStr">
        <is>
          <t>Launch Tech USA Millennium TSAP Plus Activation and Diagnostic Tool for TPMS System</t>
        </is>
      </c>
      <c r="B630" s="30" t="inlineStr">
        <is>
          <t>B07V7Y6C1N</t>
        </is>
      </c>
      <c r="C630" s="30" t="inlineStr">
        <is>
          <t>Handheld</t>
        </is>
      </c>
      <c r="D630" s="324" t="n">
        <v>276.44</v>
      </c>
      <c r="E630" s="53" t="n">
        <v>0</v>
      </c>
      <c r="F630" s="53" t="n">
        <v>0</v>
      </c>
      <c r="G630" s="55" t="n">
        <v>0</v>
      </c>
      <c r="H630" s="57" t="n">
        <v>0</v>
      </c>
      <c r="I630" s="55" t="n">
        <v>1</v>
      </c>
      <c r="J630" s="56" t="n">
        <v>5</v>
      </c>
      <c r="K630" s="56" t="inlineStr">
        <is>
          <t>https://amazon.com/dp/B07V7Y6C1N</t>
        </is>
      </c>
      <c r="L630" s="70">
        <f>HYPERLINK(TABLE630)</f>
        <v/>
      </c>
    </row>
    <row r="631">
      <c r="A631" s="33" t="inlineStr">
        <is>
          <t>Total</t>
        </is>
      </c>
      <c r="B631" s="288" t="n"/>
      <c r="C631" s="327" t="n"/>
      <c r="D631" s="72" t="n"/>
      <c r="E631" s="72" t="n"/>
      <c r="F631" s="72" t="n"/>
      <c r="G631" s="73">
        <f>SUM(G344:G630)</f>
        <v/>
      </c>
      <c r="H631" s="73">
        <f>SUM(H344:H630)</f>
        <v/>
      </c>
      <c r="I631" s="73" t="n"/>
      <c r="J631" s="74" t="n"/>
      <c r="K631" s="33" t="n"/>
    </row>
    <row r="632">
      <c r="E632" s="296" t="n"/>
    </row>
  </sheetData>
  <mergeCells count="3">
    <mergeCell ref="A1:M5"/>
    <mergeCell ref="A50:L50"/>
    <mergeCell ref="A337:L337"/>
  </mergeCells>
  <conditionalFormatting sqref="C8:M17">
    <cfRule type="expression" priority="1" dxfId="30">
      <formula>C8&lt;0</formula>
    </cfRule>
  </conditionalFormatting>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7.xml><?xml version="1.0" encoding="utf-8"?>
<worksheet xmlns="http://schemas.openxmlformats.org/spreadsheetml/2006/main">
  <sheetPr>
    <outlinePr summaryBelow="1" summaryRight="1"/>
    <pageSetUpPr/>
  </sheetPr>
  <dimension ref="A1:Q171"/>
  <sheetViews>
    <sheetView zoomScaleNormal="100" workbookViewId="0">
      <selection activeCell="I33" sqref="I33"/>
    </sheetView>
  </sheetViews>
  <sheetFormatPr baseColWidth="10" defaultColWidth="10.83203125" defaultRowHeight="16"/>
  <cols>
    <col width="50.6640625" customWidth="1" style="284" min="1" max="1"/>
    <col width="12.6640625" customWidth="1" style="284" min="2" max="2"/>
    <col width="12.6640625" customWidth="1" style="320" min="3" max="3"/>
    <col width="11.1640625" customWidth="1" style="296" min="4" max="4"/>
    <col width="24.83203125" bestFit="1" customWidth="1" style="284" min="5" max="5"/>
    <col width="17.6640625" bestFit="1" customWidth="1" style="286" min="6" max="6"/>
    <col width="21.6640625" bestFit="1" customWidth="1" style="286" min="7" max="7"/>
    <col width="19.1640625" bestFit="1" customWidth="1" style="286" min="8" max="8"/>
    <col width="13.5" bestFit="1" customWidth="1" style="287" min="9" max="9"/>
    <col width="12.6640625" bestFit="1" customWidth="1" style="284" min="10" max="10"/>
    <col hidden="1" width="18.1640625" customWidth="1" style="284" min="11" max="11"/>
    <col width="35.6640625" customWidth="1" style="284" min="12" max="12"/>
    <col width="15.6640625" customWidth="1" style="284" min="13" max="13"/>
    <col width="10.83203125" customWidth="1" style="284" min="14" max="16384"/>
  </cols>
  <sheetData>
    <row r="1">
      <c r="A1" s="282" t="inlineStr">
        <is>
          <t>TOPDON Monthly Summary</t>
        </is>
      </c>
    </row>
    <row r="2"/>
    <row r="3"/>
    <row r="4"/>
    <row r="5"/>
    <row r="6">
      <c r="A6" s="29" t="n"/>
      <c r="B6" s="29" t="n"/>
      <c r="C6" s="321" t="n"/>
      <c r="D6" s="47" t="n"/>
      <c r="E6" s="48" t="n"/>
      <c r="F6" s="48" t="n"/>
      <c r="G6" s="48" t="n"/>
      <c r="H6" s="48" t="n"/>
      <c r="I6" s="49" t="n"/>
      <c r="J6" s="50" t="n"/>
    </row>
    <row r="7" ht="32" customHeight="1" s="290">
      <c r="A7" s="80" t="n"/>
      <c r="B7" s="81" t="inlineStr">
        <is>
          <t>Avg Price</t>
        </is>
      </c>
      <c r="C7" s="81" t="inlineStr">
        <is>
          <t>Avg Price MoM</t>
        </is>
      </c>
      <c r="D7" s="82" t="inlineStr">
        <is>
          <t>Avg Price YoY</t>
        </is>
      </c>
      <c r="E7" s="81" t="inlineStr">
        <is>
          <t>Quantity/Mo</t>
        </is>
      </c>
      <c r="F7" s="84" t="inlineStr">
        <is>
          <t>Qty by %</t>
        </is>
      </c>
      <c r="G7" s="84" t="inlineStr">
        <is>
          <t>Qty MoM</t>
        </is>
      </c>
      <c r="H7" s="82" t="inlineStr">
        <is>
          <t>Qty YoY</t>
        </is>
      </c>
      <c r="I7" s="309" t="inlineStr">
        <is>
          <t>Revenue/Mo</t>
        </is>
      </c>
      <c r="J7" s="126" t="inlineStr">
        <is>
          <t>Revenue by %</t>
        </is>
      </c>
      <c r="K7" s="173" t="n"/>
      <c r="L7" s="126" t="inlineStr">
        <is>
          <t>Revenue MoM</t>
        </is>
      </c>
      <c r="M7" s="310" t="inlineStr">
        <is>
          <t>Revenue YoY</t>
        </is>
      </c>
      <c r="N7" s="286" t="n"/>
      <c r="O7" s="286" t="n"/>
      <c r="P7" s="49" t="n"/>
      <c r="Q7" s="50" t="n"/>
    </row>
    <row r="8">
      <c r="A8" s="93" t="inlineStr">
        <is>
          <t>Tablet $800+</t>
        </is>
      </c>
      <c r="B8" s="298" t="n">
        <v>1185.156621983914</v>
      </c>
      <c r="C8" s="270" t="n">
        <v>-0.03998156947195042</v>
      </c>
      <c r="D8" s="271" t="n">
        <v>-0.0859253291442148</v>
      </c>
      <c r="E8" s="269" t="n">
        <v>373</v>
      </c>
      <c r="F8" s="270" t="n">
        <v>0.0289192122809738</v>
      </c>
      <c r="G8" s="270" t="n">
        <v>-0.1033653846153846</v>
      </c>
      <c r="H8" s="271" t="n">
        <v>0.4075471698113207</v>
      </c>
      <c r="I8" s="95" t="n">
        <v>442063.42</v>
      </c>
      <c r="J8" s="128" t="n">
        <v>0.1360039005983651</v>
      </c>
      <c r="K8" s="169" t="n"/>
      <c r="L8" s="169" t="n">
        <v>-0.1392142437813403</v>
      </c>
      <c r="M8" s="169" t="n">
        <v>0.2866032159592748</v>
      </c>
      <c r="N8" s="286" t="n"/>
      <c r="O8" s="286" t="n"/>
      <c r="P8" s="49" t="n"/>
      <c r="Q8" s="50" t="n"/>
    </row>
    <row r="9">
      <c r="A9" s="93" t="inlineStr">
        <is>
          <t>Tablet $400-$800</t>
        </is>
      </c>
      <c r="B9" s="298" t="n">
        <v>585.9066179861645</v>
      </c>
      <c r="C9" s="270" t="n">
        <v>0.003745823903086087</v>
      </c>
      <c r="D9" s="271" t="n">
        <v>0.199081526726538</v>
      </c>
      <c r="E9" s="269" t="n">
        <v>1301</v>
      </c>
      <c r="F9" s="270" t="n">
        <v>0.1008683516824314</v>
      </c>
      <c r="G9" s="270" t="n">
        <v>0.05344129554655863</v>
      </c>
      <c r="H9" s="271" t="n">
        <v>-0.2214242968282466</v>
      </c>
      <c r="I9" s="95" t="n">
        <v>762264.51</v>
      </c>
      <c r="J9" s="128" t="n">
        <v>0.2345160037166195</v>
      </c>
      <c r="K9" s="169" t="n"/>
      <c r="L9" s="169" t="n">
        <v>0.05738730113191504</v>
      </c>
      <c r="M9" s="169" t="n">
        <v>-0.0664242571686261</v>
      </c>
      <c r="N9" s="286" t="n"/>
      <c r="O9" s="286" t="n"/>
      <c r="P9" s="49" t="n"/>
      <c r="Q9" s="50" t="n"/>
    </row>
    <row r="10">
      <c r="A10" s="96" t="inlineStr">
        <is>
          <t>Tablet $400-</t>
        </is>
      </c>
      <c r="B10" s="299" t="n">
        <v>240.295964017991</v>
      </c>
      <c r="C10" s="274" t="n">
        <v>0.008139735811845572</v>
      </c>
      <c r="D10" s="275" t="n">
        <v>0.2126730806088826</v>
      </c>
      <c r="E10" s="273" t="n">
        <v>6670</v>
      </c>
      <c r="F10" s="274" t="n">
        <v>0.5171344394479764</v>
      </c>
      <c r="G10" s="274" t="n">
        <v>-0.004180352343983285</v>
      </c>
      <c r="H10" s="275" t="n">
        <v>0.5683047260757113</v>
      </c>
      <c r="I10" s="98" t="n">
        <v>1602774.08</v>
      </c>
      <c r="J10" s="127" t="n">
        <v>0.4931046469711431</v>
      </c>
      <c r="K10" s="171" t="n"/>
      <c r="L10" s="171" t="n">
        <v>0.003925356504181687</v>
      </c>
      <c r="M10" s="171" t="n">
        <v>0.9018409235037024</v>
      </c>
      <c r="N10" s="286" t="n"/>
      <c r="O10" s="286" t="n"/>
      <c r="P10" s="49" t="n"/>
      <c r="Q10" s="50" t="n"/>
    </row>
    <row r="11">
      <c r="A11" s="101" t="inlineStr">
        <is>
          <t>Total Tablet</t>
        </is>
      </c>
      <c r="B11" s="300" t="n">
        <v>336.4216215244487</v>
      </c>
      <c r="C11" s="112" t="n">
        <v>-0.007833189214606073</v>
      </c>
      <c r="D11" s="104" t="n">
        <v>0.03958142740795756</v>
      </c>
      <c r="E11" s="116" t="n">
        <v>8344</v>
      </c>
      <c r="F11" s="112" t="n">
        <v>0.6469220034113816</v>
      </c>
      <c r="G11" s="112" t="n">
        <v>-0.0005988741166607081</v>
      </c>
      <c r="H11" s="104" t="n">
        <v>0.3481984165454839</v>
      </c>
      <c r="I11" s="103" t="n">
        <v>2807102.01</v>
      </c>
      <c r="J11" s="129" t="n">
        <v>0.8636245512861277</v>
      </c>
      <c r="K11" s="170" t="n"/>
      <c r="L11" s="170" t="n">
        <v>-0.008427372236995079</v>
      </c>
      <c r="M11" s="170" t="n">
        <v>0.4015620343015025</v>
      </c>
      <c r="N11" s="286" t="n"/>
      <c r="O11" s="286" t="n"/>
      <c r="P11" s="49" t="n"/>
      <c r="Q11" s="50" t="n"/>
    </row>
    <row r="12">
      <c r="A12" s="93" t="inlineStr">
        <is>
          <t>Handheld $75+</t>
        </is>
      </c>
      <c r="B12" s="298" t="n">
        <v>119.27</v>
      </c>
      <c r="C12" s="270" t="n">
        <v>-0.7789269793607103</v>
      </c>
      <c r="D12" s="271" t="n">
        <v>-0.881811555586874</v>
      </c>
      <c r="E12" s="269" t="n">
        <v>1</v>
      </c>
      <c r="F12" s="270" t="n">
        <v>7.753140021708792e-05</v>
      </c>
      <c r="G12" s="270" t="n">
        <v>-0.8333333333333334</v>
      </c>
      <c r="H12" s="271" t="n">
        <v>-0.8888888888888888</v>
      </c>
      <c r="I12" s="95" t="n">
        <v>119.27</v>
      </c>
      <c r="J12" s="128" t="n">
        <v>3.66942490386719e-05</v>
      </c>
      <c r="K12" s="169" t="n"/>
      <c r="L12" s="169" t="n">
        <v>-0.9631544965601184</v>
      </c>
      <c r="M12" s="169" t="n">
        <v>-0.9868679506207638</v>
      </c>
      <c r="N12" s="286" t="n"/>
      <c r="O12" s="286" t="n"/>
      <c r="P12" s="49" t="n"/>
      <c r="Q12" s="50" t="n"/>
    </row>
    <row r="13">
      <c r="A13" s="96" t="inlineStr">
        <is>
          <t>Handheld $75-</t>
        </is>
      </c>
      <c r="B13" s="299" t="n">
        <v>45.38492307692307</v>
      </c>
      <c r="C13" s="274" t="n">
        <v>0.1494933245393766</v>
      </c>
      <c r="D13" s="275" t="n">
        <v>0.1328006006625992</v>
      </c>
      <c r="E13" s="273" t="n">
        <v>195</v>
      </c>
      <c r="F13" s="274" t="n">
        <v>0.01511862304233214</v>
      </c>
      <c r="G13" s="274" t="n">
        <v>-0.401840490797546</v>
      </c>
      <c r="H13" s="275" t="n">
        <v>1.294117647058823</v>
      </c>
      <c r="I13" s="98" t="n">
        <v>8850.059999999999</v>
      </c>
      <c r="J13" s="127" t="n">
        <v>0.002722782809148894</v>
      </c>
      <c r="K13" s="171" t="n"/>
      <c r="L13" s="171" t="n">
        <v>-0.3124196371620294</v>
      </c>
      <c r="M13" s="171" t="n">
        <v>1.598777848578904</v>
      </c>
      <c r="N13" s="286" t="n"/>
      <c r="O13" s="286" t="n"/>
      <c r="P13" s="49" t="n"/>
      <c r="Q13" s="50" t="n"/>
    </row>
    <row r="14">
      <c r="A14" s="101" t="inlineStr">
        <is>
          <t>Total Handheld</t>
        </is>
      </c>
      <c r="B14" s="300" t="n">
        <v>45.76188775510204</v>
      </c>
      <c r="C14" s="112" t="n">
        <v>-0.05682728731241848</v>
      </c>
      <c r="D14" s="104" t="n">
        <v>-0.6555352331846613</v>
      </c>
      <c r="E14" s="116" t="n">
        <v>196</v>
      </c>
      <c r="F14" s="112" t="n">
        <v>0.01519615444254923</v>
      </c>
      <c r="G14" s="112" t="n">
        <v>-0.4096385542168675</v>
      </c>
      <c r="H14" s="104" t="n">
        <v>1.085106382978724</v>
      </c>
      <c r="I14" s="103" t="n">
        <v>8969.33</v>
      </c>
      <c r="J14" s="129" t="n">
        <v>0.002759477058187566</v>
      </c>
      <c r="K14" s="170" t="n"/>
      <c r="L14" s="170" t="n">
        <v>-0.4431871937145603</v>
      </c>
      <c r="M14" s="170" t="n">
        <v>-0.2817543160020596</v>
      </c>
      <c r="N14" s="286" t="n"/>
      <c r="O14" s="286" t="n"/>
      <c r="P14" s="49" t="n"/>
      <c r="Q14" s="50" t="n"/>
    </row>
    <row r="15">
      <c r="A15" s="78" t="inlineStr">
        <is>
          <t>Total Dongle</t>
        </is>
      </c>
      <c r="B15" s="301" t="n">
        <v>60.18356055802156</v>
      </c>
      <c r="C15" s="113" t="n">
        <v>0.08530744355004516</v>
      </c>
      <c r="D15" s="107" t="n">
        <v>0.02405595397376104</v>
      </c>
      <c r="E15" s="99" t="n">
        <v>3154</v>
      </c>
      <c r="F15" s="113" t="n">
        <v>0.2445340362846953</v>
      </c>
      <c r="G15" s="113" t="n">
        <v>0.00126984126984131</v>
      </c>
      <c r="H15" s="107" t="n">
        <v>-0.3661575562700965</v>
      </c>
      <c r="I15" s="76" t="n">
        <v>189818.95</v>
      </c>
      <c r="J15" s="130" t="n">
        <v>0.05839912654950289</v>
      </c>
      <c r="K15" s="174" t="n"/>
      <c r="L15" s="174" t="n">
        <v>0.08668561173233091</v>
      </c>
      <c r="M15" s="174" t="n">
        <v>-0.3509098716171136</v>
      </c>
      <c r="N15" s="286" t="n"/>
      <c r="O15" s="286" t="n"/>
      <c r="P15" s="49" t="n"/>
      <c r="Q15" s="50" t="n"/>
    </row>
    <row r="16">
      <c r="A16" s="78" t="inlineStr">
        <is>
          <t>Total Other Tools</t>
        </is>
      </c>
      <c r="B16" s="301" t="n">
        <v>203.0588122923588</v>
      </c>
      <c r="C16" s="113" t="n">
        <v>-0.02672559340685521</v>
      </c>
      <c r="D16" s="107" t="n">
        <v>-0.2589612062156876</v>
      </c>
      <c r="E16" s="99" t="n">
        <v>1204</v>
      </c>
      <c r="F16" s="113" t="n">
        <v>0.09334780586137385</v>
      </c>
      <c r="G16" s="113" t="n">
        <v>-0.0444444444444444</v>
      </c>
      <c r="H16" s="107" t="n">
        <v>1.657836644591611</v>
      </c>
      <c r="I16" s="76" t="n">
        <v>244482.81</v>
      </c>
      <c r="J16" s="130" t="n">
        <v>0.0752168451061818</v>
      </c>
      <c r="K16" s="174" t="n"/>
      <c r="L16" s="174" t="n">
        <v>-0.06998223369988388</v>
      </c>
      <c r="M16" s="174" t="n">
        <v>0.9695600611839121</v>
      </c>
      <c r="N16" s="286" t="n"/>
      <c r="O16" s="286" t="n"/>
      <c r="P16" s="49" t="n"/>
      <c r="Q16" s="50" t="n"/>
    </row>
    <row r="17">
      <c r="A17" s="86" t="inlineStr">
        <is>
          <t>Total</t>
        </is>
      </c>
      <c r="B17" s="302" t="n">
        <v>252.0059776709568</v>
      </c>
      <c r="C17" s="109" t="n">
        <v>0.004363176104025035</v>
      </c>
      <c r="D17" s="108" t="n">
        <v>0.2375400159105094</v>
      </c>
      <c r="E17" s="100" t="n">
        <v>12898</v>
      </c>
      <c r="F17" s="109" t="n">
        <v>1</v>
      </c>
      <c r="G17" s="109" t="n">
        <v>-0.01459240583696231</v>
      </c>
      <c r="H17" s="108" t="n">
        <v>0.04649087221095338</v>
      </c>
      <c r="I17" s="85" t="n">
        <v>3250373.1</v>
      </c>
      <c r="J17" s="109" t="n">
        <v>1</v>
      </c>
      <c r="K17" s="172" t="n"/>
      <c r="L17" s="172" t="n">
        <v>-0.01029289896938546</v>
      </c>
      <c r="M17" s="172" t="n">
        <v>0.2950743306461461</v>
      </c>
      <c r="N17" s="286" t="n"/>
      <c r="O17" s="286" t="n"/>
      <c r="P17" s="49" t="n"/>
      <c r="Q17" s="50" t="n"/>
    </row>
    <row r="18">
      <c r="A18" s="29" t="n"/>
      <c r="B18" s="29" t="n"/>
      <c r="C18" s="321" t="n"/>
      <c r="D18" s="47" t="n"/>
      <c r="E18" s="48" t="n"/>
      <c r="F18" s="48" t="n"/>
      <c r="G18" s="48" t="n"/>
      <c r="H18" s="48" t="n"/>
      <c r="I18" s="49" t="n"/>
      <c r="J18" s="50" t="n"/>
    </row>
    <row r="19">
      <c r="A19" s="29" t="n"/>
      <c r="B19" s="29" t="n"/>
      <c r="C19" s="321" t="n"/>
      <c r="D19" s="47" t="n"/>
      <c r="E19" s="48" t="n"/>
      <c r="F19" s="48" t="n"/>
      <c r="G19" s="48" t="n"/>
      <c r="H19" s="48" t="n"/>
      <c r="I19" s="49" t="n"/>
      <c r="J19" s="50" t="n"/>
    </row>
    <row r="20">
      <c r="A20" s="29" t="n"/>
      <c r="B20" s="29" t="n"/>
      <c r="C20" s="321" t="n"/>
      <c r="D20" s="47" t="n"/>
      <c r="E20" s="48" t="n"/>
      <c r="F20" s="48" t="n"/>
      <c r="G20" s="48" t="n"/>
      <c r="H20" s="48" t="n"/>
      <c r="I20" s="49" t="n"/>
      <c r="J20" s="50" t="n"/>
    </row>
    <row r="21">
      <c r="A21" s="29" t="n"/>
      <c r="B21" s="29" t="n"/>
      <c r="C21" s="321" t="n"/>
      <c r="D21" s="47" t="n"/>
      <c r="E21" s="48" t="n"/>
      <c r="F21" s="48" t="n"/>
      <c r="G21" s="48" t="n"/>
      <c r="H21" s="48" t="n"/>
      <c r="I21" s="49" t="n"/>
      <c r="J21" s="50" t="n"/>
    </row>
    <row r="22">
      <c r="A22" s="29" t="n"/>
      <c r="B22" s="29" t="n"/>
      <c r="C22" s="321" t="n"/>
      <c r="D22" s="47" t="n"/>
      <c r="E22" s="48" t="n"/>
      <c r="F22" s="48" t="n"/>
      <c r="G22" s="48" t="n"/>
      <c r="H22" s="48" t="n"/>
      <c r="I22" s="49" t="n"/>
      <c r="J22" s="50" t="n"/>
    </row>
    <row r="23">
      <c r="A23" s="29" t="n"/>
      <c r="B23" s="29" t="n"/>
      <c r="C23" s="321" t="n"/>
      <c r="D23" s="47" t="n"/>
      <c r="E23" s="48" t="n"/>
      <c r="F23" s="48" t="n"/>
      <c r="G23" s="48" t="n"/>
      <c r="H23" s="48" t="n"/>
      <c r="I23" s="49" t="n"/>
      <c r="J23" s="50" t="n"/>
    </row>
    <row r="24">
      <c r="A24" s="29" t="n"/>
      <c r="B24" s="29" t="n"/>
      <c r="C24" s="321" t="n"/>
      <c r="D24" s="47" t="n"/>
      <c r="E24" s="48" t="n"/>
      <c r="F24" s="48" t="n"/>
      <c r="G24" s="48" t="n"/>
      <c r="H24" s="48" t="n"/>
      <c r="I24" s="49" t="n"/>
      <c r="J24" s="50" t="n"/>
    </row>
    <row r="25">
      <c r="A25" s="29" t="n"/>
      <c r="B25" s="29" t="n"/>
      <c r="C25" s="321" t="n"/>
      <c r="D25" s="47" t="n"/>
      <c r="E25" s="48" t="n"/>
      <c r="F25" s="48" t="n"/>
      <c r="G25" s="48" t="n"/>
      <c r="H25" s="48" t="n"/>
      <c r="I25" s="49" t="n"/>
      <c r="J25" s="50" t="n"/>
    </row>
    <row r="26">
      <c r="A26" s="29" t="n"/>
      <c r="B26" s="29" t="n"/>
      <c r="C26" s="321" t="n"/>
      <c r="D26" s="47" t="n"/>
      <c r="E26" s="48" t="n"/>
      <c r="F26" s="48" t="n"/>
      <c r="G26" s="48" t="n"/>
      <c r="H26" s="48" t="n"/>
      <c r="I26" s="49" t="n"/>
      <c r="J26" s="50" t="n"/>
    </row>
    <row r="27">
      <c r="A27" s="29" t="n"/>
      <c r="B27" s="29" t="n"/>
      <c r="C27" s="321" t="n"/>
      <c r="D27" s="47" t="n"/>
      <c r="E27" s="48" t="n"/>
      <c r="F27" s="48" t="n"/>
      <c r="G27" s="48" t="n"/>
      <c r="H27" s="48" t="n"/>
      <c r="I27" s="49" t="n"/>
      <c r="J27" s="50" t="n"/>
    </row>
    <row r="28">
      <c r="A28" s="29" t="n"/>
      <c r="B28" s="29" t="n"/>
      <c r="C28" s="321" t="n"/>
      <c r="D28" s="47" t="n"/>
      <c r="E28" s="48" t="n"/>
      <c r="F28" s="48" t="n"/>
      <c r="G28" s="48" t="n"/>
      <c r="H28" s="48" t="n"/>
      <c r="I28" s="49" t="n"/>
      <c r="J28" s="50" t="n"/>
    </row>
    <row r="29">
      <c r="A29" s="29" t="n"/>
      <c r="B29" s="29" t="n"/>
      <c r="C29" s="321" t="n"/>
      <c r="D29" s="47" t="n"/>
      <c r="E29" s="48" t="n"/>
      <c r="F29" s="48" t="n"/>
      <c r="G29" s="48" t="n"/>
      <c r="H29" s="48" t="n"/>
      <c r="I29" s="49" t="n"/>
      <c r="J29" s="50" t="n"/>
    </row>
    <row r="30">
      <c r="A30" s="29" t="n"/>
      <c r="B30" s="29" t="n"/>
      <c r="C30" s="321" t="n"/>
      <c r="D30" s="47" t="n"/>
      <c r="E30" s="48" t="n"/>
      <c r="F30" s="48" t="n"/>
      <c r="G30" s="48" t="n"/>
      <c r="H30" s="48" t="n"/>
      <c r="I30" s="49" t="n"/>
      <c r="J30" s="50" t="n"/>
    </row>
    <row r="31">
      <c r="A31" s="29" t="n"/>
      <c r="B31" s="29" t="n"/>
      <c r="C31" s="321" t="n"/>
      <c r="D31" s="47" t="n"/>
      <c r="E31" s="48" t="n"/>
      <c r="F31" s="48" t="n"/>
      <c r="G31" s="48" t="n"/>
      <c r="H31" s="48" t="n"/>
      <c r="I31" s="49" t="n"/>
      <c r="J31" s="50" t="n"/>
    </row>
    <row r="32">
      <c r="A32" s="29" t="n"/>
      <c r="B32" s="29" t="n"/>
      <c r="C32" s="321" t="n"/>
      <c r="D32" s="47" t="n"/>
      <c r="E32" s="48" t="n"/>
      <c r="F32" s="48" t="n"/>
      <c r="G32" s="48" t="n"/>
      <c r="H32" s="48" t="n"/>
      <c r="I32" s="49" t="n"/>
      <c r="J32" s="50" t="n"/>
    </row>
    <row r="33">
      <c r="A33" s="29" t="n"/>
      <c r="B33" s="29" t="n"/>
      <c r="C33" s="321" t="n"/>
      <c r="D33" s="47" t="n"/>
      <c r="E33" s="48" t="n"/>
      <c r="F33" s="48" t="n"/>
      <c r="G33" s="48" t="n"/>
      <c r="H33" s="48" t="n"/>
      <c r="I33" s="49" t="n"/>
      <c r="J33" s="50" t="n"/>
    </row>
    <row r="49">
      <c r="A49" s="283" t="inlineStr">
        <is>
          <t>Rank by Revenue</t>
        </is>
      </c>
    </row>
    <row r="50" ht="17" customHeight="1" s="290">
      <c r="A50" s="38" t="inlineStr">
        <is>
          <t>Product Name</t>
        </is>
      </c>
      <c r="B50" s="39" t="inlineStr">
        <is>
          <t>ASIN</t>
        </is>
      </c>
      <c r="C50" s="39" t="inlineStr">
        <is>
          <t>Type</t>
        </is>
      </c>
      <c r="D50" s="322" t="inlineStr">
        <is>
          <t>Avg Price</t>
        </is>
      </c>
      <c r="E50" s="41" t="inlineStr">
        <is>
          <t>Estimated 12mo Revenue</t>
        </is>
      </c>
      <c r="F50" s="39" t="inlineStr">
        <is>
          <t>Monthly Rev</t>
        </is>
      </c>
      <c r="G50" s="42" t="inlineStr">
        <is>
          <t>Estimated 12mo Units</t>
        </is>
      </c>
      <c r="H50" s="45" t="inlineStr">
        <is>
          <t>Monthly Units</t>
        </is>
      </c>
      <c r="I50" s="42" t="inlineStr">
        <is>
          <t># of Reviews</t>
        </is>
      </c>
      <c r="J50" s="43" t="inlineStr">
        <is>
          <t xml:space="preserve">Tool Rating </t>
        </is>
      </c>
      <c r="K50" s="43" t="inlineStr">
        <is>
          <t>Column1</t>
        </is>
      </c>
      <c r="L50" s="323" t="inlineStr">
        <is>
          <t>Link</t>
        </is>
      </c>
    </row>
    <row r="51" ht="45" customHeight="1" s="290">
      <c r="A51" s="30" t="inlineStr">
        <is>
          <t>TOPDON Bidirectional Scan Tool, 2026 New ArtiDiag900 Lite Automotive Diagnostic Tool for Full System, Scanner for Car with Active Test, 8 Reset, Wireless OBD2 Scanner Diagnostic Tool for All Vehicles</t>
        </is>
      </c>
      <c r="B51" s="30" t="inlineStr">
        <is>
          <t>B0C33Y285Y</t>
        </is>
      </c>
      <c r="C51" s="30" t="inlineStr">
        <is>
          <t>Tablet</t>
        </is>
      </c>
      <c r="D51" s="324" t="n">
        <v>318.9840625</v>
      </c>
      <c r="E51" s="53" t="n">
        <v>5509789.810000001</v>
      </c>
      <c r="F51" s="54" t="n">
        <v>367469.64</v>
      </c>
      <c r="G51" s="55" t="n">
        <v>15164</v>
      </c>
      <c r="H51" s="55" t="n">
        <v>1152</v>
      </c>
      <c r="I51" s="55" t="n">
        <v>1230</v>
      </c>
      <c r="J51" s="56" t="n">
        <v>4.3</v>
      </c>
      <c r="K51" s="56" t="inlineStr">
        <is>
          <t>https://amazon.com/dp/B0C33Y285Y</t>
        </is>
      </c>
      <c r="L51" s="70">
        <f>HYPERLINK(Table4779[[#This Row],[Column1]])</f>
        <v/>
      </c>
    </row>
    <row r="52" ht="45" customHeight="1" s="290">
      <c r="A52" s="30" t="inlineStr">
        <is>
          <t>TOPDON ONE Bidirectional Scan Tool, 10.1" OBD2 Scanner with J2534 Pass-Thru and ECU Coding, Over 50 Resets, Topology Mapping Car Diagnostic Tool for All Vehicles</t>
        </is>
      </c>
      <c r="B52" s="30" t="inlineStr">
        <is>
          <t>B0GK9G6YDL</t>
        </is>
      </c>
      <c r="C52" s="30" t="inlineStr">
        <is>
          <t>Tablet</t>
        </is>
      </c>
      <c r="D52" s="324" t="n">
        <v>745.0893534482759</v>
      </c>
      <c r="E52" s="53" t="n">
        <v>3842831.225384615</v>
      </c>
      <c r="F52" s="54" t="n">
        <v>345721.46</v>
      </c>
      <c r="G52" s="55" t="n">
        <v>866</v>
      </c>
      <c r="H52" s="55" t="n">
        <v>464</v>
      </c>
      <c r="I52" s="55" t="n">
        <v>90</v>
      </c>
      <c r="J52" s="56" t="n">
        <v>4.7</v>
      </c>
      <c r="K52" s="56" t="inlineStr">
        <is>
          <t>https://amazon.com/dp/B0GK9G6YDL</t>
        </is>
      </c>
      <c r="L52" s="70">
        <f>HYPERLINK(Table4779[[#This Row],[Column1]])</f>
        <v/>
      </c>
    </row>
    <row r="53" ht="45" customHeight="1" s="290">
      <c r="A53" s="30" t="inlineStr">
        <is>
          <t>TOPDON Phoenix Plus 2, ECU Coding TOPDON Scanner V2.0, Bidirectional Scan Tool, Topology Map, CANFD, High-End OEM Full System, 42+ Service, FCA SGW AutoAuth, V.A.G Guided, 2 Years Free Update</t>
        </is>
      </c>
      <c r="B53" s="30" t="inlineStr">
        <is>
          <t>B091BQNR3S</t>
        </is>
      </c>
      <c r="C53" s="30" t="inlineStr">
        <is>
          <t>Tablet</t>
        </is>
      </c>
      <c r="D53" s="324" t="n">
        <v>1014.280512820513</v>
      </c>
      <c r="E53" s="53" t="n">
        <v>3083243.13</v>
      </c>
      <c r="F53" s="54" t="n">
        <v>276898.58</v>
      </c>
      <c r="G53" s="55" t="n">
        <v>2855</v>
      </c>
      <c r="H53" s="55" t="n">
        <v>273</v>
      </c>
      <c r="I53" s="55" t="n">
        <v>492</v>
      </c>
      <c r="J53" s="56" t="n">
        <v>4.4</v>
      </c>
      <c r="K53" s="56" t="inlineStr">
        <is>
          <t>https://amazon.com/dp/B091BQNR3S</t>
        </is>
      </c>
      <c r="L53" s="70">
        <f>HYPERLINK(Table4779[[#This Row],[Column1]])</f>
        <v/>
      </c>
    </row>
    <row r="54" ht="45" customHeight="1" s="290">
      <c r="A54" s="30" t="inlineStr">
        <is>
          <t>OBD2 Scanner TOPDON AD600S Scan Tool, Code Reader, Diagnostics Scanner for ABS/SRS/AT/Engine, 9 Reset Services, Oil/Brake/BMS/SAS/DPF/TPMS/ETS Reset/ABS Bleeding/Injector Coding, Free Lifetime Upgrade</t>
        </is>
      </c>
      <c r="B54" s="30" t="inlineStr">
        <is>
          <t>B09KZTYD18</t>
        </is>
      </c>
      <c r="C54" s="30" t="inlineStr">
        <is>
          <t>Tablet</t>
        </is>
      </c>
      <c r="D54" s="324" t="n">
        <v>194.0666122766123</v>
      </c>
      <c r="E54" s="53" t="n">
        <v>3482124.96</v>
      </c>
      <c r="F54" s="54" t="n">
        <v>249763.73</v>
      </c>
      <c r="G54" s="55" t="n">
        <v>17369</v>
      </c>
      <c r="H54" s="55" t="n">
        <v>1287</v>
      </c>
      <c r="I54" s="55" t="n">
        <v>1836</v>
      </c>
      <c r="J54" s="56" t="n">
        <v>4.5</v>
      </c>
      <c r="K54" s="56" t="inlineStr">
        <is>
          <t>https://amazon.com/dp/B09KZTYD18</t>
        </is>
      </c>
      <c r="L54" s="70">
        <f>HYPERLINK(Table4779[[#This Row],[Column1]])</f>
        <v/>
      </c>
    </row>
    <row r="55" ht="60" customHeight="1" s="290">
      <c r="A55" s="30" t="inlineStr">
        <is>
          <t>TOPDON AD800BT 2 OBD2 Scanner, 2026 Bidirectional Scan Tool, Function as AD900 Lite AD Pro, All System Automotive Diagnostic Scanner, Active Test, 28+ Reset Service, FCA Autoauth, 2 Years Free Update</t>
        </is>
      </c>
      <c r="B55" s="30" t="inlineStr">
        <is>
          <t>B08TR5PS5V</t>
        </is>
      </c>
      <c r="C55" s="30" t="inlineStr">
        <is>
          <t>Tablet</t>
        </is>
      </c>
      <c r="D55" s="324" t="n">
        <v>330.3861891117479</v>
      </c>
      <c r="E55" s="53" t="n">
        <v>2516415.06</v>
      </c>
      <c r="F55" s="54" t="n">
        <v>230609.56</v>
      </c>
      <c r="G55" s="55" t="n">
        <v>7109</v>
      </c>
      <c r="H55" s="55" t="n">
        <v>698</v>
      </c>
      <c r="I55" s="55" t="n">
        <v>828</v>
      </c>
      <c r="J55" s="56" t="n">
        <v>4.4</v>
      </c>
      <c r="K55" s="56" t="inlineStr">
        <is>
          <t>https://amazon.com/dp/B08TR5PS5V</t>
        </is>
      </c>
      <c r="L55" s="70">
        <f>HYPERLINK(Table4779[[#This Row],[Column1]])</f>
        <v/>
      </c>
    </row>
    <row r="56" ht="60" customHeight="1" s="290">
      <c r="A56" s="30" t="inlineStr">
        <is>
          <t>TOPDON ArtiDiag Pro OBD2 Scanner Diagnostic Tool, Bidirectional Scan Tool with ECU Coding, 35+ Services, V.A.G Guided, FCA SGW, Can FD DoIP/All System Diagnosis</t>
        </is>
      </c>
      <c r="B56" s="30" t="inlineStr">
        <is>
          <t>B0BNKHCXVC</t>
        </is>
      </c>
      <c r="C56" s="30" t="inlineStr">
        <is>
          <t>Tablet</t>
        </is>
      </c>
      <c r="D56" s="324" t="n">
        <v>429.9311553030303</v>
      </c>
      <c r="E56" s="53" t="n">
        <v>3043204.62</v>
      </c>
      <c r="F56" s="54" t="n">
        <v>227003.65</v>
      </c>
      <c r="G56" s="55" t="n">
        <v>6723</v>
      </c>
      <c r="H56" s="55" t="n">
        <v>528</v>
      </c>
      <c r="I56" s="55" t="n">
        <v>774</v>
      </c>
      <c r="J56" s="56" t="n">
        <v>4.3</v>
      </c>
      <c r="K56" s="56" t="inlineStr">
        <is>
          <t>https://amazon.com/dp/B0BNKHCXVC</t>
        </is>
      </c>
      <c r="L56" s="70">
        <f>HYPERLINK(Table4779[[#This Row],[Column1]])</f>
        <v/>
      </c>
    </row>
    <row r="57" ht="45" customHeight="1" s="290">
      <c r="A57" s="30" t="inlineStr">
        <is>
          <t>TOPDON Scanner AD800BT V2.0, Bidirectional Scan Tool, Full Systems Diagnostic Tool for All Vehicles, Automotive Diagnostic Scanner for Car, 28+ Services, FCA AutoAuth, CANFD, 2 Years Free Update</t>
        </is>
      </c>
      <c r="B57" s="30" t="inlineStr">
        <is>
          <t>B08TBRDH7W</t>
        </is>
      </c>
      <c r="C57" s="30" t="inlineStr">
        <is>
          <t>Tablet</t>
        </is>
      </c>
      <c r="D57" s="324" t="n">
        <v>321.1128621291449</v>
      </c>
      <c r="E57" s="53" t="n">
        <v>1626773.72</v>
      </c>
      <c r="F57" s="54" t="n">
        <v>183997.67</v>
      </c>
      <c r="G57" s="55" t="n">
        <v>4630</v>
      </c>
      <c r="H57" s="55" t="n">
        <v>573</v>
      </c>
      <c r="I57" s="55" t="n">
        <v>664</v>
      </c>
      <c r="J57" s="56" t="n">
        <v>4.4</v>
      </c>
      <c r="K57" s="56" t="inlineStr">
        <is>
          <t>https://amazon.com/dp/B08TBRDH7W</t>
        </is>
      </c>
      <c r="L57" s="70">
        <f>HYPERLINK(Table4779[[#This Row],[Column1]])</f>
        <v/>
      </c>
    </row>
    <row r="58" ht="60" customHeight="1" s="290">
      <c r="A58" s="30" t="inlineStr">
        <is>
          <t>TOPDON Upgraded AD600S OBD2 Scanner, Diagnostic Tool, ABS SRS Transmission Engine Code Reader, 9 Reset Services Scan Tool, Oil/Brake/BMS/SAS/DPF/TPMS/ETS Reset, Injector Coding, Lifetime Free Update</t>
        </is>
      </c>
      <c r="B58" s="30" t="inlineStr">
        <is>
          <t>B0CTHJW813</t>
        </is>
      </c>
      <c r="C58" s="30" t="inlineStr">
        <is>
          <t>Tablet</t>
        </is>
      </c>
      <c r="D58" s="324" t="n">
        <v>196.5306924101198</v>
      </c>
      <c r="E58" s="53" t="n">
        <v>2271197.149999999</v>
      </c>
      <c r="F58" s="54" t="n">
        <v>147594.55</v>
      </c>
      <c r="G58" s="55" t="n">
        <v>11104</v>
      </c>
      <c r="H58" s="55" t="n">
        <v>751</v>
      </c>
      <c r="I58" s="55" t="n">
        <v>876</v>
      </c>
      <c r="J58" s="56" t="n">
        <v>4.5</v>
      </c>
      <c r="K58" s="56" t="inlineStr">
        <is>
          <t>https://amazon.com/dp/B0CTHJW813</t>
        </is>
      </c>
      <c r="L58" s="70">
        <f>HYPERLINK(Table4779[[#This Row],[Column1]])</f>
        <v/>
      </c>
    </row>
    <row r="59" ht="45" customHeight="1" s="290">
      <c r="A59" s="30" t="inlineStr">
        <is>
          <t>TOPDON AD500 OBD2 Scanner, Oil SAS Throttle TPMS BMS EPB Reset, Engine ABS SRS Transmission, Diagnostic Scan Tool, AutoVIN, Car Check Engine Code Reader with Battery Test, Lifetime Wi-Fi Free Update</t>
        </is>
      </c>
      <c r="B59" s="30" t="inlineStr">
        <is>
          <t>B08XK3DJ42</t>
        </is>
      </c>
      <c r="C59" s="30" t="inlineStr">
        <is>
          <t>Tablet</t>
        </is>
      </c>
      <c r="D59" s="324" t="n">
        <v>158.4307592190889</v>
      </c>
      <c r="E59" s="53" t="n">
        <v>2504808.563076923</v>
      </c>
      <c r="F59" s="54" t="n">
        <v>146073.16</v>
      </c>
      <c r="G59" s="55" t="n">
        <v>15216</v>
      </c>
      <c r="H59" s="55" t="n">
        <v>922</v>
      </c>
      <c r="I59" s="55" t="n">
        <v>1727</v>
      </c>
      <c r="J59" s="56" t="n">
        <v>4.5</v>
      </c>
      <c r="K59" s="56" t="inlineStr">
        <is>
          <t>https://amazon.com/dp/B08XK3DJ42</t>
        </is>
      </c>
      <c r="L59" s="70">
        <f>HYPERLINK(Table4779[[#This Row],[Column1]])</f>
        <v/>
      </c>
    </row>
    <row r="60" ht="45" customHeight="1" s="290">
      <c r="A60" s="30" t="inlineStr">
        <is>
          <t>TOPDON ArtiDiag600 Pro, OBD2 Scanner Diagnostic Tool for All Systems, Code Reader Scan Tool with 9 Essential Maintenance Functions, Upgraded Version of AD600S/AD500, Lifetime Free Update</t>
        </is>
      </c>
      <c r="B60" s="30" t="inlineStr">
        <is>
          <t>B0DMW4QY3T</t>
        </is>
      </c>
      <c r="C60" s="30" t="inlineStr">
        <is>
          <t>Tablet</t>
        </is>
      </c>
      <c r="D60" s="324" t="n">
        <v>243.9343711340206</v>
      </c>
      <c r="E60" s="53" t="n">
        <v>883905.5399999998</v>
      </c>
      <c r="F60" s="54" t="n">
        <v>118308.17</v>
      </c>
      <c r="G60" s="55" t="n">
        <v>3585</v>
      </c>
      <c r="H60" s="55" t="n">
        <v>485</v>
      </c>
      <c r="I60" s="55" t="n">
        <v>172</v>
      </c>
      <c r="J60" s="56" t="n">
        <v>4.5</v>
      </c>
      <c r="K60" s="56" t="inlineStr">
        <is>
          <t>https://amazon.com/dp/B0DMW4QY3T</t>
        </is>
      </c>
      <c r="L60" s="70">
        <f>HYPERLINK(Table4779[[#This Row],[Column1]])</f>
        <v/>
      </c>
    </row>
    <row r="61" ht="45" customHeight="1" s="290">
      <c r="A61" s="30" t="inlineStr">
        <is>
          <t>TOPDON RLink J2534 Pass-Thru Programmer, OEM Reprogramming and Diagnostic Tool, Enhanced J2534 VCI, Supports J2534/D-PDU/CAN-FD/DoIP, Compatible with 18+ Vehicle Brands, No OE Software Provided</t>
        </is>
      </c>
      <c r="B61" s="30" t="inlineStr">
        <is>
          <t>B0DFM25BZB</t>
        </is>
      </c>
      <c r="C61" s="30" t="inlineStr">
        <is>
          <t>VCI</t>
        </is>
      </c>
      <c r="D61" s="324" t="n">
        <v>258.7172453703704</v>
      </c>
      <c r="E61" s="53" t="n">
        <v>1673673.19</v>
      </c>
      <c r="F61" s="54" t="n">
        <v>111765.85</v>
      </c>
      <c r="G61" s="55" t="n">
        <v>6090</v>
      </c>
      <c r="H61" s="55" t="n">
        <v>432</v>
      </c>
      <c r="I61" s="55" t="n">
        <v>270</v>
      </c>
      <c r="J61" s="56" t="n">
        <v>4.5</v>
      </c>
      <c r="K61" s="56" t="inlineStr">
        <is>
          <t>https://amazon.com/dp/B0DFM25BZB</t>
        </is>
      </c>
      <c r="L61" s="70">
        <f>HYPERLINK(Table4779[[#This Row],[Column1]])</f>
        <v/>
      </c>
    </row>
    <row r="62" ht="45" customHeight="1" s="290">
      <c r="A62" s="30" t="inlineStr">
        <is>
          <t>TOPDON TopScan Lite OBD2 Scanner Bluetooth, Bi-Directional Scanner Wireless All System Diagnostic Tool for iOS &amp; Android, 8+ Hot Reset, Repair Guides, Check Engine Car Code Reader, Performance Test</t>
        </is>
      </c>
      <c r="B62" s="30" t="inlineStr">
        <is>
          <t>B0C3QQYQ1B</t>
        </is>
      </c>
      <c r="C62" s="30" t="inlineStr">
        <is>
          <t>Dongle</t>
        </is>
      </c>
      <c r="D62" s="324" t="n">
        <v>51.95718309859155</v>
      </c>
      <c r="E62" s="53" t="n">
        <v>2108841.06</v>
      </c>
      <c r="F62" s="54" t="n">
        <v>70090.24000000001</v>
      </c>
      <c r="G62" s="55" t="n">
        <v>31770</v>
      </c>
      <c r="H62" s="55" t="n">
        <v>1349</v>
      </c>
      <c r="I62" s="55" t="n">
        <v>7230</v>
      </c>
      <c r="J62" s="56" t="n">
        <v>4</v>
      </c>
      <c r="K62" s="56" t="inlineStr">
        <is>
          <t>https://amazon.com/dp/B0C3QQYQ1B</t>
        </is>
      </c>
      <c r="L62" s="70">
        <f>HYPERLINK(Table4779[[#This Row],[Column1]])</f>
        <v/>
      </c>
    </row>
    <row r="63" ht="45" customHeight="1" s="290">
      <c r="A63" s="30" t="inlineStr">
        <is>
          <t>TOPDON RLink J2534 Reprogramming Tool, High-Speed J2534 Pass-Thru Programmer, OEM Reprogramming and Diagnostic Tool, Supports J2534/D-PDU/CAN-FD/DoIP, 17+ Vehicle Brands Supported</t>
        </is>
      </c>
      <c r="B63" s="30" t="inlineStr">
        <is>
          <t>B0FS11XMH1</t>
        </is>
      </c>
      <c r="C63" s="30" t="inlineStr">
        <is>
          <t>VCI</t>
        </is>
      </c>
      <c r="D63" s="324" t="n">
        <v>256.5457933579336</v>
      </c>
      <c r="E63" s="53" t="n">
        <v>700772.8915384616</v>
      </c>
      <c r="F63" s="54" t="n">
        <v>69523.91</v>
      </c>
      <c r="G63" s="55" t="n">
        <v>1260</v>
      </c>
      <c r="H63" s="55" t="n">
        <v>271</v>
      </c>
      <c r="I63" s="55" t="n">
        <v>32</v>
      </c>
      <c r="J63" s="56" t="n">
        <v>5</v>
      </c>
      <c r="K63" s="56" t="inlineStr">
        <is>
          <t>https://amazon.com/dp/B0FS11XMH1</t>
        </is>
      </c>
      <c r="L63" s="70">
        <f>HYPERLINK(Table4779[[#This Row],[Column1]])</f>
        <v/>
      </c>
    </row>
    <row r="64" ht="45" customHeight="1" s="290">
      <c r="A64" s="30" t="inlineStr">
        <is>
          <t>TOPDON Phoenix Smart OBD2 Scanner, Bidirectional Scan Tool for 200+ Brands, Car Diagnostic Tool with ECU Programming Coding, CAN-FD &amp; DoIP, Topology Mapping &amp; ADAS Compatibility, 2 Years Free Update</t>
        </is>
      </c>
      <c r="B64" s="30" t="inlineStr">
        <is>
          <t>B09YQ1NQXD</t>
        </is>
      </c>
      <c r="C64" s="30" t="inlineStr">
        <is>
          <t>Tablet</t>
        </is>
      </c>
      <c r="D64" s="324" t="n">
        <v>2004.318125</v>
      </c>
      <c r="E64" s="53" t="n">
        <v>578580.98</v>
      </c>
      <c r="F64" s="54" t="n">
        <v>64138.18</v>
      </c>
      <c r="G64" s="55" t="n">
        <v>264</v>
      </c>
      <c r="H64" s="55" t="n">
        <v>32</v>
      </c>
      <c r="I64" s="55" t="n">
        <v>15</v>
      </c>
      <c r="J64" s="56" t="n">
        <v>4.5</v>
      </c>
      <c r="K64" s="56" t="inlineStr">
        <is>
          <t>https://amazon.com/dp/B09YQ1NQXD</t>
        </is>
      </c>
      <c r="L64" s="70">
        <f>HYPERLINK(Table4779[[#This Row],[Column1]])</f>
        <v/>
      </c>
    </row>
    <row r="65" ht="45" customHeight="1" s="290">
      <c r="A65" s="30" t="inlineStr">
        <is>
          <t>TOPDON TopScan Pro OBD2 Scanner Bluetooth, Bi-Directional Scan Tool for iPhone &amp; Android with All System, 13+ Hot Reset Car Scanner, FCA AutoAuth, CAN-FD, AI Assistant, Upgraded TopScan Code Reader</t>
        </is>
      </c>
      <c r="B65" s="30" t="inlineStr">
        <is>
          <t>B0G2Y6Y36Q</t>
        </is>
      </c>
      <c r="C65" s="30" t="inlineStr">
        <is>
          <t>Dongle</t>
        </is>
      </c>
      <c r="D65" s="324" t="n">
        <v>112.2635940409683</v>
      </c>
      <c r="E65" s="53" t="n">
        <v>599303.77</v>
      </c>
      <c r="F65" s="54" t="n">
        <v>60285.55</v>
      </c>
      <c r="G65" s="55" t="n">
        <v>1320</v>
      </c>
      <c r="H65" s="55" t="n">
        <v>537</v>
      </c>
      <c r="I65" s="55" t="n">
        <v>97</v>
      </c>
      <c r="J65" s="56" t="n">
        <v>4.7</v>
      </c>
      <c r="K65" s="56" t="inlineStr">
        <is>
          <t>https://amazon.com/dp/B0G2Y6Y36Q</t>
        </is>
      </c>
      <c r="L65" s="70">
        <f>HYPERLINK(Table4779[[#This Row],[Column1]])</f>
        <v/>
      </c>
    </row>
    <row r="66" ht="30" customHeight="1" s="290">
      <c r="A66" s="30" t="inlineStr">
        <is>
          <t>OBD2 Scanner Diagnostic Tool, TOPDON AD900BT Bidirectional Scan Tool with ECU C0ding, 28+ Services, Automotive All Systems Diagnosis Scanner for Car with 2 Years Updates, Active Test</t>
        </is>
      </c>
      <c r="B66" s="30" t="inlineStr">
        <is>
          <t>B0C1YB3N42</t>
        </is>
      </c>
      <c r="C66" s="30" t="inlineStr">
        <is>
          <t>Tablet</t>
        </is>
      </c>
      <c r="D66" s="324" t="n">
        <v>494.2713445378151</v>
      </c>
      <c r="E66" s="53" t="n">
        <v>561059.76</v>
      </c>
      <c r="F66" s="54" t="n">
        <v>58818.29</v>
      </c>
      <c r="G66" s="55" t="n">
        <v>1050</v>
      </c>
      <c r="H66" s="55" t="n">
        <v>119</v>
      </c>
      <c r="I66" s="55" t="n">
        <v>219</v>
      </c>
      <c r="J66" s="56" t="n">
        <v>4.4</v>
      </c>
      <c r="K66" s="56" t="inlineStr">
        <is>
          <t>https://amazon.com/dp/B0C1YB3N42</t>
        </is>
      </c>
      <c r="L66" s="70">
        <f>HYPERLINK(Table4779[[#This Row],[Column1]])</f>
        <v/>
      </c>
    </row>
    <row r="67" ht="45" customHeight="1" s="290">
      <c r="A67" s="30" t="inlineStr">
        <is>
          <t>TOPDON AD500 OBD2 Scanner Car Code Reader Scan Tool, Engine ABS SRS Transmission Diagnostics Tool, Oil/Throttle/SAS/TPMS/BMS/EPB Reset Car Scanner, Free Upgrade for DIY</t>
        </is>
      </c>
      <c r="B67" s="30" t="inlineStr">
        <is>
          <t>B09LH3QFFQ</t>
        </is>
      </c>
      <c r="C67" s="30" t="inlineStr">
        <is>
          <t>Tablet</t>
        </is>
      </c>
      <c r="D67" s="324" t="n">
        <v>157.2394540229885</v>
      </c>
      <c r="E67" s="53" t="n">
        <v>855025.9099999999</v>
      </c>
      <c r="F67" s="54" t="n">
        <v>54719.33</v>
      </c>
      <c r="G67" s="55" t="n">
        <v>5311</v>
      </c>
      <c r="H67" s="55" t="n">
        <v>348</v>
      </c>
      <c r="I67" s="55" t="n">
        <v>1082</v>
      </c>
      <c r="J67" s="56" t="n">
        <v>4.5</v>
      </c>
      <c r="K67" s="56" t="inlineStr">
        <is>
          <t>https://amazon.com/dp/B09LH3QFFQ</t>
        </is>
      </c>
      <c r="L67" s="70">
        <f>HYPERLINK(Table4779[[#This Row],[Column1]])</f>
        <v/>
      </c>
    </row>
    <row r="68" ht="45" customHeight="1" s="290">
      <c r="A68" s="30" t="inlineStr">
        <is>
          <t>TOPDON Topscan Master OBD2 Scanner Bluetooth, 2026 Wireless Bidirectional Scan Tool, All System Diagnostic Tool for iOS &amp; Android, 30+ Resets, FCA AutoAuth, CAN-FD/DoIP, Upgraded Version of TopScan</t>
        </is>
      </c>
      <c r="B68" s="30" t="inlineStr">
        <is>
          <t>B0FX3VZXTK</t>
        </is>
      </c>
      <c r="C68" s="30" t="inlineStr">
        <is>
          <t>Tablet</t>
        </is>
      </c>
      <c r="D68" s="324" t="n">
        <v>174.7615857605178</v>
      </c>
      <c r="E68" s="53" t="n">
        <v>624628.2507692308</v>
      </c>
      <c r="F68" s="54" t="n">
        <v>54001.33</v>
      </c>
      <c r="G68" s="55" t="n">
        <v>1473</v>
      </c>
      <c r="H68" s="55" t="n">
        <v>309</v>
      </c>
      <c r="I68" s="55" t="n">
        <v>40</v>
      </c>
      <c r="J68" s="56" t="n">
        <v>4.5</v>
      </c>
      <c r="K68" s="56" t="inlineStr">
        <is>
          <t>https://amazon.com/dp/B0FX3VZXTK</t>
        </is>
      </c>
      <c r="L68" s="70">
        <f>HYPERLINK(Table4779[[#This Row],[Column1]])</f>
        <v/>
      </c>
    </row>
    <row r="69" ht="45" customHeight="1" s="290">
      <c r="A69" s="30" t="inlineStr">
        <is>
          <t>TOPDON RLink X3 OBD2 Adapter for GM/Ford/Chrysler, J2534 Pass-Thru Programmer, OBD USB FORScan Adapter, OEM Programming and Diagnostic Tool, Fit for 8+ OE Software, Supports J2534/CAN-FD, Auto Switch</t>
        </is>
      </c>
      <c r="B69" s="30" t="inlineStr">
        <is>
          <t>B0FRRYY8TC</t>
        </is>
      </c>
      <c r="C69" s="30" t="inlineStr">
        <is>
          <t>Cable/Adapter</t>
        </is>
      </c>
      <c r="D69" s="324" t="n">
        <v>125.0126341463415</v>
      </c>
      <c r="E69" s="53" t="n">
        <v>530296.4769230768</v>
      </c>
      <c r="F69" s="54" t="n">
        <v>51255.18</v>
      </c>
      <c r="G69" s="55" t="n">
        <v>1469</v>
      </c>
      <c r="H69" s="55" t="n">
        <v>410</v>
      </c>
      <c r="I69" s="55" t="n">
        <v>60</v>
      </c>
      <c r="J69" s="56" t="n">
        <v>4.3</v>
      </c>
      <c r="K69" s="56" t="inlineStr">
        <is>
          <t>https://amazon.com/dp/B0FRRYY8TC</t>
        </is>
      </c>
      <c r="L69" s="70">
        <f>HYPERLINK(Table4779[[#This Row],[Column1]])</f>
        <v/>
      </c>
    </row>
    <row r="70" ht="60" customHeight="1" s="290">
      <c r="A70" s="30" t="inlineStr">
        <is>
          <t>TOPDON Carpal OBD2 Scanner Bluetooth - Scanner for Car, AI-Assisted All System Diagnostic Tool for iOS &amp; Android, Vehicle Health Check, 6 Maintenance Services, Smog Check, Repair Guide</t>
        </is>
      </c>
      <c r="B70" s="30" t="inlineStr">
        <is>
          <t>B0D9VPW238</t>
        </is>
      </c>
      <c r="C70" s="30" t="inlineStr">
        <is>
          <t>Dongle</t>
        </is>
      </c>
      <c r="D70" s="324" t="n">
        <v>40.38472140762463</v>
      </c>
      <c r="E70" s="53" t="n">
        <v>416110.01</v>
      </c>
      <c r="F70" s="54" t="n">
        <v>41313.57</v>
      </c>
      <c r="G70" s="55" t="n">
        <v>8770</v>
      </c>
      <c r="H70" s="55" t="n">
        <v>1023</v>
      </c>
      <c r="I70" s="55" t="n">
        <v>3030</v>
      </c>
      <c r="J70" s="56" t="n">
        <v>4.3</v>
      </c>
      <c r="K70" s="56" t="inlineStr">
        <is>
          <t>https://amazon.com/dp/B0D9VPW238</t>
        </is>
      </c>
      <c r="L70" s="70">
        <f>HYPERLINK(Table4779[[#This Row],[Column1]])</f>
        <v/>
      </c>
    </row>
    <row r="71" ht="45" customHeight="1" s="290">
      <c r="A71" s="30" t="inlineStr">
        <is>
          <t>TOPDON VeriDiag X800 BT OBD2 Scanner, 2026 Upgraded Bidirectional Scan Tool with 34 Reset Services, Full System Wireless Automotive Diagnostic Tool, Active Test Scan Tool, 2 Years Free Update</t>
        </is>
      </c>
      <c r="B71" s="30" t="inlineStr">
        <is>
          <t>B0GMGV5LB7</t>
        </is>
      </c>
      <c r="C71" s="30" t="inlineStr">
        <is>
          <t>Tablet</t>
        </is>
      </c>
      <c r="D71" s="324" t="n">
        <v>375.2603092783505</v>
      </c>
      <c r="E71" s="53" t="n">
        <v>410802.5484615383</v>
      </c>
      <c r="F71" s="54" t="n">
        <v>36400.25</v>
      </c>
      <c r="G71" s="55" t="n">
        <v>109</v>
      </c>
      <c r="H71" s="55" t="n">
        <v>97</v>
      </c>
      <c r="I71" s="55" t="n"/>
      <c r="J71" s="56" t="n"/>
      <c r="K71" s="56" t="inlineStr">
        <is>
          <t>https://amazon.com/dp/B0GMGV5LB7</t>
        </is>
      </c>
      <c r="L71" s="70">
        <f>HYPERLINK(Table4779[[#This Row],[Column1]])</f>
        <v/>
      </c>
    </row>
    <row r="72" ht="45" customHeight="1" s="290">
      <c r="A72" s="30" t="inlineStr">
        <is>
          <t>TOPDON ArtiDiag HD Heavy Duty Truck Scanner, Diesel Diagnostic Tool, Full System Truck Scanner for Cummins Detroit MaxxForce, 10 Reset Service, DPF Regen, Speed Limit Adjust Reset, 2 Years Free Update</t>
        </is>
      </c>
      <c r="B72" s="30" t="inlineStr">
        <is>
          <t>B0FSZPGN9X</t>
        </is>
      </c>
      <c r="C72" s="30" t="inlineStr">
        <is>
          <t>Tablet</t>
        </is>
      </c>
      <c r="D72" s="324" t="n">
        <v>724.2180000000001</v>
      </c>
      <c r="E72" s="53" t="n">
        <v>339964.9630769231</v>
      </c>
      <c r="F72" s="54" t="n">
        <v>36210.9</v>
      </c>
      <c r="G72" s="55" t="n">
        <v>140</v>
      </c>
      <c r="H72" s="55" t="n">
        <v>50</v>
      </c>
      <c r="I72" s="55" t="n">
        <v>4</v>
      </c>
      <c r="J72" s="56" t="n">
        <v>5</v>
      </c>
      <c r="K72" s="56" t="inlineStr">
        <is>
          <t>https://amazon.com/dp/B0FSZPGN9X</t>
        </is>
      </c>
      <c r="L72" s="70">
        <f>HYPERLINK(Table4779[[#This Row],[Column1]])</f>
        <v/>
      </c>
    </row>
    <row r="73" ht="45" customHeight="1" s="290">
      <c r="A73" s="30" t="inlineStr">
        <is>
          <t>TOPDON Phoenix Lite 2 Bidirectional Scan Tool, OBD2 Scanner, Function as AD900BT AD900 Lite, ECU Coding, Wireless Automotive Diagnostic Scanner, 34+ Reset Services, FCA AutoAuth, 2 Years Free Update</t>
        </is>
      </c>
      <c r="B73" s="30" t="inlineStr">
        <is>
          <t>B0B1MB6YG8</t>
        </is>
      </c>
      <c r="C73" s="30" t="inlineStr">
        <is>
          <t>Tablet</t>
        </is>
      </c>
      <c r="D73" s="324" t="n">
        <v>705.531875</v>
      </c>
      <c r="E73" s="53" t="n">
        <v>811100.7</v>
      </c>
      <c r="F73" s="54" t="n">
        <v>33865.53</v>
      </c>
      <c r="G73" s="55" t="n">
        <v>1086</v>
      </c>
      <c r="H73" s="55" t="n">
        <v>48</v>
      </c>
      <c r="I73" s="55" t="n">
        <v>376</v>
      </c>
      <c r="J73" s="56" t="n">
        <v>4.3</v>
      </c>
      <c r="K73" s="56" t="inlineStr">
        <is>
          <t>https://amazon.com/dp/B0B1MB6YG8</t>
        </is>
      </c>
      <c r="L73" s="70">
        <f>HYPERLINK(Table4779[[#This Row],[Column1]])</f>
        <v/>
      </c>
    </row>
    <row r="74" ht="45" customHeight="1" s="290">
      <c r="A74" s="30" t="inlineStr">
        <is>
          <t>TOPDON Phoenix Plus 2 Bidirectional Scan Tool with Battery Tester, 2 Years Free Update, OE-Level Full Diagnosis, Topology Scanner, 40+ Reset Services, AutoAuth for FCA SGW</t>
        </is>
      </c>
      <c r="B74" s="30" t="inlineStr">
        <is>
          <t>B0B3JB2P5H</t>
        </is>
      </c>
      <c r="C74" s="30" t="inlineStr">
        <is>
          <t>Tablet</t>
        </is>
      </c>
      <c r="D74" s="324" t="n">
        <v>999.2054838709676</v>
      </c>
      <c r="E74" s="53" t="n">
        <v>563499.4999999999</v>
      </c>
      <c r="F74" s="54" t="n">
        <v>30975.37</v>
      </c>
      <c r="G74" s="55" t="n">
        <v>502</v>
      </c>
      <c r="H74" s="55" t="n">
        <v>31</v>
      </c>
      <c r="I74" s="55" t="n">
        <v>94</v>
      </c>
      <c r="J74" s="56" t="n">
        <v>4.3</v>
      </c>
      <c r="K74" s="56" t="inlineStr">
        <is>
          <t>https://amazon.com/dp/B0B3JB2P5H</t>
        </is>
      </c>
      <c r="L74" s="70">
        <f>HYPERLINK(Table4779[[#This Row],[Column1]])</f>
        <v/>
      </c>
    </row>
    <row r="75" ht="45" customHeight="1" s="290">
      <c r="A75" s="30" t="inlineStr">
        <is>
          <t>TOPDON Phoenix Nano, 2026 New Bidirectional Scan Tool, FCA AutoAuth, CAN FD/DoIP Protocols, 32+ Special Functions, Full System Diagnostic, Free Updates for 2 Years</t>
        </is>
      </c>
      <c r="B75" s="30" t="inlineStr">
        <is>
          <t>B0D812Q21B</t>
        </is>
      </c>
      <c r="C75" s="30" t="inlineStr">
        <is>
          <t>Tablet</t>
        </is>
      </c>
      <c r="D75" s="324" t="n">
        <v>561.5688888888889</v>
      </c>
      <c r="E75" s="53" t="n">
        <v>467221.3800000001</v>
      </c>
      <c r="F75" s="54" t="n">
        <v>30324.72</v>
      </c>
      <c r="G75" s="55" t="n">
        <v>738</v>
      </c>
      <c r="H75" s="55" t="n">
        <v>54</v>
      </c>
      <c r="I75" s="55" t="n">
        <v>62</v>
      </c>
      <c r="J75" s="56" t="n">
        <v>4.4</v>
      </c>
      <c r="K75" s="56" t="inlineStr">
        <is>
          <t>https://amazon.com/dp/B0D812Q21B</t>
        </is>
      </c>
      <c r="L75" s="70">
        <f>HYPERLINK(Table4779[[#This Row],[Column1]])</f>
        <v/>
      </c>
    </row>
    <row r="76" ht="45" customHeight="1" s="290">
      <c r="A76" s="30" t="inlineStr">
        <is>
          <t>TOPDON Phoenix Lite 3 OBD2 Scanner, Upgraded Scanner of Lite 2, Bidirectional Scan Tool with CAN-FD, Car Scanner Diagnostic Tool, 35+ Maintenance Resets, Topology Mapping, ECU Coding, FCA Autoauth</t>
        </is>
      </c>
      <c r="B76" s="30" t="inlineStr">
        <is>
          <t>B0DFLWDPK2</t>
        </is>
      </c>
      <c r="C76" s="30" t="inlineStr">
        <is>
          <t>Tablet</t>
        </is>
      </c>
      <c r="D76" s="324" t="n">
        <v>797.8936842105263</v>
      </c>
      <c r="E76" s="53" t="n">
        <v>354653.69</v>
      </c>
      <c r="F76" s="54" t="n">
        <v>30319.96</v>
      </c>
      <c r="G76" s="55" t="n">
        <v>409</v>
      </c>
      <c r="H76" s="55" t="n">
        <v>38</v>
      </c>
      <c r="I76" s="55" t="n">
        <v>18</v>
      </c>
      <c r="J76" s="56" t="n">
        <v>4.7</v>
      </c>
      <c r="K76" s="56" t="inlineStr">
        <is>
          <t>https://amazon.com/dp/B0DFLWDPK2</t>
        </is>
      </c>
      <c r="L76" s="70">
        <f>HYPERLINK(Table4779[[#This Row],[Column1]])</f>
        <v/>
      </c>
    </row>
    <row r="77" ht="45" customHeight="1" s="290">
      <c r="A77" s="30" t="inlineStr">
        <is>
          <t>TOPDON Phoenix XLink Scanner, ECU Programming &amp; Coding Scan Tool, Topology Mapping, CAN-FD &amp; DoIP, Full System Bidirectional Scanner, 41+ Maintenance Services, V.A.G Guided, 2 Year Free Update</t>
        </is>
      </c>
      <c r="B77" s="30" t="inlineStr">
        <is>
          <t>B0D6YZT8Y5</t>
        </is>
      </c>
      <c r="C77" s="30" t="inlineStr">
        <is>
          <t>Tablet</t>
        </is>
      </c>
      <c r="D77" s="324" t="n">
        <v>1854.905384615385</v>
      </c>
      <c r="E77" s="53" t="n">
        <v>242454.49</v>
      </c>
      <c r="F77" s="54" t="n">
        <v>24113.77</v>
      </c>
      <c r="G77" s="55" t="n">
        <v>136</v>
      </c>
      <c r="H77" s="55" t="n">
        <v>13</v>
      </c>
      <c r="I77" s="55" t="n">
        <v>21</v>
      </c>
      <c r="J77" s="56" t="n">
        <v>3.8</v>
      </c>
      <c r="K77" s="56" t="inlineStr">
        <is>
          <t>https://amazon.com/dp/B0D6YZT8Y5</t>
        </is>
      </c>
      <c r="L77" s="70">
        <f>HYPERLINK(Table4779[[#This Row],[Column1]])</f>
        <v/>
      </c>
    </row>
    <row r="78" ht="45" customHeight="1" s="290">
      <c r="A78" s="30" t="inlineStr">
        <is>
          <t>TOPDON USA - Phoenix MAX W/Scope KIT</t>
        </is>
      </c>
      <c r="B78" s="30" t="inlineStr">
        <is>
          <t>B0FC2Y5BK9</t>
        </is>
      </c>
      <c r="C78" s="30" t="inlineStr">
        <is>
          <t>Tablet</t>
        </is>
      </c>
      <c r="D78" s="324" t="n">
        <v>3577.356</v>
      </c>
      <c r="E78" s="53" t="n">
        <v>386005.5715384615</v>
      </c>
      <c r="F78" s="54" t="n">
        <v>17886.78</v>
      </c>
      <c r="G78" s="55" t="n">
        <v>93</v>
      </c>
      <c r="H78" s="55" t="n">
        <v>5</v>
      </c>
      <c r="I78" s="55" t="n"/>
      <c r="J78" s="56" t="n"/>
      <c r="K78" s="56" t="inlineStr">
        <is>
          <t>https://amazon.com/dp/B0FC2Y5BK9</t>
        </is>
      </c>
      <c r="L78" s="70">
        <f>HYPERLINK(Table4779[[#This Row],[Column1]])</f>
        <v/>
      </c>
    </row>
    <row r="79" ht="45" customHeight="1" s="290">
      <c r="A79" s="30" t="inlineStr">
        <is>
          <t>TOPDON Phoenix XLink Scan Tool, ECU Programming, Online ECU Coding, Upgraded of Phoenix Plus, Topology Mapping, 41 Services, Bi-Directional Scanner, Guided Function, CAN FD/DoIP, 2 Years Free Update</t>
        </is>
      </c>
      <c r="B79" s="30" t="inlineStr">
        <is>
          <t>B0D2ZM4HL3</t>
        </is>
      </c>
      <c r="C79" s="30" t="inlineStr">
        <is>
          <t>Tablet</t>
        </is>
      </c>
      <c r="D79" s="324" t="n">
        <v>1719.97</v>
      </c>
      <c r="E79" s="53" t="n">
        <v>476515.6200000001</v>
      </c>
      <c r="F79" s="54" t="n">
        <v>15479.73</v>
      </c>
      <c r="G79" s="55" t="n">
        <v>272</v>
      </c>
      <c r="H79" s="55" t="n">
        <v>9</v>
      </c>
      <c r="I79" s="55" t="n">
        <v>427</v>
      </c>
      <c r="J79" s="56" t="n">
        <v>4.2</v>
      </c>
      <c r="K79" s="56" t="inlineStr">
        <is>
          <t>https://amazon.com/dp/B0D2ZM4HL3</t>
        </is>
      </c>
      <c r="L79" s="70">
        <f>HYPERLINK(Table4779[[#This Row],[Column1]])</f>
        <v/>
      </c>
    </row>
    <row r="80" ht="45" customHeight="1" s="290">
      <c r="A80" s="30" t="inlineStr">
        <is>
          <t>ArtiDiag600 Pro OBD2 Scanner Diagnostic Tool - TOPDON Automotive Scan Tool with Full Systems, Car Code Reader with 9 Reset Services for DIY &amp; Professional, Lifetime Free Update</t>
        </is>
      </c>
      <c r="B80" s="30" t="inlineStr">
        <is>
          <t>B0GDDWBY77</t>
        </is>
      </c>
      <c r="C80" s="30" t="inlineStr">
        <is>
          <t>Tablet</t>
        </is>
      </c>
      <c r="D80" s="324" t="n">
        <v>268.4875</v>
      </c>
      <c r="E80" s="53" t="n">
        <v>96118.5523076923</v>
      </c>
      <c r="F80" s="54" t="n">
        <v>7517.65</v>
      </c>
      <c r="G80" s="55" t="n">
        <v>97</v>
      </c>
      <c r="H80" s="55" t="n">
        <v>28</v>
      </c>
      <c r="I80" s="55" t="n">
        <v>9</v>
      </c>
      <c r="J80" s="56" t="n">
        <v>4.8</v>
      </c>
      <c r="K80" s="56" t="inlineStr">
        <is>
          <t>https://amazon.com/dp/B0GDDWBY77</t>
        </is>
      </c>
      <c r="L80" s="70">
        <f>HYPERLINK(Table4779[[#This Row],[Column1]])</f>
        <v/>
      </c>
    </row>
    <row r="81" ht="45" customHeight="1" s="290">
      <c r="A81" s="30" t="inlineStr">
        <is>
          <t>Motorcycle Scanner Bluetooth TOPDON TopScan, Motorcycle Scan Tool Fits for Harley, Ducati, BMW &amp; Japan Brands, All Systems Motorbike Scanner Tool with Reset Functioan, Data Stream, AutoVIN</t>
        </is>
      </c>
      <c r="B81" s="30" t="inlineStr">
        <is>
          <t>B0CVVXX3HH</t>
        </is>
      </c>
      <c r="C81" s="30" t="inlineStr">
        <is>
          <t>Dongle</t>
        </is>
      </c>
      <c r="D81" s="324" t="n">
        <v>153.5236170212766</v>
      </c>
      <c r="E81" s="53" t="n">
        <v>83047.31</v>
      </c>
      <c r="F81" s="54" t="n">
        <v>7215.61</v>
      </c>
      <c r="G81" s="55" t="n">
        <v>466</v>
      </c>
      <c r="H81" s="55" t="n">
        <v>47</v>
      </c>
      <c r="I81" s="55" t="n">
        <v>68</v>
      </c>
      <c r="J81" s="56" t="n">
        <v>4.1</v>
      </c>
      <c r="K81" s="56" t="inlineStr">
        <is>
          <t>https://amazon.com/dp/B0CVVXX3HH</t>
        </is>
      </c>
      <c r="L81" s="70">
        <f>HYPERLINK(Table4779[[#This Row],[Column1]])</f>
        <v/>
      </c>
    </row>
    <row r="82" ht="45" customHeight="1" s="290">
      <c r="A82" s="30" t="inlineStr">
        <is>
          <t>TOPDON Phoenix XLink 2025 New Gen Scan Tool, ECU Program ming/Online Coding, Topology Mapping/New CAN Bus/DoIP, Bidirectional Scanner, 41+ Service, V.A.G Guided, Diagnostic Tool for All Vehicles</t>
        </is>
      </c>
      <c r="B82" s="30" t="inlineStr">
        <is>
          <t>B0DT8JCQ5G</t>
        </is>
      </c>
      <c r="C82" s="30" t="inlineStr">
        <is>
          <t>Tablet</t>
        </is>
      </c>
      <c r="D82" s="324" t="n">
        <v>1427.788</v>
      </c>
      <c r="E82" s="53" t="n">
        <v>158064.24</v>
      </c>
      <c r="F82" s="54" t="n">
        <v>7138.94</v>
      </c>
      <c r="G82" s="55" t="n">
        <v>93</v>
      </c>
      <c r="H82" s="55" t="n">
        <v>5</v>
      </c>
      <c r="I82" s="55" t="n">
        <v>39</v>
      </c>
      <c r="J82" s="56" t="n">
        <v>4.4</v>
      </c>
      <c r="K82" s="56" t="inlineStr">
        <is>
          <t>https://amazon.com/dp/B0DT8JCQ5G</t>
        </is>
      </c>
      <c r="L82" s="70">
        <f>HYPERLINK(Table4779[[#This Row],[Column1]])</f>
        <v/>
      </c>
    </row>
    <row r="83" ht="45" customHeight="1" s="290">
      <c r="A83" s="30" t="inlineStr">
        <is>
          <t>TOPDON Carpal-US OBD2 Code Reader Bluetooth, All System OBD2 Scanner for iOS &amp; Android, Vehicle Health Check, 6 Maintenance Services, Smog Check, Repair Guide, 1 Year Free Update</t>
        </is>
      </c>
      <c r="B83" s="30" t="inlineStr">
        <is>
          <t>B0DBQQC2LS</t>
        </is>
      </c>
      <c r="C83" s="30" t="inlineStr">
        <is>
          <t>Dongle</t>
        </is>
      </c>
      <c r="D83" s="324" t="n">
        <v>41.24398843930636</v>
      </c>
      <c r="E83" s="53" t="n">
        <v>90678.16</v>
      </c>
      <c r="F83" s="54" t="n">
        <v>7135.21</v>
      </c>
      <c r="G83" s="55" t="n">
        <v>2141</v>
      </c>
      <c r="H83" s="55" t="n">
        <v>173</v>
      </c>
      <c r="I83" s="55" t="n">
        <v>1628</v>
      </c>
      <c r="J83" s="56" t="n">
        <v>4.4</v>
      </c>
      <c r="K83" s="56" t="inlineStr">
        <is>
          <t>https://amazon.com/dp/B0DBQQC2LS</t>
        </is>
      </c>
      <c r="L83" s="70">
        <f>HYPERLINK(Table4779[[#This Row],[Column1]])</f>
        <v/>
      </c>
    </row>
    <row r="84" ht="30" customHeight="1" s="290">
      <c r="A84" s="30" t="inlineStr">
        <is>
          <t>TOPDON 3-in-1 USB OBD2 Adapter for FORScan, High-Speed Enhanced J2534 VCI for GM/Ford/Chrysler, J2534 Pass-Thru OEM Functions and Diagnostic Tool, for J2534/CAN FD, RLink X3, No OE Software Provided</t>
        </is>
      </c>
      <c r="B84" s="30" t="inlineStr">
        <is>
          <t>B0G34SC1RP</t>
        </is>
      </c>
      <c r="C84" s="30" t="inlineStr">
        <is>
          <t>VCI</t>
        </is>
      </c>
      <c r="D84" s="324" t="n">
        <v>111.8627118644068</v>
      </c>
      <c r="E84" s="53" t="n">
        <v>96195.73846153844</v>
      </c>
      <c r="F84" s="54" t="n">
        <v>6599.9</v>
      </c>
      <c r="G84" s="55" t="n">
        <v>319</v>
      </c>
      <c r="H84" s="55" t="n">
        <v>59</v>
      </c>
      <c r="I84" s="55" t="n">
        <v>24</v>
      </c>
      <c r="J84" s="56" t="n">
        <v>4.9</v>
      </c>
      <c r="K84" s="56" t="inlineStr">
        <is>
          <t>https://amazon.com/dp/B0G34SC1RP</t>
        </is>
      </c>
      <c r="L84" s="70">
        <f>HYPERLINK(Table4779[[#This Row],[Column1]])</f>
        <v/>
      </c>
    </row>
    <row r="85" ht="45" customHeight="1" s="290">
      <c r="A85" s="30" t="inlineStr">
        <is>
          <t>TOPDON ArtiDiag600 Elite, OBD2 Scanner, Full-System Car Diagnostic Tool, 13+ Services, FCA AutoAuth, Automotive Scan Tool with CAN-FD, 2-Years Free Updates, Upgraded of AD500 AD600S</t>
        </is>
      </c>
      <c r="B85" s="30" t="inlineStr">
        <is>
          <t>B0DT6CDWKK</t>
        </is>
      </c>
      <c r="C85" s="30" t="inlineStr">
        <is>
          <t>Tablet</t>
        </is>
      </c>
      <c r="D85" s="324" t="n">
        <v>315.952</v>
      </c>
      <c r="E85" s="53" t="n">
        <v>213500.31</v>
      </c>
      <c r="F85" s="54" t="n">
        <v>6319.04</v>
      </c>
      <c r="G85" s="55" t="n">
        <v>696</v>
      </c>
      <c r="H85" s="55" t="n">
        <v>20</v>
      </c>
      <c r="I85" s="55" t="n">
        <v>75</v>
      </c>
      <c r="J85" s="56" t="n">
        <v>4.5</v>
      </c>
      <c r="K85" s="56" t="inlineStr">
        <is>
          <t>https://amazon.com/dp/B0DT6CDWKK</t>
        </is>
      </c>
      <c r="L85" s="70">
        <f>HYPERLINK(Table4779[[#This Row],[Column1]])</f>
        <v/>
      </c>
    </row>
    <row r="86" ht="45" customHeight="1" s="290">
      <c r="A86" s="30" t="inlineStr">
        <is>
          <t>TOPDON AL500B OBD2 Scanner Battery Tester 2 in 1 Code Reader, Full OBDII Diagnosis, 12V Battery Tests &amp; 12V/24V Cranking Tests, Charging Tests, Scan Tool, Car Diagnostic Tool for All OBDII Cars</t>
        </is>
      </c>
      <c r="B86" s="30" t="inlineStr">
        <is>
          <t>B0BNT2KGQ6</t>
        </is>
      </c>
      <c r="C86" s="30" t="inlineStr">
        <is>
          <t>Handheld</t>
        </is>
      </c>
      <c r="D86" s="324" t="n">
        <v>70.08025316455696</v>
      </c>
      <c r="E86" s="53" t="n">
        <v>73982.41769230769</v>
      </c>
      <c r="F86" s="54" t="n">
        <v>5536.34</v>
      </c>
      <c r="G86" s="55" t="n">
        <v>861</v>
      </c>
      <c r="H86" s="55" t="n">
        <v>79</v>
      </c>
      <c r="I86" s="55" t="n">
        <v>282</v>
      </c>
      <c r="J86" s="56" t="n">
        <v>4.4</v>
      </c>
      <c r="K86" s="56" t="inlineStr">
        <is>
          <t>https://amazon.com/dp/B0BNT2KGQ6</t>
        </is>
      </c>
      <c r="L86" s="70">
        <f>HYPERLINK(Table4779[[#This Row],[Column1]])</f>
        <v/>
      </c>
    </row>
    <row r="87" ht="60" customHeight="1" s="290">
      <c r="A87" s="30" t="inlineStr">
        <is>
          <t>TOPDON Phoenix Plus Scanner, OE-Level ECU Coding Scan Tool with Bidirectional Control, Topology Map, All System, 41+ Services, FCA SGW AutoAuth, V.A.G Guided, 2-Years Free Update, Module Configuration</t>
        </is>
      </c>
      <c r="B87" s="30" t="inlineStr">
        <is>
          <t>B0G4LXJB4V</t>
        </is>
      </c>
      <c r="C87" s="30" t="inlineStr">
        <is>
          <t>Tablet</t>
        </is>
      </c>
      <c r="D87" s="324" t="n">
        <v>1086.414</v>
      </c>
      <c r="E87" s="53" t="n">
        <v>106118.2176923077</v>
      </c>
      <c r="F87" s="54" t="n">
        <v>5432.07</v>
      </c>
      <c r="G87" s="55" t="n">
        <v>69</v>
      </c>
      <c r="H87" s="55" t="n">
        <v>5</v>
      </c>
      <c r="I87" s="55" t="n">
        <v>2</v>
      </c>
      <c r="J87" s="56" t="n">
        <v>5</v>
      </c>
      <c r="K87" s="56" t="inlineStr">
        <is>
          <t>https://amazon.com/dp/B0G4LXJB4V</t>
        </is>
      </c>
      <c r="L87" s="70">
        <f>HYPERLINK(Table4779[[#This Row],[Column1]])</f>
        <v/>
      </c>
    </row>
    <row r="88" ht="45" customHeight="1" s="290">
      <c r="A88" s="30" t="inlineStr">
        <is>
          <t>TOPDON J2534 VCI Tool, High-Speed EnhancedJ2534 VCI, J2534 Pass-Thru OEM Functions and Diagnostic Tool, Supports J2534/D-PDU/CAN-FD/DoIP, 8 Vehicle Brands Supported, RLink X7</t>
        </is>
      </c>
      <c r="B88" s="30" t="inlineStr">
        <is>
          <t>B0FS12V1XC</t>
        </is>
      </c>
      <c r="C88" s="30" t="inlineStr">
        <is>
          <t>VCI</t>
        </is>
      </c>
      <c r="D88" s="324" t="n">
        <v>176.4893333333333</v>
      </c>
      <c r="E88" s="53" t="n">
        <v>129345.0315384616</v>
      </c>
      <c r="F88" s="54" t="n">
        <v>5294.68</v>
      </c>
      <c r="G88" s="55" t="n">
        <v>548</v>
      </c>
      <c r="H88" s="55" t="n">
        <v>30</v>
      </c>
      <c r="I88" s="55" t="n">
        <v>31</v>
      </c>
      <c r="J88" s="56" t="n">
        <v>4.5</v>
      </c>
      <c r="K88" s="56" t="inlineStr">
        <is>
          <t>https://amazon.com/dp/B0FS12V1XC</t>
        </is>
      </c>
      <c r="L88" s="70">
        <f>HYPERLINK(Table4779[[#This Row],[Column1]])</f>
        <v/>
      </c>
    </row>
    <row r="89" ht="45" customHeight="1" s="290">
      <c r="A89" s="30" t="inlineStr">
        <is>
          <t>Motorcycle Scan Tool TOPDON TopScan Moto, All System Bidirectional Motorcycle Scanner for Harley, Duca ti, BMW &amp; Japan Brands, Reset Services Motorcycle Diagnostic Scanner, AutoVIN Diagnostic Tool</t>
        </is>
      </c>
      <c r="B89" s="30" t="inlineStr">
        <is>
          <t>B0DK98KF37</t>
        </is>
      </c>
      <c r="C89" s="30" t="inlineStr">
        <is>
          <t>Dongle</t>
        </is>
      </c>
      <c r="D89" s="324" t="n">
        <v>157.7347826086957</v>
      </c>
      <c r="E89" s="53" t="n">
        <v>56009.00000000001</v>
      </c>
      <c r="F89" s="54" t="n">
        <v>3627.9</v>
      </c>
      <c r="G89" s="55" t="n">
        <v>358</v>
      </c>
      <c r="H89" s="55" t="n">
        <v>23</v>
      </c>
      <c r="I89" s="55" t="n">
        <v>21</v>
      </c>
      <c r="J89" s="56" t="n">
        <v>4</v>
      </c>
      <c r="K89" s="56" t="inlineStr">
        <is>
          <t>https://amazon.com/dp/B0DK98KF37</t>
        </is>
      </c>
      <c r="L89" s="70">
        <f>HYPERLINK(Table4779[[#This Row],[Column1]])</f>
        <v/>
      </c>
    </row>
    <row r="90" ht="45" customHeight="1" s="290">
      <c r="A90" s="30" t="inlineStr">
        <is>
          <t>TOPDON AL400 OBD2 Scanner, Full OBDII Code Reader, Check Engine Light Scan Tool, Car Scanner with DTC Lookup, Clear Codes, Freeze Frame, One-Click I/M, Diagnostic Scanner for DIYers, Lifetime Update</t>
        </is>
      </c>
      <c r="B90" s="30" t="inlineStr">
        <is>
          <t>B09NW325DV</t>
        </is>
      </c>
      <c r="C90" s="30" t="inlineStr">
        <is>
          <t>Handheld</t>
        </is>
      </c>
      <c r="D90" s="324" t="n">
        <v>28.25913043478261</v>
      </c>
      <c r="E90" s="53" t="n">
        <v>56555.53000000001</v>
      </c>
      <c r="F90" s="54" t="n">
        <v>3249.8</v>
      </c>
      <c r="G90" s="55" t="n">
        <v>1727</v>
      </c>
      <c r="H90" s="55" t="n">
        <v>115</v>
      </c>
      <c r="I90" s="55" t="n">
        <v>783</v>
      </c>
      <c r="J90" s="56" t="n">
        <v>4.5</v>
      </c>
      <c r="K90" s="56" t="inlineStr">
        <is>
          <t>https://amazon.com/dp/B09NW325DV</t>
        </is>
      </c>
      <c r="L90" s="70">
        <f>HYPERLINK(Table4779[[#This Row],[Column1]])</f>
        <v/>
      </c>
    </row>
    <row r="91" ht="45" customHeight="1" s="290">
      <c r="A91" s="30" t="inlineStr">
        <is>
          <t>TOPDON 1</t>
        </is>
      </c>
      <c r="B91" s="30" t="inlineStr">
        <is>
          <t>B0D5J15WGL</t>
        </is>
      </c>
      <c r="C91" s="30" t="inlineStr">
        <is>
          <t>Dongle</t>
        </is>
      </c>
      <c r="D91" s="324" t="n">
        <v>75.435</v>
      </c>
      <c r="E91" s="53" t="n">
        <v>3610.54</v>
      </c>
      <c r="F91" s="54" t="n">
        <v>150.87</v>
      </c>
      <c r="G91" s="55" t="n">
        <v>41</v>
      </c>
      <c r="H91" s="55" t="n">
        <v>2</v>
      </c>
      <c r="I91" s="55" t="n">
        <v>35</v>
      </c>
      <c r="J91" s="56" t="n">
        <v>4.3</v>
      </c>
      <c r="K91" s="56" t="inlineStr">
        <is>
          <t>https://amazon.com/dp/B0D5J15WGL</t>
        </is>
      </c>
      <c r="L91" s="70">
        <f>HYPERLINK(Table4779[[#This Row],[Column1]])</f>
        <v/>
      </c>
    </row>
    <row r="92" ht="30" customHeight="1" s="290">
      <c r="A92" s="30" t="inlineStr">
        <is>
          <t>TOPDON USA - ARTIDIAG EU 4-INCH SCAN Tool for Euro Vehicles EC</t>
        </is>
      </c>
      <c r="B92" s="30" t="inlineStr">
        <is>
          <t>B0FJF8QWTR</t>
        </is>
      </c>
      <c r="C92" s="30" t="inlineStr">
        <is>
          <t>Handheld</t>
        </is>
      </c>
      <c r="D92" s="324" t="n">
        <v>119.27</v>
      </c>
      <c r="E92" s="53" t="n">
        <v>2233.733846153846</v>
      </c>
      <c r="F92" s="54" t="n">
        <v>119.27</v>
      </c>
      <c r="G92" s="55" t="n">
        <v>6</v>
      </c>
      <c r="H92" s="55" t="n">
        <v>1</v>
      </c>
      <c r="I92" s="55" t="n">
        <v>1</v>
      </c>
      <c r="J92" s="56" t="n">
        <v>1</v>
      </c>
      <c r="K92" s="56" t="inlineStr">
        <is>
          <t>https://amazon.com/dp/B0FJF8QWTR</t>
        </is>
      </c>
      <c r="L92" s="70">
        <f>HYPERLINK(Table4779[[#This Row],[Column1]])</f>
        <v/>
      </c>
    </row>
    <row r="93" ht="30" customHeight="1" s="290">
      <c r="A93" s="30" t="inlineStr">
        <is>
          <t>Topdon ArtiLink500 - Code Reader - 10 OBDII Modes &amp; Data Graphing</t>
        </is>
      </c>
      <c r="B93" s="30" t="inlineStr">
        <is>
          <t>B08MZWBN33</t>
        </is>
      </c>
      <c r="C93" s="30" t="inlineStr">
        <is>
          <t>Handheld</t>
        </is>
      </c>
      <c r="D93" s="324" t="n">
        <v>63.92</v>
      </c>
      <c r="E93" s="53" t="n">
        <v>63.92</v>
      </c>
      <c r="F93" s="54" t="n">
        <v>63.92</v>
      </c>
      <c r="G93" s="55" t="n">
        <v>1</v>
      </c>
      <c r="H93" s="55" t="n">
        <v>1</v>
      </c>
      <c r="I93" s="55" t="n">
        <v>774</v>
      </c>
      <c r="J93" s="56" t="n">
        <v>4</v>
      </c>
      <c r="K93" s="56" t="inlineStr">
        <is>
          <t>https://amazon.com/dp/B08MZWBN33</t>
        </is>
      </c>
      <c r="L93" s="70">
        <f>HYPERLINK(Table4779[[#This Row],[Column1]])</f>
        <v/>
      </c>
    </row>
    <row r="94" ht="30" customHeight="1" s="290">
      <c r="A94" s="30" t="inlineStr">
        <is>
          <t>TOPDON Round 10 Pin Connector to 16 Pin Adapter Compatible with BMW Motorcycles</t>
        </is>
      </c>
      <c r="B94" s="30" t="inlineStr">
        <is>
          <t>B0CXD91FGV</t>
        </is>
      </c>
      <c r="C94" s="30" t="inlineStr">
        <is>
          <t>Cable/Adapter</t>
        </is>
      </c>
      <c r="D94" s="324" t="n">
        <v>21.645</v>
      </c>
      <c r="E94" s="53" t="n">
        <v>212.46</v>
      </c>
      <c r="F94" s="54" t="n">
        <v>43.29</v>
      </c>
      <c r="G94" s="55" t="n">
        <v>8</v>
      </c>
      <c r="H94" s="55" t="n">
        <v>2</v>
      </c>
      <c r="I94" s="55" t="n">
        <v>3</v>
      </c>
      <c r="J94" s="56" t="n">
        <v>5</v>
      </c>
      <c r="K94" s="56" t="inlineStr">
        <is>
          <t>https://amazon.com/dp/B0CXD91FGV</t>
        </is>
      </c>
      <c r="L94" s="70">
        <f>HYPERLINK(Table4779[[#This Row],[Column1]])</f>
        <v/>
      </c>
    </row>
    <row r="95" ht="45" customHeight="1" s="290">
      <c r="A95" s="30" t="inlineStr">
        <is>
          <t>TOPDON AL400 OBD2 Scanner, Full OBDII Code Reader, Check Engine Light Scan Tool, Car Scanner with DTC Lookup, Clear Codes, Freeze Frame, One-Click I/M, Diagnostic Scanner for DIYers, Lifetime Update</t>
        </is>
      </c>
      <c r="B95" s="30" t="inlineStr">
        <is>
          <t>B0D5HBK8TD</t>
        </is>
      </c>
      <c r="C95" s="30" t="inlineStr">
        <is>
          <t>Handheld</t>
        </is>
      </c>
      <c r="D95" s="324" t="n">
        <v>29.99</v>
      </c>
      <c r="E95" s="53" t="n">
        <v>692.14</v>
      </c>
      <c r="F95" s="54" t="n">
        <v>0</v>
      </c>
      <c r="G95" s="55" t="n">
        <v>20</v>
      </c>
      <c r="H95" s="55" t="n">
        <v>0</v>
      </c>
      <c r="I95" s="55" t="n">
        <v>4</v>
      </c>
      <c r="J95" s="56" t="n">
        <v>4.5</v>
      </c>
      <c r="K95" s="56" t="inlineStr">
        <is>
          <t>https://amazon.com/dp/B0D5HBK8TD</t>
        </is>
      </c>
      <c r="L95" s="70">
        <f>HYPERLINK(Table4779[[#This Row],[Column1]])</f>
        <v/>
      </c>
    </row>
    <row r="96" ht="30" customHeight="1" s="290">
      <c r="A96" s="30" t="inlineStr">
        <is>
          <t>TOPDON USA - Phoenix MAX/Smart ONE-Year Update Passenger CAR</t>
        </is>
      </c>
      <c r="B96" s="30" t="inlineStr">
        <is>
          <t>B0CY5LZRWK</t>
        </is>
      </c>
      <c r="C96" s="30" t="inlineStr">
        <is>
          <t>Tablet</t>
        </is>
      </c>
      <c r="D96" s="324" t="n">
        <v>699.99</v>
      </c>
      <c r="E96" s="53" t="n">
        <v>4616.35</v>
      </c>
      <c r="F96" s="54" t="n">
        <v>0</v>
      </c>
      <c r="G96" s="55" t="n">
        <v>6</v>
      </c>
      <c r="H96" s="55" t="n">
        <v>0</v>
      </c>
      <c r="I96" s="55" t="n">
        <v>2</v>
      </c>
      <c r="J96" s="56" t="n">
        <v>5</v>
      </c>
      <c r="K96" s="56" t="inlineStr">
        <is>
          <t>https://amazon.com/dp/B0CY5LZRWK</t>
        </is>
      </c>
      <c r="L96" s="70">
        <f>HYPERLINK(Table4779[[#This Row],[Column1]])</f>
        <v/>
      </c>
    </row>
    <row r="97" ht="30" customHeight="1" s="290">
      <c r="A97" s="30" t="inlineStr">
        <is>
          <t>TOPDON USA - Code Reader - 2.4 Screen Data GRAPHING</t>
        </is>
      </c>
      <c r="B97" s="30" t="inlineStr">
        <is>
          <t>B09XD1FGWM</t>
        </is>
      </c>
      <c r="C97" s="30" t="inlineStr">
        <is>
          <t>Handheld</t>
        </is>
      </c>
      <c r="D97" s="324" t="n">
        <v>54.47</v>
      </c>
      <c r="E97" s="53" t="n">
        <v>273.78</v>
      </c>
      <c r="F97" s="54" t="n">
        <v>0</v>
      </c>
      <c r="G97" s="55" t="n">
        <v>6</v>
      </c>
      <c r="H97" s="55" t="n">
        <v>0</v>
      </c>
      <c r="I97" s="55" t="n">
        <v>1216</v>
      </c>
      <c r="J97" s="56" t="n">
        <v>4.1</v>
      </c>
      <c r="K97" s="56" t="inlineStr">
        <is>
          <t>https://amazon.com/dp/B09XD1FGWM</t>
        </is>
      </c>
      <c r="L97" s="70">
        <f>HYPERLINK(Table4779[[#This Row],[Column1]])</f>
        <v/>
      </c>
    </row>
    <row r="98" ht="30" customHeight="1" s="290">
      <c r="A98" s="30" t="inlineStr">
        <is>
          <t>TOPDON USA - 2-in-1 Code Reader Battery Tester W/Data GRAPHIN</t>
        </is>
      </c>
      <c r="B98" s="30" t="inlineStr">
        <is>
          <t>B0CP8VYGHW</t>
        </is>
      </c>
      <c r="C98" s="30" t="inlineStr">
        <is>
          <t>Tablet</t>
        </is>
      </c>
      <c r="D98" s="324" t="n">
        <v>82.11</v>
      </c>
      <c r="E98" s="53" t="n">
        <v>0</v>
      </c>
      <c r="F98" s="54" t="n">
        <v>0</v>
      </c>
      <c r="G98" s="55" t="n">
        <v>0</v>
      </c>
      <c r="H98" s="55" t="n">
        <v>0</v>
      </c>
      <c r="I98" s="55" t="n">
        <v>1</v>
      </c>
      <c r="J98" s="56" t="n">
        <v>1</v>
      </c>
      <c r="K98" s="56" t="inlineStr">
        <is>
          <t>https://amazon.com/dp/B0CP8VYGHW</t>
        </is>
      </c>
      <c r="L98" s="70">
        <f>HYPERLINK(Table4779[[#This Row],[Column1]])</f>
        <v/>
      </c>
    </row>
    <row r="99" ht="30" customHeight="1" s="290">
      <c r="A99" s="30" t="inlineStr">
        <is>
          <t>TOPDON RLink Lite J2534 Pass-Thru Programmer, Enhanced VCI</t>
        </is>
      </c>
      <c r="B99" s="30" t="inlineStr">
        <is>
          <t>B0CZHMH149</t>
        </is>
      </c>
      <c r="C99" s="30" t="inlineStr">
        <is>
          <t>Handheld</t>
        </is>
      </c>
      <c r="D99" s="324" t="n">
        <v>697.3099999999999</v>
      </c>
      <c r="E99" s="53" t="n">
        <v>19496.52</v>
      </c>
      <c r="F99" s="54" t="n">
        <v>0</v>
      </c>
      <c r="G99" s="55" t="n">
        <v>21</v>
      </c>
      <c r="H99" s="55" t="n">
        <v>0</v>
      </c>
      <c r="I99" s="55" t="n">
        <v>5</v>
      </c>
      <c r="J99" s="56" t="n">
        <v>4</v>
      </c>
      <c r="K99" s="56" t="inlineStr">
        <is>
          <t>https://amazon.com/dp/B0CZHMH149</t>
        </is>
      </c>
      <c r="L99" s="70">
        <f>HYPERLINK(Table4779[[#This Row],[Column1]])</f>
        <v/>
      </c>
    </row>
    <row r="100" ht="30" customHeight="1" s="290">
      <c r="A100" s="30" t="inlineStr">
        <is>
          <t>TOPDON USA - 13.3 OE-Level SCAN Tool Docking Station Cloud-B</t>
        </is>
      </c>
      <c r="B100" s="30" t="inlineStr">
        <is>
          <t>B0FC33DQD9</t>
        </is>
      </c>
      <c r="C100" s="30" t="inlineStr">
        <is>
          <t>Tablet</t>
        </is>
      </c>
      <c r="D100" s="324" t="n">
        <v>2671.073333333333</v>
      </c>
      <c r="E100" s="53" t="n">
        <v>47677.78</v>
      </c>
      <c r="F100" s="54" t="n">
        <v>0</v>
      </c>
      <c r="G100" s="55" t="n">
        <v>14</v>
      </c>
      <c r="H100" s="55" t="n">
        <v>0</v>
      </c>
      <c r="I100" s="55" t="n"/>
      <c r="J100" s="56" t="n"/>
      <c r="K100" s="56" t="inlineStr">
        <is>
          <t>https://amazon.com/dp/B0FC33DQD9</t>
        </is>
      </c>
      <c r="L100" s="70">
        <f>HYPERLINK(Table4779[[#This Row],[Column1]])</f>
        <v/>
      </c>
    </row>
    <row r="101" ht="30" customHeight="1" s="290">
      <c r="A101" s="30" t="inlineStr">
        <is>
          <t>TOPDON USA - Pocket-Size Bluetooth SCAN Tool W/BI-Directional C</t>
        </is>
      </c>
      <c r="B101" s="30" t="inlineStr">
        <is>
          <t>B0DFM66VTZ</t>
        </is>
      </c>
      <c r="C101" s="30" t="inlineStr">
        <is>
          <t>Dongle</t>
        </is>
      </c>
      <c r="D101" s="324" t="n">
        <v>75.33</v>
      </c>
      <c r="E101" s="53" t="n">
        <v>0</v>
      </c>
      <c r="F101" s="54" t="n">
        <v>0</v>
      </c>
      <c r="G101" s="55" t="n">
        <v>0</v>
      </c>
      <c r="H101" s="55" t="n">
        <v>0</v>
      </c>
      <c r="I101" s="55" t="n"/>
      <c r="J101" s="56" t="n"/>
      <c r="K101" s="56" t="inlineStr">
        <is>
          <t>https://amazon.com/dp/B0DFM66VTZ</t>
        </is>
      </c>
      <c r="L101" s="70">
        <f>HYPERLINK(Table4779[[#This Row],[Column1]])</f>
        <v/>
      </c>
    </row>
    <row r="102" ht="30" customHeight="1" s="290">
      <c r="A102" s="30" t="inlineStr">
        <is>
          <t>Elite Phoenix by TOPDON</t>
        </is>
      </c>
      <c r="B102" s="30" t="inlineStr">
        <is>
          <t>B09WD74CHH</t>
        </is>
      </c>
      <c r="C102" s="30" t="inlineStr">
        <is>
          <t>Tablet</t>
        </is>
      </c>
      <c r="D102" s="324" t="n">
        <v>1649.06</v>
      </c>
      <c r="E102" s="53" t="n">
        <v>8880.24</v>
      </c>
      <c r="F102" s="54" t="n">
        <v>0</v>
      </c>
      <c r="G102" s="55" t="n">
        <v>6</v>
      </c>
      <c r="H102" s="55" t="n">
        <v>0</v>
      </c>
      <c r="I102" s="55" t="n">
        <v>2</v>
      </c>
      <c r="J102" s="56" t="n">
        <v>5</v>
      </c>
      <c r="K102" s="56" t="inlineStr">
        <is>
          <t>https://amazon.com/dp/B09WD74CHH</t>
        </is>
      </c>
      <c r="L102" s="70">
        <f>HYPERLINK(Table4779[[#This Row],[Column1]])</f>
        <v/>
      </c>
    </row>
    <row r="103" ht="45" customHeight="1" s="290">
      <c r="A103" s="30" t="inlineStr">
        <is>
          <t>TOPDON Phoenix Lite 2 Multi-Brand Car Diagnostic Tool for All Systems, ECU Coding, 34+ Maintenance Service, Bidirectional Control, Guided V.A.G</t>
        </is>
      </c>
      <c r="B103" s="30" t="inlineStr">
        <is>
          <t>B0B63J5MDJ</t>
        </is>
      </c>
      <c r="C103" s="30" t="inlineStr">
        <is>
          <t>Tablet</t>
        </is>
      </c>
      <c r="D103" s="324" t="n">
        <v>763.1799999999999</v>
      </c>
      <c r="E103" s="53" t="n">
        <v>2258.66</v>
      </c>
      <c r="F103" s="54" t="n">
        <v>0</v>
      </c>
      <c r="G103" s="55" t="n">
        <v>4</v>
      </c>
      <c r="H103" s="55" t="n">
        <v>0</v>
      </c>
      <c r="I103" s="55" t="n">
        <v>113</v>
      </c>
      <c r="J103" s="56" t="n">
        <v>4.2</v>
      </c>
      <c r="K103" s="56" t="inlineStr">
        <is>
          <t>https://amazon.com/dp/B0B63J5MDJ</t>
        </is>
      </c>
      <c r="L103" s="70">
        <f>HYPERLINK(Table4779[[#This Row],[Column1]])</f>
        <v/>
      </c>
    </row>
    <row r="104" ht="45" customHeight="1" s="290">
      <c r="A104" s="30" t="n"/>
      <c r="B104" s="30" t="n"/>
      <c r="C104" s="30" t="n"/>
      <c r="D104" s="324" t="n"/>
      <c r="E104" s="53" t="n"/>
      <c r="F104" s="54" t="n"/>
      <c r="G104" s="55" t="n"/>
      <c r="H104" s="55" t="n"/>
      <c r="I104" s="55" t="n"/>
      <c r="J104" s="56" t="n"/>
      <c r="K104" s="56" t="n"/>
      <c r="L104" s="70">
        <f>HYPERLINK(Table4779[[#This Row],[Column1]])</f>
        <v/>
      </c>
    </row>
    <row r="105" ht="45" customHeight="1" s="290">
      <c r="A105" s="30" t="n"/>
      <c r="B105" s="30" t="n"/>
      <c r="C105" s="30" t="n"/>
      <c r="D105" s="324" t="n"/>
      <c r="E105" s="53" t="n"/>
      <c r="F105" s="54" t="n"/>
      <c r="G105" s="55" t="n"/>
      <c r="H105" s="55" t="n"/>
      <c r="I105" s="55" t="n"/>
      <c r="J105" s="56" t="n"/>
      <c r="K105" s="56" t="n"/>
      <c r="L105" s="70">
        <f>HYPERLINK(Table4779[[#This Row],[Column1]])</f>
        <v/>
      </c>
    </row>
    <row r="106" ht="30" customHeight="1" s="290">
      <c r="A106" s="30" t="n"/>
      <c r="B106" s="30" t="n"/>
      <c r="C106" s="30" t="n"/>
      <c r="D106" s="324" t="n"/>
      <c r="E106" s="53" t="n"/>
      <c r="F106" s="54" t="n"/>
      <c r="G106" s="55" t="n"/>
      <c r="H106" s="55" t="n"/>
      <c r="I106" s="55" t="n"/>
      <c r="J106" s="56" t="n"/>
      <c r="K106" s="56" t="n"/>
      <c r="L106" s="70">
        <f>HYPERLINK(Table4779[[#This Row],[Column1]])</f>
        <v/>
      </c>
    </row>
    <row r="107" ht="45" customHeight="1" s="290">
      <c r="A107" s="30" t="n"/>
      <c r="B107" s="30" t="n"/>
      <c r="C107" s="30" t="n"/>
      <c r="D107" s="324" t="n"/>
      <c r="E107" s="53" t="n"/>
      <c r="F107" s="54" t="n"/>
      <c r="G107" s="55" t="n"/>
      <c r="H107" s="55" t="n"/>
      <c r="I107" s="55" t="n"/>
      <c r="J107" s="56" t="n"/>
      <c r="K107" s="56" t="n"/>
      <c r="L107" s="70">
        <f>HYPERLINK(Table4779[[#This Row],[Column1]])</f>
        <v/>
      </c>
    </row>
    <row r="108" ht="17" customHeight="1" s="290">
      <c r="A108" s="33" t="inlineStr">
        <is>
          <t>Total</t>
        </is>
      </c>
      <c r="B108" s="33" t="n"/>
      <c r="C108" s="327" t="n"/>
      <c r="D108" s="327" t="n"/>
      <c r="E108" s="72">
        <f>SUM(E51:E107)</f>
        <v/>
      </c>
      <c r="F108" s="72">
        <f>SUM(F51:F107)</f>
        <v/>
      </c>
      <c r="G108" s="73" t="n"/>
      <c r="H108" s="73" t="n"/>
      <c r="I108" s="73" t="n"/>
      <c r="J108" s="74" t="n"/>
      <c r="K108" s="33" t="n"/>
      <c r="L108" s="32" t="n"/>
    </row>
    <row r="109">
      <c r="E109" s="296" t="n"/>
    </row>
    <row r="110">
      <c r="E110" s="296" t="n"/>
    </row>
    <row r="111">
      <c r="A111" s="283" t="inlineStr">
        <is>
          <t>Rank by Units</t>
        </is>
      </c>
    </row>
    <row r="112" ht="17" customHeight="1" s="290">
      <c r="A112" s="38" t="inlineStr">
        <is>
          <t>Product Name</t>
        </is>
      </c>
      <c r="B112" s="39" t="inlineStr">
        <is>
          <t>ASIN</t>
        </is>
      </c>
      <c r="C112" s="39" t="inlineStr">
        <is>
          <t>Type</t>
        </is>
      </c>
      <c r="D112" s="322" t="inlineStr">
        <is>
          <t>Avg Price</t>
        </is>
      </c>
      <c r="E112" s="41" t="inlineStr">
        <is>
          <t>Estimated 12mo Revenue</t>
        </is>
      </c>
      <c r="F112" s="39" t="inlineStr">
        <is>
          <t>Monthly Rev</t>
        </is>
      </c>
      <c r="G112" s="42" t="inlineStr">
        <is>
          <t>Estimated 12mo Units</t>
        </is>
      </c>
      <c r="H112" s="45" t="inlineStr">
        <is>
          <t>Monthly Units</t>
        </is>
      </c>
      <c r="I112" s="42" t="inlineStr">
        <is>
          <t># of Reviews</t>
        </is>
      </c>
      <c r="J112" s="43" t="inlineStr">
        <is>
          <t xml:space="preserve">Tool Rating </t>
        </is>
      </c>
      <c r="K112" s="43" t="inlineStr">
        <is>
          <t>Column1</t>
        </is>
      </c>
      <c r="L112" s="323" t="inlineStr">
        <is>
          <t>Link</t>
        </is>
      </c>
    </row>
    <row r="113" ht="45" customHeight="1" s="290">
      <c r="A113" s="30" t="inlineStr">
        <is>
          <t>TOPDON TopScan Lite OBD2 Scanner Bluetooth, Bi-Directional Scanner Wireless All System Diagnostic Tool for iOS &amp; Android, 8+ Hot Reset, Repair Guides, Check Engine Car Code Reader, Performance Test</t>
        </is>
      </c>
      <c r="B113" s="30" t="inlineStr">
        <is>
          <t>B0C3QQYQ1B</t>
        </is>
      </c>
      <c r="C113" s="30" t="inlineStr">
        <is>
          <t>Dongle</t>
        </is>
      </c>
      <c r="D113" s="324" t="n">
        <v>51.95718309859155</v>
      </c>
      <c r="E113" s="53" t="n">
        <v>2108841.06</v>
      </c>
      <c r="F113" s="53" t="n">
        <v>70090.24000000001</v>
      </c>
      <c r="G113" s="55" t="n">
        <v>31770</v>
      </c>
      <c r="H113" s="57" t="n">
        <v>1349</v>
      </c>
      <c r="I113" s="55" t="n">
        <v>7230</v>
      </c>
      <c r="J113" s="56" t="n">
        <v>4</v>
      </c>
      <c r="K113" s="56" t="inlineStr">
        <is>
          <t>https://amazon.com/dp/B0C3QQYQ1B</t>
        </is>
      </c>
      <c r="L113" s="70">
        <f>HYPERLINK(Table4880[[#This Row],[Column1]])</f>
        <v/>
      </c>
    </row>
    <row r="114" ht="60" customHeight="1" s="290">
      <c r="A114" s="30" t="inlineStr">
        <is>
          <t>OBD2 Scanner TOPDON AD600S Scan Tool, Code Reader, Diagnostics Scanner for ABS/SRS/AT/Engine, 9 Reset Services, Oil/Brake/BMS/SAS/DPF/TPMS/ETS Reset/ABS Bleeding/Injector Coding, Free Lifetime Upgrade</t>
        </is>
      </c>
      <c r="B114" s="30" t="inlineStr">
        <is>
          <t>B09KZTYD18</t>
        </is>
      </c>
      <c r="C114" s="30" t="inlineStr">
        <is>
          <t>Tablet</t>
        </is>
      </c>
      <c r="D114" s="324" t="n">
        <v>194.0666122766123</v>
      </c>
      <c r="E114" s="53" t="n">
        <v>3482124.96</v>
      </c>
      <c r="F114" s="53" t="n">
        <v>249763.73</v>
      </c>
      <c r="G114" s="55" t="n">
        <v>17369</v>
      </c>
      <c r="H114" s="57" t="n">
        <v>1287</v>
      </c>
      <c r="I114" s="55" t="n">
        <v>1836</v>
      </c>
      <c r="J114" s="56" t="n">
        <v>4.5</v>
      </c>
      <c r="K114" s="56" t="inlineStr">
        <is>
          <t>https://amazon.com/dp/B09KZTYD18</t>
        </is>
      </c>
      <c r="L114" s="70">
        <f>HYPERLINK(Table4880[[#This Row],[Column1]])</f>
        <v/>
      </c>
    </row>
    <row r="115" ht="45" customHeight="1" s="290">
      <c r="A115" s="30" t="inlineStr">
        <is>
          <t>TOPDON Bidirectional Scan Tool, 2026 New ArtiDiag900 Lite Automotive Diagnostic Tool for Full System, Scanner for Car with Active Test, 8 Reset, Wireless OBD2 Scanner Diagnostic Tool for All Vehicles</t>
        </is>
      </c>
      <c r="B115" s="30" t="inlineStr">
        <is>
          <t>B0C33Y285Y</t>
        </is>
      </c>
      <c r="C115" s="30" t="inlineStr">
        <is>
          <t>Tablet</t>
        </is>
      </c>
      <c r="D115" s="324" t="n">
        <v>318.9840625</v>
      </c>
      <c r="E115" s="53" t="n">
        <v>5509789.810000001</v>
      </c>
      <c r="F115" s="53" t="n">
        <v>367469.64</v>
      </c>
      <c r="G115" s="55" t="n">
        <v>15164</v>
      </c>
      <c r="H115" s="57" t="n">
        <v>1152</v>
      </c>
      <c r="I115" s="55" t="n">
        <v>1230</v>
      </c>
      <c r="J115" s="56" t="n">
        <v>4.3</v>
      </c>
      <c r="K115" s="56" t="inlineStr">
        <is>
          <t>https://amazon.com/dp/B0C33Y285Y</t>
        </is>
      </c>
      <c r="L115" s="70">
        <f>HYPERLINK(Table4880[[#This Row],[Column1]])</f>
        <v/>
      </c>
    </row>
    <row r="116" ht="45" customHeight="1" s="290">
      <c r="A116" s="30" t="inlineStr">
        <is>
          <t>TOPDON Carpal OBD2 Scanner Bluetooth - Scanner for Car, AI-Assisted All System Diagnostic Tool for iOS &amp; Android, Vehicle Health Check, 6 Maintenance Services, Smog Check, Repair Guide</t>
        </is>
      </c>
      <c r="B116" s="30" t="inlineStr">
        <is>
          <t>B0D9VPW238</t>
        </is>
      </c>
      <c r="C116" s="30" t="inlineStr">
        <is>
          <t>Dongle</t>
        </is>
      </c>
      <c r="D116" s="324" t="n">
        <v>40.38472140762463</v>
      </c>
      <c r="E116" s="53" t="n">
        <v>416110.01</v>
      </c>
      <c r="F116" s="53" t="n">
        <v>41313.57</v>
      </c>
      <c r="G116" s="55" t="n">
        <v>8770</v>
      </c>
      <c r="H116" s="57" t="n">
        <v>1023</v>
      </c>
      <c r="I116" s="55" t="n">
        <v>3030</v>
      </c>
      <c r="J116" s="56" t="n">
        <v>4.3</v>
      </c>
      <c r="K116" s="56" t="inlineStr">
        <is>
          <t>https://amazon.com/dp/B0D9VPW238</t>
        </is>
      </c>
      <c r="L116" s="70">
        <f>HYPERLINK(Table4880[[#This Row],[Column1]])</f>
        <v/>
      </c>
    </row>
    <row r="117" ht="60" customHeight="1" s="290">
      <c r="A117" s="30" t="inlineStr">
        <is>
          <t>TOPDON AD500 OBD2 Scanner, Oil SAS Throttle TPMS BMS EPB Reset, Engine ABS SRS Transmission, Diagnostic Scan Tool, AutoVIN, Car Check Engine Code Reader with Battery Test, Lifetime Wi-Fi Free Update</t>
        </is>
      </c>
      <c r="B117" s="30" t="inlineStr">
        <is>
          <t>B08XK3DJ42</t>
        </is>
      </c>
      <c r="C117" s="30" t="inlineStr">
        <is>
          <t>Tablet</t>
        </is>
      </c>
      <c r="D117" s="324" t="n">
        <v>158.4307592190889</v>
      </c>
      <c r="E117" s="53" t="n">
        <v>2504808.563076923</v>
      </c>
      <c r="F117" s="53" t="n">
        <v>146073.16</v>
      </c>
      <c r="G117" s="55" t="n">
        <v>15216</v>
      </c>
      <c r="H117" s="57" t="n">
        <v>922</v>
      </c>
      <c r="I117" s="55" t="n">
        <v>1727</v>
      </c>
      <c r="J117" s="56" t="n">
        <v>4.5</v>
      </c>
      <c r="K117" s="56" t="inlineStr">
        <is>
          <t>https://amazon.com/dp/B08XK3DJ42</t>
        </is>
      </c>
      <c r="L117" s="70">
        <f>HYPERLINK(Table4880[[#This Row],[Column1]])</f>
        <v/>
      </c>
    </row>
    <row r="118" ht="45" customHeight="1" s="290">
      <c r="A118" s="30" t="inlineStr">
        <is>
          <t>TOPDON Upgraded AD600S OBD2 Scanner, Diagnostic Tool, ABS SRS Transmission Engine Code Reader, 9 Reset Services Scan Tool, Oil/Brake/BMS/SAS/DPF/TPMS/ETS Reset, Injector Coding, Lifetime Free Update</t>
        </is>
      </c>
      <c r="B118" s="30" t="inlineStr">
        <is>
          <t>B0CTHJW813</t>
        </is>
      </c>
      <c r="C118" s="30" t="inlineStr">
        <is>
          <t>Tablet</t>
        </is>
      </c>
      <c r="D118" s="324" t="n">
        <v>196.5306924101198</v>
      </c>
      <c r="E118" s="53" t="n">
        <v>2271197.149999999</v>
      </c>
      <c r="F118" s="53" t="n">
        <v>147594.55</v>
      </c>
      <c r="G118" s="55" t="n">
        <v>11104</v>
      </c>
      <c r="H118" s="57" t="n">
        <v>751</v>
      </c>
      <c r="I118" s="55" t="n">
        <v>876</v>
      </c>
      <c r="J118" s="56" t="n">
        <v>4.5</v>
      </c>
      <c r="K118" s="56" t="inlineStr">
        <is>
          <t>https://amazon.com/dp/B0CTHJW813</t>
        </is>
      </c>
      <c r="L118" s="70">
        <f>HYPERLINK(Table4880[[#This Row],[Column1]])</f>
        <v/>
      </c>
    </row>
    <row r="119" ht="60" customHeight="1" s="290">
      <c r="A119" s="30" t="inlineStr">
        <is>
          <t>TOPDON AD800BT 2 OBD2 Scanner, 2026 Bidirectional Scan Tool, Function as AD900 Lite AD Pro, All System Automotive Diagnostic Scanner, Active Test, 28+ Reset Service, FCA Autoauth, 2 Years Free Update</t>
        </is>
      </c>
      <c r="B119" s="30" t="inlineStr">
        <is>
          <t>B08TR5PS5V</t>
        </is>
      </c>
      <c r="C119" s="30" t="inlineStr">
        <is>
          <t>Tablet</t>
        </is>
      </c>
      <c r="D119" s="324" t="n">
        <v>330.3861891117479</v>
      </c>
      <c r="E119" s="53" t="n">
        <v>2516415.06</v>
      </c>
      <c r="F119" s="53" t="n">
        <v>230609.56</v>
      </c>
      <c r="G119" s="55" t="n">
        <v>7109</v>
      </c>
      <c r="H119" s="57" t="n">
        <v>698</v>
      </c>
      <c r="I119" s="55" t="n">
        <v>828</v>
      </c>
      <c r="J119" s="56" t="n">
        <v>4.4</v>
      </c>
      <c r="K119" s="56" t="inlineStr">
        <is>
          <t>https://amazon.com/dp/B08TR5PS5V</t>
        </is>
      </c>
      <c r="L119" s="70">
        <f>HYPERLINK(Table4880[[#This Row],[Column1]])</f>
        <v/>
      </c>
    </row>
    <row r="120" ht="45" customHeight="1" s="290">
      <c r="A120" s="30" t="inlineStr">
        <is>
          <t>TOPDON Scanner AD800BT V2.0, Bidirectional Scan Tool, Full Systems Diagnostic Tool for All Vehicles, Automotive Diagnostic Scanner for Car, 28+ Services, FCA AutoAuth, CANFD, 2 Years Free Update</t>
        </is>
      </c>
      <c r="B120" s="30" t="inlineStr">
        <is>
          <t>B08TBRDH7W</t>
        </is>
      </c>
      <c r="C120" s="30" t="inlineStr">
        <is>
          <t>Tablet</t>
        </is>
      </c>
      <c r="D120" s="324" t="n">
        <v>321.1128621291449</v>
      </c>
      <c r="E120" s="53" t="n">
        <v>1626773.72</v>
      </c>
      <c r="F120" s="53" t="n">
        <v>183997.67</v>
      </c>
      <c r="G120" s="55" t="n">
        <v>4630</v>
      </c>
      <c r="H120" s="57" t="n">
        <v>573</v>
      </c>
      <c r="I120" s="55" t="n">
        <v>664</v>
      </c>
      <c r="J120" s="56" t="n">
        <v>4.4</v>
      </c>
      <c r="K120" s="56" t="inlineStr">
        <is>
          <t>https://amazon.com/dp/B08TBRDH7W</t>
        </is>
      </c>
      <c r="L120" s="70">
        <f>HYPERLINK(Table4880[[#This Row],[Column1]])</f>
        <v/>
      </c>
    </row>
    <row r="121" ht="45" customHeight="1" s="290">
      <c r="A121" s="30" t="inlineStr">
        <is>
          <t>TOPDON TopScan Pro OBD2 Scanner Bluetooth, Bi-Directional Scan Tool for iPhone &amp; Android with All System, 13+ Hot Reset Car Scanner, FCA AutoAuth, CAN-FD, AI Assistant, Upgraded TopScan Code Reader</t>
        </is>
      </c>
      <c r="B121" s="30" t="inlineStr">
        <is>
          <t>B0G2Y6Y36Q</t>
        </is>
      </c>
      <c r="C121" s="30" t="inlineStr">
        <is>
          <t>Dongle</t>
        </is>
      </c>
      <c r="D121" s="324" t="n">
        <v>112.2635940409683</v>
      </c>
      <c r="E121" s="53" t="n">
        <v>599303.77</v>
      </c>
      <c r="F121" s="53" t="n">
        <v>60285.55</v>
      </c>
      <c r="G121" s="55" t="n">
        <v>1320</v>
      </c>
      <c r="H121" s="57" t="n">
        <v>537</v>
      </c>
      <c r="I121" s="55" t="n">
        <v>97</v>
      </c>
      <c r="J121" s="56" t="n">
        <v>4.7</v>
      </c>
      <c r="K121" s="56" t="inlineStr">
        <is>
          <t>https://amazon.com/dp/B0G2Y6Y36Q</t>
        </is>
      </c>
      <c r="L121" s="70">
        <f>HYPERLINK(Table4880[[#This Row],[Column1]])</f>
        <v/>
      </c>
    </row>
    <row r="122" ht="45" customHeight="1" s="290">
      <c r="A122" s="30" t="inlineStr">
        <is>
          <t>TOPDON ArtiDiag Pro OBD2 Scanner Diagnostic Tool, Bidirectional Scan Tool with ECU Coding, 35+ Services, V.A.G Guided, FCA SGW, Can FD DoIP/All System Diagnosis</t>
        </is>
      </c>
      <c r="B122" s="30" t="inlineStr">
        <is>
          <t>B0BNKHCXVC</t>
        </is>
      </c>
      <c r="C122" s="30" t="inlineStr">
        <is>
          <t>Tablet</t>
        </is>
      </c>
      <c r="D122" s="324" t="n">
        <v>429.9311553030303</v>
      </c>
      <c r="E122" s="53" t="n">
        <v>3043204.62</v>
      </c>
      <c r="F122" s="53" t="n">
        <v>227003.65</v>
      </c>
      <c r="G122" s="55" t="n">
        <v>6723</v>
      </c>
      <c r="H122" s="57" t="n">
        <v>528</v>
      </c>
      <c r="I122" s="55" t="n">
        <v>774</v>
      </c>
      <c r="J122" s="56" t="n">
        <v>4.3</v>
      </c>
      <c r="K122" s="56" t="inlineStr">
        <is>
          <t>https://amazon.com/dp/B0BNKHCXVC</t>
        </is>
      </c>
      <c r="L122" s="70">
        <f>HYPERLINK(Table4880[[#This Row],[Column1]])</f>
        <v/>
      </c>
    </row>
    <row r="123" ht="45" customHeight="1" s="290">
      <c r="A123" s="30" t="inlineStr">
        <is>
          <t>TOPDON ArtiDiag600 Pro, OBD2 Scanner Diagnostic Tool for All Systems, Code Reader Scan Tool with 9 Essential Maintenance Functions, Upgraded Version of AD600S/AD500, Lifetime Free Update</t>
        </is>
      </c>
      <c r="B123" s="30" t="inlineStr">
        <is>
          <t>B0DMW4QY3T</t>
        </is>
      </c>
      <c r="C123" s="30" t="inlineStr">
        <is>
          <t>Tablet</t>
        </is>
      </c>
      <c r="D123" s="324" t="n">
        <v>243.9343711340206</v>
      </c>
      <c r="E123" s="53" t="n">
        <v>883905.5399999998</v>
      </c>
      <c r="F123" s="53" t="n">
        <v>118308.17</v>
      </c>
      <c r="G123" s="55" t="n">
        <v>3585</v>
      </c>
      <c r="H123" s="57" t="n">
        <v>485</v>
      </c>
      <c r="I123" s="55" t="n">
        <v>172</v>
      </c>
      <c r="J123" s="56" t="n">
        <v>4.5</v>
      </c>
      <c r="K123" s="56" t="inlineStr">
        <is>
          <t>https://amazon.com/dp/B0DMW4QY3T</t>
        </is>
      </c>
      <c r="L123" s="70">
        <f>HYPERLINK(Table4880[[#This Row],[Column1]])</f>
        <v/>
      </c>
    </row>
    <row r="124" ht="45" customHeight="1" s="290">
      <c r="A124" s="30" t="inlineStr">
        <is>
          <t>TOPDON ONE Bidirectional Scan Tool, 10.1" OBD2 Scanner with J2534 Pass-Thru and ECU Coding, Over 50 Resets, Topology Mapping Car Diagnostic Tool for All Vehicles</t>
        </is>
      </c>
      <c r="B124" s="30" t="inlineStr">
        <is>
          <t>B0GK9G6YDL</t>
        </is>
      </c>
      <c r="C124" s="30" t="inlineStr">
        <is>
          <t>Tablet</t>
        </is>
      </c>
      <c r="D124" s="324" t="n">
        <v>745.0893534482759</v>
      </c>
      <c r="E124" s="53" t="n">
        <v>3842831.225384615</v>
      </c>
      <c r="F124" s="53" t="n">
        <v>345721.46</v>
      </c>
      <c r="G124" s="55" t="n">
        <v>866</v>
      </c>
      <c r="H124" s="57" t="n">
        <v>464</v>
      </c>
      <c r="I124" s="55" t="n">
        <v>90</v>
      </c>
      <c r="J124" s="56" t="n">
        <v>4.7</v>
      </c>
      <c r="K124" s="56" t="inlineStr">
        <is>
          <t>https://amazon.com/dp/B0GK9G6YDL</t>
        </is>
      </c>
      <c r="L124" s="70">
        <f>HYPERLINK(Table4880[[#This Row],[Column1]])</f>
        <v/>
      </c>
    </row>
    <row r="125" ht="45" customHeight="1" s="290">
      <c r="A125" s="30" t="inlineStr">
        <is>
          <t>TOPDON RLink J2534 Pass-Thru Programmer, OEM Reprogramming and Diagnostic Tool, Enhanced J2534 VCI, Supports J2534/D-PDU/CAN-FD/DoIP, Compatible with 18+ Vehicle Brands, No OE Software Provided</t>
        </is>
      </c>
      <c r="B125" s="30" t="inlineStr">
        <is>
          <t>B0DFM25BZB</t>
        </is>
      </c>
      <c r="C125" s="30" t="inlineStr">
        <is>
          <t>VCI</t>
        </is>
      </c>
      <c r="D125" s="324" t="n">
        <v>258.7172453703704</v>
      </c>
      <c r="E125" s="53" t="n">
        <v>1673673.19</v>
      </c>
      <c r="F125" s="53" t="n">
        <v>111765.85</v>
      </c>
      <c r="G125" s="55" t="n">
        <v>6090</v>
      </c>
      <c r="H125" s="57" t="n">
        <v>432</v>
      </c>
      <c r="I125" s="55" t="n">
        <v>270</v>
      </c>
      <c r="J125" s="56" t="n">
        <v>4.5</v>
      </c>
      <c r="K125" s="56" t="inlineStr">
        <is>
          <t>https://amazon.com/dp/B0DFM25BZB</t>
        </is>
      </c>
      <c r="L125" s="70">
        <f>HYPERLINK(Table4880[[#This Row],[Column1]])</f>
        <v/>
      </c>
    </row>
    <row r="126" ht="60" customHeight="1" s="290">
      <c r="A126" s="30" t="inlineStr">
        <is>
          <t>TOPDON RLink X3 OBD2 Adapter for GM/Ford/Chrysler, J2534 Pass-Thru Programmer, OBD USB FORScan Adapter, OEM Programming and Diagnostic Tool, Fit for 8+ OE Software, Supports J2534/CAN-FD, Auto Switch</t>
        </is>
      </c>
      <c r="B126" s="30" t="inlineStr">
        <is>
          <t>B0FRRYY8TC</t>
        </is>
      </c>
      <c r="C126" s="30" t="inlineStr">
        <is>
          <t>Cable/Adapter</t>
        </is>
      </c>
      <c r="D126" s="324" t="n">
        <v>125.0126341463415</v>
      </c>
      <c r="E126" s="53" t="n">
        <v>530296.4769230768</v>
      </c>
      <c r="F126" s="53" t="n">
        <v>51255.18</v>
      </c>
      <c r="G126" s="55" t="n">
        <v>1469</v>
      </c>
      <c r="H126" s="57" t="n">
        <v>410</v>
      </c>
      <c r="I126" s="55" t="n">
        <v>60</v>
      </c>
      <c r="J126" s="56" t="n">
        <v>4.3</v>
      </c>
      <c r="K126" s="56" t="inlineStr">
        <is>
          <t>https://amazon.com/dp/B0FRRYY8TC</t>
        </is>
      </c>
      <c r="L126" s="70">
        <f>HYPERLINK(Table4880[[#This Row],[Column1]])</f>
        <v/>
      </c>
    </row>
    <row r="127" ht="45" customHeight="1" s="290">
      <c r="A127" s="30" t="inlineStr">
        <is>
          <t>TOPDON AD500 OBD2 Scanner Car Code Reader Scan Tool, Engine ABS SRS Transmission Diagnostics Tool, Oil/Throttle/SAS/TPMS/BMS/EPB Reset Car Scanner, Free Upgrade for DIY</t>
        </is>
      </c>
      <c r="B127" s="30" t="inlineStr">
        <is>
          <t>B09LH3QFFQ</t>
        </is>
      </c>
      <c r="C127" s="30" t="inlineStr">
        <is>
          <t>Tablet</t>
        </is>
      </c>
      <c r="D127" s="324" t="n">
        <v>157.2394540229885</v>
      </c>
      <c r="E127" s="53" t="n">
        <v>855025.9099999999</v>
      </c>
      <c r="F127" s="53" t="n">
        <v>54719.33</v>
      </c>
      <c r="G127" s="55" t="n">
        <v>5311</v>
      </c>
      <c r="H127" s="57" t="n">
        <v>348</v>
      </c>
      <c r="I127" s="55" t="n">
        <v>1082</v>
      </c>
      <c r="J127" s="56" t="n">
        <v>4.5</v>
      </c>
      <c r="K127" s="56" t="inlineStr">
        <is>
          <t>https://amazon.com/dp/B09LH3QFFQ</t>
        </is>
      </c>
      <c r="L127" s="70">
        <f>HYPERLINK(Table4880[[#This Row],[Column1]])</f>
        <v/>
      </c>
    </row>
    <row r="128" ht="45" customHeight="1" s="290">
      <c r="A128" s="30" t="inlineStr">
        <is>
          <t>TOPDON Topscan Master OBD2 Scanner Bluetooth, 2026 Wireless Bidirectional Scan Tool, All System Diagnostic Tool for iOS &amp; Android, 30+ Resets, FCA AutoAuth, CAN-FD/DoIP, Upgraded Version of TopScan</t>
        </is>
      </c>
      <c r="B128" s="30" t="inlineStr">
        <is>
          <t>B0FX3VZXTK</t>
        </is>
      </c>
      <c r="C128" s="30" t="inlineStr">
        <is>
          <t>Tablet</t>
        </is>
      </c>
      <c r="D128" s="324" t="n">
        <v>174.7615857605178</v>
      </c>
      <c r="E128" s="53" t="n">
        <v>624628.2507692308</v>
      </c>
      <c r="F128" s="53" t="n">
        <v>54001.33</v>
      </c>
      <c r="G128" s="55" t="n">
        <v>1473</v>
      </c>
      <c r="H128" s="57" t="n">
        <v>309</v>
      </c>
      <c r="I128" s="55" t="n">
        <v>40</v>
      </c>
      <c r="J128" s="56" t="n">
        <v>4.5</v>
      </c>
      <c r="K128" s="56" t="inlineStr">
        <is>
          <t>https://amazon.com/dp/B0FX3VZXTK</t>
        </is>
      </c>
      <c r="L128" s="70">
        <f>HYPERLINK(Table4880[[#This Row],[Column1]])</f>
        <v/>
      </c>
    </row>
    <row r="129" ht="45" customHeight="1" s="290">
      <c r="A129" s="30" t="inlineStr">
        <is>
          <t>TOPDON Phoenix Plus 2, ECU Coding TOPDON Scanner V2.0, Bidirectional Scan Tool, Topology Map, CANFD, High-End OEM Full System, 42+ Service, FCA SGW AutoAuth, V.A.G Guided, 2 Years Free Update</t>
        </is>
      </c>
      <c r="B129" s="30" t="inlineStr">
        <is>
          <t>B091BQNR3S</t>
        </is>
      </c>
      <c r="C129" s="30" t="inlineStr">
        <is>
          <t>Tablet</t>
        </is>
      </c>
      <c r="D129" s="324" t="n">
        <v>1014.280512820513</v>
      </c>
      <c r="E129" s="53" t="n">
        <v>3083243.13</v>
      </c>
      <c r="F129" s="53" t="n">
        <v>276898.58</v>
      </c>
      <c r="G129" s="55" t="n">
        <v>2855</v>
      </c>
      <c r="H129" s="57" t="n">
        <v>273</v>
      </c>
      <c r="I129" s="55" t="n">
        <v>492</v>
      </c>
      <c r="J129" s="56" t="n">
        <v>4.4</v>
      </c>
      <c r="K129" s="56" t="inlineStr">
        <is>
          <t>https://amazon.com/dp/B091BQNR3S</t>
        </is>
      </c>
      <c r="L129" s="70">
        <f>HYPERLINK(Table4880[[#This Row],[Column1]])</f>
        <v/>
      </c>
    </row>
    <row r="130" ht="45" customHeight="1" s="290">
      <c r="A130" s="30" t="inlineStr">
        <is>
          <t>TOPDON RLink J2534 Reprogramming Tool, High-Speed J2534 Pass-Thru Programmer, OEM Reprogramming and Diagnostic Tool, Supports J2534/D-PDU/CAN-FD/DoIP, 17+ Vehicle Brands Supported</t>
        </is>
      </c>
      <c r="B130" s="30" t="inlineStr">
        <is>
          <t>B0FS11XMH1</t>
        </is>
      </c>
      <c r="C130" s="30" t="inlineStr">
        <is>
          <t>VCI</t>
        </is>
      </c>
      <c r="D130" s="324" t="n">
        <v>256.5457933579336</v>
      </c>
      <c r="E130" s="53" t="n">
        <v>700772.8915384616</v>
      </c>
      <c r="F130" s="53" t="n">
        <v>69523.91</v>
      </c>
      <c r="G130" s="55" t="n">
        <v>1260</v>
      </c>
      <c r="H130" s="57" t="n">
        <v>271</v>
      </c>
      <c r="I130" s="55" t="n">
        <v>32</v>
      </c>
      <c r="J130" s="56" t="n">
        <v>5</v>
      </c>
      <c r="K130" s="56" t="inlineStr">
        <is>
          <t>https://amazon.com/dp/B0FS11XMH1</t>
        </is>
      </c>
      <c r="L130" s="70">
        <f>HYPERLINK(Table4880[[#This Row],[Column1]])</f>
        <v/>
      </c>
    </row>
    <row r="131" ht="45" customHeight="1" s="290">
      <c r="A131" s="30" t="inlineStr">
        <is>
          <t>TOPDON Carpal-US OBD2 Code Reader Bluetooth, All System OBD2 Scanner for iOS &amp; Android, Vehicle Health Check, 6 Maintenance Services, Smog Check, Repair Guide, 1 Year Free Update</t>
        </is>
      </c>
      <c r="B131" s="30" t="inlineStr">
        <is>
          <t>B0DBQQC2LS</t>
        </is>
      </c>
      <c r="C131" s="30" t="inlineStr">
        <is>
          <t>Dongle</t>
        </is>
      </c>
      <c r="D131" s="324" t="n">
        <v>41.24398843930636</v>
      </c>
      <c r="E131" s="53" t="n">
        <v>90678.16</v>
      </c>
      <c r="F131" s="53" t="n">
        <v>7135.21</v>
      </c>
      <c r="G131" s="55" t="n">
        <v>2141</v>
      </c>
      <c r="H131" s="57" t="n">
        <v>173</v>
      </c>
      <c r="I131" s="55" t="n">
        <v>1628</v>
      </c>
      <c r="J131" s="56" t="n">
        <v>4.4</v>
      </c>
      <c r="K131" s="56" t="inlineStr">
        <is>
          <t>https://amazon.com/dp/B0DBQQC2LS</t>
        </is>
      </c>
      <c r="L131" s="70">
        <f>HYPERLINK(Table4880[[#This Row],[Column1]])</f>
        <v/>
      </c>
    </row>
    <row r="132" ht="45" customHeight="1" s="290">
      <c r="A132" s="30" t="inlineStr">
        <is>
          <t>OBD2 Scanner Diagnostic Tool, TOPDON AD900BT Bidirectional Scan Tool with ECU C0ding, 28+ Services, Automotive All Systems Diagnosis Scanner for Car with 2 Years Updates, Active Test</t>
        </is>
      </c>
      <c r="B132" s="30" t="inlineStr">
        <is>
          <t>B0C1YB3N42</t>
        </is>
      </c>
      <c r="C132" s="30" t="inlineStr">
        <is>
          <t>Tablet</t>
        </is>
      </c>
      <c r="D132" s="324" t="n">
        <v>494.2713445378151</v>
      </c>
      <c r="E132" s="53" t="n">
        <v>561059.76</v>
      </c>
      <c r="F132" s="53" t="n">
        <v>58818.29</v>
      </c>
      <c r="G132" s="55" t="n">
        <v>1050</v>
      </c>
      <c r="H132" s="57" t="n">
        <v>119</v>
      </c>
      <c r="I132" s="55" t="n">
        <v>219</v>
      </c>
      <c r="J132" s="56" t="n">
        <v>4.4</v>
      </c>
      <c r="K132" s="56" t="inlineStr">
        <is>
          <t>https://amazon.com/dp/B0C1YB3N42</t>
        </is>
      </c>
      <c r="L132" s="70">
        <f>HYPERLINK(Table4880[[#This Row],[Column1]])</f>
        <v/>
      </c>
    </row>
    <row r="133" ht="45" customHeight="1" s="290">
      <c r="A133" s="30" t="inlineStr">
        <is>
          <t>TOPDON AL400 OBD2 Scanner, Full OBDII Code Reader, Check Engine Light Scan Tool, Car Scanner with DTC Lookup, Clear Codes, Freeze Frame, One-Click I/M, Diagnostic Scanner for DIYers, Lifetime Update</t>
        </is>
      </c>
      <c r="B133" s="30" t="inlineStr">
        <is>
          <t>B09NW325DV</t>
        </is>
      </c>
      <c r="C133" s="30" t="inlineStr">
        <is>
          <t>Handheld</t>
        </is>
      </c>
      <c r="D133" s="324" t="n">
        <v>28.25913043478261</v>
      </c>
      <c r="E133" s="53" t="n">
        <v>56555.53000000001</v>
      </c>
      <c r="F133" s="53" t="n">
        <v>3249.8</v>
      </c>
      <c r="G133" s="55" t="n">
        <v>1727</v>
      </c>
      <c r="H133" s="57" t="n">
        <v>115</v>
      </c>
      <c r="I133" s="55" t="n">
        <v>783</v>
      </c>
      <c r="J133" s="56" t="n">
        <v>4.5</v>
      </c>
      <c r="K133" s="56" t="inlineStr">
        <is>
          <t>https://amazon.com/dp/B09NW325DV</t>
        </is>
      </c>
      <c r="L133" s="70">
        <f>HYPERLINK(Table4880[[#This Row],[Column1]])</f>
        <v/>
      </c>
    </row>
    <row r="134" ht="45" customHeight="1" s="290">
      <c r="A134" s="30" t="inlineStr">
        <is>
          <t>TOPDON VeriDiag X800 BT OBD2 Scanner, 2026 Upgraded Bidirectional Scan Tool with 34 Reset Services, Full System Wireless Automotive Diagnostic Tool, Active Test Scan Tool, 2 Years Free Update</t>
        </is>
      </c>
      <c r="B134" s="30" t="inlineStr">
        <is>
          <t>B0GMGV5LB7</t>
        </is>
      </c>
      <c r="C134" s="30" t="inlineStr">
        <is>
          <t>Tablet</t>
        </is>
      </c>
      <c r="D134" s="324" t="n">
        <v>375.2603092783505</v>
      </c>
      <c r="E134" s="53" t="n">
        <v>410802.5484615383</v>
      </c>
      <c r="F134" s="53" t="n">
        <v>36400.25</v>
      </c>
      <c r="G134" s="55" t="n">
        <v>109</v>
      </c>
      <c r="H134" s="57" t="n">
        <v>97</v>
      </c>
      <c r="I134" s="55" t="n"/>
      <c r="J134" s="56" t="n"/>
      <c r="K134" s="56" t="inlineStr">
        <is>
          <t>https://amazon.com/dp/B0GMGV5LB7</t>
        </is>
      </c>
      <c r="L134" s="70">
        <f>HYPERLINK(Table4880[[#This Row],[Column1]])</f>
        <v/>
      </c>
    </row>
    <row r="135" ht="45" customHeight="1" s="290">
      <c r="A135" s="30" t="inlineStr">
        <is>
          <t>TOPDON AL500B OBD2 Scanner Battery Tester 2 in 1 Code Reader, Full OBDII Diagnosis, 12V Battery Tests &amp; 12V/24V Cranking Tests, Charging Tests, Scan Tool, Car Diagnostic Tool for All OBDII Cars</t>
        </is>
      </c>
      <c r="B135" s="30" t="inlineStr">
        <is>
          <t>B0BNT2KGQ6</t>
        </is>
      </c>
      <c r="C135" s="30" t="inlineStr">
        <is>
          <t>Handheld</t>
        </is>
      </c>
      <c r="D135" s="324" t="n">
        <v>70.08025316455696</v>
      </c>
      <c r="E135" s="53" t="n">
        <v>73982.41769230769</v>
      </c>
      <c r="F135" s="53" t="n">
        <v>5536.34</v>
      </c>
      <c r="G135" s="55" t="n">
        <v>861</v>
      </c>
      <c r="H135" s="57" t="n">
        <v>79</v>
      </c>
      <c r="I135" s="55" t="n">
        <v>282</v>
      </c>
      <c r="J135" s="56" t="n">
        <v>4.4</v>
      </c>
      <c r="K135" s="56" t="inlineStr">
        <is>
          <t>https://amazon.com/dp/B0BNT2KGQ6</t>
        </is>
      </c>
      <c r="L135" s="70">
        <f>HYPERLINK(Table4880[[#This Row],[Column1]])</f>
        <v/>
      </c>
    </row>
    <row r="136" ht="45" customHeight="1" s="290">
      <c r="A136" s="30" t="inlineStr">
        <is>
          <t>TOPDON 3-in-1 USB OBD2 Adapter for FORScan, High-Speed Enhanced J2534 VCI for GM/Ford/Chrysler, J2534 Pass-Thru OEM Functions and Diagnostic Tool, for J2534/CAN FD, RLink X3, No OE Software Provided</t>
        </is>
      </c>
      <c r="B136" s="30" t="inlineStr">
        <is>
          <t>B0G34SC1RP</t>
        </is>
      </c>
      <c r="C136" s="30" t="inlineStr">
        <is>
          <t>VCI</t>
        </is>
      </c>
      <c r="D136" s="324" t="n">
        <v>111.8627118644068</v>
      </c>
      <c r="E136" s="53" t="n">
        <v>96195.73846153844</v>
      </c>
      <c r="F136" s="53" t="n">
        <v>6599.9</v>
      </c>
      <c r="G136" s="55" t="n">
        <v>319</v>
      </c>
      <c r="H136" s="57" t="n">
        <v>59</v>
      </c>
      <c r="I136" s="55" t="n">
        <v>24</v>
      </c>
      <c r="J136" s="56" t="n">
        <v>4.9</v>
      </c>
      <c r="K136" s="56" t="inlineStr">
        <is>
          <t>https://amazon.com/dp/B0G34SC1RP</t>
        </is>
      </c>
      <c r="L136" s="70">
        <f>HYPERLINK(Table4880[[#This Row],[Column1]])</f>
        <v/>
      </c>
    </row>
    <row r="137" ht="45" customHeight="1" s="290">
      <c r="A137" s="30" t="inlineStr">
        <is>
          <t>TOPDON Phoenix Nano, 2026 New Bidirectional Scan Tool, FCA AutoAuth, CAN FD/DoIP Protocols, 32+ Special Functions, Full System Diagnostic, Free Updates for 2 Years</t>
        </is>
      </c>
      <c r="B137" s="30" t="inlineStr">
        <is>
          <t>B0D812Q21B</t>
        </is>
      </c>
      <c r="C137" s="30" t="inlineStr">
        <is>
          <t>Tablet</t>
        </is>
      </c>
      <c r="D137" s="324" t="n">
        <v>561.5688888888889</v>
      </c>
      <c r="E137" s="53" t="n">
        <v>467221.3800000001</v>
      </c>
      <c r="F137" s="53" t="n">
        <v>30324.72</v>
      </c>
      <c r="G137" s="55" t="n">
        <v>738</v>
      </c>
      <c r="H137" s="57" t="n">
        <v>54</v>
      </c>
      <c r="I137" s="55" t="n">
        <v>62</v>
      </c>
      <c r="J137" s="56" t="n">
        <v>4.4</v>
      </c>
      <c r="K137" s="56" t="inlineStr">
        <is>
          <t>https://amazon.com/dp/B0D812Q21B</t>
        </is>
      </c>
      <c r="L137" s="70">
        <f>HYPERLINK(Table4880[[#This Row],[Column1]])</f>
        <v/>
      </c>
    </row>
    <row r="138" ht="45" customHeight="1" s="290">
      <c r="A138" s="30" t="inlineStr">
        <is>
          <t>TOPDON ArtiDiag HD Heavy Duty Truck Scanner, Diesel Diagnostic Tool, Full System Truck Scanner for Cummins Detroit MaxxForce, 10 Reset Service, DPF Regen, Speed Limit Adjust Reset, 2 Years Free Update</t>
        </is>
      </c>
      <c r="B138" s="30" t="inlineStr">
        <is>
          <t>B0FSZPGN9X</t>
        </is>
      </c>
      <c r="C138" s="30" t="inlineStr">
        <is>
          <t>Tablet</t>
        </is>
      </c>
      <c r="D138" s="324" t="n">
        <v>724.2180000000001</v>
      </c>
      <c r="E138" s="53" t="n">
        <v>339964.9630769231</v>
      </c>
      <c r="F138" s="53" t="n">
        <v>36210.9</v>
      </c>
      <c r="G138" s="55" t="n">
        <v>140</v>
      </c>
      <c r="H138" s="57" t="n">
        <v>50</v>
      </c>
      <c r="I138" s="55" t="n">
        <v>4</v>
      </c>
      <c r="J138" s="56" t="n">
        <v>5</v>
      </c>
      <c r="K138" s="56" t="inlineStr">
        <is>
          <t>https://amazon.com/dp/B0FSZPGN9X</t>
        </is>
      </c>
      <c r="L138" s="70">
        <f>HYPERLINK(Table4880[[#This Row],[Column1]])</f>
        <v/>
      </c>
    </row>
    <row r="139" ht="45" customHeight="1" s="290">
      <c r="A139" s="30" t="inlineStr">
        <is>
          <t>TOPDON Phoenix Lite 2 Bidirectional Scan Tool, OBD2 Scanner, Function as AD900BT AD900 Lite, ECU Coding, Wireless Automotive Diagnostic Scanner, 34+ Reset Services, FCA AutoAuth, 2 Years Free Update</t>
        </is>
      </c>
      <c r="B139" s="30" t="inlineStr">
        <is>
          <t>B0B1MB6YG8</t>
        </is>
      </c>
      <c r="C139" s="30" t="inlineStr">
        <is>
          <t>Tablet</t>
        </is>
      </c>
      <c r="D139" s="324" t="n">
        <v>705.531875</v>
      </c>
      <c r="E139" s="53" t="n">
        <v>811100.7</v>
      </c>
      <c r="F139" s="53" t="n">
        <v>33865.53</v>
      </c>
      <c r="G139" s="55" t="n">
        <v>1086</v>
      </c>
      <c r="H139" s="57" t="n">
        <v>48</v>
      </c>
      <c r="I139" s="55" t="n">
        <v>376</v>
      </c>
      <c r="J139" s="56" t="n">
        <v>4.3</v>
      </c>
      <c r="K139" s="56" t="inlineStr">
        <is>
          <t>https://amazon.com/dp/B0B1MB6YG8</t>
        </is>
      </c>
      <c r="L139" s="70">
        <f>HYPERLINK(Table4880[[#This Row],[Column1]])</f>
        <v/>
      </c>
    </row>
    <row r="140" ht="45" customHeight="1" s="290">
      <c r="A140" s="30" t="inlineStr">
        <is>
          <t>Motorcycle Scanner Bluetooth TOPDON TopScan, Motorcycle Scan Tool Fits for Harley, Ducati, BMW &amp; Japan Brands, All Systems Motorbike Scanner Tool with Reset Functioan, Data Stream, AutoVIN</t>
        </is>
      </c>
      <c r="B140" s="30" t="inlineStr">
        <is>
          <t>B0CVVXX3HH</t>
        </is>
      </c>
      <c r="C140" s="30" t="inlineStr">
        <is>
          <t>Dongle</t>
        </is>
      </c>
      <c r="D140" s="324" t="n">
        <v>153.5236170212766</v>
      </c>
      <c r="E140" s="53" t="n">
        <v>83047.31</v>
      </c>
      <c r="F140" s="53" t="n">
        <v>7215.61</v>
      </c>
      <c r="G140" s="55" t="n">
        <v>466</v>
      </c>
      <c r="H140" s="57" t="n">
        <v>47</v>
      </c>
      <c r="I140" s="55" t="n">
        <v>68</v>
      </c>
      <c r="J140" s="56" t="n">
        <v>4.1</v>
      </c>
      <c r="K140" s="56" t="inlineStr">
        <is>
          <t>https://amazon.com/dp/B0CVVXX3HH</t>
        </is>
      </c>
      <c r="L140" s="70">
        <f>HYPERLINK(Table4880[[#This Row],[Column1]])</f>
        <v/>
      </c>
    </row>
    <row r="141" ht="45" customHeight="1" s="290">
      <c r="A141" s="30" t="inlineStr">
        <is>
          <t>TOPDON Phoenix Lite 3 OBD2 Scanner, Upgraded Scanner of Lite 2, Bidirectional Scan Tool with CAN-FD, Car Scanner Diagnostic Tool, 35+ Maintenance Resets, Topology Mapping, ECU Coding, FCA Autoauth</t>
        </is>
      </c>
      <c r="B141" s="30" t="inlineStr">
        <is>
          <t>B0DFLWDPK2</t>
        </is>
      </c>
      <c r="C141" s="30" t="inlineStr">
        <is>
          <t>Tablet</t>
        </is>
      </c>
      <c r="D141" s="324" t="n">
        <v>797.8936842105263</v>
      </c>
      <c r="E141" s="53" t="n">
        <v>354653.69</v>
      </c>
      <c r="F141" s="53" t="n">
        <v>30319.96</v>
      </c>
      <c r="G141" s="55" t="n">
        <v>409</v>
      </c>
      <c r="H141" s="57" t="n">
        <v>38</v>
      </c>
      <c r="I141" s="55" t="n">
        <v>18</v>
      </c>
      <c r="J141" s="56" t="n">
        <v>4.7</v>
      </c>
      <c r="K141" s="56" t="inlineStr">
        <is>
          <t>https://amazon.com/dp/B0DFLWDPK2</t>
        </is>
      </c>
      <c r="L141" s="70">
        <f>HYPERLINK(Table4880[[#This Row],[Column1]])</f>
        <v/>
      </c>
    </row>
    <row r="142" ht="45" customHeight="1" s="290">
      <c r="A142" s="30" t="inlineStr">
        <is>
          <t>TOPDON Phoenix Smart OBD2 Scanner, Bidirectional Scan Tool for 200+ Brands, Car Diagnostic Tool with ECU Programming Coding, CAN-FD &amp; DoIP, Topology Mapping &amp; ADAS Compatibility, 2 Years Free Update</t>
        </is>
      </c>
      <c r="B142" s="30" t="inlineStr">
        <is>
          <t>B09YQ1NQXD</t>
        </is>
      </c>
      <c r="C142" s="30" t="inlineStr">
        <is>
          <t>Tablet</t>
        </is>
      </c>
      <c r="D142" s="324" t="n">
        <v>2004.318125</v>
      </c>
      <c r="E142" s="53" t="n">
        <v>578580.98</v>
      </c>
      <c r="F142" s="53" t="n">
        <v>64138.18</v>
      </c>
      <c r="G142" s="55" t="n">
        <v>264</v>
      </c>
      <c r="H142" s="57" t="n">
        <v>32</v>
      </c>
      <c r="I142" s="55" t="n">
        <v>15</v>
      </c>
      <c r="J142" s="56" t="n">
        <v>4.5</v>
      </c>
      <c r="K142" s="56" t="inlineStr">
        <is>
          <t>https://amazon.com/dp/B09YQ1NQXD</t>
        </is>
      </c>
      <c r="L142" s="70">
        <f>HYPERLINK(Table4880[[#This Row],[Column1]])</f>
        <v/>
      </c>
    </row>
    <row r="143" ht="45" customHeight="1" s="290">
      <c r="A143" s="30" t="inlineStr">
        <is>
          <t>TOPDON Phoenix Plus 2 Bidirectional Scan Tool with Battery Tester, 2 Years Free Update, OE-Level Full Diagnosis, Topology Scanner, 40+ Reset Services, AutoAuth for FCA SGW</t>
        </is>
      </c>
      <c r="B143" s="30" t="inlineStr">
        <is>
          <t>B0B3JB2P5H</t>
        </is>
      </c>
      <c r="C143" s="30" t="inlineStr">
        <is>
          <t>Tablet</t>
        </is>
      </c>
      <c r="D143" s="324" t="n">
        <v>999.2054838709676</v>
      </c>
      <c r="E143" s="53" t="n">
        <v>563499.4999999999</v>
      </c>
      <c r="F143" s="53" t="n">
        <v>30975.37</v>
      </c>
      <c r="G143" s="55" t="n">
        <v>502</v>
      </c>
      <c r="H143" s="57" t="n">
        <v>31</v>
      </c>
      <c r="I143" s="55" t="n">
        <v>94</v>
      </c>
      <c r="J143" s="56" t="n">
        <v>4.3</v>
      </c>
      <c r="K143" s="56" t="inlineStr">
        <is>
          <t>https://amazon.com/dp/B0B3JB2P5H</t>
        </is>
      </c>
      <c r="L143" s="70">
        <f>HYPERLINK(Table4880[[#This Row],[Column1]])</f>
        <v/>
      </c>
    </row>
    <row r="144" ht="45" customHeight="1" s="290">
      <c r="A144" s="30" t="inlineStr">
        <is>
          <t>TOPDON J2534 VCI Tool, High-Speed EnhancedJ2534 VCI, J2534 Pass-Thru OEM Functions and Diagnostic Tool, Supports J2534/D-PDU/CAN-FD/DoIP, 8 Vehicle Brands Supported, RLink X7</t>
        </is>
      </c>
      <c r="B144" s="30" t="inlineStr">
        <is>
          <t>B0FS12V1XC</t>
        </is>
      </c>
      <c r="C144" s="30" t="inlineStr">
        <is>
          <t>VCI</t>
        </is>
      </c>
      <c r="D144" s="324" t="n">
        <v>176.4893333333333</v>
      </c>
      <c r="E144" s="53" t="n">
        <v>129345.0315384616</v>
      </c>
      <c r="F144" s="53" t="n">
        <v>5294.68</v>
      </c>
      <c r="G144" s="55" t="n">
        <v>548</v>
      </c>
      <c r="H144" s="57" t="n">
        <v>30</v>
      </c>
      <c r="I144" s="55" t="n">
        <v>31</v>
      </c>
      <c r="J144" s="56" t="n">
        <v>4.5</v>
      </c>
      <c r="K144" s="56" t="inlineStr">
        <is>
          <t>https://amazon.com/dp/B0FS12V1XC</t>
        </is>
      </c>
      <c r="L144" s="70">
        <f>HYPERLINK(Table4880[[#This Row],[Column1]])</f>
        <v/>
      </c>
    </row>
    <row r="145" ht="45" customHeight="1" s="290">
      <c r="A145" s="30" t="inlineStr">
        <is>
          <t>ArtiDiag600 Pro OBD2 Scanner Diagnostic Tool - TOPDON Automotive Scan Tool with Full Systems, Car Code Reader with 9 Reset Services for DIY &amp; Professional, Lifetime Free Update</t>
        </is>
      </c>
      <c r="B145" s="30" t="inlineStr">
        <is>
          <t>B0GDDWBY77</t>
        </is>
      </c>
      <c r="C145" s="30" t="inlineStr">
        <is>
          <t>Tablet</t>
        </is>
      </c>
      <c r="D145" s="324" t="n">
        <v>268.4875</v>
      </c>
      <c r="E145" s="53" t="n">
        <v>96118.5523076923</v>
      </c>
      <c r="F145" s="53" t="n">
        <v>7517.65</v>
      </c>
      <c r="G145" s="55" t="n">
        <v>97</v>
      </c>
      <c r="H145" s="57" t="n">
        <v>28</v>
      </c>
      <c r="I145" s="55" t="n">
        <v>9</v>
      </c>
      <c r="J145" s="56" t="n">
        <v>4.8</v>
      </c>
      <c r="K145" s="56" t="inlineStr">
        <is>
          <t>https://amazon.com/dp/B0GDDWBY77</t>
        </is>
      </c>
      <c r="L145" s="70">
        <f>HYPERLINK(Table4880[[#This Row],[Column1]])</f>
        <v/>
      </c>
    </row>
    <row r="146" ht="45" customHeight="1" s="290">
      <c r="A146" s="30" t="inlineStr">
        <is>
          <t>Motorcycle Scan Tool TOPDON TopScan Moto, All System Bidirectional Motorcycle Scanner for Harley, Duca ti, BMW &amp; Japan Brands, Reset Services Motorcycle Diagnostic Scanner, AutoVIN Diagnostic Tool</t>
        </is>
      </c>
      <c r="B146" s="30" t="inlineStr">
        <is>
          <t>B0DK98KF37</t>
        </is>
      </c>
      <c r="C146" s="30" t="inlineStr">
        <is>
          <t>Dongle</t>
        </is>
      </c>
      <c r="D146" s="324" t="n">
        <v>157.7347826086957</v>
      </c>
      <c r="E146" s="53" t="n">
        <v>56009.00000000001</v>
      </c>
      <c r="F146" s="53" t="n">
        <v>3627.9</v>
      </c>
      <c r="G146" s="55" t="n">
        <v>358</v>
      </c>
      <c r="H146" s="57" t="n">
        <v>23</v>
      </c>
      <c r="I146" s="55" t="n">
        <v>21</v>
      </c>
      <c r="J146" s="56" t="n">
        <v>4</v>
      </c>
      <c r="K146" s="56" t="inlineStr">
        <is>
          <t>https://amazon.com/dp/B0DK98KF37</t>
        </is>
      </c>
      <c r="L146" s="70">
        <f>HYPERLINK(Table4880[[#This Row],[Column1]])</f>
        <v/>
      </c>
    </row>
    <row r="147" ht="45" customHeight="1" s="290">
      <c r="A147" s="30" t="inlineStr">
        <is>
          <t>TOPDON ArtiDiag600 Elite, OBD2 Scanner, Full-System Car Diagnostic Tool, 13+ Services, FCA AutoAuth, Automotive Scan Tool with CAN-FD, 2-Years Free Updates, Upgraded of AD500 AD600S</t>
        </is>
      </c>
      <c r="B147" s="30" t="inlineStr">
        <is>
          <t>B0DT6CDWKK</t>
        </is>
      </c>
      <c r="C147" s="30" t="inlineStr">
        <is>
          <t>Tablet</t>
        </is>
      </c>
      <c r="D147" s="324" t="n">
        <v>315.952</v>
      </c>
      <c r="E147" s="53" t="n">
        <v>213500.31</v>
      </c>
      <c r="F147" s="53" t="n">
        <v>6319.04</v>
      </c>
      <c r="G147" s="55" t="n">
        <v>696</v>
      </c>
      <c r="H147" s="57" t="n">
        <v>20</v>
      </c>
      <c r="I147" s="55" t="n">
        <v>75</v>
      </c>
      <c r="J147" s="56" t="n">
        <v>4.5</v>
      </c>
      <c r="K147" s="56" t="inlineStr">
        <is>
          <t>https://amazon.com/dp/B0DT6CDWKK</t>
        </is>
      </c>
      <c r="L147" s="70">
        <f>HYPERLINK(Table4880[[#This Row],[Column1]])</f>
        <v/>
      </c>
    </row>
    <row r="148" ht="30" customHeight="1" s="290">
      <c r="A148" s="30" t="inlineStr">
        <is>
          <t>TOPDON Phoenix XLink Scanner, ECU Programming &amp; Coding Scan Tool, Topology Mapping, CAN-FD &amp; DoIP, Full System Bidirectional Scanner, 41+ Maintenance Services, V.A.G Guided, 2 Year Free Update</t>
        </is>
      </c>
      <c r="B148" s="30" t="inlineStr">
        <is>
          <t>B0D6YZT8Y5</t>
        </is>
      </c>
      <c r="C148" s="30" t="inlineStr">
        <is>
          <t>Tablet</t>
        </is>
      </c>
      <c r="D148" s="324" t="n">
        <v>1854.905384615385</v>
      </c>
      <c r="E148" s="53" t="n">
        <v>242454.49</v>
      </c>
      <c r="F148" s="53" t="n">
        <v>24113.77</v>
      </c>
      <c r="G148" s="55" t="n">
        <v>136</v>
      </c>
      <c r="H148" s="57" t="n">
        <v>13</v>
      </c>
      <c r="I148" s="55" t="n">
        <v>21</v>
      </c>
      <c r="J148" s="56" t="n">
        <v>3.8</v>
      </c>
      <c r="K148" s="56" t="inlineStr">
        <is>
          <t>https://amazon.com/dp/B0D6YZT8Y5</t>
        </is>
      </c>
      <c r="L148" s="70">
        <f>HYPERLINK(Table4880[[#This Row],[Column1]])</f>
        <v/>
      </c>
    </row>
    <row r="149" ht="45" customHeight="1" s="290">
      <c r="A149" s="30" t="inlineStr">
        <is>
          <t>TOPDON Phoenix XLink Scan Tool, ECU Programming, Online ECU Coding, Upgraded of Phoenix Plus, Topology Mapping, 41 Services, Bi-Directional Scanner, Guided Function, CAN FD/DoIP, 2 Years Free Update</t>
        </is>
      </c>
      <c r="B149" s="30" t="inlineStr">
        <is>
          <t>B0D2ZM4HL3</t>
        </is>
      </c>
      <c r="C149" s="30" t="inlineStr">
        <is>
          <t>Tablet</t>
        </is>
      </c>
      <c r="D149" s="324" t="n">
        <v>1719.97</v>
      </c>
      <c r="E149" s="53" t="n">
        <v>476515.6200000001</v>
      </c>
      <c r="F149" s="53" t="n">
        <v>15479.73</v>
      </c>
      <c r="G149" s="55" t="n">
        <v>272</v>
      </c>
      <c r="H149" s="57" t="n">
        <v>9</v>
      </c>
      <c r="I149" s="55" t="n">
        <v>427</v>
      </c>
      <c r="J149" s="56" t="n">
        <v>4.2</v>
      </c>
      <c r="K149" s="56" t="inlineStr">
        <is>
          <t>https://amazon.com/dp/B0D2ZM4HL3</t>
        </is>
      </c>
      <c r="L149" s="70">
        <f>HYPERLINK(Table4880[[#This Row],[Column1]])</f>
        <v/>
      </c>
    </row>
    <row r="150" ht="45" customHeight="1" s="290">
      <c r="A150" s="30" t="inlineStr">
        <is>
          <t>TOPDON Phoenix Plus Scanner, OE-Level ECU Coding Scan Tool with Bidirectional Control, Topology Map, All System, 41+ Services, FCA SGW AutoAuth, V.A.G Guided, 2-Years Free Update, Module Configuration</t>
        </is>
      </c>
      <c r="B150" s="30" t="inlineStr">
        <is>
          <t>B0G4LXJB4V</t>
        </is>
      </c>
      <c r="C150" s="30" t="inlineStr">
        <is>
          <t>Tablet</t>
        </is>
      </c>
      <c r="D150" s="324" t="n">
        <v>1086.414</v>
      </c>
      <c r="E150" s="53" t="n">
        <v>106118.2176923077</v>
      </c>
      <c r="F150" s="53" t="n">
        <v>5432.07</v>
      </c>
      <c r="G150" s="55" t="n">
        <v>69</v>
      </c>
      <c r="H150" s="57" t="n">
        <v>5</v>
      </c>
      <c r="I150" s="55" t="n">
        <v>2</v>
      </c>
      <c r="J150" s="56" t="n">
        <v>5</v>
      </c>
      <c r="K150" s="56" t="inlineStr">
        <is>
          <t>https://amazon.com/dp/B0G4LXJB4V</t>
        </is>
      </c>
      <c r="L150" s="70">
        <f>HYPERLINK(Table4880[[#This Row],[Column1]])</f>
        <v/>
      </c>
    </row>
    <row r="151" ht="45" customHeight="1" s="290">
      <c r="A151" s="30" t="inlineStr">
        <is>
          <t>TOPDON Phoenix XLink 2025 New Gen Scan Tool, ECU Program ming/Online Coding, Topology Mapping/New CAN Bus/DoIP, Bidirectional Scanner, 41+ Service, V.A.G Guided, Diagnostic Tool for All Vehicles</t>
        </is>
      </c>
      <c r="B151" s="30" t="inlineStr">
        <is>
          <t>B0DT8JCQ5G</t>
        </is>
      </c>
      <c r="C151" s="30" t="inlineStr">
        <is>
          <t>Tablet</t>
        </is>
      </c>
      <c r="D151" s="324" t="n">
        <v>1427.788</v>
      </c>
      <c r="E151" s="53" t="n">
        <v>158064.24</v>
      </c>
      <c r="F151" s="53" t="n">
        <v>7138.94</v>
      </c>
      <c r="G151" s="55" t="n">
        <v>93</v>
      </c>
      <c r="H151" s="57" t="n">
        <v>5</v>
      </c>
      <c r="I151" s="55" t="n">
        <v>39</v>
      </c>
      <c r="J151" s="56" t="n">
        <v>4.4</v>
      </c>
      <c r="K151" s="56" t="inlineStr">
        <is>
          <t>https://amazon.com/dp/B0DT8JCQ5G</t>
        </is>
      </c>
      <c r="L151" s="70">
        <f>HYPERLINK(Table4880[[#This Row],[Column1]])</f>
        <v/>
      </c>
    </row>
    <row r="152" ht="30" customHeight="1" s="290">
      <c r="A152" s="30" t="inlineStr">
        <is>
          <t>TOPDON USA - Phoenix MAX W/Scope KIT</t>
        </is>
      </c>
      <c r="B152" s="30" t="inlineStr">
        <is>
          <t>B0FC2Y5BK9</t>
        </is>
      </c>
      <c r="C152" s="30" t="inlineStr">
        <is>
          <t>Tablet</t>
        </is>
      </c>
      <c r="D152" s="324" t="n">
        <v>3577.356</v>
      </c>
      <c r="E152" s="53" t="n">
        <v>386005.5715384615</v>
      </c>
      <c r="F152" s="53" t="n">
        <v>17886.78</v>
      </c>
      <c r="G152" s="55" t="n">
        <v>93</v>
      </c>
      <c r="H152" s="57" t="n">
        <v>5</v>
      </c>
      <c r="I152" s="55" t="n"/>
      <c r="J152" s="56" t="n"/>
      <c r="K152" s="56" t="inlineStr">
        <is>
          <t>https://amazon.com/dp/B0FC2Y5BK9</t>
        </is>
      </c>
      <c r="L152" s="70">
        <f>HYPERLINK(Table4880[[#This Row],[Column1]])</f>
        <v/>
      </c>
    </row>
    <row r="153" ht="60" customHeight="1" s="290">
      <c r="A153" s="30" t="inlineStr">
        <is>
          <t>TOPDON 1</t>
        </is>
      </c>
      <c r="B153" s="30" t="inlineStr">
        <is>
          <t>B0D5J15WGL</t>
        </is>
      </c>
      <c r="C153" s="30" t="inlineStr">
        <is>
          <t>Dongle</t>
        </is>
      </c>
      <c r="D153" s="324" t="n">
        <v>75.435</v>
      </c>
      <c r="E153" s="53" t="n">
        <v>3610.54</v>
      </c>
      <c r="F153" s="53" t="n">
        <v>150.87</v>
      </c>
      <c r="G153" s="55" t="n">
        <v>41</v>
      </c>
      <c r="H153" s="57" t="n">
        <v>2</v>
      </c>
      <c r="I153" s="55" t="n">
        <v>35</v>
      </c>
      <c r="J153" s="56" t="n">
        <v>4.3</v>
      </c>
      <c r="K153" s="56" t="inlineStr">
        <is>
          <t>https://amazon.com/dp/B0D5J15WGL</t>
        </is>
      </c>
      <c r="L153" s="70">
        <f>HYPERLINK(Table4880[[#This Row],[Column1]])</f>
        <v/>
      </c>
    </row>
    <row r="154" ht="30" customHeight="1" s="290">
      <c r="A154" s="30" t="inlineStr">
        <is>
          <t>TOPDON Round 10 Pin Connector to 16 Pin Adapter Compatible with BMW Motorcycles</t>
        </is>
      </c>
      <c r="B154" s="30" t="inlineStr">
        <is>
          <t>B0CXD91FGV</t>
        </is>
      </c>
      <c r="C154" s="30" t="inlineStr">
        <is>
          <t>Cable/Adapter</t>
        </is>
      </c>
      <c r="D154" s="324" t="n">
        <v>21.645</v>
      </c>
      <c r="E154" s="53" t="n">
        <v>212.46</v>
      </c>
      <c r="F154" s="53" t="n">
        <v>43.29</v>
      </c>
      <c r="G154" s="55" t="n">
        <v>8</v>
      </c>
      <c r="H154" s="57" t="n">
        <v>2</v>
      </c>
      <c r="I154" s="55" t="n">
        <v>3</v>
      </c>
      <c r="J154" s="56" t="n">
        <v>5</v>
      </c>
      <c r="K154" s="56" t="inlineStr">
        <is>
          <t>https://amazon.com/dp/B0CXD91FGV</t>
        </is>
      </c>
      <c r="L154" s="70">
        <f>HYPERLINK(Table4880[[#This Row],[Column1]])</f>
        <v/>
      </c>
    </row>
    <row r="155" ht="30" customHeight="1" s="290">
      <c r="A155" s="30" t="inlineStr">
        <is>
          <t>TOPDON USA - ARTIDIAG EU 4-INCH SCAN Tool for Euro Vehicles EC</t>
        </is>
      </c>
      <c r="B155" s="30" t="inlineStr">
        <is>
          <t>B0FJF8QWTR</t>
        </is>
      </c>
      <c r="C155" s="30" t="inlineStr">
        <is>
          <t>Handheld</t>
        </is>
      </c>
      <c r="D155" s="324" t="n">
        <v>119.27</v>
      </c>
      <c r="E155" s="53" t="n">
        <v>2233.733846153846</v>
      </c>
      <c r="F155" s="53" t="n">
        <v>119.27</v>
      </c>
      <c r="G155" s="55" t="n">
        <v>6</v>
      </c>
      <c r="H155" s="57" t="n">
        <v>1</v>
      </c>
      <c r="I155" s="55" t="n">
        <v>1</v>
      </c>
      <c r="J155" s="56" t="n">
        <v>1</v>
      </c>
      <c r="K155" s="56" t="inlineStr">
        <is>
          <t>https://amazon.com/dp/B0FJF8QWTR</t>
        </is>
      </c>
      <c r="L155" s="70">
        <f>HYPERLINK(Table4880[[#This Row],[Column1]])</f>
        <v/>
      </c>
    </row>
    <row r="156" ht="30" customHeight="1" s="290">
      <c r="A156" s="30" t="inlineStr">
        <is>
          <t>Topdon ArtiLink500 - Code Reader - 10 OBDII Modes &amp; Data Graphing</t>
        </is>
      </c>
      <c r="B156" s="30" t="inlineStr">
        <is>
          <t>B08MZWBN33</t>
        </is>
      </c>
      <c r="C156" s="30" t="inlineStr">
        <is>
          <t>Handheld</t>
        </is>
      </c>
      <c r="D156" s="324" t="n">
        <v>63.92</v>
      </c>
      <c r="E156" s="53" t="n">
        <v>63.92</v>
      </c>
      <c r="F156" s="53" t="n">
        <v>63.92</v>
      </c>
      <c r="G156" s="55" t="n">
        <v>1</v>
      </c>
      <c r="H156" s="57" t="n">
        <v>1</v>
      </c>
      <c r="I156" s="55" t="n">
        <v>774</v>
      </c>
      <c r="J156" s="56" t="n">
        <v>4</v>
      </c>
      <c r="K156" s="56" t="inlineStr">
        <is>
          <t>https://amazon.com/dp/B08MZWBN33</t>
        </is>
      </c>
      <c r="L156" s="70">
        <f>HYPERLINK(Table4880[[#This Row],[Column1]])</f>
        <v/>
      </c>
    </row>
    <row r="157" ht="45" customHeight="1" s="290">
      <c r="A157" s="30" t="inlineStr">
        <is>
          <t>TOPDON RLink Lite J2534 Pass-Thru Programmer, Enhanced VCI</t>
        </is>
      </c>
      <c r="B157" s="30" t="inlineStr">
        <is>
          <t>B0CZHMH149</t>
        </is>
      </c>
      <c r="C157" s="30" t="inlineStr">
        <is>
          <t>Handheld</t>
        </is>
      </c>
      <c r="D157" s="324" t="n">
        <v>697.3099999999999</v>
      </c>
      <c r="E157" s="53" t="n">
        <v>19496.52</v>
      </c>
      <c r="F157" s="53" t="n">
        <v>0</v>
      </c>
      <c r="G157" s="55" t="n">
        <v>21</v>
      </c>
      <c r="H157" s="57" t="n">
        <v>0</v>
      </c>
      <c r="I157" s="55" t="n">
        <v>5</v>
      </c>
      <c r="J157" s="56" t="n">
        <v>4</v>
      </c>
      <c r="K157" s="56" t="inlineStr">
        <is>
          <t>https://amazon.com/dp/B0CZHMH149</t>
        </is>
      </c>
      <c r="L157" s="70">
        <f>HYPERLINK(Table4880[[#This Row],[Column1]])</f>
        <v/>
      </c>
    </row>
    <row r="158" ht="30" customHeight="1" s="290">
      <c r="A158" s="30" t="inlineStr">
        <is>
          <t>Elite Phoenix by TOPDON</t>
        </is>
      </c>
      <c r="B158" s="30" t="inlineStr">
        <is>
          <t>B09WD74CHH</t>
        </is>
      </c>
      <c r="C158" s="30" t="inlineStr">
        <is>
          <t>Tablet</t>
        </is>
      </c>
      <c r="D158" s="324" t="n">
        <v>1649.06</v>
      </c>
      <c r="E158" s="53" t="n">
        <v>8880.24</v>
      </c>
      <c r="F158" s="53" t="n">
        <v>0</v>
      </c>
      <c r="G158" s="55" t="n">
        <v>6</v>
      </c>
      <c r="H158" s="57" t="n">
        <v>0</v>
      </c>
      <c r="I158" s="55" t="n">
        <v>2</v>
      </c>
      <c r="J158" s="56" t="n">
        <v>5</v>
      </c>
      <c r="K158" s="56" t="inlineStr">
        <is>
          <t>https://amazon.com/dp/B09WD74CHH</t>
        </is>
      </c>
      <c r="L158" s="70">
        <f>HYPERLINK(Table4880[[#This Row],[Column1]])</f>
        <v/>
      </c>
    </row>
    <row r="159" ht="30" customHeight="1" s="290">
      <c r="A159" s="30" t="inlineStr">
        <is>
          <t>TOPDON USA - Pocket-Size Bluetooth SCAN Tool W/BI-Directional C</t>
        </is>
      </c>
      <c r="B159" s="30" t="inlineStr">
        <is>
          <t>B0DFM66VTZ</t>
        </is>
      </c>
      <c r="C159" s="30" t="inlineStr">
        <is>
          <t>Dongle</t>
        </is>
      </c>
      <c r="D159" s="324" t="n">
        <v>75.33</v>
      </c>
      <c r="E159" s="53" t="n">
        <v>0</v>
      </c>
      <c r="F159" s="53" t="n">
        <v>0</v>
      </c>
      <c r="G159" s="55" t="n">
        <v>0</v>
      </c>
      <c r="H159" s="57" t="n">
        <v>0</v>
      </c>
      <c r="I159" s="55" t="n"/>
      <c r="J159" s="56" t="n"/>
      <c r="K159" s="56" t="inlineStr">
        <is>
          <t>https://amazon.com/dp/B0DFM66VTZ</t>
        </is>
      </c>
      <c r="L159" s="70">
        <f>HYPERLINK(Table4880[[#This Row],[Column1]])</f>
        <v/>
      </c>
    </row>
    <row r="160" ht="45" customHeight="1" s="290">
      <c r="A160" s="30" t="inlineStr">
        <is>
          <t>TOPDON USA - 13.3 OE-Level SCAN Tool Docking Station Cloud-B</t>
        </is>
      </c>
      <c r="B160" s="30" t="inlineStr">
        <is>
          <t>B0FC33DQD9</t>
        </is>
      </c>
      <c r="C160" s="30" t="inlineStr">
        <is>
          <t>Tablet</t>
        </is>
      </c>
      <c r="D160" s="324" t="n">
        <v>2671.073333333333</v>
      </c>
      <c r="E160" s="53" t="n">
        <v>47677.78</v>
      </c>
      <c r="F160" s="53" t="n">
        <v>0</v>
      </c>
      <c r="G160" s="55" t="n">
        <v>14</v>
      </c>
      <c r="H160" s="57" t="n">
        <v>0</v>
      </c>
      <c r="I160" s="55" t="n"/>
      <c r="J160" s="56" t="n"/>
      <c r="K160" s="56" t="inlineStr">
        <is>
          <t>https://amazon.com/dp/B0FC33DQD9</t>
        </is>
      </c>
      <c r="L160" s="70">
        <f>HYPERLINK(Table4880[[#This Row],[Column1]])</f>
        <v/>
      </c>
    </row>
    <row r="161" ht="45" customHeight="1" s="290">
      <c r="A161" s="30" t="inlineStr">
        <is>
          <t>TOPDON AL400 OBD2 Scanner, Full OBDII Code Reader, Check Engine Light Scan Tool, Car Scanner with DTC Lookup, Clear Codes, Freeze Frame, One-Click I/M, Diagnostic Scanner for DIYers, Lifetime Update</t>
        </is>
      </c>
      <c r="B161" s="30" t="inlineStr">
        <is>
          <t>B0D5HBK8TD</t>
        </is>
      </c>
      <c r="C161" s="30" t="inlineStr">
        <is>
          <t>Handheld</t>
        </is>
      </c>
      <c r="D161" s="324" t="n">
        <v>29.99</v>
      </c>
      <c r="E161" s="53" t="n">
        <v>692.14</v>
      </c>
      <c r="F161" s="53" t="n">
        <v>0</v>
      </c>
      <c r="G161" s="55" t="n">
        <v>20</v>
      </c>
      <c r="H161" s="57" t="n">
        <v>0</v>
      </c>
      <c r="I161" s="55" t="n">
        <v>4</v>
      </c>
      <c r="J161" s="56" t="n">
        <v>4.5</v>
      </c>
      <c r="K161" s="56" t="inlineStr">
        <is>
          <t>https://amazon.com/dp/B0D5HBK8TD</t>
        </is>
      </c>
      <c r="L161" s="70">
        <f>HYPERLINK(Table4880[[#This Row],[Column1]])</f>
        <v/>
      </c>
    </row>
    <row r="162" ht="45" customHeight="1" s="290">
      <c r="A162" s="30" t="inlineStr">
        <is>
          <t>TOPDON USA - 2-in-1 Code Reader Battery Tester W/Data GRAPHIN</t>
        </is>
      </c>
      <c r="B162" s="30" t="inlineStr">
        <is>
          <t>B0CP8VYGHW</t>
        </is>
      </c>
      <c r="C162" s="30" t="inlineStr">
        <is>
          <t>Tablet</t>
        </is>
      </c>
      <c r="D162" s="324" t="n">
        <v>82.11</v>
      </c>
      <c r="E162" s="53" t="n">
        <v>0</v>
      </c>
      <c r="F162" s="53" t="n">
        <v>0</v>
      </c>
      <c r="G162" s="55" t="n">
        <v>0</v>
      </c>
      <c r="H162" s="57" t="n">
        <v>0</v>
      </c>
      <c r="I162" s="55" t="n">
        <v>1</v>
      </c>
      <c r="J162" s="56" t="n">
        <v>1</v>
      </c>
      <c r="K162" s="56" t="inlineStr">
        <is>
          <t>https://amazon.com/dp/B0CP8VYGHW</t>
        </is>
      </c>
      <c r="L162" s="70">
        <f>HYPERLINK(Table4880[[#This Row],[Column1]])</f>
        <v/>
      </c>
    </row>
    <row r="163" ht="30" customHeight="1" s="290">
      <c r="A163" s="30" t="inlineStr">
        <is>
          <t>TOPDON USA - Code Reader - 2.4 Screen Data GRAPHING</t>
        </is>
      </c>
      <c r="B163" s="30" t="inlineStr">
        <is>
          <t>B09XD1FGWM</t>
        </is>
      </c>
      <c r="C163" s="30" t="inlineStr">
        <is>
          <t>Handheld</t>
        </is>
      </c>
      <c r="D163" s="324" t="n">
        <v>54.47</v>
      </c>
      <c r="E163" s="53" t="n">
        <v>273.78</v>
      </c>
      <c r="F163" s="53" t="n">
        <v>0</v>
      </c>
      <c r="G163" s="55" t="n">
        <v>6</v>
      </c>
      <c r="H163" s="57" t="n">
        <v>0</v>
      </c>
      <c r="I163" s="55" t="n">
        <v>1216</v>
      </c>
      <c r="J163" s="56" t="n">
        <v>4.1</v>
      </c>
      <c r="K163" s="56" t="inlineStr">
        <is>
          <t>https://amazon.com/dp/B09XD1FGWM</t>
        </is>
      </c>
      <c r="L163" s="70">
        <f>HYPERLINK(Table4880[[#This Row],[Column1]])</f>
        <v/>
      </c>
    </row>
    <row r="164" ht="30" customHeight="1" s="290">
      <c r="A164" s="30" t="inlineStr">
        <is>
          <t>TOPDON USA - Phoenix MAX/Smart ONE-Year Update Passenger CAR</t>
        </is>
      </c>
      <c r="B164" s="30" t="inlineStr">
        <is>
          <t>B0CY5LZRWK</t>
        </is>
      </c>
      <c r="C164" s="30" t="inlineStr">
        <is>
          <t>Tablet</t>
        </is>
      </c>
      <c r="D164" s="324" t="n">
        <v>699.99</v>
      </c>
      <c r="E164" s="53" t="n">
        <v>4616.35</v>
      </c>
      <c r="F164" s="53" t="n">
        <v>0</v>
      </c>
      <c r="G164" s="55" t="n">
        <v>6</v>
      </c>
      <c r="H164" s="57" t="n">
        <v>0</v>
      </c>
      <c r="I164" s="55" t="n">
        <v>2</v>
      </c>
      <c r="J164" s="56" t="n">
        <v>5</v>
      </c>
      <c r="K164" s="56" t="inlineStr">
        <is>
          <t>https://amazon.com/dp/B0CY5LZRWK</t>
        </is>
      </c>
      <c r="L164" s="70">
        <f>HYPERLINK(Table4880[[#This Row],[Column1]])</f>
        <v/>
      </c>
    </row>
    <row r="165" ht="30" customHeight="1" s="290">
      <c r="A165" s="30" t="inlineStr">
        <is>
          <t>TOPDON Phoenix Lite 2 Multi-Brand Car Diagnostic Tool for All Systems, ECU Coding, 34+ Maintenance Service, Bidirectional Control, Guided V.A.G</t>
        </is>
      </c>
      <c r="B165" s="30" t="inlineStr">
        <is>
          <t>B0B63J5MDJ</t>
        </is>
      </c>
      <c r="C165" s="30" t="inlineStr">
        <is>
          <t>Tablet</t>
        </is>
      </c>
      <c r="D165" s="324" t="n">
        <v>763.1799999999999</v>
      </c>
      <c r="E165" s="53" t="n">
        <v>2258.66</v>
      </c>
      <c r="F165" s="53" t="n">
        <v>0</v>
      </c>
      <c r="G165" s="55" t="n">
        <v>4</v>
      </c>
      <c r="H165" s="57" t="n">
        <v>0</v>
      </c>
      <c r="I165" s="55" t="n">
        <v>113</v>
      </c>
      <c r="J165" s="56" t="n">
        <v>4.2</v>
      </c>
      <c r="K165" s="56" t="inlineStr">
        <is>
          <t>https://amazon.com/dp/B0B63J5MDJ</t>
        </is>
      </c>
      <c r="L165" s="70">
        <f>HYPERLINK(Table4880[[#This Row],[Column1]])</f>
        <v/>
      </c>
    </row>
    <row r="166" ht="30" customHeight="1" s="290">
      <c r="A166" s="30" t="n"/>
      <c r="B166" s="30" t="n"/>
      <c r="C166" s="30" t="n"/>
      <c r="D166" s="324" t="n"/>
      <c r="E166" s="53" t="n"/>
      <c r="F166" s="53" t="n"/>
      <c r="G166" s="55" t="n"/>
      <c r="H166" s="57" t="n"/>
      <c r="I166" s="55" t="n"/>
      <c r="J166" s="56" t="n"/>
      <c r="K166" s="56" t="n"/>
      <c r="L166" s="70">
        <f>HYPERLINK(Table4880[[#This Row],[Column1]])</f>
        <v/>
      </c>
    </row>
    <row r="167" ht="30" customHeight="1" s="290">
      <c r="A167" s="30" t="n"/>
      <c r="B167" s="30" t="n"/>
      <c r="C167" s="30" t="n"/>
      <c r="D167" s="324" t="n"/>
      <c r="E167" s="53" t="n"/>
      <c r="F167" s="53" t="n"/>
      <c r="G167" s="55" t="n"/>
      <c r="H167" s="57" t="n"/>
      <c r="I167" s="55" t="n"/>
      <c r="J167" s="56" t="n"/>
      <c r="K167" s="56" t="n"/>
      <c r="L167" s="70">
        <f>HYPERLINK(Table4880[[#This Row],[Column1]])</f>
        <v/>
      </c>
    </row>
    <row r="168" ht="30" customHeight="1" s="290">
      <c r="A168" s="30" t="n"/>
      <c r="B168" s="30" t="n"/>
      <c r="C168" s="30" t="n"/>
      <c r="D168" s="324" t="n"/>
      <c r="E168" s="53" t="n"/>
      <c r="F168" s="53" t="n"/>
      <c r="G168" s="55" t="n"/>
      <c r="H168" s="57" t="n"/>
      <c r="I168" s="55" t="n"/>
      <c r="J168" s="56" t="n"/>
      <c r="K168" s="56" t="n"/>
      <c r="L168" s="70">
        <f>HYPERLINK(Table4880[[#This Row],[Column1]])</f>
        <v/>
      </c>
    </row>
    <row r="169" ht="45" customHeight="1" s="290">
      <c r="A169" s="30" t="n"/>
      <c r="B169" s="30" t="n"/>
      <c r="C169" s="30" t="n"/>
      <c r="D169" s="324" t="n"/>
      <c r="E169" s="53" t="n"/>
      <c r="F169" s="53" t="n"/>
      <c r="G169" s="55" t="n"/>
      <c r="H169" s="57" t="n"/>
      <c r="I169" s="55" t="n"/>
      <c r="J169" s="56" t="n"/>
      <c r="K169" s="56" t="n"/>
      <c r="L169" s="70">
        <f>HYPERLINK(Table4880[[#This Row],[Column1]])</f>
        <v/>
      </c>
    </row>
    <row r="170" ht="17" customHeight="1" s="290">
      <c r="A170" s="33" t="inlineStr">
        <is>
          <t>Total</t>
        </is>
      </c>
      <c r="B170" s="33" t="n"/>
      <c r="C170" s="327" t="n"/>
      <c r="D170" s="72" t="n"/>
      <c r="E170" s="72" t="n"/>
      <c r="F170" s="72" t="n"/>
      <c r="G170" s="73">
        <f>SUM(G113:G169)</f>
        <v/>
      </c>
      <c r="H170" s="73">
        <f>SUM(H113:H169)</f>
        <v/>
      </c>
      <c r="I170" s="73" t="n"/>
      <c r="J170" s="74" t="n"/>
      <c r="K170" s="33" t="n"/>
      <c r="L170" s="32" t="n"/>
    </row>
    <row r="171">
      <c r="E171" s="296" t="n"/>
    </row>
  </sheetData>
  <mergeCells count="3">
    <mergeCell ref="A111:L111"/>
    <mergeCell ref="A1:M5"/>
    <mergeCell ref="A49:L49"/>
  </mergeCells>
  <conditionalFormatting sqref="C8:M17">
    <cfRule type="expression" priority="1" dxfId="30">
      <formula>C8&lt;0</formula>
    </cfRule>
  </conditionalFormatting>
  <pageMargins left="0.7" right="0.7" top="0.75" bottom="0.75" header="0.3" footer="0.3"/>
  <drawing xmlns:r="http://schemas.openxmlformats.org/officeDocument/2006/relationships" r:id="rId1"/>
  <tableParts count="2">
    <tablePart xmlns:r="http://schemas.openxmlformats.org/officeDocument/2006/relationships" r:id="rId2"/>
    <tablePart xmlns:r="http://schemas.openxmlformats.org/officeDocument/2006/relationships" r:id="rId3"/>
  </tableParts>
</worksheet>
</file>

<file path=xl/worksheets/sheet18.xml><?xml version="1.0" encoding="utf-8"?>
<worksheet xmlns="http://schemas.openxmlformats.org/spreadsheetml/2006/main">
  <sheetPr>
    <outlinePr summaryBelow="1" summaryRight="1"/>
    <pageSetUpPr/>
  </sheetPr>
  <dimension ref="A1:Q101"/>
  <sheetViews>
    <sheetView zoomScaleNormal="100" workbookViewId="0">
      <selection activeCell="L36" sqref="L36"/>
    </sheetView>
  </sheetViews>
  <sheetFormatPr baseColWidth="10" defaultColWidth="10.83203125" defaultRowHeight="16"/>
  <cols>
    <col width="50.6640625" customWidth="1" style="284" min="1" max="1"/>
    <col width="12.6640625" customWidth="1" style="284" min="2" max="2"/>
    <col width="12.6640625" customWidth="1" style="320" min="3" max="3"/>
    <col width="11.1640625" customWidth="1" style="296" min="4" max="4"/>
    <col width="24.83203125" bestFit="1" customWidth="1" style="284" min="5" max="5"/>
    <col width="17.6640625" bestFit="1" customWidth="1" style="286" min="6" max="6"/>
    <col width="21.6640625" bestFit="1" customWidth="1" style="286" min="7" max="7"/>
    <col width="19.1640625" bestFit="1" customWidth="1" style="286" min="8" max="8"/>
    <col width="13.5" bestFit="1" customWidth="1" style="287" min="9" max="9"/>
    <col width="13" bestFit="1" customWidth="1" style="284" min="10" max="10"/>
    <col hidden="1" width="18.1640625" customWidth="1" style="284" min="11" max="11"/>
    <col width="35.6640625" customWidth="1" style="284" min="12" max="12"/>
    <col width="15.6640625" customWidth="1" style="284" min="13" max="13"/>
    <col width="10.83203125" customWidth="1" style="284" min="14" max="16384"/>
  </cols>
  <sheetData>
    <row r="1">
      <c r="A1" s="282" t="inlineStr">
        <is>
          <t>Thinkcar Monthly Summary</t>
        </is>
      </c>
    </row>
    <row r="2"/>
    <row r="3"/>
    <row r="4"/>
    <row r="5"/>
    <row r="6">
      <c r="A6" s="29" t="n"/>
      <c r="B6" s="29" t="n"/>
      <c r="C6" s="321" t="n"/>
      <c r="D6" s="47" t="n"/>
      <c r="E6" s="48" t="n"/>
      <c r="F6" s="48" t="n"/>
      <c r="G6" s="48" t="n"/>
      <c r="H6" s="48" t="n"/>
      <c r="I6" s="49" t="n"/>
      <c r="J6" s="50" t="n"/>
    </row>
    <row r="7" ht="32" customHeight="1" s="290">
      <c r="A7" s="80" t="n"/>
      <c r="B7" s="81" t="inlineStr">
        <is>
          <t>Avg Price</t>
        </is>
      </c>
      <c r="C7" s="81" t="inlineStr">
        <is>
          <t>Avg Price MoM</t>
        </is>
      </c>
      <c r="D7" s="82" t="inlineStr">
        <is>
          <t>Avg Price YoY</t>
        </is>
      </c>
      <c r="E7" s="81" t="inlineStr">
        <is>
          <t>Quantity/Mo</t>
        </is>
      </c>
      <c r="F7" s="84" t="inlineStr">
        <is>
          <t>Qty by %</t>
        </is>
      </c>
      <c r="G7" s="84" t="inlineStr">
        <is>
          <t>Qty MoM</t>
        </is>
      </c>
      <c r="H7" s="82" t="inlineStr">
        <is>
          <t>Qty YoY</t>
        </is>
      </c>
      <c r="I7" s="309" t="inlineStr">
        <is>
          <t>Revenue/Mo</t>
        </is>
      </c>
      <c r="J7" s="126" t="inlineStr">
        <is>
          <t>Revenue by %</t>
        </is>
      </c>
      <c r="K7" s="173" t="n"/>
      <c r="L7" s="126" t="inlineStr">
        <is>
          <t>Revenue MoM</t>
        </is>
      </c>
      <c r="M7" s="310" t="inlineStr">
        <is>
          <t>Revenue YoY</t>
        </is>
      </c>
      <c r="N7" s="286" t="n"/>
      <c r="O7" s="286" t="n"/>
      <c r="P7" s="49" t="n"/>
      <c r="Q7" s="50" t="n"/>
    </row>
    <row r="8">
      <c r="A8" s="93" t="inlineStr">
        <is>
          <t>Tablet $400-$800</t>
        </is>
      </c>
      <c r="B8" s="298" t="n">
        <v>501.4552621359223</v>
      </c>
      <c r="C8" s="270" t="n">
        <v>0.008809824018744639</v>
      </c>
      <c r="D8" s="271" t="n">
        <v>-0.2039994823271177</v>
      </c>
      <c r="E8" s="269" t="n">
        <v>1030</v>
      </c>
      <c r="F8" s="270" t="n">
        <v>0.3378156772712365</v>
      </c>
      <c r="G8" s="270" t="n">
        <v>-0.0636363636363636</v>
      </c>
      <c r="H8" s="271" t="n">
        <v>1.356979405034325</v>
      </c>
      <c r="I8" s="95" t="n">
        <v>516498.92</v>
      </c>
      <c r="J8" s="128" t="n">
        <v>0.6125421329655875</v>
      </c>
      <c r="K8" s="169" t="n"/>
      <c r="L8" s="169" t="n">
        <v>-0.0553871647824481</v>
      </c>
      <c r="M8" s="169" t="n">
        <v>0.8761568265516448</v>
      </c>
      <c r="N8" s="286" t="n"/>
      <c r="O8" s="286" t="n"/>
      <c r="P8" s="49" t="n"/>
      <c r="Q8" s="50" t="n"/>
    </row>
    <row r="9">
      <c r="A9" s="96" t="inlineStr">
        <is>
          <t>Tablet $400-</t>
        </is>
      </c>
      <c r="B9" s="299" t="n">
        <v>234.4576618229855</v>
      </c>
      <c r="C9" s="274" t="n">
        <v>-0.06854551789470642</v>
      </c>
      <c r="D9" s="275" t="n">
        <v>0.06776882881202839</v>
      </c>
      <c r="E9" s="273" t="n">
        <v>757</v>
      </c>
      <c r="F9" s="274" t="n">
        <v>0.2482781239750738</v>
      </c>
      <c r="G9" s="274" t="n">
        <v>0.06171107994389913</v>
      </c>
      <c r="H9" s="275" t="n">
        <v>7.228260869565217</v>
      </c>
      <c r="I9" s="98" t="n">
        <v>177484.45</v>
      </c>
      <c r="J9" s="127" t="n">
        <v>0.2104877655334191</v>
      </c>
      <c r="K9" s="171" t="n"/>
      <c r="L9" s="171" t="n">
        <v>-0.0110644558854035</v>
      </c>
      <c r="M9" s="171" t="n">
        <v>7.785880471855494</v>
      </c>
      <c r="N9" s="286" t="n"/>
      <c r="O9" s="286" t="n"/>
      <c r="P9" s="49" t="n"/>
      <c r="Q9" s="50" t="n"/>
    </row>
    <row r="10">
      <c r="A10" s="101" t="inlineStr">
        <is>
          <t>Total Tablet</t>
        </is>
      </c>
      <c r="B10" s="300" t="n">
        <v>388.351074426413</v>
      </c>
      <c r="C10" s="112" t="n">
        <v>-0.03053121196264996</v>
      </c>
      <c r="D10" s="104" t="n">
        <v>-0.3047730366318272</v>
      </c>
      <c r="E10" s="116" t="n">
        <v>1787</v>
      </c>
      <c r="F10" s="112" t="n">
        <v>0.5860938012463103</v>
      </c>
      <c r="G10" s="112" t="n">
        <v>-0.01434087148372865</v>
      </c>
      <c r="H10" s="104" t="n">
        <v>2.378071833648393</v>
      </c>
      <c r="I10" s="103" t="n">
        <v>693983.37</v>
      </c>
      <c r="J10" s="129" t="n">
        <v>0.8230298984990065</v>
      </c>
      <c r="K10" s="170" t="n"/>
      <c r="L10" s="170" t="n">
        <v>-0.04443423925937973</v>
      </c>
      <c r="M10" s="170" t="n">
        <v>1.348526622946927</v>
      </c>
      <c r="N10" s="286" t="n"/>
      <c r="O10" s="286" t="n"/>
      <c r="P10" s="49" t="n"/>
      <c r="Q10" s="50" t="n"/>
    </row>
    <row r="11">
      <c r="A11" s="93" t="inlineStr">
        <is>
          <t>Handheld $75+</t>
        </is>
      </c>
      <c r="B11" s="298" t="n">
        <v>164.6949403747871</v>
      </c>
      <c r="C11" s="270" t="n">
        <v>0.0298858239377473</v>
      </c>
      <c r="D11" s="271" t="n">
        <v>0.09477487079871461</v>
      </c>
      <c r="E11" s="269" t="n">
        <v>587</v>
      </c>
      <c r="F11" s="270" t="n">
        <v>0.1925221384060348</v>
      </c>
      <c r="G11" s="270" t="n">
        <v>0.05385996409335725</v>
      </c>
      <c r="H11" s="271" t="n">
        <v>0.06921675774134783</v>
      </c>
      <c r="I11" s="95" t="n">
        <v>96675.92999999999</v>
      </c>
      <c r="J11" s="128" t="n">
        <v>0.1146528638794285</v>
      </c>
      <c r="K11" s="169" t="n"/>
      <c r="L11" s="169" t="n">
        <v>0.08535543743529184</v>
      </c>
      <c r="M11" s="169" t="n">
        <v>0.1705516378121048</v>
      </c>
      <c r="N11" s="286" t="n"/>
      <c r="O11" s="286" t="n"/>
      <c r="P11" s="49" t="n"/>
      <c r="Q11" s="50" t="n"/>
    </row>
    <row r="12">
      <c r="A12" s="96" t="inlineStr">
        <is>
          <t>Handheld $75-</t>
        </is>
      </c>
      <c r="B12" s="299" t="n">
        <v>47.23989795918368</v>
      </c>
      <c r="C12" s="274" t="n">
        <v>0.1341245949802381</v>
      </c>
      <c r="D12" s="275" t="n">
        <v>0.7336162991478223</v>
      </c>
      <c r="E12" s="273" t="n">
        <v>98</v>
      </c>
      <c r="F12" s="274" t="n">
        <v>0.0321416857986225</v>
      </c>
      <c r="G12" s="274" t="n">
        <v>0.4848484848484849</v>
      </c>
      <c r="H12" s="275" t="n">
        <v>-0.1900826446280992</v>
      </c>
      <c r="I12" s="98" t="n">
        <v>4629.51</v>
      </c>
      <c r="J12" s="127" t="n">
        <v>0.005490369524849184</v>
      </c>
      <c r="K12" s="171" t="n"/>
      <c r="L12" s="171" t="n">
        <v>0.684003186485808</v>
      </c>
      <c r="M12" s="171" t="n">
        <v>0.4040859282354261</v>
      </c>
      <c r="N12" s="286" t="n"/>
      <c r="O12" s="286" t="n"/>
      <c r="P12" s="49" t="n"/>
      <c r="Q12" s="50" t="n"/>
    </row>
    <row r="13">
      <c r="A13" s="101" t="inlineStr">
        <is>
          <t>Total Handheld</t>
        </is>
      </c>
      <c r="B13" s="300" t="n">
        <v>147.8911532846715</v>
      </c>
      <c r="C13" s="112" t="n">
        <v>0.003419854882000362</v>
      </c>
      <c r="D13" s="104" t="n">
        <v>0.1536880709824957</v>
      </c>
      <c r="E13" s="116" t="n">
        <v>685</v>
      </c>
      <c r="F13" s="112" t="n">
        <v>0.2246638242046573</v>
      </c>
      <c r="G13" s="112" t="n">
        <v>0.09951845906902079</v>
      </c>
      <c r="H13" s="104" t="n">
        <v>0.02238805970149249</v>
      </c>
      <c r="I13" s="103" t="n">
        <v>101305.44</v>
      </c>
      <c r="J13" s="129" t="n">
        <v>0.1201432334042777</v>
      </c>
      <c r="K13" s="170" t="n"/>
      <c r="L13" s="170" t="n">
        <v>0.1032786526391176</v>
      </c>
      <c r="M13" s="170" t="n">
        <v>0.1795169083925516</v>
      </c>
      <c r="N13" s="286" t="n"/>
      <c r="O13" s="286" t="n"/>
      <c r="P13" s="49" t="n"/>
      <c r="Q13" s="50" t="n"/>
    </row>
    <row r="14" customFormat="1" s="191">
      <c r="A14" s="78" t="inlineStr">
        <is>
          <t>Total Dongle</t>
        </is>
      </c>
      <c r="B14" s="301" t="n">
        <v>97.7423717948718</v>
      </c>
      <c r="C14" s="113" t="n">
        <v>-0.03685211132741673</v>
      </c>
      <c r="D14" s="107" t="n">
        <v>-0.09739427710865745</v>
      </c>
      <c r="E14" s="99" t="n">
        <v>468</v>
      </c>
      <c r="F14" s="113" t="n">
        <v>0.1534929485077074</v>
      </c>
      <c r="G14" s="113" t="n">
        <v>-0.1102661596958175</v>
      </c>
      <c r="H14" s="107" t="n">
        <v>-0.1153119092627599</v>
      </c>
      <c r="I14" s="76" t="n">
        <v>45743.43</v>
      </c>
      <c r="J14" s="130" t="n">
        <v>0.0542494419569397</v>
      </c>
      <c r="K14" s="174" t="n"/>
      <c r="L14" s="174" t="n">
        <v>-0.1430547302304773</v>
      </c>
      <c r="M14" s="174" t="n">
        <v>-0.2014754663267518</v>
      </c>
      <c r="N14" s="188" t="n"/>
      <c r="O14" s="188" t="n"/>
      <c r="P14" s="189" t="n"/>
      <c r="Q14" s="190" t="n"/>
    </row>
    <row r="15" customFormat="1" s="191">
      <c r="A15" s="78" t="inlineStr">
        <is>
          <t>Total Other Tools</t>
        </is>
      </c>
      <c r="B15" s="329" t="n">
        <v>19.93853211009175</v>
      </c>
      <c r="C15" s="247" t="n">
        <v>0.3327895795515872</v>
      </c>
      <c r="D15" s="248" t="n"/>
      <c r="E15" s="99" t="n">
        <v>109</v>
      </c>
      <c r="F15" s="247" t="n">
        <v>0.03574942604132503</v>
      </c>
      <c r="G15" s="247" t="n">
        <v>3.954545454545454</v>
      </c>
      <c r="H15" s="248" t="n"/>
      <c r="I15" s="76" t="n">
        <v>2173.3</v>
      </c>
      <c r="J15" s="249" t="n">
        <v>0.002577426139776074</v>
      </c>
      <c r="K15" s="249" t="n"/>
      <c r="L15" s="249" t="n">
        <v>5.603366553232864</v>
      </c>
      <c r="M15" s="249" t="n"/>
      <c r="N15" s="188" t="n"/>
      <c r="O15" s="188" t="n"/>
      <c r="P15" s="189" t="n"/>
      <c r="Q15" s="190" t="n"/>
    </row>
    <row r="16">
      <c r="A16" s="86" t="inlineStr">
        <is>
          <t>Total</t>
        </is>
      </c>
      <c r="B16" s="302" t="n">
        <v>276.5515054116104</v>
      </c>
      <c r="C16" s="109" t="n">
        <v>-0.0534021076252652</v>
      </c>
      <c r="D16" s="108" t="n">
        <v>0.08938731882975581</v>
      </c>
      <c r="E16" s="100" t="n">
        <v>3049</v>
      </c>
      <c r="F16" s="109" t="n">
        <v>1</v>
      </c>
      <c r="G16" s="109" t="n">
        <v>0.02178284182305634</v>
      </c>
      <c r="H16" s="108" t="n">
        <v>0.7644675925925926</v>
      </c>
      <c r="I16" s="85" t="n">
        <v>843205.54</v>
      </c>
      <c r="J16" s="109" t="n">
        <v>1</v>
      </c>
      <c r="K16" s="172" t="n"/>
      <c r="L16" s="172" t="n">
        <v>-0.03278251546562794</v>
      </c>
      <c r="M16" s="172" t="n">
        <v>0.9221886198564382</v>
      </c>
      <c r="N16" s="286" t="n"/>
      <c r="O16" s="286" t="n"/>
      <c r="P16" s="49" t="n"/>
      <c r="Q16" s="50" t="n"/>
    </row>
    <row r="17">
      <c r="A17" s="29" t="n"/>
      <c r="B17" s="29" t="n"/>
      <c r="C17" s="321" t="n"/>
      <c r="D17" s="47" t="n"/>
      <c r="E17" s="48" t="n"/>
      <c r="F17" s="48" t="n"/>
      <c r="G17" s="48" t="n"/>
      <c r="H17" s="48" t="n"/>
      <c r="I17" s="49" t="n"/>
      <c r="J17" s="50" t="n"/>
    </row>
    <row r="18">
      <c r="A18" s="29" t="n"/>
      <c r="B18" s="29" t="n"/>
      <c r="C18" s="321" t="n"/>
      <c r="D18" s="47" t="n"/>
      <c r="E18" s="48" t="n"/>
      <c r="F18" s="48" t="n"/>
      <c r="G18" s="48" t="n"/>
      <c r="H18" s="48" t="n"/>
      <c r="I18" s="49" t="n"/>
      <c r="J18" s="50" t="n"/>
    </row>
    <row r="19">
      <c r="A19" s="29" t="n"/>
      <c r="B19" s="29" t="n"/>
      <c r="C19" s="321" t="n"/>
      <c r="D19" s="47" t="n"/>
      <c r="E19" s="48" t="n"/>
      <c r="F19" s="48" t="n"/>
      <c r="G19" s="48" t="n"/>
      <c r="H19" s="48" t="n"/>
      <c r="I19" s="49" t="n"/>
      <c r="J19" s="50" t="n"/>
    </row>
    <row r="20">
      <c r="A20" s="29" t="n"/>
      <c r="B20" s="29" t="n"/>
      <c r="C20" s="321" t="n"/>
      <c r="D20" s="47" t="n"/>
      <c r="E20" s="48" t="n"/>
      <c r="F20" s="48" t="n"/>
      <c r="G20" s="48" t="n"/>
      <c r="H20" s="48" t="n"/>
      <c r="I20" s="49" t="n"/>
      <c r="J20" s="50" t="n"/>
    </row>
    <row r="21">
      <c r="A21" s="29" t="n"/>
      <c r="B21" s="29" t="n"/>
      <c r="C21" s="321" t="n"/>
      <c r="D21" s="47" t="n"/>
      <c r="E21" s="48" t="n"/>
      <c r="F21" s="48" t="n"/>
      <c r="G21" s="48" t="n"/>
      <c r="H21" s="48" t="n"/>
      <c r="I21" s="49" t="n"/>
      <c r="J21" s="50" t="n"/>
    </row>
    <row r="22">
      <c r="A22" s="29" t="n"/>
      <c r="B22" s="29" t="n"/>
      <c r="C22" s="321" t="n"/>
      <c r="D22" s="47" t="n"/>
      <c r="E22" s="48" t="n"/>
      <c r="F22" s="48" t="n"/>
      <c r="G22" s="48" t="n"/>
      <c r="H22" s="48" t="n"/>
      <c r="I22" s="49" t="n"/>
      <c r="J22" s="50" t="n"/>
    </row>
    <row r="23">
      <c r="A23" s="29" t="n"/>
      <c r="B23" s="29" t="n"/>
      <c r="C23" s="321" t="n"/>
      <c r="D23" s="47" t="n"/>
      <c r="E23" s="48" t="n"/>
      <c r="F23" s="48" t="n"/>
      <c r="G23" s="48" t="n"/>
      <c r="H23" s="48" t="n"/>
      <c r="I23" s="49" t="n"/>
      <c r="J23" s="50" t="n"/>
    </row>
    <row r="24">
      <c r="A24" s="29" t="n"/>
      <c r="B24" s="29" t="n"/>
      <c r="C24" s="321" t="n"/>
      <c r="D24" s="47" t="n"/>
      <c r="E24" s="48" t="n"/>
      <c r="F24" s="48" t="n"/>
      <c r="G24" s="48" t="n"/>
      <c r="H24" s="48" t="n"/>
      <c r="I24" s="49" t="n"/>
      <c r="J24" s="50" t="n"/>
    </row>
    <row r="25">
      <c r="A25" s="29" t="n"/>
      <c r="B25" s="29" t="n"/>
      <c r="C25" s="321" t="n"/>
      <c r="D25" s="47" t="n"/>
      <c r="E25" s="48" t="n"/>
      <c r="F25" s="48" t="n"/>
      <c r="G25" s="48" t="n"/>
      <c r="H25" s="48" t="n"/>
      <c r="I25" s="49" t="n"/>
      <c r="J25" s="50" t="n"/>
    </row>
    <row r="26">
      <c r="A26" s="29" t="n"/>
      <c r="B26" s="29" t="n"/>
      <c r="C26" s="321" t="n"/>
      <c r="D26" s="47" t="n"/>
      <c r="E26" s="48" t="n"/>
      <c r="F26" s="48" t="n"/>
      <c r="G26" s="48" t="n"/>
      <c r="H26" s="48" t="n"/>
      <c r="I26" s="49" t="n"/>
      <c r="J26" s="50" t="n"/>
    </row>
    <row r="27">
      <c r="A27" s="29" t="n"/>
      <c r="B27" s="29" t="n"/>
      <c r="C27" s="321" t="n"/>
      <c r="D27" s="47" t="n"/>
      <c r="E27" s="48" t="n"/>
      <c r="F27" s="48" t="n"/>
      <c r="G27" s="48" t="n"/>
      <c r="H27" s="48" t="n"/>
      <c r="I27" s="49" t="n"/>
      <c r="J27" s="50" t="n"/>
    </row>
    <row r="28">
      <c r="A28" s="29" t="n"/>
      <c r="B28" s="29" t="n"/>
      <c r="C28" s="321" t="n"/>
      <c r="D28" s="47" t="n"/>
      <c r="E28" s="48" t="n"/>
      <c r="F28" s="48" t="n"/>
      <c r="G28" s="48" t="n"/>
      <c r="H28" s="48" t="n"/>
      <c r="I28" s="49" t="n"/>
      <c r="J28" s="50" t="n"/>
    </row>
    <row r="29">
      <c r="A29" s="29" t="n"/>
      <c r="B29" s="29" t="n"/>
      <c r="C29" s="321" t="n"/>
      <c r="D29" s="47" t="n"/>
      <c r="E29" s="48" t="n"/>
      <c r="F29" s="48" t="n"/>
      <c r="G29" s="48" t="n"/>
      <c r="H29" s="48" t="n"/>
      <c r="I29" s="49" t="n"/>
      <c r="J29" s="50" t="n"/>
    </row>
    <row r="30">
      <c r="A30" s="29" t="n"/>
      <c r="B30" s="29" t="n"/>
      <c r="C30" s="321" t="n"/>
      <c r="D30" s="47" t="n"/>
      <c r="E30" s="48" t="n"/>
      <c r="F30" s="48" t="n"/>
      <c r="G30" s="48" t="n"/>
      <c r="H30" s="48" t="n"/>
      <c r="I30" s="49" t="n"/>
      <c r="J30" s="50" t="n"/>
    </row>
    <row r="31">
      <c r="A31" s="29" t="n"/>
      <c r="B31" s="29" t="n"/>
      <c r="C31" s="321" t="n"/>
      <c r="D31" s="47" t="n"/>
      <c r="E31" s="48" t="n"/>
      <c r="F31" s="48" t="n"/>
      <c r="G31" s="48" t="n"/>
      <c r="H31" s="48" t="n"/>
      <c r="I31" s="49" t="n"/>
      <c r="J31" s="50" t="n"/>
    </row>
    <row r="32">
      <c r="A32" s="29" t="n"/>
      <c r="B32" s="29" t="n"/>
      <c r="C32" s="321" t="n"/>
      <c r="D32" s="47" t="n"/>
      <c r="E32" s="48" t="n"/>
      <c r="F32" s="48" t="n"/>
      <c r="G32" s="48" t="n"/>
      <c r="H32" s="48" t="n"/>
      <c r="I32" s="49" t="n"/>
      <c r="J32" s="50" t="n"/>
    </row>
    <row r="49">
      <c r="A49" s="283" t="inlineStr">
        <is>
          <t>Rank by Revenue</t>
        </is>
      </c>
    </row>
    <row r="50" ht="17" customHeight="1" s="290">
      <c r="A50" s="38" t="inlineStr">
        <is>
          <t>Product Name</t>
        </is>
      </c>
      <c r="B50" s="39" t="inlineStr">
        <is>
          <t>ASIN</t>
        </is>
      </c>
      <c r="C50" s="39" t="inlineStr">
        <is>
          <t>Type</t>
        </is>
      </c>
      <c r="D50" s="322" t="inlineStr">
        <is>
          <t>Avg Price</t>
        </is>
      </c>
      <c r="E50" s="41" t="inlineStr">
        <is>
          <t>Estimated 12mo Revenue</t>
        </is>
      </c>
      <c r="F50" s="39" t="inlineStr">
        <is>
          <t>Monthly Rev</t>
        </is>
      </c>
      <c r="G50" s="42" t="inlineStr">
        <is>
          <t>Estimated 12mo Units</t>
        </is>
      </c>
      <c r="H50" s="45" t="inlineStr">
        <is>
          <t>Monthly Units</t>
        </is>
      </c>
      <c r="I50" s="42" t="inlineStr">
        <is>
          <t># of Reviews</t>
        </is>
      </c>
      <c r="J50" s="43" t="inlineStr">
        <is>
          <t xml:space="preserve">Tool Rating </t>
        </is>
      </c>
      <c r="K50" s="43" t="inlineStr">
        <is>
          <t>Column1</t>
        </is>
      </c>
      <c r="L50" s="323" t="inlineStr">
        <is>
          <t>Link</t>
        </is>
      </c>
    </row>
    <row r="51" ht="45" customHeight="1" s="290">
      <c r="A51" s="30" t="inlineStr">
        <is>
          <t>THINKCAR Bidirectional Scan Tool, THINKSCAN 689BT All System Automotive Diagnostic Tool, Bi Directional OBD2 Scanner with ECU Coding, 34 Services, FCA Autoauth, CANFD and DoIP, Wireless Update</t>
        </is>
      </c>
      <c r="B51" s="30" t="inlineStr">
        <is>
          <t>B0DCFRF2TF</t>
        </is>
      </c>
      <c r="C51" s="30" t="inlineStr">
        <is>
          <t>Tablet</t>
        </is>
      </c>
      <c r="D51" s="324" t="n">
        <v>536.3024100156495</v>
      </c>
      <c r="E51" s="53" t="n">
        <v>4380593.21</v>
      </c>
      <c r="F51" s="54" t="n">
        <v>342697.24</v>
      </c>
      <c r="G51" s="55" t="n">
        <v>7742</v>
      </c>
      <c r="H51" s="55" t="n">
        <v>639</v>
      </c>
      <c r="I51" s="55" t="n">
        <v>574</v>
      </c>
      <c r="J51" s="56" t="n">
        <v>4.5</v>
      </c>
      <c r="K51" s="56" t="inlineStr">
        <is>
          <t>https://amazon.com/dp/B0DCFRF2TF</t>
        </is>
      </c>
      <c r="L51" s="70">
        <f>HYPERLINK(Table467478[[#This Row],[Column1]])</f>
        <v/>
      </c>
    </row>
    <row r="52" ht="45" customHeight="1" s="290">
      <c r="A52" s="30" t="inlineStr">
        <is>
          <t>THINKCAR THINKSCAN 689 OBD2 Scanner, Bidirectional Scan Tool with Lifetime Free Update, 34+ Reset, 3000+ Active Test, ECU Coding, PMI, Wired All System Diagnostic Scanner for Cars, CANFD/DOIP, FCA SGW</t>
        </is>
      </c>
      <c r="B52" s="30" t="inlineStr">
        <is>
          <t>B0DCFF7VGF</t>
        </is>
      </c>
      <c r="C52" s="30" t="inlineStr">
        <is>
          <t>Tablet</t>
        </is>
      </c>
      <c r="D52" s="324" t="n">
        <v>438.63075</v>
      </c>
      <c r="E52" s="53" t="n">
        <v>2103757.810769231</v>
      </c>
      <c r="F52" s="54" t="n">
        <v>140361.84</v>
      </c>
      <c r="G52" s="55" t="n">
        <v>4059</v>
      </c>
      <c r="H52" s="55" t="n">
        <v>320</v>
      </c>
      <c r="I52" s="55" t="n">
        <v>281</v>
      </c>
      <c r="J52" s="56" t="n">
        <v>4.3</v>
      </c>
      <c r="K52" s="56" t="inlineStr">
        <is>
          <t>https://amazon.com/dp/B0DCFF7VGF</t>
        </is>
      </c>
      <c r="L52" s="70">
        <f>HYPERLINK(Table467478[[#This Row],[Column1]])</f>
        <v/>
      </c>
    </row>
    <row r="53" ht="60" customHeight="1" s="290">
      <c r="A53" s="30" t="inlineStr">
        <is>
          <t>THINKCAR THINKSCAN 662 OBD2 Scanner,Car Diagnostic Tool with Bidirectional Active Test,Car Scanner Engine ABS SRS Transmission,Scanner for Car with 12 Reset,CAN FD &amp; FCA SGW,Lifetime Free Update</t>
        </is>
      </c>
      <c r="B53" s="30" t="inlineStr">
        <is>
          <t>B0FB8H2339</t>
        </is>
      </c>
      <c r="C53" s="30" t="inlineStr">
        <is>
          <t>Tablet</t>
        </is>
      </c>
      <c r="D53" s="324" t="n">
        <v>211.8443462246777</v>
      </c>
      <c r="E53" s="53" t="n">
        <v>1056017.498461538</v>
      </c>
      <c r="F53" s="54" t="n">
        <v>115031.48</v>
      </c>
      <c r="G53" s="55" t="n">
        <v>2853</v>
      </c>
      <c r="H53" s="55" t="n">
        <v>543</v>
      </c>
      <c r="I53" s="55" t="n">
        <v>238</v>
      </c>
      <c r="J53" s="56" t="n">
        <v>4.2</v>
      </c>
      <c r="K53" s="56" t="inlineStr">
        <is>
          <t>https://amazon.com/dp/B0FB8H2339</t>
        </is>
      </c>
      <c r="L53" s="70">
        <f>HYPERLINK(Table467478[[#This Row],[Column1]])</f>
        <v/>
      </c>
    </row>
    <row r="54" ht="45" customHeight="1" s="290">
      <c r="A54" s="30" t="inlineStr">
        <is>
          <t>Thinkdiag2 All System Bidirectional OBD2 Diagnostic Scanner for iOS &amp; Android, THINKCAR Bluetooth Scan Tool with CAN-FD Protocol, 15+ Reset Functions, ECU Code, Active Test, AutoVIN, 1 Year Update</t>
        </is>
      </c>
      <c r="B54" s="30" t="inlineStr">
        <is>
          <t>B09YRDGY3Z</t>
        </is>
      </c>
      <c r="C54" s="30" t="inlineStr">
        <is>
          <t>Handheld</t>
        </is>
      </c>
      <c r="D54" s="324" t="n">
        <v>153.39125</v>
      </c>
      <c r="E54" s="53" t="n">
        <v>1130521.46</v>
      </c>
      <c r="F54" s="54" t="n">
        <v>88353.36</v>
      </c>
      <c r="G54" s="55" t="n">
        <v>7465</v>
      </c>
      <c r="H54" s="55" t="n">
        <v>576</v>
      </c>
      <c r="I54" s="55" t="n">
        <v>1391</v>
      </c>
      <c r="J54" s="56" t="n">
        <v>4.3</v>
      </c>
      <c r="K54" s="56" t="inlineStr">
        <is>
          <t>https://amazon.com/dp/B09YRDGY3Z</t>
        </is>
      </c>
      <c r="L54" s="70">
        <f>HYPERLINK(Table467478[[#This Row],[Column1]])</f>
        <v/>
      </c>
    </row>
    <row r="55" ht="45" customHeight="1" s="290">
      <c r="A55" s="30" t="inlineStr">
        <is>
          <t>THINKCAR Bidirectional Scan Tool, Thinkscan 672 All System OBD2 Scanner Diagnostic Tool, 28 Reset,Scanner for Car with Active Test, FCA Autoauth,CANFD, Free Lifetime Upgrade,Automotive Diagnostic Tool</t>
        </is>
      </c>
      <c r="B55" s="30" t="inlineStr">
        <is>
          <t>B0DF55W14J</t>
        </is>
      </c>
      <c r="C55" s="30" t="inlineStr">
        <is>
          <t>Tablet</t>
        </is>
      </c>
      <c r="D55" s="324" t="n">
        <v>302.4104022988506</v>
      </c>
      <c r="E55" s="53" t="n">
        <v>598271.3730769231</v>
      </c>
      <c r="F55" s="54" t="n">
        <v>52619.41</v>
      </c>
      <c r="G55" s="55" t="n">
        <v>1687</v>
      </c>
      <c r="H55" s="55" t="n">
        <v>174</v>
      </c>
      <c r="I55" s="55" t="n">
        <v>178</v>
      </c>
      <c r="J55" s="56" t="n">
        <v>4.3</v>
      </c>
      <c r="K55" s="56" t="inlineStr">
        <is>
          <t>https://amazon.com/dp/B0DF55W14J</t>
        </is>
      </c>
      <c r="L55" s="70">
        <f>HYPERLINK(Table467478[[#This Row],[Column1]])</f>
        <v/>
      </c>
    </row>
    <row r="56" ht="45" customHeight="1" s="290">
      <c r="A56" s="30" t="inlineStr">
        <is>
          <t>Thinkdiag OBD2 Scanner Bluetooth Full System Bidirectional Diagnostic Scan Tool OE Level Code Reader with ECU Function 15+ Reset Service FCA AutoAuth All Software 1 Year Update Fits for iOS &amp; Android</t>
        </is>
      </c>
      <c r="B56" s="30" t="inlineStr">
        <is>
          <t>B08YWTJY4F</t>
        </is>
      </c>
      <c r="C56" s="30" t="inlineStr">
        <is>
          <t>Dongle</t>
        </is>
      </c>
      <c r="D56" s="324" t="n">
        <v>103.2051100244499</v>
      </c>
      <c r="E56" s="53" t="n">
        <v>585488.73</v>
      </c>
      <c r="F56" s="54" t="n">
        <v>42210.89</v>
      </c>
      <c r="G56" s="55" t="n">
        <v>5240</v>
      </c>
      <c r="H56" s="55" t="n">
        <v>409</v>
      </c>
      <c r="I56" s="55" t="n">
        <v>1986</v>
      </c>
      <c r="J56" s="56" t="n">
        <v>4.1</v>
      </c>
      <c r="K56" s="56" t="inlineStr">
        <is>
          <t>https://amazon.com/dp/B08YWTJY4F</t>
        </is>
      </c>
      <c r="L56" s="70">
        <f>HYPERLINK(Table467478[[#This Row],[Column1]])</f>
        <v/>
      </c>
    </row>
    <row r="57" ht="45" customHeight="1" s="290">
      <c r="A57" s="30" t="inlineStr">
        <is>
          <t>THINKCAR OBD2 Scanner Diagnostic Tool Lifetime Free, ThinkScan 689 Car Scan Tool with 34 Reset Function,Scanner for Car with 3000+ Active Test,Advanced ECU Coding BI-Directional,Autoauth for FCA SGW</t>
        </is>
      </c>
      <c r="B57" s="30" t="inlineStr">
        <is>
          <t>B0F4XRV4D5</t>
        </is>
      </c>
      <c r="C57" s="30" t="inlineStr">
        <is>
          <t>Tablet</t>
        </is>
      </c>
      <c r="D57" s="324" t="n">
        <v>418.130350877193</v>
      </c>
      <c r="E57" s="53" t="n">
        <v>497406.2284615386</v>
      </c>
      <c r="F57" s="54" t="n">
        <v>23833.43</v>
      </c>
      <c r="G57" s="55" t="n">
        <v>1043</v>
      </c>
      <c r="H57" s="55" t="n">
        <v>57</v>
      </c>
      <c r="I57" s="55" t="n">
        <v>98</v>
      </c>
      <c r="J57" s="56" t="n">
        <v>4.2</v>
      </c>
      <c r="K57" s="56" t="inlineStr">
        <is>
          <t>https://amazon.com/dp/B0F4XRV4D5</t>
        </is>
      </c>
      <c r="L57" s="70">
        <f>HYPERLINK(Table467478[[#This Row],[Column1]])</f>
        <v/>
      </c>
    </row>
    <row r="58" ht="45" customHeight="1" s="290">
      <c r="A58" s="30" t="inlineStr">
        <is>
          <t>THINKSCAN 689BT Bidirectional OBD2 Scanner with Endoscope Camera,3000+ Active Tests,All System, 34 Services,FCA Autoauth, CANFD and DoIP,Lifetime Free Update</t>
        </is>
      </c>
      <c r="B58" s="30" t="inlineStr">
        <is>
          <t>B0GKFWWZKX</t>
        </is>
      </c>
      <c r="C58" s="30" t="inlineStr">
        <is>
          <t>Tablet</t>
        </is>
      </c>
      <c r="D58" s="324" t="n">
        <v>686.1721428571428</v>
      </c>
      <c r="E58" s="53" t="n">
        <v>110648.1392307692</v>
      </c>
      <c r="F58" s="54" t="n">
        <v>9606.41</v>
      </c>
      <c r="G58" s="55" t="n">
        <v>19</v>
      </c>
      <c r="H58" s="55" t="n">
        <v>14</v>
      </c>
      <c r="I58" s="55" t="n">
        <v>1</v>
      </c>
      <c r="J58" s="56" t="n">
        <v>5</v>
      </c>
      <c r="K58" s="56" t="inlineStr">
        <is>
          <t>https://amazon.com/dp/B0GKFWWZKX</t>
        </is>
      </c>
      <c r="L58" s="70">
        <f>HYPERLINK(Table467478[[#This Row],[Column1]])</f>
        <v/>
      </c>
    </row>
    <row r="59" ht="45" customHeight="1" s="290">
      <c r="A59" s="30" t="inlineStr">
        <is>
          <t>THINKSCAN 689BT TPMS Combos, Professional OBD2 Scanner Diagnostic Tool with TPMS, Activate/Read/Learn Sensor Tool with VENU iPro, Programming Sensors(Pack in 315/433MHz VENU5) Only</t>
        </is>
      </c>
      <c r="B59" s="30" t="inlineStr">
        <is>
          <t>B0GKG7MBF9</t>
        </is>
      </c>
      <c r="C59" s="30" t="inlineStr">
        <is>
          <t>Handheld</t>
        </is>
      </c>
      <c r="D59" s="324" t="n">
        <v>756.5972727272728</v>
      </c>
      <c r="E59" s="53" t="n">
        <v>92828.66538461536</v>
      </c>
      <c r="F59" s="54" t="n">
        <v>8322.57</v>
      </c>
      <c r="G59" s="55" t="n">
        <v>11</v>
      </c>
      <c r="H59" s="55" t="n">
        <v>11</v>
      </c>
      <c r="I59" s="55" t="n">
        <v>4</v>
      </c>
      <c r="J59" s="56" t="n">
        <v>5</v>
      </c>
      <c r="K59" s="56" t="inlineStr">
        <is>
          <t>https://amazon.com/dp/B0GKG7MBF9</t>
        </is>
      </c>
      <c r="L59" s="70">
        <f>HYPERLINK(Table467478[[#This Row],[Column1]])</f>
        <v/>
      </c>
    </row>
    <row r="60" ht="45" customHeight="1" s="290">
      <c r="A60" s="30" t="inlineStr">
        <is>
          <t>OBD2 Scanner,THINKCAR 641 Wireless Car Scanner Diagnostic Tool,Auto Scan Tool ABS/SRS/Transmission/Engine,2026 10 Resets Code Reader for Cars and Trucks,CANFD &amp; FCA,VIA Bluetooth,Lifetime Free Update</t>
        </is>
      </c>
      <c r="B60" s="30" t="inlineStr">
        <is>
          <t>B0CKHPJD9F</t>
        </is>
      </c>
      <c r="C60" s="30" t="inlineStr">
        <is>
          <t>Tablet</t>
        </is>
      </c>
      <c r="D60" s="324" t="n">
        <v>201.5894736842105</v>
      </c>
      <c r="E60" s="53" t="n">
        <v>43134.59307692307</v>
      </c>
      <c r="F60" s="54" t="n">
        <v>3830.2</v>
      </c>
      <c r="G60" s="55" t="n">
        <v>59</v>
      </c>
      <c r="H60" s="55" t="n">
        <v>19</v>
      </c>
      <c r="I60" s="55" t="n">
        <v>22</v>
      </c>
      <c r="J60" s="56" t="n">
        <v>4.5</v>
      </c>
      <c r="K60" s="56" t="inlineStr">
        <is>
          <t>https://amazon.com/dp/B0CKHPJD9F</t>
        </is>
      </c>
      <c r="L60" s="70">
        <f>HYPERLINK(Table467478[[#This Row],[Column1]])</f>
        <v/>
      </c>
    </row>
    <row r="61" ht="45" customHeight="1" s="290">
      <c r="A61" s="30" t="inlineStr">
        <is>
          <t>THINKCAR Thinkdiag Mini Bluetooth OBD2 Scanner Diagnostic Tool, OE Full-System Car Scanner for iOS &amp; Android, Check Engine Light Fault Code Reader Scan Tool for Vehicles</t>
        </is>
      </c>
      <c r="B61" s="30" t="inlineStr">
        <is>
          <t>B0CLLL9XF9</t>
        </is>
      </c>
      <c r="C61" s="30" t="inlineStr">
        <is>
          <t>Dongle</t>
        </is>
      </c>
      <c r="D61" s="324" t="n">
        <v>59.8735593220339</v>
      </c>
      <c r="E61" s="53" t="n">
        <v>89300.28</v>
      </c>
      <c r="F61" s="54" t="n">
        <v>3532.54</v>
      </c>
      <c r="G61" s="55" t="n">
        <v>1531</v>
      </c>
      <c r="H61" s="55" t="n">
        <v>59</v>
      </c>
      <c r="I61" s="55" t="n">
        <v>195</v>
      </c>
      <c r="J61" s="56" t="n">
        <v>4.2</v>
      </c>
      <c r="K61" s="56" t="inlineStr">
        <is>
          <t>https://amazon.com/dp/B0CLLL9XF9</t>
        </is>
      </c>
      <c r="L61" s="70">
        <f>HYPERLINK(Table467478[[#This Row],[Column1]])</f>
        <v/>
      </c>
    </row>
    <row r="62" ht="45" customHeight="1" s="290">
      <c r="A62" s="30" t="inlineStr">
        <is>
          <t>Thinkcar OBD2 Scanner Wireless 2026 Thinkscan Max2 Lifetime Upgrade Diagnostic Scan Tool with CAN-FD, FCA AutoAuth, All System Diagnosis, 28+ Resets, No Subscriptions, ABS Bleed/Crankshaft Relearn</t>
        </is>
      </c>
      <c r="B62" s="30" t="inlineStr">
        <is>
          <t>B09YRFC12R</t>
        </is>
      </c>
      <c r="C62" s="30" t="inlineStr">
        <is>
          <t>Tablet</t>
        </is>
      </c>
      <c r="D62" s="324" t="n">
        <v>389.05</v>
      </c>
      <c r="E62" s="53" t="n">
        <v>62760.11</v>
      </c>
      <c r="F62" s="54" t="n">
        <v>3112.4</v>
      </c>
      <c r="G62" s="55" t="n">
        <v>153</v>
      </c>
      <c r="H62" s="55" t="n">
        <v>8</v>
      </c>
      <c r="I62" s="55" t="n">
        <v>110</v>
      </c>
      <c r="J62" s="56" t="n">
        <v>4.1</v>
      </c>
      <c r="K62" s="56" t="inlineStr">
        <is>
          <t>https://amazon.com/dp/B09YRFC12R</t>
        </is>
      </c>
      <c r="L62" s="70">
        <f>HYPERLINK(Table467478[[#This Row],[Column1]])</f>
        <v/>
      </c>
    </row>
    <row r="63" ht="45" customHeight="1" s="290">
      <c r="A63" s="30" t="inlineStr">
        <is>
          <t>THINKCAR OBD2 Scanner, ThinkScan Plus S7 ABS,SRS,ECM,TCM,BCM,AC,IC System Diagnostic Scan Tool with 5 Special Services Options, Cover 94 Car Brands Code Reader, FCA AutoAuth, Wireless Update</t>
        </is>
      </c>
      <c r="B63" s="30" t="inlineStr">
        <is>
          <t>B0B5D6M3HN</t>
        </is>
      </c>
      <c r="C63" s="30" t="inlineStr">
        <is>
          <t>Tablet</t>
        </is>
      </c>
      <c r="D63" s="324" t="n">
        <v>213.87</v>
      </c>
      <c r="E63" s="53" t="n">
        <v>158371.0861538462</v>
      </c>
      <c r="F63" s="54" t="n">
        <v>2352.57</v>
      </c>
      <c r="G63" s="55" t="n">
        <v>766</v>
      </c>
      <c r="H63" s="55" t="n">
        <v>11</v>
      </c>
      <c r="I63" s="55" t="n">
        <v>142</v>
      </c>
      <c r="J63" s="56" t="n">
        <v>4.3</v>
      </c>
      <c r="K63" s="56" t="inlineStr">
        <is>
          <t>https://amazon.com/dp/B0B5D6M3HN</t>
        </is>
      </c>
      <c r="L63" s="70">
        <f>HYPERLINK(Table467478[[#This Row],[Column1]])</f>
        <v/>
      </c>
    </row>
    <row r="64" ht="45" customHeight="1" s="290">
      <c r="A64" s="30" t="inlineStr">
        <is>
          <t>THINKCAR THINKDIAG BD6 OBD2 Scanner Bluetooth,Wireless All System Code Reader Diagnostic Tool for iOS &amp; Android,5+ Hot Reset Bluetooth OBD2 Scanner for Car Check Engine Light, Lifetime Free Update</t>
        </is>
      </c>
      <c r="B64" s="30" t="inlineStr">
        <is>
          <t>B0GF75CYGT</t>
        </is>
      </c>
      <c r="C64" s="30" t="inlineStr">
        <is>
          <t>Handheld</t>
        </is>
      </c>
      <c r="D64" s="324" t="n">
        <v>72.14451612903225</v>
      </c>
      <c r="E64" s="53" t="n">
        <v>23690.31076923077</v>
      </c>
      <c r="F64" s="54" t="n">
        <v>2236.48</v>
      </c>
      <c r="G64" s="55" t="n">
        <v>41</v>
      </c>
      <c r="H64" s="55" t="n">
        <v>31</v>
      </c>
      <c r="I64" s="55" t="n">
        <v>58</v>
      </c>
      <c r="J64" s="56" t="n">
        <v>4.1</v>
      </c>
      <c r="K64" s="56" t="inlineStr">
        <is>
          <t>https://amazon.com/dp/B0GF75CYGT</t>
        </is>
      </c>
      <c r="L64" s="70">
        <f>HYPERLINK(Table467478[[#This Row],[Column1]])</f>
        <v/>
      </c>
    </row>
    <row r="65" ht="45" customHeight="1" s="290">
      <c r="A65" s="30" t="inlineStr">
        <is>
          <t>thinkcar Universal 16 Pin Male to Female OBD2 Extension Cable, Ultra Low Profile Flat OBDII Convert Cable Diagnostic Adapter for Car Scanner Code Reader, 60cm, 2 feet</t>
        </is>
      </c>
      <c r="B65" s="30" t="inlineStr">
        <is>
          <t>B0C3B3DDY8</t>
        </is>
      </c>
      <c r="C65" s="30" t="inlineStr">
        <is>
          <t>Cable/Adapter</t>
        </is>
      </c>
      <c r="D65" s="324" t="n">
        <v>19.93853211009175</v>
      </c>
      <c r="E65" s="53" t="n">
        <v>14518.27923076923</v>
      </c>
      <c r="F65" s="54" t="n">
        <v>2173.3</v>
      </c>
      <c r="G65" s="55" t="n">
        <v>654</v>
      </c>
      <c r="H65" s="55" t="n">
        <v>109</v>
      </c>
      <c r="I65" s="55" t="n">
        <v>33</v>
      </c>
      <c r="J65" s="56" t="n">
        <v>4.8</v>
      </c>
      <c r="K65" s="56" t="inlineStr">
        <is>
          <t>https://amazon.com/dp/B0C3B3DDY8</t>
        </is>
      </c>
      <c r="L65" s="70">
        <f>HYPERLINK(Table467478[[#This Row],[Column1]])</f>
        <v/>
      </c>
    </row>
    <row r="66" ht="30" customHeight="1" s="290">
      <c r="A66" s="30" t="inlineStr">
        <is>
          <t>THINKCAR Thinkobd 500 OBD2 Scanner Check Engine Car Code Reader, Full OBD II CAN Diagnostic Scan Tool, Read and Clear Error Codes, Live Data, Vehicle Report, 2.8 Inches Dispaly</t>
        </is>
      </c>
      <c r="B66" s="30" t="inlineStr">
        <is>
          <t>B093KK4KDP</t>
        </is>
      </c>
      <c r="C66" s="30" t="inlineStr">
        <is>
          <t>Handheld</t>
        </is>
      </c>
      <c r="D66" s="324" t="n">
        <v>49.60086956521739</v>
      </c>
      <c r="E66" s="53" t="n">
        <v>8392.959999999999</v>
      </c>
      <c r="F66" s="54" t="n">
        <v>1140.82</v>
      </c>
      <c r="G66" s="55" t="n">
        <v>169</v>
      </c>
      <c r="H66" s="55" t="n">
        <v>23</v>
      </c>
      <c r="I66" s="55" t="n">
        <v>196</v>
      </c>
      <c r="J66" s="56" t="n">
        <v>4.3</v>
      </c>
      <c r="K66" s="56" t="inlineStr">
        <is>
          <t>https://amazon.com/dp/B093KK4KDP</t>
        </is>
      </c>
      <c r="L66" s="70">
        <f>HYPERLINK(Table467478[[#This Row],[Column1]])</f>
        <v/>
      </c>
    </row>
    <row r="67" ht="45" customHeight="1" s="290">
      <c r="A67" s="30" t="inlineStr">
        <is>
          <t>THINKCAR OBD2 Car Scanner, THINKOBD100 Check Engine Fault Code Reader with Full OBD II Functions, O2 Sensor, CAN Diagnostic Scan Tool for All Cars Since 1996</t>
        </is>
      </c>
      <c r="B67" s="30" t="inlineStr">
        <is>
          <t>B083F65T8Q</t>
        </is>
      </c>
      <c r="C67" s="30" t="inlineStr">
        <is>
          <t>Handheld</t>
        </is>
      </c>
      <c r="D67" s="324" t="n">
        <v>30.471875</v>
      </c>
      <c r="E67" s="53" t="n">
        <v>12172.8</v>
      </c>
      <c r="F67" s="54" t="n">
        <v>975.1</v>
      </c>
      <c r="G67" s="55" t="n">
        <v>508</v>
      </c>
      <c r="H67" s="55" t="n">
        <v>32</v>
      </c>
      <c r="I67" s="55" t="n">
        <v>4041</v>
      </c>
      <c r="J67" s="56" t="n">
        <v>4.5</v>
      </c>
      <c r="K67" s="56" t="inlineStr">
        <is>
          <t>https://amazon.com/dp/B083F65T8Q</t>
        </is>
      </c>
      <c r="L67" s="70">
        <f>HYPERLINK(Table467478[[#This Row],[Column1]])</f>
        <v/>
      </c>
    </row>
    <row r="68" ht="60" customHeight="1" s="290">
      <c r="A68" s="30" t="inlineStr">
        <is>
          <t>THINKCAR OBD2 Scanner, ABS,SRS,ECM,TCM System Car OBD II Diagnostic Scan Tool, 94 Vehicle Brands Code Reader, FCA AutoAuth, Wireless Update</t>
        </is>
      </c>
      <c r="B68" s="30" t="inlineStr">
        <is>
          <t>B0B44PGTG3</t>
        </is>
      </c>
      <c r="C68" s="30" t="inlineStr">
        <is>
          <t>Tablet</t>
        </is>
      </c>
      <c r="D68" s="324" t="n">
        <v>269.195</v>
      </c>
      <c r="E68" s="53" t="n">
        <v>27033.13076923077</v>
      </c>
      <c r="F68" s="54" t="n">
        <v>538.39</v>
      </c>
      <c r="G68" s="55" t="n">
        <v>187</v>
      </c>
      <c r="H68" s="55" t="n">
        <v>2</v>
      </c>
      <c r="I68" s="55" t="n">
        <v>97</v>
      </c>
      <c r="J68" s="56" t="n">
        <v>4.1</v>
      </c>
      <c r="K68" s="56" t="inlineStr">
        <is>
          <t>https://amazon.com/dp/B0B44PGTG3</t>
        </is>
      </c>
      <c r="L68" s="70">
        <f>HYPERLINK(Table467478[[#This Row],[Column1]])</f>
        <v/>
      </c>
    </row>
    <row r="69" ht="30" customHeight="1" s="290">
      <c r="A69" s="30" t="inlineStr">
        <is>
          <t>THINKCAR OBD2 Scanner ThinkOBD 20 Code Reader, Clear Engine Fault Light, OBD Reader with Reset EVAP/O2 Sensor Test I/M Readiness Live Data Diagnostic Scan Tool for All OBDII Cars Since 1996</t>
        </is>
      </c>
      <c r="B69" s="30" t="inlineStr">
        <is>
          <t>B08JGZV52K</t>
        </is>
      </c>
      <c r="C69" s="30" t="inlineStr">
        <is>
          <t>Handheld</t>
        </is>
      </c>
      <c r="D69" s="324" t="n">
        <v>23.0925</v>
      </c>
      <c r="E69" s="53" t="n">
        <v>12901.6676923077</v>
      </c>
      <c r="F69" s="54" t="n">
        <v>277.11</v>
      </c>
      <c r="G69" s="55" t="n">
        <v>484</v>
      </c>
      <c r="H69" s="55" t="n">
        <v>12</v>
      </c>
      <c r="I69" s="55" t="n">
        <v>1851</v>
      </c>
      <c r="J69" s="56" t="n">
        <v>4.3</v>
      </c>
      <c r="K69" s="56" t="inlineStr">
        <is>
          <t>https://amazon.com/dp/B08JGZV52K</t>
        </is>
      </c>
      <c r="L69" s="70">
        <f>HYPERLINK(Table467478[[#This Row],[Column1]])</f>
        <v/>
      </c>
    </row>
    <row r="70" ht="17" customHeight="1" s="290">
      <c r="A70" s="30" t="inlineStr">
        <is>
          <t>ThinkCar ThinkCheck Scan Tool, Model# M70</t>
        </is>
      </c>
      <c r="B70" s="30" t="inlineStr">
        <is>
          <t>B0BXW7KCCW</t>
        </is>
      </c>
      <c r="C70" s="30" t="inlineStr">
        <is>
          <t>Handheld</t>
        </is>
      </c>
      <c r="D70" s="324" t="n">
        <v>279</v>
      </c>
      <c r="E70" s="53" t="n">
        <v>1301.46</v>
      </c>
      <c r="F70" s="54" t="n">
        <v>0</v>
      </c>
      <c r="G70" s="55" t="n">
        <v>6</v>
      </c>
      <c r="H70" s="55" t="n">
        <v>0</v>
      </c>
      <c r="I70" s="55" t="n"/>
      <c r="J70" s="56" t="n"/>
      <c r="K70" s="56" t="inlineStr">
        <is>
          <t>https://amazon.com/dp/B0BXW7KCCW</t>
        </is>
      </c>
      <c r="L70" s="70">
        <f>HYPERLINK(TABLE70)</f>
        <v/>
      </c>
    </row>
    <row r="71">
      <c r="A71" s="30" t="inlineStr">
        <is>
          <t>THINKCAR ThinkOBD20 OBD2 Scanner, Thinkscan SF100 Car Diagnostic Scan Tool with Battery Test &amp; Oil EPB Reset</t>
        </is>
      </c>
      <c r="B71" s="30" t="inlineStr">
        <is>
          <t>B0C6GPKL3J</t>
        </is>
      </c>
      <c r="C71" s="30" t="inlineStr">
        <is>
          <t>Handheld</t>
        </is>
      </c>
      <c r="D71" s="324" t="n">
        <v>23.99</v>
      </c>
      <c r="E71" s="53" t="n">
        <v>0</v>
      </c>
      <c r="F71" s="54" t="n">
        <v>0</v>
      </c>
      <c r="G71" s="55" t="n">
        <v>0</v>
      </c>
      <c r="H71" s="55" t="n">
        <v>0</v>
      </c>
      <c r="I71" s="55" t="n">
        <v>1855</v>
      </c>
      <c r="J71" s="56" t="n">
        <v>4.3</v>
      </c>
      <c r="K71" s="56" t="inlineStr">
        <is>
          <t>https://amazon.com/dp/B0C6GPKL3J</t>
        </is>
      </c>
      <c r="L71" s="70">
        <f>HYPERLINK(TABLE71)</f>
        <v/>
      </c>
    </row>
    <row r="72">
      <c r="A72" s="30" t="inlineStr">
        <is>
          <t>ThinkCar THINKDIAG Dongle with Bluetooth, OBD-II, Model# THINKDIAG</t>
        </is>
      </c>
      <c r="B72" s="30" t="inlineStr">
        <is>
          <t>B0844NSYFH</t>
        </is>
      </c>
      <c r="C72" s="30" t="inlineStr">
        <is>
          <t>Dongle</t>
        </is>
      </c>
      <c r="D72" s="324" t="n">
        <v>101.99</v>
      </c>
      <c r="E72" s="53" t="n">
        <v>225.85</v>
      </c>
      <c r="F72" s="54" t="n">
        <v>0</v>
      </c>
      <c r="G72" s="55" t="n">
        <v>2</v>
      </c>
      <c r="H72" s="55" t="n">
        <v>0</v>
      </c>
      <c r="I72" s="55" t="n">
        <v>0</v>
      </c>
      <c r="J72" s="56" t="n"/>
      <c r="K72" s="56" t="inlineStr">
        <is>
          <t>https://amazon.com/dp/B0844NSYFH</t>
        </is>
      </c>
      <c r="L72" s="70">
        <f>HYPERLINK(TABLE72)</f>
        <v/>
      </c>
    </row>
    <row r="73">
      <c r="A73" s="33" t="inlineStr">
        <is>
          <t>Total</t>
        </is>
      </c>
    </row>
    <row r="74" ht="17" customHeight="1" s="290">
      <c r="A74" s="30" t="n"/>
      <c r="B74" s="30" t="n"/>
      <c r="C74" s="324" t="n"/>
      <c r="D74" s="53" t="n"/>
      <c r="E74" s="53" t="n"/>
      <c r="F74" s="55" t="n"/>
      <c r="G74" s="55" t="n"/>
      <c r="H74" s="55" t="n"/>
      <c r="I74" s="56" t="n"/>
      <c r="J74" s="30" t="n"/>
    </row>
    <row r="75" ht="45" customHeight="1" s="290">
      <c r="A75" s="30" t="n"/>
      <c r="B75" s="30" t="n"/>
      <c r="C75" s="324" t="n"/>
      <c r="D75" s="53" t="n"/>
      <c r="E75" s="53" t="n"/>
      <c r="F75" s="55" t="n"/>
      <c r="G75" s="55" t="n"/>
      <c r="H75" s="55" t="n"/>
      <c r="I75" s="56" t="n"/>
      <c r="J75" s="30" t="n"/>
    </row>
    <row r="76" ht="45" customHeight="1" s="290">
      <c r="A76" s="283" t="inlineStr">
        <is>
          <t>Rank by Units</t>
        </is>
      </c>
    </row>
    <row r="77" ht="60" customHeight="1" s="290">
      <c r="A77" s="38" t="inlineStr">
        <is>
          <t>Product Name</t>
        </is>
      </c>
      <c r="B77" s="39" t="inlineStr">
        <is>
          <t>ASIN</t>
        </is>
      </c>
      <c r="C77" s="39" t="inlineStr">
        <is>
          <t>Type</t>
        </is>
      </c>
      <c r="D77" s="322" t="inlineStr">
        <is>
          <t>Avg Price</t>
        </is>
      </c>
      <c r="E77" s="41" t="inlineStr">
        <is>
          <t>Estimated 12mo Revenue</t>
        </is>
      </c>
      <c r="F77" s="39" t="inlineStr">
        <is>
          <t>Monthly Rev</t>
        </is>
      </c>
      <c r="G77" s="42" t="inlineStr">
        <is>
          <t>Estimated 12mo Units</t>
        </is>
      </c>
      <c r="H77" s="45" t="inlineStr">
        <is>
          <t>Monthly Units</t>
        </is>
      </c>
      <c r="I77" s="42" t="inlineStr">
        <is>
          <t># of Reviews</t>
        </is>
      </c>
      <c r="J77" s="43" t="inlineStr">
        <is>
          <t xml:space="preserve">Tool Rating </t>
        </is>
      </c>
      <c r="K77" s="43" t="inlineStr">
        <is>
          <t>Column1</t>
        </is>
      </c>
      <c r="L77" s="323" t="inlineStr">
        <is>
          <t>Link</t>
        </is>
      </c>
    </row>
    <row r="78" ht="45" customHeight="1" s="290">
      <c r="A78" s="30" t="inlineStr">
        <is>
          <t>THINKCAR Bidirectional Scan Tool, THINKSCAN 689BT All System Automotive Diagnostic Tool, Bi Directional OBD2 Scanner with ECU Coding, 34 Services, FCA Autoauth, CANFD and DoIP, Wireless Update</t>
        </is>
      </c>
      <c r="B78" s="30" t="inlineStr">
        <is>
          <t>B0DCFRF2TF</t>
        </is>
      </c>
      <c r="C78" s="30" t="inlineStr">
        <is>
          <t>Tablet</t>
        </is>
      </c>
      <c r="D78" s="324" t="n">
        <v>536.3024100156495</v>
      </c>
      <c r="E78" s="53" t="n">
        <v>4380593.21</v>
      </c>
      <c r="F78" s="53" t="n">
        <v>342697.24</v>
      </c>
      <c r="G78" s="55" t="n">
        <v>7742</v>
      </c>
      <c r="H78" s="57" t="n">
        <v>639</v>
      </c>
      <c r="I78" s="55" t="n">
        <v>574</v>
      </c>
      <c r="J78" s="56" t="n">
        <v>4.5</v>
      </c>
      <c r="K78" s="56" t="inlineStr">
        <is>
          <t>https://amazon.com/dp/B0DCFRF2TF</t>
        </is>
      </c>
      <c r="L78" s="70">
        <f>HYPERLINK(Table457377[[#This Row],[Column1]])</f>
        <v/>
      </c>
    </row>
    <row r="79" ht="45" customHeight="1" s="290">
      <c r="A79" s="30" t="inlineStr">
        <is>
          <t>Thinkdiag2 All System Bidirectional OBD2 Diagnostic Scanner for iOS &amp; Android, THINKCAR Bluetooth Scan Tool with CAN-FD Protocol, 15+ Reset Functions, ECU Code, Active Test, AutoVIN, 1 Year Update</t>
        </is>
      </c>
      <c r="B79" s="30" t="inlineStr">
        <is>
          <t>B09YRDGY3Z</t>
        </is>
      </c>
      <c r="C79" s="30" t="inlineStr">
        <is>
          <t>Handheld</t>
        </is>
      </c>
      <c r="D79" s="324" t="n">
        <v>153.39125</v>
      </c>
      <c r="E79" s="53" t="n">
        <v>1130521.46</v>
      </c>
      <c r="F79" s="53" t="n">
        <v>88353.36</v>
      </c>
      <c r="G79" s="55" t="n">
        <v>7465</v>
      </c>
      <c r="H79" s="57" t="n">
        <v>576</v>
      </c>
      <c r="I79" s="55" t="n">
        <v>1391</v>
      </c>
      <c r="J79" s="56" t="n">
        <v>4.3</v>
      </c>
      <c r="K79" s="56" t="inlineStr">
        <is>
          <t>https://amazon.com/dp/B09YRDGY3Z</t>
        </is>
      </c>
      <c r="L79" s="70">
        <f>HYPERLINK(Table457377[[#This Row],[Column1]])</f>
        <v/>
      </c>
    </row>
    <row r="80" ht="45" customHeight="1" s="290">
      <c r="A80" s="30" t="inlineStr">
        <is>
          <t>THINKCAR THINKSCAN 662 OBD2 Scanner,Car Diagnostic Tool with Bidirectional Active Test,Car Scanner Engine ABS SRS Transmission,Scanner for Car with 12 Reset,CAN FD &amp; FCA SGW,Lifetime Free Update</t>
        </is>
      </c>
      <c r="B80" s="30" t="inlineStr">
        <is>
          <t>B0FB8H2339</t>
        </is>
      </c>
      <c r="C80" s="30" t="inlineStr">
        <is>
          <t>Tablet</t>
        </is>
      </c>
      <c r="D80" s="324" t="n">
        <v>211.8443462246777</v>
      </c>
      <c r="E80" s="53" t="n">
        <v>1056017.498461538</v>
      </c>
      <c r="F80" s="53" t="n">
        <v>115031.48</v>
      </c>
      <c r="G80" s="55" t="n">
        <v>2853</v>
      </c>
      <c r="H80" s="57" t="n">
        <v>543</v>
      </c>
      <c r="I80" s="55" t="n">
        <v>238</v>
      </c>
      <c r="J80" s="56" t="n">
        <v>4.2</v>
      </c>
      <c r="K80" s="56" t="inlineStr">
        <is>
          <t>https://amazon.com/dp/B0FB8H2339</t>
        </is>
      </c>
      <c r="L80" s="70">
        <f>HYPERLINK(Table457377[[#This Row],[Column1]])</f>
        <v/>
      </c>
    </row>
    <row r="81" ht="45" customHeight="1" s="290">
      <c r="A81" s="30" t="inlineStr">
        <is>
          <t>Thinkdiag OBD2 Scanner Bluetooth Full System Bidirectional Diagnostic Scan Tool OE Level Code Reader with ECU Function 15+ Reset Service FCA AutoAuth All Software 1 Year Update Fits for iOS &amp; Android</t>
        </is>
      </c>
      <c r="B81" s="30" t="inlineStr">
        <is>
          <t>B08YWTJY4F</t>
        </is>
      </c>
      <c r="C81" s="30" t="inlineStr">
        <is>
          <t>Dongle</t>
        </is>
      </c>
      <c r="D81" s="324" t="n">
        <v>103.2051100244499</v>
      </c>
      <c r="E81" s="53" t="n">
        <v>585488.73</v>
      </c>
      <c r="F81" s="53" t="n">
        <v>42210.89</v>
      </c>
      <c r="G81" s="55" t="n">
        <v>5240</v>
      </c>
      <c r="H81" s="57" t="n">
        <v>409</v>
      </c>
      <c r="I81" s="55" t="n">
        <v>1986</v>
      </c>
      <c r="J81" s="56" t="n">
        <v>4.1</v>
      </c>
      <c r="K81" s="56" t="inlineStr">
        <is>
          <t>https://amazon.com/dp/B08YWTJY4F</t>
        </is>
      </c>
      <c r="L81" s="70">
        <f>HYPERLINK(Table457377[[#This Row],[Column1]])</f>
        <v/>
      </c>
    </row>
    <row r="82" ht="45" customHeight="1" s="290">
      <c r="A82" s="30" t="inlineStr">
        <is>
          <t>THINKCAR THINKSCAN 689 OBD2 Scanner, Bidirectional Scan Tool with Lifetime Free Update, 34+ Reset, 3000+ Active Test, ECU Coding, PMI, Wired All System Diagnostic Scanner for Cars, CANFD/DOIP, FCA SGW</t>
        </is>
      </c>
      <c r="B82" s="30" t="inlineStr">
        <is>
          <t>B0DCFF7VGF</t>
        </is>
      </c>
      <c r="C82" s="30" t="inlineStr">
        <is>
          <t>Tablet</t>
        </is>
      </c>
      <c r="D82" s="324" t="n">
        <v>438.63075</v>
      </c>
      <c r="E82" s="53" t="n">
        <v>2103757.810769231</v>
      </c>
      <c r="F82" s="53" t="n">
        <v>140361.84</v>
      </c>
      <c r="G82" s="55" t="n">
        <v>4059</v>
      </c>
      <c r="H82" s="57" t="n">
        <v>320</v>
      </c>
      <c r="I82" s="55" t="n">
        <v>281</v>
      </c>
      <c r="J82" s="56" t="n">
        <v>4.3</v>
      </c>
      <c r="K82" s="56" t="inlineStr">
        <is>
          <t>https://amazon.com/dp/B0DCFF7VGF</t>
        </is>
      </c>
      <c r="L82" s="70">
        <f>HYPERLINK(Table457377[[#This Row],[Column1]])</f>
        <v/>
      </c>
    </row>
    <row r="83" ht="45" customHeight="1" s="290">
      <c r="A83" s="30" t="inlineStr">
        <is>
          <t>THINKCAR Bidirectional Scan Tool, Thinkscan 672 All System OBD2 Scanner Diagnostic Tool, 28 Reset,Scanner for Car with Active Test, FCA Autoauth,CANFD, Free Lifetime Upgrade,Automotive Diagnostic Tool</t>
        </is>
      </c>
      <c r="B83" s="30" t="inlineStr">
        <is>
          <t>B0DF55W14J</t>
        </is>
      </c>
      <c r="C83" s="30" t="inlineStr">
        <is>
          <t>Tablet</t>
        </is>
      </c>
      <c r="D83" s="324" t="n">
        <v>302.4104022988506</v>
      </c>
      <c r="E83" s="53" t="n">
        <v>598271.3730769231</v>
      </c>
      <c r="F83" s="53" t="n">
        <v>52619.41</v>
      </c>
      <c r="G83" s="55" t="n">
        <v>1687</v>
      </c>
      <c r="H83" s="57" t="n">
        <v>174</v>
      </c>
      <c r="I83" s="55" t="n">
        <v>178</v>
      </c>
      <c r="J83" s="56" t="n">
        <v>4.3</v>
      </c>
      <c r="K83" s="56" t="inlineStr">
        <is>
          <t>https://amazon.com/dp/B0DF55W14J</t>
        </is>
      </c>
      <c r="L83" s="70">
        <f>HYPERLINK(Table457377[[#This Row],[Column1]])</f>
        <v/>
      </c>
    </row>
    <row r="84" ht="45" customHeight="1" s="290">
      <c r="A84" s="30" t="inlineStr">
        <is>
          <t>thinkcar Universal 16 Pin Male to Female OBD2 Extension Cable, Ultra Low Profile Flat OBDII Convert Cable Diagnostic Adapter for Car Scanner Code Reader, 60cm, 2 feet</t>
        </is>
      </c>
      <c r="B84" s="30" t="inlineStr">
        <is>
          <t>B0C3B3DDY8</t>
        </is>
      </c>
      <c r="C84" s="30" t="inlineStr">
        <is>
          <t>Cable/Adapter</t>
        </is>
      </c>
      <c r="D84" s="324" t="n">
        <v>19.93853211009175</v>
      </c>
      <c r="E84" s="53" t="n">
        <v>14518.27923076923</v>
      </c>
      <c r="F84" s="53" t="n">
        <v>2173.3</v>
      </c>
      <c r="G84" s="55" t="n">
        <v>654</v>
      </c>
      <c r="H84" s="57" t="n">
        <v>109</v>
      </c>
      <c r="I84" s="55" t="n">
        <v>33</v>
      </c>
      <c r="J84" s="56" t="n">
        <v>4.8</v>
      </c>
      <c r="K84" s="56" t="inlineStr">
        <is>
          <t>https://amazon.com/dp/B0C3B3DDY8</t>
        </is>
      </c>
      <c r="L84" s="70">
        <f>HYPERLINK(Table457377[[#This Row],[Column1]])</f>
        <v/>
      </c>
    </row>
    <row r="85" ht="45" customHeight="1" s="290">
      <c r="A85" s="30" t="inlineStr">
        <is>
          <t>THINKCAR Thinkdiag Mini Bluetooth OBD2 Scanner Diagnostic Tool, OE Full-System Car Scanner for iOS &amp; Android, Check Engine Light Fault Code Reader Scan Tool for Vehicles</t>
        </is>
      </c>
      <c r="B85" s="30" t="inlineStr">
        <is>
          <t>B0CLLL9XF9</t>
        </is>
      </c>
      <c r="C85" s="30" t="inlineStr">
        <is>
          <t>Dongle</t>
        </is>
      </c>
      <c r="D85" s="324" t="n">
        <v>59.8735593220339</v>
      </c>
      <c r="E85" s="53" t="n">
        <v>89300.28</v>
      </c>
      <c r="F85" s="53" t="n">
        <v>3532.54</v>
      </c>
      <c r="G85" s="55" t="n">
        <v>1531</v>
      </c>
      <c r="H85" s="57" t="n">
        <v>59</v>
      </c>
      <c r="I85" s="55" t="n">
        <v>195</v>
      </c>
      <c r="J85" s="56" t="n">
        <v>4.2</v>
      </c>
      <c r="K85" s="56" t="inlineStr">
        <is>
          <t>https://amazon.com/dp/B0CLLL9XF9</t>
        </is>
      </c>
      <c r="L85" s="70">
        <f>HYPERLINK(Table457377[[#This Row],[Column1]])</f>
        <v/>
      </c>
    </row>
    <row r="86" ht="45" customHeight="1" s="290">
      <c r="A86" s="30" t="inlineStr">
        <is>
          <t>THINKCAR OBD2 Scanner Diagnostic Tool Lifetime Free, ThinkScan 689 Car Scan Tool with 34 Reset Function,Scanner for Car with 3000+ Active Test,Advanced ECU Coding BI-Directional,Autoauth for FCA SGW</t>
        </is>
      </c>
      <c r="B86" s="30" t="inlineStr">
        <is>
          <t>B0F4XRV4D5</t>
        </is>
      </c>
      <c r="C86" s="30" t="inlineStr">
        <is>
          <t>Tablet</t>
        </is>
      </c>
      <c r="D86" s="324" t="n">
        <v>418.130350877193</v>
      </c>
      <c r="E86" s="53" t="n">
        <v>497406.2284615386</v>
      </c>
      <c r="F86" s="53" t="n">
        <v>23833.43</v>
      </c>
      <c r="G86" s="55" t="n">
        <v>1043</v>
      </c>
      <c r="H86" s="57" t="n">
        <v>57</v>
      </c>
      <c r="I86" s="55" t="n">
        <v>98</v>
      </c>
      <c r="J86" s="56" t="n">
        <v>4.2</v>
      </c>
      <c r="K86" s="56" t="inlineStr">
        <is>
          <t>https://amazon.com/dp/B0F4XRV4D5</t>
        </is>
      </c>
      <c r="L86" s="70">
        <f>HYPERLINK(Table457377[[#This Row],[Column1]])</f>
        <v/>
      </c>
    </row>
    <row r="87" ht="45" customHeight="1" s="290">
      <c r="A87" s="30" t="inlineStr">
        <is>
          <t>THINKCAR OBD2 Car Scanner, THINKOBD100 Check Engine Fault Code Reader with Full OBD II Functions, O2 Sensor, CAN Diagnostic Scan Tool for All Cars Since 1996</t>
        </is>
      </c>
      <c r="B87" s="30" t="inlineStr">
        <is>
          <t>B083F65T8Q</t>
        </is>
      </c>
      <c r="C87" s="30" t="inlineStr">
        <is>
          <t>Handheld</t>
        </is>
      </c>
      <c r="D87" s="324" t="n">
        <v>30.471875</v>
      </c>
      <c r="E87" s="53" t="n">
        <v>12172.8</v>
      </c>
      <c r="F87" s="53" t="n">
        <v>975.1</v>
      </c>
      <c r="G87" s="55" t="n">
        <v>508</v>
      </c>
      <c r="H87" s="57" t="n">
        <v>32</v>
      </c>
      <c r="I87" s="55" t="n">
        <v>4041</v>
      </c>
      <c r="J87" s="56" t="n">
        <v>4.5</v>
      </c>
      <c r="K87" s="56" t="inlineStr">
        <is>
          <t>https://amazon.com/dp/B083F65T8Q</t>
        </is>
      </c>
      <c r="L87" s="70">
        <f>HYPERLINK(Table457377[[#This Row],[Column1]])</f>
        <v/>
      </c>
    </row>
    <row r="88" ht="45" customHeight="1" s="290">
      <c r="A88" s="30" t="inlineStr">
        <is>
          <t>THINKCAR THINKDIAG BD6 OBD2 Scanner Bluetooth,Wireless All System Code Reader Diagnostic Tool for iOS &amp; Android,5+ Hot Reset Bluetooth OBD2 Scanner for Car Check Engine Light, Lifetime Free Update</t>
        </is>
      </c>
      <c r="B88" s="30" t="inlineStr">
        <is>
          <t>B0GF75CYGT</t>
        </is>
      </c>
      <c r="C88" s="30" t="inlineStr">
        <is>
          <t>Handheld</t>
        </is>
      </c>
      <c r="D88" s="324" t="n">
        <v>72.14451612903225</v>
      </c>
      <c r="E88" s="53" t="n">
        <v>23690.31076923077</v>
      </c>
      <c r="F88" s="53" t="n">
        <v>2236.48</v>
      </c>
      <c r="G88" s="55" t="n">
        <v>41</v>
      </c>
      <c r="H88" s="57" t="n">
        <v>31</v>
      </c>
      <c r="I88" s="55" t="n">
        <v>58</v>
      </c>
      <c r="J88" s="56" t="n">
        <v>4.1</v>
      </c>
      <c r="K88" s="56" t="inlineStr">
        <is>
          <t>https://amazon.com/dp/B0GF75CYGT</t>
        </is>
      </c>
      <c r="L88" s="70">
        <f>HYPERLINK(Table457377[[#This Row],[Column1]])</f>
        <v/>
      </c>
    </row>
    <row r="89" ht="45" customHeight="1" s="290">
      <c r="A89" s="30" t="inlineStr">
        <is>
          <t>THINKCAR Thinkobd 500 OBD2 Scanner Check Engine Car Code Reader, Full OBD II CAN Diagnostic Scan Tool, Read and Clear Error Codes, Live Data, Vehicle Report, 2.8 Inches Dispaly</t>
        </is>
      </c>
      <c r="B89" s="30" t="inlineStr">
        <is>
          <t>B093KK4KDP</t>
        </is>
      </c>
      <c r="C89" s="30" t="inlineStr">
        <is>
          <t>Handheld</t>
        </is>
      </c>
      <c r="D89" s="324" t="n">
        <v>49.60086956521739</v>
      </c>
      <c r="E89" s="53" t="n">
        <v>8392.959999999999</v>
      </c>
      <c r="F89" s="53" t="n">
        <v>1140.82</v>
      </c>
      <c r="G89" s="55" t="n">
        <v>169</v>
      </c>
      <c r="H89" s="57" t="n">
        <v>23</v>
      </c>
      <c r="I89" s="55" t="n">
        <v>196</v>
      </c>
      <c r="J89" s="56" t="n">
        <v>4.3</v>
      </c>
      <c r="K89" s="56" t="inlineStr">
        <is>
          <t>https://amazon.com/dp/B093KK4KDP</t>
        </is>
      </c>
      <c r="L89" s="70">
        <f>HYPERLINK(Table457377[[#This Row],[Column1]])</f>
        <v/>
      </c>
    </row>
    <row r="90" ht="30" customHeight="1" s="290">
      <c r="A90" s="30" t="inlineStr">
        <is>
          <t>OBD2 Scanner,THINKCAR 641 Wireless Car Scanner Diagnostic Tool,Auto Scan Tool ABS/SRS/Transmission/Engine,2026 10 Resets Code Reader for Cars and Trucks,CANFD &amp; FCA,VIA Bluetooth,Lifetime Free Update</t>
        </is>
      </c>
      <c r="B90" s="30" t="inlineStr">
        <is>
          <t>B0CKHPJD9F</t>
        </is>
      </c>
      <c r="C90" s="30" t="inlineStr">
        <is>
          <t>Tablet</t>
        </is>
      </c>
      <c r="D90" s="324" t="n">
        <v>201.5894736842105</v>
      </c>
      <c r="E90" s="53" t="n">
        <v>43134.59307692307</v>
      </c>
      <c r="F90" s="53" t="n">
        <v>3830.2</v>
      </c>
      <c r="G90" s="55" t="n">
        <v>59</v>
      </c>
      <c r="H90" s="57" t="n">
        <v>19</v>
      </c>
      <c r="I90" s="55" t="n">
        <v>22</v>
      </c>
      <c r="J90" s="56" t="n">
        <v>4.5</v>
      </c>
      <c r="K90" s="56" t="inlineStr">
        <is>
          <t>https://amazon.com/dp/B0CKHPJD9F</t>
        </is>
      </c>
      <c r="L90" s="70">
        <f>HYPERLINK(Table457377[[#This Row],[Column1]])</f>
        <v/>
      </c>
    </row>
    <row r="91" ht="45" customHeight="1" s="290">
      <c r="A91" s="30" t="inlineStr">
        <is>
          <t>THINKSCAN 689BT Bidirectional OBD2 Scanner with Endoscope Camera,3000+ Active Tests,All System, 34 Services,FCA Autoauth, CANFD and DoIP,Lifetime Free Update</t>
        </is>
      </c>
      <c r="B91" s="30" t="inlineStr">
        <is>
          <t>B0GKFWWZKX</t>
        </is>
      </c>
      <c r="C91" s="30" t="inlineStr">
        <is>
          <t>Tablet</t>
        </is>
      </c>
      <c r="D91" s="324" t="n">
        <v>686.1721428571428</v>
      </c>
      <c r="E91" s="53" t="n">
        <v>110648.1392307692</v>
      </c>
      <c r="F91" s="53" t="n">
        <v>9606.41</v>
      </c>
      <c r="G91" s="55" t="n">
        <v>19</v>
      </c>
      <c r="H91" s="57" t="n">
        <v>14</v>
      </c>
      <c r="I91" s="55" t="n">
        <v>1</v>
      </c>
      <c r="J91" s="56" t="n">
        <v>5</v>
      </c>
      <c r="K91" s="56" t="inlineStr">
        <is>
          <t>https://amazon.com/dp/B0GKFWWZKX</t>
        </is>
      </c>
      <c r="L91" s="70">
        <f>HYPERLINK(Table457377[[#This Row],[Column1]])</f>
        <v/>
      </c>
    </row>
    <row r="92" ht="60" customHeight="1" s="290">
      <c r="A92" s="30" t="inlineStr">
        <is>
          <t>THINKCAR OBD2 Scanner ThinkOBD 20 Code Reader, Clear Engine Fault Light, OBD Reader with Reset EVAP/O2 Sensor Test I/M Readiness Live Data Diagnostic Scan Tool for All OBDII Cars Since 1996</t>
        </is>
      </c>
      <c r="B92" s="30" t="inlineStr">
        <is>
          <t>B08JGZV52K</t>
        </is>
      </c>
      <c r="C92" s="30" t="inlineStr">
        <is>
          <t>Handheld</t>
        </is>
      </c>
      <c r="D92" s="324" t="n">
        <v>23.0925</v>
      </c>
      <c r="E92" s="53" t="n">
        <v>12901.6676923077</v>
      </c>
      <c r="F92" s="53" t="n">
        <v>277.11</v>
      </c>
      <c r="G92" s="55" t="n">
        <v>484</v>
      </c>
      <c r="H92" s="57" t="n">
        <v>12</v>
      </c>
      <c r="I92" s="55" t="n">
        <v>1851</v>
      </c>
      <c r="J92" s="56" t="n">
        <v>4.3</v>
      </c>
      <c r="K92" s="56" t="inlineStr">
        <is>
          <t>https://amazon.com/dp/B08JGZV52K</t>
        </is>
      </c>
      <c r="L92" s="70">
        <f>HYPERLINK(Table457377[[#This Row],[Column1]])</f>
        <v/>
      </c>
    </row>
    <row r="93" ht="30" customHeight="1" s="290">
      <c r="A93" s="30" t="inlineStr">
        <is>
          <t>THINKSCAN 689BT TPMS Combos, Professional OBD2 Scanner Diagnostic Tool with TPMS, Activate/Read/Learn Sensor Tool with VENU iPro, Programming Sensors(Pack in 315/433MHz VENU5) Only</t>
        </is>
      </c>
      <c r="B93" s="30" t="inlineStr">
        <is>
          <t>B0GKG7MBF9</t>
        </is>
      </c>
      <c r="C93" s="30" t="inlineStr">
        <is>
          <t>Handheld</t>
        </is>
      </c>
      <c r="D93" s="324" t="n">
        <v>756.5972727272728</v>
      </c>
      <c r="E93" s="53" t="n">
        <v>92828.66538461536</v>
      </c>
      <c r="F93" s="53" t="n">
        <v>8322.57</v>
      </c>
      <c r="G93" s="55" t="n">
        <v>11</v>
      </c>
      <c r="H93" s="57" t="n">
        <v>11</v>
      </c>
      <c r="I93" s="55" t="n">
        <v>4</v>
      </c>
      <c r="J93" s="56" t="n">
        <v>5</v>
      </c>
      <c r="K93" s="56" t="inlineStr">
        <is>
          <t>https://amazon.com/dp/B0GKG7MBF9</t>
        </is>
      </c>
      <c r="L93" s="70">
        <f>HYPERLINK(Table457377[[#This Row],[Column1]])</f>
        <v/>
      </c>
    </row>
    <row r="94" ht="17" customHeight="1" s="290">
      <c r="A94" s="30" t="inlineStr">
        <is>
          <t>THINKCAR OBD2 Scanner, ThinkScan Plus S7 ABS,SRS,ECM,TCM,BCM,AC,IC System Diagnostic Scan Tool with 5 Special Services Options, Cover 94 Car Brands Code Reader, FCA AutoAuth, Wireless Update</t>
        </is>
      </c>
      <c r="B94" s="30" t="inlineStr">
        <is>
          <t>B0B5D6M3HN</t>
        </is>
      </c>
      <c r="C94" s="30" t="inlineStr">
        <is>
          <t>Tablet</t>
        </is>
      </c>
      <c r="D94" s="324" t="n">
        <v>213.87</v>
      </c>
      <c r="E94" s="53" t="n">
        <v>158371.0861538462</v>
      </c>
      <c r="F94" s="53" t="n">
        <v>2352.57</v>
      </c>
      <c r="G94" s="55" t="n">
        <v>766</v>
      </c>
      <c r="H94" s="57" t="n">
        <v>11</v>
      </c>
      <c r="I94" s="55" t="n">
        <v>142</v>
      </c>
      <c r="J94" s="56" t="n">
        <v>4.3</v>
      </c>
      <c r="K94" s="56" t="inlineStr">
        <is>
          <t>https://amazon.com/dp/B0B5D6M3HN</t>
        </is>
      </c>
      <c r="L94" s="70">
        <f>HYPERLINK(Table457377[[#This Row],[Column1]])</f>
        <v/>
      </c>
    </row>
    <row r="95">
      <c r="A95" s="30" t="inlineStr">
        <is>
          <t>Thinkcar OBD2 Scanner Wireless 2026 Thinkscan Max2 Lifetime Upgrade Diagnostic Scan Tool with CAN-FD, FCA AutoAuth, All System Diagnosis, 28+ Resets, No Subscriptions, ABS Bleed/Crankshaft Relearn</t>
        </is>
      </c>
      <c r="B95" s="30" t="inlineStr">
        <is>
          <t>B09YRFC12R</t>
        </is>
      </c>
      <c r="C95" s="30" t="inlineStr">
        <is>
          <t>Tablet</t>
        </is>
      </c>
      <c r="D95" s="324" t="n">
        <v>389.05</v>
      </c>
      <c r="E95" s="53" t="n">
        <v>62760.11</v>
      </c>
      <c r="F95" s="53" t="n">
        <v>3112.4</v>
      </c>
      <c r="G95" s="55" t="n">
        <v>153</v>
      </c>
      <c r="H95" s="57" t="n">
        <v>8</v>
      </c>
      <c r="I95" s="55" t="n">
        <v>110</v>
      </c>
      <c r="J95" s="56" t="n">
        <v>4.1</v>
      </c>
      <c r="K95" s="56" t="inlineStr">
        <is>
          <t>https://amazon.com/dp/B09YRFC12R</t>
        </is>
      </c>
      <c r="L95" s="70">
        <f>HYPERLINK(Table457377[[#This Row],[Column1]])</f>
        <v/>
      </c>
    </row>
    <row r="96">
      <c r="A96" s="30" t="inlineStr">
        <is>
          <t>THINKCAR OBD2 Scanner, ABS,SRS,ECM,TCM System Car OBD II Diagnostic Scan Tool, 94 Vehicle Brands Code Reader, FCA AutoAuth, Wireless Update</t>
        </is>
      </c>
      <c r="B96" s="30" t="inlineStr">
        <is>
          <t>B0B44PGTG3</t>
        </is>
      </c>
      <c r="C96" s="30" t="inlineStr">
        <is>
          <t>Tablet</t>
        </is>
      </c>
      <c r="D96" s="324" t="n">
        <v>269.195</v>
      </c>
      <c r="E96" s="53" t="n">
        <v>27033.13076923077</v>
      </c>
      <c r="F96" s="53" t="n">
        <v>538.39</v>
      </c>
      <c r="G96" s="55" t="n">
        <v>187</v>
      </c>
      <c r="H96" s="57" t="n">
        <v>2</v>
      </c>
      <c r="I96" s="55" t="n">
        <v>97</v>
      </c>
      <c r="J96" s="56" t="n">
        <v>4.1</v>
      </c>
      <c r="K96" s="56" t="inlineStr">
        <is>
          <t>https://amazon.com/dp/B0B44PGTG3</t>
        </is>
      </c>
      <c r="L96" s="70">
        <f>HYPERLINK(Table457377[[#This Row],[Column1]])</f>
        <v/>
      </c>
    </row>
    <row r="97">
      <c r="A97" s="30" t="inlineStr">
        <is>
          <t>ThinkCar ThinkCheck Scan Tool, Model# M70</t>
        </is>
      </c>
      <c r="B97" s="30" t="inlineStr">
        <is>
          <t>B0BXW7KCCW</t>
        </is>
      </c>
      <c r="C97" s="30" t="inlineStr">
        <is>
          <t>Handheld</t>
        </is>
      </c>
      <c r="D97" s="324" t="n">
        <v>279</v>
      </c>
      <c r="E97" s="53" t="n">
        <v>1301.46</v>
      </c>
      <c r="F97" s="53" t="n">
        <v>0</v>
      </c>
      <c r="G97" s="55" t="n">
        <v>6</v>
      </c>
      <c r="H97" s="57" t="n">
        <v>0</v>
      </c>
      <c r="I97" s="55" t="n"/>
      <c r="J97" s="56" t="n"/>
      <c r="K97" s="56" t="inlineStr">
        <is>
          <t>https://amazon.com/dp/B0BXW7KCCW</t>
        </is>
      </c>
      <c r="L97" s="70">
        <f>HYPERLINK(TABLE97)</f>
        <v/>
      </c>
    </row>
    <row r="98">
      <c r="A98" s="30" t="inlineStr">
        <is>
          <t>THINKCAR ThinkOBD20 OBD2 Scanner, Thinkscan SF100 Car Diagnostic Scan Tool with Battery Test &amp; Oil EPB Reset</t>
        </is>
      </c>
      <c r="B98" s="30" t="inlineStr">
        <is>
          <t>B0C6GPKL3J</t>
        </is>
      </c>
      <c r="C98" s="30" t="inlineStr">
        <is>
          <t>Handheld</t>
        </is>
      </c>
      <c r="D98" s="324" t="n">
        <v>23.99</v>
      </c>
      <c r="E98" s="53" t="n">
        <v>0</v>
      </c>
      <c r="F98" s="53" t="n">
        <v>0</v>
      </c>
      <c r="G98" s="55" t="n">
        <v>0</v>
      </c>
      <c r="H98" s="57" t="n">
        <v>0</v>
      </c>
      <c r="I98" s="55" t="n">
        <v>1855</v>
      </c>
      <c r="J98" s="56" t="n">
        <v>4.3</v>
      </c>
      <c r="K98" s="56" t="inlineStr">
        <is>
          <t>https://amazon.com/dp/B0C6GPKL3J</t>
        </is>
      </c>
      <c r="L98" s="70">
        <f>HYPERLINK(TABLE98)</f>
        <v/>
      </c>
    </row>
    <row r="99">
      <c r="A99" s="30" t="inlineStr">
        <is>
          <t>ThinkCar THINKDIAG Dongle with Bluetooth, OBD-II, Model# THINKDIAG</t>
        </is>
      </c>
      <c r="B99" s="30" t="inlineStr">
        <is>
          <t>B0844NSYFH</t>
        </is>
      </c>
      <c r="C99" s="30" t="inlineStr">
        <is>
          <t>Dongle</t>
        </is>
      </c>
      <c r="D99" s="324" t="n">
        <v>101.99</v>
      </c>
      <c r="E99" s="53" t="n">
        <v>225.85</v>
      </c>
      <c r="F99" s="53" t="n">
        <v>0</v>
      </c>
      <c r="G99" s="55" t="n">
        <v>2</v>
      </c>
      <c r="H99" s="57" t="n">
        <v>0</v>
      </c>
      <c r="I99" s="55" t="n">
        <v>0</v>
      </c>
      <c r="J99" s="56" t="n"/>
      <c r="K99" s="56" t="inlineStr">
        <is>
          <t>https://amazon.com/dp/B0844NSYFH</t>
        </is>
      </c>
      <c r="L99" s="70">
        <f>HYPERLINK(TABLE99)</f>
        <v/>
      </c>
    </row>
    <row r="100">
      <c r="A100" s="33" t="inlineStr">
        <is>
          <t>Total</t>
        </is>
      </c>
      <c r="B100" s="33" t="n"/>
      <c r="C100" s="327" t="n"/>
      <c r="D100" s="72" t="n"/>
      <c r="E100" s="72" t="n"/>
      <c r="F100" s="72" t="n"/>
      <c r="G100" s="73">
        <f>SUM(G78:G99)</f>
        <v/>
      </c>
      <c r="H100" s="73">
        <f>SUM(H78:H99)</f>
        <v/>
      </c>
      <c r="I100" s="73" t="n"/>
      <c r="J100" s="74" t="n"/>
      <c r="K100" s="33" t="n"/>
      <c r="L100" s="32" t="n"/>
    </row>
    <row r="101">
      <c r="E101" s="296" t="n"/>
    </row>
  </sheetData>
  <mergeCells count="3">
    <mergeCell ref="A73:L73"/>
    <mergeCell ref="A1:M5"/>
    <mergeCell ref="A49:L49"/>
  </mergeCells>
  <conditionalFormatting sqref="C8:M16">
    <cfRule type="expression" priority="1" dxfId="30">
      <formula>C8&lt;0</formula>
    </cfRule>
  </conditionalFormatting>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9.xml><?xml version="1.0" encoding="utf-8"?>
<worksheet xmlns="http://schemas.openxmlformats.org/spreadsheetml/2006/main">
  <sheetPr>
    <outlinePr summaryBelow="1" summaryRight="1"/>
    <pageSetUpPr/>
  </sheetPr>
  <dimension ref="A1:Q194"/>
  <sheetViews>
    <sheetView zoomScaleNormal="100" workbookViewId="0">
      <selection activeCell="L32" sqref="L32"/>
    </sheetView>
  </sheetViews>
  <sheetFormatPr baseColWidth="10" defaultColWidth="10.83203125" defaultRowHeight="16"/>
  <cols>
    <col width="50.6640625" customWidth="1" style="284" min="1" max="1"/>
    <col width="12.6640625" customWidth="1" style="284" min="2" max="2"/>
    <col width="12.6640625" customWidth="1" style="320" min="3" max="3"/>
    <col width="11.1640625" customWidth="1" style="296" min="4" max="4"/>
    <col width="24.83203125" bestFit="1" customWidth="1" style="284" min="5" max="5"/>
    <col width="17.6640625" bestFit="1" customWidth="1" style="286" min="6" max="6"/>
    <col width="21.6640625" bestFit="1" customWidth="1" style="286" min="7" max="7"/>
    <col width="19.1640625" bestFit="1" customWidth="1" style="286" min="8" max="8"/>
    <col width="13.5" bestFit="1" customWidth="1" style="287" min="9" max="9"/>
    <col width="12.6640625" bestFit="1" customWidth="1" style="284" min="10" max="10"/>
    <col hidden="1" width="18.1640625" customWidth="1" style="284" min="11" max="11"/>
    <col width="35.6640625" customWidth="1" style="284" min="12" max="12"/>
    <col width="15.6640625" customWidth="1" style="284" min="13" max="13"/>
    <col width="10.83203125" customWidth="1" style="284" min="14" max="16384"/>
  </cols>
  <sheetData>
    <row r="1">
      <c r="A1" s="282" t="inlineStr">
        <is>
          <t>XTOOL Monthly Summary</t>
        </is>
      </c>
    </row>
    <row r="2"/>
    <row r="3"/>
    <row r="4"/>
    <row r="5"/>
    <row r="6">
      <c r="A6" s="29" t="n"/>
      <c r="B6" s="29" t="n"/>
      <c r="C6" s="321" t="n"/>
      <c r="D6" s="47" t="n"/>
      <c r="E6" s="48" t="n"/>
      <c r="F6" s="48" t="n"/>
      <c r="G6" s="48" t="n"/>
      <c r="H6" s="48" t="n"/>
      <c r="I6" s="49" t="n"/>
      <c r="J6" s="50" t="n"/>
    </row>
    <row r="7" ht="32" customHeight="1" s="290">
      <c r="A7" s="80" t="n"/>
      <c r="B7" s="81" t="inlineStr">
        <is>
          <t>Avg Price</t>
        </is>
      </c>
      <c r="C7" s="81" t="inlineStr">
        <is>
          <t>Avg Price MoM</t>
        </is>
      </c>
      <c r="D7" s="82" t="inlineStr">
        <is>
          <t>Avg Price YoY</t>
        </is>
      </c>
      <c r="E7" s="81" t="inlineStr">
        <is>
          <t>Quantity/Mo</t>
        </is>
      </c>
      <c r="F7" s="84" t="inlineStr">
        <is>
          <t>Qty by %</t>
        </is>
      </c>
      <c r="G7" s="84" t="inlineStr">
        <is>
          <t>Qty MoM</t>
        </is>
      </c>
      <c r="H7" s="82" t="inlineStr">
        <is>
          <t>Qty YoY</t>
        </is>
      </c>
      <c r="I7" s="309" t="inlineStr">
        <is>
          <t>Revenue/Mo</t>
        </is>
      </c>
      <c r="J7" s="126" t="inlineStr">
        <is>
          <t>Revenue by %</t>
        </is>
      </c>
      <c r="K7" s="173" t="n"/>
      <c r="L7" s="126" t="inlineStr">
        <is>
          <t>Revenue MoM</t>
        </is>
      </c>
      <c r="M7" s="310" t="inlineStr">
        <is>
          <t>Revenue YoY</t>
        </is>
      </c>
      <c r="N7" s="286" t="n"/>
      <c r="O7" s="286" t="n"/>
      <c r="P7" s="49" t="n"/>
      <c r="Q7" s="50" t="n"/>
    </row>
    <row r="8">
      <c r="A8" s="93" t="inlineStr">
        <is>
          <t>Tablet $800+</t>
        </is>
      </c>
      <c r="B8" s="298" t="n">
        <v>1409.164603174603</v>
      </c>
      <c r="C8" s="270" t="n">
        <v>-0.02833775428094099</v>
      </c>
      <c r="D8" s="271" t="n">
        <v>0.1101458916692502</v>
      </c>
      <c r="E8" s="269" t="n">
        <v>126</v>
      </c>
      <c r="F8" s="270" t="n">
        <v>0.02029312288613303</v>
      </c>
      <c r="G8" s="270" t="n">
        <v>0.05882352941176472</v>
      </c>
      <c r="H8" s="271" t="n">
        <v>0.2989690721649485</v>
      </c>
      <c r="I8" s="95" t="n">
        <v>177554.74</v>
      </c>
      <c r="J8" s="128" t="n">
        <v>0.1149324819308856</v>
      </c>
      <c r="K8" s="169" t="n"/>
      <c r="L8" s="169" t="n">
        <v>0.02881884840841531</v>
      </c>
      <c r="M8" s="169" t="n">
        <v>0.4420451788693351</v>
      </c>
      <c r="N8" s="286" t="n"/>
      <c r="O8" s="286" t="n"/>
      <c r="P8" s="49" t="n"/>
      <c r="Q8" s="50" t="n"/>
    </row>
    <row r="9">
      <c r="A9" s="93" t="inlineStr">
        <is>
          <t>Tablet $400-$800</t>
        </is>
      </c>
      <c r="B9" s="298" t="n">
        <v>478.1838258961229</v>
      </c>
      <c r="C9" s="270" t="n">
        <v>0.01293632064389327</v>
      </c>
      <c r="D9" s="271" t="n">
        <v>-0.1287530801986915</v>
      </c>
      <c r="E9" s="269" t="n">
        <v>1367</v>
      </c>
      <c r="F9" s="270" t="n">
        <v>0.2201642776614592</v>
      </c>
      <c r="G9" s="270" t="n">
        <v>0.008112094395280156</v>
      </c>
      <c r="H9" s="271" t="n">
        <v>0.8058124174372523</v>
      </c>
      <c r="I9" s="95" t="n">
        <v>653677.29</v>
      </c>
      <c r="J9" s="128" t="n">
        <v>0.4231300911569879</v>
      </c>
      <c r="K9" s="169" t="n"/>
      <c r="L9" s="169" t="n">
        <v>0.02115335569336452</v>
      </c>
      <c r="M9" s="169" t="n">
        <v>0.5733085064311609</v>
      </c>
      <c r="N9" s="286" t="n"/>
      <c r="O9" s="286" t="n"/>
      <c r="P9" s="49" t="n"/>
      <c r="Q9" s="50" t="n"/>
    </row>
    <row r="10">
      <c r="A10" s="96" t="inlineStr">
        <is>
          <t>Tablet $400-</t>
        </is>
      </c>
      <c r="B10" s="299" t="n">
        <v>193.6809365426696</v>
      </c>
      <c r="C10" s="274" t="n">
        <v>-0.02183905307609768</v>
      </c>
      <c r="D10" s="275" t="n">
        <v>-0.07490250197003478</v>
      </c>
      <c r="E10" s="273" t="n">
        <v>2285</v>
      </c>
      <c r="F10" s="274" t="n">
        <v>0.3680141729747141</v>
      </c>
      <c r="G10" s="274" t="n">
        <v>0.1407888167748377</v>
      </c>
      <c r="H10" s="275" t="n">
        <v>0.8502024291497976</v>
      </c>
      <c r="I10" s="98" t="n">
        <v>442560.94</v>
      </c>
      <c r="J10" s="127" t="n">
        <v>0.2864729335858099</v>
      </c>
      <c r="K10" s="171" t="n"/>
      <c r="L10" s="171" t="n">
        <v>0.1158750692566735</v>
      </c>
      <c r="M10" s="171" t="n">
        <v>0.7116176380554418</v>
      </c>
      <c r="N10" s="286" t="n"/>
      <c r="O10" s="286" t="n"/>
      <c r="P10" s="49" t="n"/>
      <c r="Q10" s="50" t="n"/>
    </row>
    <row r="11">
      <c r="A11" s="101" t="inlineStr">
        <is>
          <t>Total Tablet</t>
        </is>
      </c>
      <c r="B11" s="300" t="n">
        <v>337.1606590788777</v>
      </c>
      <c r="C11" s="112" t="n">
        <v>-0.03032858419235418</v>
      </c>
      <c r="D11" s="104" t="n">
        <v>-0.1164630654658769</v>
      </c>
      <c r="E11" s="116" t="n">
        <v>3778</v>
      </c>
      <c r="F11" s="112" t="n">
        <v>0.6084715735223063</v>
      </c>
      <c r="G11" s="112" t="n">
        <v>0.08625646923519259</v>
      </c>
      <c r="H11" s="104" t="n">
        <v>0.8085208233604595</v>
      </c>
      <c r="I11" s="103" t="n">
        <v>1273792.97</v>
      </c>
      <c r="J11" s="129" t="n">
        <v>0.8245355066736834</v>
      </c>
      <c r="K11" s="170" t="n"/>
      <c r="L11" s="170" t="n">
        <v>0.05331184845350379</v>
      </c>
      <c r="M11" s="170" t="n">
        <v>0.5978949443130286</v>
      </c>
      <c r="N11" s="286" t="n"/>
      <c r="O11" s="286" t="n"/>
      <c r="P11" s="49" t="n"/>
      <c r="Q11" s="50" t="n"/>
    </row>
    <row r="12">
      <c r="A12" s="78" t="inlineStr">
        <is>
          <t>Total Dongle</t>
        </is>
      </c>
      <c r="B12" s="301" t="n">
        <v>123.1123529411765</v>
      </c>
      <c r="C12" s="113" t="n">
        <v>0.1263641623131404</v>
      </c>
      <c r="D12" s="107" t="n">
        <v>0.1670162572972316</v>
      </c>
      <c r="E12" s="99" t="n">
        <v>2125</v>
      </c>
      <c r="F12" s="113" t="n">
        <v>0.342245128039942</v>
      </c>
      <c r="G12" s="113" t="n">
        <v>-0.142453591606134</v>
      </c>
      <c r="H12" s="107" t="n">
        <v>2.449675324675325</v>
      </c>
      <c r="I12" s="76" t="n">
        <v>261613.75</v>
      </c>
      <c r="J12" s="130" t="n">
        <v>0.1693444939557582</v>
      </c>
      <c r="K12" s="174" t="n"/>
      <c r="L12" s="174" t="n">
        <v>-0.03409045806480082</v>
      </c>
      <c r="M12" s="174" t="n">
        <v>3.02582718629321</v>
      </c>
      <c r="N12" s="286" t="n"/>
      <c r="O12" s="286" t="n"/>
      <c r="P12" s="49" t="n"/>
      <c r="Q12" s="50" t="n"/>
    </row>
    <row r="13">
      <c r="A13" s="78" t="inlineStr">
        <is>
          <t>Total Other Tools</t>
        </is>
      </c>
      <c r="B13" s="301" t="n">
        <v>30.89722222222222</v>
      </c>
      <c r="C13" s="113" t="n">
        <v>0.1688409564755429</v>
      </c>
      <c r="D13" s="107" t="n">
        <v>0.1546023197925597</v>
      </c>
      <c r="E13" s="99" t="n">
        <v>306</v>
      </c>
      <c r="F13" s="113" t="n">
        <v>0.04928329843775165</v>
      </c>
      <c r="G13" s="113" t="n">
        <v>-0.1232091690544412</v>
      </c>
      <c r="H13" s="107" t="n">
        <v>0.7</v>
      </c>
      <c r="I13" s="76" t="n">
        <v>9454.549999999999</v>
      </c>
      <c r="J13" s="130" t="n">
        <v>0.006119999370558367</v>
      </c>
      <c r="K13" s="174" t="n"/>
      <c r="L13" s="174" t="n">
        <v>0.02482903347139276</v>
      </c>
      <c r="M13" s="174" t="n">
        <v>0.9628239436473518</v>
      </c>
      <c r="N13" s="286" t="n"/>
      <c r="O13" s="286" t="n"/>
      <c r="P13" s="49" t="n"/>
      <c r="Q13" s="50" t="n"/>
    </row>
    <row r="14">
      <c r="A14" s="86" t="inlineStr">
        <is>
          <t>Total</t>
        </is>
      </c>
      <c r="B14" s="302" t="n">
        <v>248.8099967788694</v>
      </c>
      <c r="C14" s="109" t="n">
        <v>0.05327850260499623</v>
      </c>
      <c r="D14" s="108" t="n">
        <v>-0.1822369032263746</v>
      </c>
      <c r="E14" s="100" t="n">
        <v>6209</v>
      </c>
      <c r="F14" s="109" t="n">
        <v>1</v>
      </c>
      <c r="G14" s="109" t="n">
        <v>-0.01522601110229971</v>
      </c>
      <c r="H14" s="108" t="n">
        <v>1.238284066330209</v>
      </c>
      <c r="I14" s="85" t="n">
        <v>1544861.27</v>
      </c>
      <c r="J14" s="109" t="n">
        <v>1</v>
      </c>
      <c r="K14" s="172" t="n"/>
      <c r="L14" s="172" t="n">
        <v>0.03724127243051867</v>
      </c>
      <c r="M14" s="172" t="n">
        <v>0.8303861095412544</v>
      </c>
      <c r="N14" s="286" t="n"/>
      <c r="O14" s="286" t="n"/>
      <c r="P14" s="49" t="n"/>
      <c r="Q14" s="50" t="n"/>
    </row>
    <row r="15">
      <c r="A15" s="29" t="n"/>
      <c r="B15" s="29" t="n"/>
      <c r="C15" s="321" t="n"/>
      <c r="D15" s="47" t="n"/>
      <c r="E15" s="48" t="n"/>
      <c r="F15" s="48" t="n"/>
      <c r="G15" s="48" t="n"/>
      <c r="H15" s="48" t="n"/>
      <c r="I15" s="49" t="n"/>
      <c r="J15" s="50" t="n"/>
    </row>
    <row r="16">
      <c r="A16" s="29" t="n"/>
      <c r="B16" s="29" t="n"/>
      <c r="C16" s="321" t="n"/>
      <c r="D16" s="47" t="n"/>
      <c r="E16" s="48" t="n"/>
      <c r="F16" s="48" t="n"/>
      <c r="G16" s="48" t="n"/>
      <c r="H16" s="48" t="n"/>
      <c r="I16" s="49" t="n"/>
      <c r="J16" s="50" t="n"/>
    </row>
    <row r="17">
      <c r="A17" s="29" t="n"/>
      <c r="B17" s="29" t="n"/>
      <c r="C17" s="321" t="n"/>
      <c r="D17" s="47" t="n"/>
      <c r="E17" s="48" t="n"/>
      <c r="F17" s="48" t="n"/>
      <c r="G17" s="48" t="n"/>
      <c r="H17" s="48" t="n"/>
      <c r="I17" s="49" t="n"/>
      <c r="J17" s="50" t="n"/>
    </row>
    <row r="18">
      <c r="A18" s="29" t="n"/>
      <c r="B18" s="29" t="n"/>
      <c r="C18" s="321" t="n"/>
      <c r="D18" s="47" t="n"/>
      <c r="E18" s="48" t="n"/>
      <c r="F18" s="48" t="n"/>
      <c r="G18" s="48" t="n"/>
      <c r="H18" s="48" t="n"/>
      <c r="I18" s="49" t="n"/>
      <c r="J18" s="50" t="n"/>
    </row>
    <row r="19">
      <c r="A19" s="29" t="n"/>
      <c r="B19" s="29" t="n"/>
      <c r="C19" s="321" t="n"/>
      <c r="D19" s="47" t="n"/>
      <c r="E19" s="48" t="n"/>
      <c r="F19" s="48" t="n"/>
      <c r="G19" s="48" t="n"/>
      <c r="H19" s="48" t="n"/>
      <c r="I19" s="49" t="n"/>
      <c r="J19" s="50" t="n"/>
    </row>
    <row r="20">
      <c r="A20" s="29" t="n"/>
      <c r="B20" s="29" t="n"/>
      <c r="C20" s="321" t="n"/>
      <c r="D20" s="47" t="n"/>
      <c r="E20" s="48" t="n"/>
      <c r="F20" s="48" t="n"/>
      <c r="G20" s="48" t="n"/>
      <c r="H20" s="48" t="n"/>
      <c r="I20" s="49" t="n"/>
      <c r="J20" s="50" t="n"/>
    </row>
    <row r="21">
      <c r="A21" s="29" t="n"/>
      <c r="B21" s="29" t="n"/>
      <c r="C21" s="321" t="n"/>
      <c r="D21" s="47" t="n"/>
      <c r="E21" s="48" t="n"/>
      <c r="F21" s="48" t="n"/>
      <c r="G21" s="48" t="n"/>
      <c r="H21" s="48" t="n"/>
      <c r="I21" s="49" t="n"/>
      <c r="J21" s="50" t="n"/>
    </row>
    <row r="22">
      <c r="A22" s="29" t="n"/>
      <c r="B22" s="29" t="n"/>
      <c r="C22" s="321" t="n"/>
      <c r="D22" s="47" t="n"/>
      <c r="E22" s="48" t="n"/>
      <c r="F22" s="48" t="n"/>
      <c r="G22" s="48" t="n"/>
      <c r="H22" s="48" t="n"/>
      <c r="I22" s="49" t="n"/>
      <c r="J22" s="50" t="n"/>
    </row>
    <row r="23">
      <c r="A23" s="29" t="n"/>
      <c r="B23" s="29" t="n"/>
      <c r="C23" s="321" t="n"/>
      <c r="D23" s="47" t="n"/>
      <c r="E23" s="48" t="n"/>
      <c r="F23" s="48" t="n"/>
      <c r="G23" s="48" t="n"/>
      <c r="H23" s="48" t="n"/>
      <c r="I23" s="49" t="n"/>
      <c r="J23" s="50" t="n"/>
    </row>
    <row r="24">
      <c r="A24" s="29" t="n"/>
      <c r="B24" s="29" t="n"/>
      <c r="C24" s="321" t="n"/>
      <c r="D24" s="47" t="n"/>
      <c r="E24" s="48" t="n"/>
      <c r="F24" s="48" t="n"/>
      <c r="G24" s="48" t="n"/>
      <c r="H24" s="48" t="n"/>
      <c r="I24" s="49" t="n"/>
      <c r="J24" s="50" t="n"/>
    </row>
    <row r="25">
      <c r="A25" s="29" t="n"/>
      <c r="B25" s="29" t="n"/>
      <c r="C25" s="321" t="n"/>
      <c r="D25" s="47" t="n"/>
      <c r="E25" s="48" t="n"/>
      <c r="F25" s="48" t="n"/>
      <c r="G25" s="48" t="n"/>
      <c r="H25" s="48" t="n"/>
      <c r="I25" s="49" t="n"/>
      <c r="J25" s="50" t="n"/>
    </row>
    <row r="26">
      <c r="A26" s="29" t="n"/>
      <c r="B26" s="29" t="n"/>
      <c r="C26" s="321" t="n"/>
      <c r="D26" s="47" t="n"/>
      <c r="E26" s="48" t="n"/>
      <c r="F26" s="48" t="n"/>
      <c r="G26" s="48" t="n"/>
      <c r="H26" s="48" t="n"/>
      <c r="I26" s="49" t="n"/>
      <c r="J26" s="50" t="n"/>
    </row>
    <row r="27">
      <c r="A27" s="29" t="n"/>
      <c r="B27" s="29" t="n"/>
      <c r="C27" s="321" t="n"/>
      <c r="D27" s="47" t="n"/>
      <c r="E27" s="48" t="n"/>
      <c r="F27" s="48" t="n"/>
      <c r="G27" s="48" t="n"/>
      <c r="H27" s="48" t="n"/>
      <c r="I27" s="49" t="n"/>
      <c r="J27" s="50" t="n"/>
    </row>
    <row r="28">
      <c r="A28" s="29" t="n"/>
      <c r="B28" s="29" t="n"/>
      <c r="C28" s="321" t="n"/>
      <c r="D28" s="47" t="n"/>
      <c r="E28" s="48" t="n"/>
      <c r="F28" s="48" t="n"/>
      <c r="G28" s="48" t="n"/>
      <c r="H28" s="48" t="n"/>
      <c r="I28" s="49" t="n"/>
      <c r="J28" s="50" t="n"/>
    </row>
    <row r="29">
      <c r="A29" s="29" t="n"/>
      <c r="B29" s="29" t="n"/>
      <c r="C29" s="321" t="n"/>
      <c r="D29" s="47" t="n"/>
      <c r="E29" s="48" t="n"/>
      <c r="F29" s="48" t="n"/>
      <c r="G29" s="48" t="n"/>
      <c r="H29" s="48" t="n"/>
      <c r="I29" s="49" t="n"/>
      <c r="J29" s="50" t="n"/>
    </row>
    <row r="30">
      <c r="A30" s="29" t="n"/>
      <c r="B30" s="29" t="n"/>
      <c r="C30" s="321" t="n"/>
      <c r="D30" s="47" t="n"/>
      <c r="E30" s="48" t="n"/>
      <c r="F30" s="48" t="n"/>
      <c r="G30" s="48" t="n"/>
      <c r="H30" s="48" t="n"/>
      <c r="I30" s="49" t="n"/>
      <c r="J30" s="50" t="n"/>
    </row>
    <row r="47">
      <c r="A47" s="283" t="inlineStr">
        <is>
          <t>Rank by Revenue</t>
        </is>
      </c>
    </row>
    <row r="48" ht="17" customHeight="1" s="290">
      <c r="A48" s="38" t="inlineStr">
        <is>
          <t>Product Name</t>
        </is>
      </c>
      <c r="B48" s="39" t="inlineStr">
        <is>
          <t>ASIN</t>
        </is>
      </c>
      <c r="C48" s="39" t="inlineStr">
        <is>
          <t>Type</t>
        </is>
      </c>
      <c r="D48" s="322" t="inlineStr">
        <is>
          <t>Avg Price</t>
        </is>
      </c>
      <c r="E48" s="41" t="inlineStr">
        <is>
          <t>Estimated 12mo Revenue</t>
        </is>
      </c>
      <c r="F48" s="39" t="inlineStr">
        <is>
          <t>Monthly Rev</t>
        </is>
      </c>
      <c r="G48" s="42" t="inlineStr">
        <is>
          <t>Estimated 12mo Units</t>
        </is>
      </c>
      <c r="H48" s="45" t="inlineStr">
        <is>
          <t>Monthly Units</t>
        </is>
      </c>
      <c r="I48" s="42" t="inlineStr">
        <is>
          <t># of Reviews</t>
        </is>
      </c>
      <c r="J48" s="43" t="inlineStr">
        <is>
          <t xml:space="preserve">Tool Rating </t>
        </is>
      </c>
      <c r="K48" s="43" t="inlineStr">
        <is>
          <t>Column1</t>
        </is>
      </c>
      <c r="L48" s="323" t="inlineStr">
        <is>
          <t>Link</t>
        </is>
      </c>
    </row>
    <row r="49" ht="45" customHeight="1" s="290">
      <c r="A49" s="30" t="inlineStr">
        <is>
          <t>OBD2 Scanner Diagnostic Tool XTOOL Anyscan A30M V2.0, 2026 Wireless Bidirectional Scan Tool with Free Updates, 26 Resets, All System for Android &amp; iPhone, Crank Sensor Relearn, EPB, Throttle Relearn</t>
        </is>
      </c>
      <c r="B49" s="30" t="inlineStr">
        <is>
          <t>B09KT9XNML</t>
        </is>
      </c>
      <c r="C49" s="30" t="inlineStr">
        <is>
          <t>Dongle</t>
        </is>
      </c>
      <c r="D49" s="324" t="n">
        <v>151.2937490377213</v>
      </c>
      <c r="E49" s="53" t="n">
        <v>2029114.51</v>
      </c>
      <c r="F49" s="54" t="n">
        <v>196530.58</v>
      </c>
      <c r="G49" s="55" t="n">
        <v>13968</v>
      </c>
      <c r="H49" s="55" t="n">
        <v>1299</v>
      </c>
      <c r="I49" s="55" t="n">
        <v>1409</v>
      </c>
      <c r="J49" s="56" t="n">
        <v>4.3</v>
      </c>
      <c r="K49" s="56" t="inlineStr">
        <is>
          <t>https://amazon.com/dp/B09KT9XNML</t>
        </is>
      </c>
      <c r="L49" s="70">
        <f>HYPERLINK(Table543384[[#This Row],[Column1]])</f>
        <v/>
      </c>
    </row>
    <row r="50" ht="45" customHeight="1" s="290">
      <c r="A50" s="30" t="inlineStr">
        <is>
          <t>XTOOL D7 Bidirectional Scan Tool: 2026 Ai-Assisted OBD2 Scanner Diagnostic Tool with 36+ Resets, Full System Car Scanner with EPB, Injector Test, Throttle, Crank Sensor Relearn, FCA, CANFD &amp; DoIP</t>
        </is>
      </c>
      <c r="B50" s="30" t="inlineStr">
        <is>
          <t>B098LF38DS</t>
        </is>
      </c>
      <c r="C50" s="30" t="inlineStr">
        <is>
          <t>Tablet</t>
        </is>
      </c>
      <c r="D50" s="324" t="n">
        <v>402.4123234624146</v>
      </c>
      <c r="E50" s="53" t="n">
        <v>2668698.07</v>
      </c>
      <c r="F50" s="54" t="n">
        <v>176659.01</v>
      </c>
      <c r="G50" s="55" t="n">
        <v>6932</v>
      </c>
      <c r="H50" s="55" t="n">
        <v>439</v>
      </c>
      <c r="I50" s="55" t="n">
        <v>1648</v>
      </c>
      <c r="J50" s="56" t="n">
        <v>4.4</v>
      </c>
      <c r="K50" s="56" t="inlineStr">
        <is>
          <t>https://amazon.com/dp/B098LF38DS</t>
        </is>
      </c>
      <c r="L50" s="70">
        <f>HYPERLINK(Table543384[[#This Row],[Column1]])</f>
        <v/>
      </c>
    </row>
    <row r="51" ht="60" customHeight="1" s="290">
      <c r="A51" s="30" t="inlineStr">
        <is>
          <t>XTOOL D5S OBD2 Scanner with Touchscreen, Code Reader for Cars &amp; Trucks with 16 Resets, Crank Sensor Relearn, Throttle Relearn, EPB, FCA, CAN FD for GM, Engine ABS SRS Transmission Car Diagnostic Tool</t>
        </is>
      </c>
      <c r="B51" s="30" t="inlineStr">
        <is>
          <t>B0DFCMT416</t>
        </is>
      </c>
      <c r="C51" s="30" t="inlineStr">
        <is>
          <t>Tablet</t>
        </is>
      </c>
      <c r="D51" s="324" t="n">
        <v>169.8681318681319</v>
      </c>
      <c r="E51" s="53" t="n">
        <v>1238984.071538462</v>
      </c>
      <c r="F51" s="54" t="n">
        <v>108206</v>
      </c>
      <c r="G51" s="55" t="n">
        <v>6517</v>
      </c>
      <c r="H51" s="55" t="n">
        <v>637</v>
      </c>
      <c r="I51" s="55" t="n">
        <v>418</v>
      </c>
      <c r="J51" s="56" t="n">
        <v>4.2</v>
      </c>
      <c r="K51" s="56" t="inlineStr">
        <is>
          <t>https://amazon.com/dp/B0DFCMT416</t>
        </is>
      </c>
      <c r="L51" s="70">
        <f>HYPERLINK(Table543384[[#This Row],[Column1]])</f>
        <v/>
      </c>
    </row>
    <row r="52" ht="45" customHeight="1" s="290">
      <c r="A52" s="30" t="inlineStr">
        <is>
          <t>XTOOL D7S Bidirectional Scan Tool, 2026 AI-Assisted OBD2 Scanner Diagnostic Tool with FCA AutoAuth, All System Car Scanner, 39+ Resets, ECU C0ding, PMI, Upgrade of D7, Crankshaft Relearn, CAN FD/DoIP</t>
        </is>
      </c>
      <c r="B52" s="30" t="inlineStr">
        <is>
          <t>B0BTBQ1NR4</t>
        </is>
      </c>
      <c r="C52" s="30" t="inlineStr">
        <is>
          <t>Tablet</t>
        </is>
      </c>
      <c r="D52" s="324" t="n">
        <v>400.6637969924813</v>
      </c>
      <c r="E52" s="53" t="n">
        <v>830600.9</v>
      </c>
      <c r="F52" s="54" t="n">
        <v>106576.57</v>
      </c>
      <c r="G52" s="55" t="n">
        <v>2031</v>
      </c>
      <c r="H52" s="55" t="n">
        <v>266</v>
      </c>
      <c r="I52" s="55" t="n">
        <v>311</v>
      </c>
      <c r="J52" s="56" t="n">
        <v>4.4</v>
      </c>
      <c r="K52" s="56" t="inlineStr">
        <is>
          <t>https://amazon.com/dp/B0BTBQ1NR4</t>
        </is>
      </c>
      <c r="L52" s="70">
        <f>HYPERLINK(Table543384[[#This Row],[Column1]])</f>
        <v/>
      </c>
    </row>
    <row r="53" ht="45" customHeight="1" s="290">
      <c r="A53" s="30" t="inlineStr">
        <is>
          <t>XTOOL D8W Wireless Bidirectional Scan Tool, AI-Assisted OBD2 Scanner with Topology, 3-Year Updates, ECU C0ding, PMI, 42+ Resets, Full Diagnostic Scanner for Car, Crankshaft Relearn, FCA/CAN FD/DoIP</t>
        </is>
      </c>
      <c r="B53" s="30" t="inlineStr">
        <is>
          <t>B09N8VTBVH</t>
        </is>
      </c>
      <c r="C53" s="30" t="inlineStr">
        <is>
          <t>Tablet</t>
        </is>
      </c>
      <c r="D53" s="324" t="n">
        <v>584.2609340659341</v>
      </c>
      <c r="E53" s="53" t="n">
        <v>1359475.543846154</v>
      </c>
      <c r="F53" s="54" t="n">
        <v>106335.49</v>
      </c>
      <c r="G53" s="55" t="n">
        <v>1832</v>
      </c>
      <c r="H53" s="55" t="n">
        <v>182</v>
      </c>
      <c r="I53" s="55" t="n">
        <v>519</v>
      </c>
      <c r="J53" s="56" t="n">
        <v>4.4</v>
      </c>
      <c r="K53" s="56" t="inlineStr">
        <is>
          <t>https://amazon.com/dp/B09N8VTBVH</t>
        </is>
      </c>
      <c r="L53" s="70">
        <f>HYPERLINK(Table543384[[#This Row],[Column1]])</f>
        <v/>
      </c>
    </row>
    <row r="54" ht="45" customHeight="1" s="290">
      <c r="A54" s="30" t="inlineStr">
        <is>
          <t>XTOOL D8S AI-Assisted Bidirectional OBD2 Scanner with Topology Mapping: 2026 Upgrade of XTOOL D8, Scan Tool with 42+ Reset, Full System Automotive Scanner Diagnostic Tool, PMI for Ford, FCA/CANFD/DoIP</t>
        </is>
      </c>
      <c r="B54" s="30" t="inlineStr">
        <is>
          <t>B098N7QMGC</t>
        </is>
      </c>
      <c r="C54" s="30" t="inlineStr">
        <is>
          <t>Tablet</t>
        </is>
      </c>
      <c r="D54" s="324" t="n">
        <v>596.4560666666667</v>
      </c>
      <c r="E54" s="53" t="n">
        <v>1205763.67</v>
      </c>
      <c r="F54" s="54" t="n">
        <v>89468.41</v>
      </c>
      <c r="G54" s="55" t="n">
        <v>1977</v>
      </c>
      <c r="H54" s="55" t="n">
        <v>150</v>
      </c>
      <c r="I54" s="55" t="n">
        <v>1035</v>
      </c>
      <c r="J54" s="56" t="n">
        <v>4.4</v>
      </c>
      <c r="K54" s="56" t="inlineStr">
        <is>
          <t>https://amazon.com/dp/B098N7QMGC</t>
        </is>
      </c>
      <c r="L54" s="70">
        <f>HYPERLINK(Table543384[[#This Row],[Column1]])</f>
        <v/>
      </c>
    </row>
    <row r="55" ht="45" customHeight="1" s="290">
      <c r="A55" s="30" t="inlineStr">
        <is>
          <t>XTOOL D6S OBD2 Scanner Diagnostic Tool, 2026 Car Scanner with 30 Resets, All System Scan Tool with FCA &amp; CAN FD, ABS Bleed, Gearbox Match, Crank Sensor Relearn, Lifetime Update, Upgraded of D5S</t>
        </is>
      </c>
      <c r="B55" s="30" t="inlineStr">
        <is>
          <t>B0DNQD1Q1V</t>
        </is>
      </c>
      <c r="C55" s="30" t="inlineStr">
        <is>
          <t>Tablet</t>
        </is>
      </c>
      <c r="D55" s="324" t="n">
        <v>283.70775</v>
      </c>
      <c r="E55" s="53" t="n">
        <v>659139.4707692307</v>
      </c>
      <c r="F55" s="54" t="n">
        <v>56741.55</v>
      </c>
      <c r="G55" s="55" t="n">
        <v>2146</v>
      </c>
      <c r="H55" s="55" t="n">
        <v>200</v>
      </c>
      <c r="I55" s="55" t="n">
        <v>107</v>
      </c>
      <c r="J55" s="56" t="n">
        <v>4.4</v>
      </c>
      <c r="K55" s="56" t="inlineStr">
        <is>
          <t>https://amazon.com/dp/B0DNQD1Q1V</t>
        </is>
      </c>
      <c r="L55" s="70">
        <f>HYPERLINK(Table543384[[#This Row],[Column1]])</f>
        <v/>
      </c>
    </row>
    <row r="56" ht="45" customHeight="1" s="290">
      <c r="A56" s="30" t="inlineStr">
        <is>
          <t>XTOOL Anyscan A30M OBD2 Scanner Kit, 2026 Wireless Bidirectional Scan Tool with Free Updates, 26 Resets, Live Data, All System ABS Bleeding Diagnostic Tool for iOS &amp; Android, CANFD &amp; FCA AutoAuth</t>
        </is>
      </c>
      <c r="B56" s="30" t="inlineStr">
        <is>
          <t>B0FLJSZQHN</t>
        </is>
      </c>
      <c r="C56" s="30" t="inlineStr">
        <is>
          <t>Tablet</t>
        </is>
      </c>
      <c r="D56" s="324" t="n">
        <v>185.5240540540541</v>
      </c>
      <c r="E56" s="53" t="n">
        <v>590673.4300000001</v>
      </c>
      <c r="F56" s="54" t="n">
        <v>54915.12</v>
      </c>
      <c r="G56" s="55" t="n">
        <v>712</v>
      </c>
      <c r="H56" s="55" t="n">
        <v>296</v>
      </c>
      <c r="I56" s="55" t="n">
        <v>29</v>
      </c>
      <c r="J56" s="56" t="n">
        <v>4.7</v>
      </c>
      <c r="K56" s="56" t="inlineStr">
        <is>
          <t>https://amazon.com/dp/B0FLJSZQHN</t>
        </is>
      </c>
      <c r="L56" s="70">
        <f>HYPERLINK(Table543384[[#This Row],[Column1]])</f>
        <v/>
      </c>
    </row>
    <row r="57" ht="45" customHeight="1" s="290">
      <c r="A57" s="30" t="inlineStr">
        <is>
          <t>XTOOL Anyscan A30D OBD2 Scanner Diagnostic Tool - Bidirectional Scan Tool Wireless - Lifetime Updates &amp; 19 Resets Crank Sensor EPB Throttle Relearn - Full System Car Code Reader for iPhone &amp; Android</t>
        </is>
      </c>
      <c r="B57" s="30" t="inlineStr">
        <is>
          <t>B098NC47SX</t>
        </is>
      </c>
      <c r="C57" s="30" t="inlineStr">
        <is>
          <t>Dongle</t>
        </is>
      </c>
      <c r="D57" s="324" t="n">
        <v>98.74470479704796</v>
      </c>
      <c r="E57" s="53" t="n">
        <v>410855.3700000001</v>
      </c>
      <c r="F57" s="54" t="n">
        <v>53519.63</v>
      </c>
      <c r="G57" s="55" t="n">
        <v>3919</v>
      </c>
      <c r="H57" s="55" t="n">
        <v>542</v>
      </c>
      <c r="I57" s="55" t="n">
        <v>310</v>
      </c>
      <c r="J57" s="56" t="n">
        <v>4.1</v>
      </c>
      <c r="K57" s="56" t="inlineStr">
        <is>
          <t>https://amazon.com/dp/B098NC47SX</t>
        </is>
      </c>
      <c r="L57" s="70">
        <f>HYPERLINK(Table543384[[#This Row],[Column1]])</f>
        <v/>
      </c>
    </row>
    <row r="58" ht="45" customHeight="1" s="290">
      <c r="A58" s="30" t="inlineStr">
        <is>
          <t>XTOOL Scanner D8S, AI-Assisted Bidirectional OBD2 Scanner, 8" Full System Bidirectional Scan Tool, ECU C0ding, Topology Mapping, 42+ Resets Automotive Diagnostic Scanner, FCA, CAN FD&amp;DoIP</t>
        </is>
      </c>
      <c r="B58" s="30" t="inlineStr">
        <is>
          <t>B097R8Q122</t>
        </is>
      </c>
      <c r="C58" s="30" t="inlineStr">
        <is>
          <t>Tablet</t>
        </is>
      </c>
      <c r="D58" s="324" t="n">
        <v>580.1169318181818</v>
      </c>
      <c r="E58" s="53" t="n">
        <v>940245.67</v>
      </c>
      <c r="F58" s="54" t="n">
        <v>51050.29</v>
      </c>
      <c r="G58" s="55" t="n">
        <v>1611</v>
      </c>
      <c r="H58" s="55" t="n">
        <v>88</v>
      </c>
      <c r="I58" s="55" t="n">
        <v>549</v>
      </c>
      <c r="J58" s="56" t="n">
        <v>4.4</v>
      </c>
      <c r="K58" s="56" t="inlineStr">
        <is>
          <t>https://amazon.com/dp/B097R8Q122</t>
        </is>
      </c>
      <c r="L58" s="70">
        <f>HYPERLINK(Table543384[[#This Row],[Column1]])</f>
        <v/>
      </c>
    </row>
    <row r="59" ht="45" customHeight="1" s="290">
      <c r="A59" s="30" t="inlineStr">
        <is>
          <t>XTOOL D5 Car Code Reader and Reset Tool, Engine ABS SRS Transmission Car Diagnostic Tool with EPB Service, ABS Bleed, Throttle Relearn, Clear Check Engine Light Code Reader with 10 Resets, Free Update</t>
        </is>
      </c>
      <c r="B59" s="30" t="inlineStr">
        <is>
          <t>B0DFCJHPR5</t>
        </is>
      </c>
      <c r="C59" s="30" t="inlineStr">
        <is>
          <t>Tablet</t>
        </is>
      </c>
      <c r="D59" s="324" t="n">
        <v>133.6657519788918</v>
      </c>
      <c r="E59" s="53" t="n">
        <v>429729.9792307693</v>
      </c>
      <c r="F59" s="54" t="n">
        <v>50659.32</v>
      </c>
      <c r="G59" s="55" t="n">
        <v>2779</v>
      </c>
      <c r="H59" s="55" t="n">
        <v>379</v>
      </c>
      <c r="I59" s="55" t="n">
        <v>145</v>
      </c>
      <c r="J59" s="56" t="n">
        <v>4.1</v>
      </c>
      <c r="K59" s="56" t="inlineStr">
        <is>
          <t>https://amazon.com/dp/B0DFCJHPR5</t>
        </is>
      </c>
      <c r="L59" s="70">
        <f>HYPERLINK(Table543384[[#This Row],[Column1]])</f>
        <v/>
      </c>
    </row>
    <row r="60" ht="45" customHeight="1" s="290">
      <c r="A60" s="30" t="inlineStr">
        <is>
          <t>XTOOL IP919 PRO 2.0V 10''OE Level Scan Tool, Topology Mapping OBD2 Scanner with Bidirectional Test, 51+ Reset, Upgrade of D9S PRO, Automotive Scanner for Car, ADAS Diagnostic Scanner, FCA/CAN FD/DoIP</t>
        </is>
      </c>
      <c r="B60" s="30" t="inlineStr">
        <is>
          <t>B0DBLQXQ6W</t>
        </is>
      </c>
      <c r="C60" s="30" t="inlineStr">
        <is>
          <t>Tablet</t>
        </is>
      </c>
      <c r="D60" s="324" t="n">
        <v>1474.73875</v>
      </c>
      <c r="E60" s="53" t="n">
        <v>797173.383846154</v>
      </c>
      <c r="F60" s="54" t="n">
        <v>47191.64</v>
      </c>
      <c r="G60" s="55" t="n">
        <v>489</v>
      </c>
      <c r="H60" s="55" t="n">
        <v>32</v>
      </c>
      <c r="I60" s="55" t="n">
        <v>72</v>
      </c>
      <c r="J60" s="56" t="n">
        <v>4.4</v>
      </c>
      <c r="K60" s="56" t="inlineStr">
        <is>
          <t>https://amazon.com/dp/B0DBLQXQ6W</t>
        </is>
      </c>
      <c r="L60" s="70">
        <f>HYPERLINK(Table543384[[#This Row],[Column1]])</f>
        <v/>
      </c>
    </row>
    <row r="61" ht="45" customHeight="1" s="290">
      <c r="A61" s="30" t="inlineStr">
        <is>
          <t>XTOOL D7W Wireless OBD2 Scanner Diagnostic Tool 2026 AI-Assisted Bidirectional Scan Tool Upgraded of D7/D7S/D7BT, ECU C0ding, 39+ Resets, CAN FD &amp; DoIP, All System Scanner for Car, 3-Yr Update</t>
        </is>
      </c>
      <c r="B61" s="30" t="inlineStr">
        <is>
          <t>B0D9PFD382</t>
        </is>
      </c>
      <c r="C61" s="30" t="inlineStr">
        <is>
          <t>Tablet</t>
        </is>
      </c>
      <c r="D61" s="324" t="n">
        <v>451.175376344086</v>
      </c>
      <c r="E61" s="53" t="n">
        <v>261949.38</v>
      </c>
      <c r="F61" s="54" t="n">
        <v>41959.31</v>
      </c>
      <c r="G61" s="55" t="n">
        <v>569</v>
      </c>
      <c r="H61" s="55" t="n">
        <v>93</v>
      </c>
      <c r="I61" s="55" t="n">
        <v>54</v>
      </c>
      <c r="J61" s="56" t="n">
        <v>4.4</v>
      </c>
      <c r="K61" s="56" t="inlineStr">
        <is>
          <t>https://amazon.com/dp/B0D9PFD382</t>
        </is>
      </c>
      <c r="L61" s="70">
        <f>HYPERLINK(Table543384[[#This Row],[Column1]])</f>
        <v/>
      </c>
    </row>
    <row r="62" ht="45" customHeight="1" s="290">
      <c r="A62" s="30" t="inlineStr">
        <is>
          <t>XTOOL D6 OBD2 Scanner Diagnostic Tool with Lifetime Free Updates: 2026 Full System Scan Tool with 15 Resets, Crank Sensor/Throttle Relearn, EPB, Oil Reset, ABS Bleed, FCA &amp; CAN FD, Upgrade of D5S</t>
        </is>
      </c>
      <c r="B62" s="30" t="inlineStr">
        <is>
          <t>B0FP51N9MQ</t>
        </is>
      </c>
      <c r="C62" s="30" t="inlineStr">
        <is>
          <t>Tablet</t>
        </is>
      </c>
      <c r="D62" s="324" t="n">
        <v>188.1964935064935</v>
      </c>
      <c r="E62" s="53" t="n">
        <v>305089.5123076923</v>
      </c>
      <c r="F62" s="54" t="n">
        <v>28982.26</v>
      </c>
      <c r="G62" s="55" t="n">
        <v>687</v>
      </c>
      <c r="H62" s="55" t="n">
        <v>154</v>
      </c>
      <c r="I62" s="55" t="n">
        <v>42</v>
      </c>
      <c r="J62" s="56" t="n">
        <v>4.5</v>
      </c>
      <c r="K62" s="56" t="inlineStr">
        <is>
          <t>https://amazon.com/dp/B0FP51N9MQ</t>
        </is>
      </c>
      <c r="L62" s="70">
        <f>HYPERLINK(Table543384[[#This Row],[Column1]])</f>
        <v/>
      </c>
    </row>
    <row r="63" ht="45" customHeight="1" s="290">
      <c r="A63" s="30" t="inlineStr">
        <is>
          <t>XTOOL D7S OBD2 Scanner Diagnostic Tool 2026 AI-Assisted Bidirectional Scan Tool Ver. of D7 with ECU C0ding, Active Test, FCA, All-System 39+ Resets, EPB, Crankshaft Relearn, DoIP/CAN FD, 3-Yr Update</t>
        </is>
      </c>
      <c r="B63" s="30" t="inlineStr">
        <is>
          <t>B098L8FWGN</t>
        </is>
      </c>
      <c r="C63" s="30" t="inlineStr">
        <is>
          <t>Tablet</t>
        </is>
      </c>
      <c r="D63" s="324" t="n">
        <v>395.3752054794521</v>
      </c>
      <c r="E63" s="53" t="n">
        <v>556694.1</v>
      </c>
      <c r="F63" s="54" t="n">
        <v>28862.39</v>
      </c>
      <c r="G63" s="55" t="n">
        <v>1342</v>
      </c>
      <c r="H63" s="55" t="n">
        <v>73</v>
      </c>
      <c r="I63" s="55" t="n">
        <v>539</v>
      </c>
      <c r="J63" s="56" t="n">
        <v>4.3</v>
      </c>
      <c r="K63" s="56" t="inlineStr">
        <is>
          <t>https://amazon.com/dp/B098L8FWGN</t>
        </is>
      </c>
      <c r="L63" s="70">
        <f>HYPERLINK(Table543384[[#This Row],[Column1]])</f>
        <v/>
      </c>
    </row>
    <row r="64" ht="45" customHeight="1" s="290">
      <c r="A64" s="30" t="inlineStr">
        <is>
          <t>XTOOL IP616 V2.0 Bidirectional Scan Tool with Lifetime Free Updates, AI-Assisted Full System OBD2 Scanner Diagnostic Tool with 34+ Reset Services, Active Test, CAN FD &amp; DoIP, FCA AutoAuth, Android 10</t>
        </is>
      </c>
      <c r="B64" s="30" t="inlineStr">
        <is>
          <t>B0B8H2C4WH</t>
        </is>
      </c>
      <c r="C64" s="30" t="inlineStr">
        <is>
          <t>Tablet</t>
        </is>
      </c>
      <c r="D64" s="324" t="n">
        <v>324.2433333333333</v>
      </c>
      <c r="E64" s="53" t="n">
        <v>189475.2853846154</v>
      </c>
      <c r="F64" s="54" t="n">
        <v>24318.25</v>
      </c>
      <c r="G64" s="55" t="n">
        <v>473</v>
      </c>
      <c r="H64" s="55" t="n">
        <v>75</v>
      </c>
      <c r="I64" s="55" t="n">
        <v>200</v>
      </c>
      <c r="J64" s="56" t="n">
        <v>4.2</v>
      </c>
      <c r="K64" s="56" t="inlineStr">
        <is>
          <t>https://amazon.com/dp/B0B8H2C4WH</t>
        </is>
      </c>
      <c r="L64" s="70">
        <f>HYPERLINK(Table543384[[#This Row],[Column1]])</f>
        <v/>
      </c>
    </row>
    <row r="65" ht="45" customHeight="1" s="290">
      <c r="A65" s="30" t="inlineStr">
        <is>
          <t>XTOOL D7W OBD2 Scanner Diagnostic Tool: 2026 Wireless Ver. of D7/D7S/D7BT, AI-Assisted Bidirectional Scan Tool with Full System Diagnostic, PMI, ECU Coding, 39+ Resets, CAN FD/DoIP, Scanner for Car</t>
        </is>
      </c>
      <c r="B65" s="30" t="inlineStr">
        <is>
          <t>B099K7SSTQ</t>
        </is>
      </c>
      <c r="C65" s="30" t="inlineStr">
        <is>
          <t>Tablet</t>
        </is>
      </c>
      <c r="D65" s="324" t="n">
        <v>500.2091489361703</v>
      </c>
      <c r="E65" s="53" t="n">
        <v>538088.3100000001</v>
      </c>
      <c r="F65" s="54" t="n">
        <v>23509.83</v>
      </c>
      <c r="G65" s="55" t="n">
        <v>1155</v>
      </c>
      <c r="H65" s="55" t="n">
        <v>47</v>
      </c>
      <c r="I65" s="55" t="n">
        <v>515</v>
      </c>
      <c r="J65" s="56" t="n">
        <v>4.3</v>
      </c>
      <c r="K65" s="56" t="inlineStr">
        <is>
          <t>https://amazon.com/dp/B099K7SSTQ</t>
        </is>
      </c>
      <c r="L65" s="70">
        <f>HYPERLINK(Table543384[[#This Row],[Column1]])</f>
        <v/>
      </c>
    </row>
    <row r="66" ht="45" customHeight="1" s="290">
      <c r="A66" s="30" t="inlineStr">
        <is>
          <t>XTOOL D9S PRO Scan Tool with ECU Programming/Coding: 2026 AI-Assisted Wireless Automotive Diagnostic Scanner with Bidirectional, Topology Map, 45+ Services, FCA/DoIP/CAN FD, Full System, 3-Year Update</t>
        </is>
      </c>
      <c r="B66" s="30" t="inlineStr">
        <is>
          <t>B0BGL2YY8J</t>
        </is>
      </c>
      <c r="C66" s="30" t="inlineStr">
        <is>
          <t>Tablet</t>
        </is>
      </c>
      <c r="D66" s="324" t="n">
        <v>1354.843529411765</v>
      </c>
      <c r="E66" s="53" t="n">
        <v>433645.1200000001</v>
      </c>
      <c r="F66" s="54" t="n">
        <v>23032.34</v>
      </c>
      <c r="G66" s="55" t="n">
        <v>331</v>
      </c>
      <c r="H66" s="55" t="n">
        <v>17</v>
      </c>
      <c r="I66" s="55" t="n">
        <v>124</v>
      </c>
      <c r="J66" s="56" t="n">
        <v>4.3</v>
      </c>
      <c r="K66" s="56" t="inlineStr">
        <is>
          <t>https://amazon.com/dp/B0BGL2YY8J</t>
        </is>
      </c>
      <c r="L66" s="70">
        <f>HYPERLINK(Table543384[[#This Row],[Column1]])</f>
        <v/>
      </c>
    </row>
    <row r="67" ht="45" customHeight="1" s="290">
      <c r="A67" s="30" t="inlineStr">
        <is>
          <t>XTOOL D8W Wireless OBD2 Scanner Diagnostic Tool 2026 AI-Assisted Bidirectional Scan Tool with Topology Mapping, ECU C0ding, 42+ Resets, CAN FD &amp; DoIP, All System Scanner for Car, 3-Yr Update</t>
        </is>
      </c>
      <c r="B67" s="30" t="inlineStr">
        <is>
          <t>B09N8LKGCY</t>
        </is>
      </c>
      <c r="C67" s="30" t="inlineStr">
        <is>
          <t>Tablet</t>
        </is>
      </c>
      <c r="D67" s="324" t="n">
        <v>615.3888888888889</v>
      </c>
      <c r="E67" s="53" t="n">
        <v>449129.91</v>
      </c>
      <c r="F67" s="54" t="n">
        <v>22154</v>
      </c>
      <c r="G67" s="55" t="n">
        <v>721</v>
      </c>
      <c r="H67" s="55" t="n">
        <v>36</v>
      </c>
      <c r="I67" s="55" t="n">
        <v>359</v>
      </c>
      <c r="J67" s="56" t="n">
        <v>4.2</v>
      </c>
      <c r="K67" s="56" t="inlineStr">
        <is>
          <t>https://amazon.com/dp/B09N8LKGCY</t>
        </is>
      </c>
      <c r="L67" s="70">
        <f>HYPERLINK(Table543384[[#This Row],[Column1]])</f>
        <v/>
      </c>
    </row>
    <row r="68" ht="60" customHeight="1" s="290">
      <c r="A68" s="30" t="inlineStr">
        <is>
          <t>XTOOL IP500 for Toyota OBD2 Scanner, Full Systems Bi-Directional Scan Tool for Toyota/Lexus/Scion with Multi-in-One Live Data Graph, All Reset Services-(Injector Coding/EPB/ABS), Lifetime Free Update</t>
        </is>
      </c>
      <c r="B68" s="30" t="inlineStr">
        <is>
          <t>B0DG2GTGD5</t>
        </is>
      </c>
      <c r="C68" s="30" t="inlineStr">
        <is>
          <t>Tablet</t>
        </is>
      </c>
      <c r="D68" s="324" t="n">
        <v>189.3855652173913</v>
      </c>
      <c r="E68" s="53" t="n">
        <v>116468.03</v>
      </c>
      <c r="F68" s="54" t="n">
        <v>21779.34</v>
      </c>
      <c r="G68" s="55" t="n">
        <v>672</v>
      </c>
      <c r="H68" s="55" t="n">
        <v>115</v>
      </c>
      <c r="I68" s="55" t="n">
        <v>47</v>
      </c>
      <c r="J68" s="56" t="n">
        <v>4.2</v>
      </c>
      <c r="K68" s="56" t="inlineStr">
        <is>
          <t>https://amazon.com/dp/B0DG2GTGD5</t>
        </is>
      </c>
      <c r="L68" s="70">
        <f>HYPERLINK(Table543384[[#This Row],[Column1]])</f>
        <v/>
      </c>
    </row>
    <row r="69" ht="45" customHeight="1" s="290">
      <c r="A69" s="30" t="inlineStr">
        <is>
          <t>XTOOL IP500 for GM OBD2 Scanner, Bidirectional Scan Tool with Full Systems Diagnostic for Buick/Chevy/Cadillac/GMC, Diagnostic Scanner with All Services-Oil/ABS Bleed/Crank Relearn, Lifetime Update</t>
        </is>
      </c>
      <c r="B69" s="30" t="inlineStr">
        <is>
          <t>B0DKTH45K2</t>
        </is>
      </c>
      <c r="C69" s="30" t="inlineStr">
        <is>
          <t>Tablet</t>
        </is>
      </c>
      <c r="D69" s="324" t="n">
        <v>180.9245614035088</v>
      </c>
      <c r="E69" s="53" t="n">
        <v>310902.66</v>
      </c>
      <c r="F69" s="54" t="n">
        <v>20625.4</v>
      </c>
      <c r="G69" s="55" t="n">
        <v>1752</v>
      </c>
      <c r="H69" s="55" t="n">
        <v>114</v>
      </c>
      <c r="I69" s="55" t="n">
        <v>88</v>
      </c>
      <c r="J69" s="56" t="n">
        <v>4</v>
      </c>
      <c r="K69" s="56" t="inlineStr">
        <is>
          <t>https://amazon.com/dp/B0DKTH45K2</t>
        </is>
      </c>
      <c r="L69" s="70">
        <f>HYPERLINK(Table543384[[#This Row],[Column1]])</f>
        <v/>
      </c>
    </row>
    <row r="70" ht="60" customHeight="1" s="290">
      <c r="A70" s="30" t="inlineStr">
        <is>
          <t>XTOOL D9 MAX AI-Assisted Automotive Diagnostic Scanner, J2534 Reprogramming Tool, Wireless Bidirectional Scan Tool, OBD2 Scanner with Topology Mapping, 45+ Relearns, ECU Coding, FCA/DoIP/CAN FD</t>
        </is>
      </c>
      <c r="B70" s="30" t="inlineStr">
        <is>
          <t>B0FMRVF9N7</t>
        </is>
      </c>
      <c r="C70" s="30" t="inlineStr">
        <is>
          <t>Tablet</t>
        </is>
      </c>
      <c r="D70" s="324" t="n">
        <v>1660.060833333333</v>
      </c>
      <c r="E70" s="53" t="n">
        <v>170439.213076923</v>
      </c>
      <c r="F70" s="54" t="n">
        <v>19920.73</v>
      </c>
      <c r="G70" s="55" t="n">
        <v>26</v>
      </c>
      <c r="H70" s="55" t="n">
        <v>12</v>
      </c>
      <c r="I70" s="55" t="n">
        <v>2</v>
      </c>
      <c r="J70" s="56" t="n">
        <v>5</v>
      </c>
      <c r="K70" s="56" t="inlineStr">
        <is>
          <t>https://amazon.com/dp/B0FMRVF9N7</t>
        </is>
      </c>
      <c r="L70" s="70">
        <f>HYPERLINK(Table543384[[#This Row],[Column1]])</f>
        <v/>
      </c>
    </row>
    <row r="71" ht="45" customHeight="1" s="290">
      <c r="A71" s="30" t="inlineStr">
        <is>
          <t>XTOOL IP500 for Jeep OBD2 Scanner, Full Systems Bi-Directional Scan Tool for Jeep/Dodge/Chrysler, with FCA AutoAuth, OBD2 Scanner Diagnostic Tool with All Reset -(Injector/EPB/ABS/BMS),Lifetime Update</t>
        </is>
      </c>
      <c r="B71" s="30" t="inlineStr">
        <is>
          <t>B0DG2FKQ5W</t>
        </is>
      </c>
      <c r="C71" s="30" t="inlineStr">
        <is>
          <t>Tablet</t>
        </is>
      </c>
      <c r="D71" s="324" t="n">
        <v>189.4546666666667</v>
      </c>
      <c r="E71" s="53" t="n">
        <v>131247.92</v>
      </c>
      <c r="F71" s="54" t="n">
        <v>19892.74</v>
      </c>
      <c r="G71" s="55" t="n">
        <v>756</v>
      </c>
      <c r="H71" s="55" t="n">
        <v>105</v>
      </c>
      <c r="I71" s="55" t="n">
        <v>40</v>
      </c>
      <c r="J71" s="56" t="n">
        <v>3.8</v>
      </c>
      <c r="K71" s="56" t="inlineStr">
        <is>
          <t>https://amazon.com/dp/B0DG2FKQ5W</t>
        </is>
      </c>
      <c r="L71" s="70">
        <f>HYPERLINK(Table543384[[#This Row],[Column1]])</f>
        <v/>
      </c>
    </row>
    <row r="72" ht="45" customHeight="1" s="290">
      <c r="A72" s="30" t="inlineStr">
        <is>
          <t>XTOOL X100 MAX AI-Assisted Bidirectional Scan Tool with ECU Pr0gramming &amp; C0ding, Wireless Automotive Diagnostic Tool with Topology Map and [KC501 Adapter], 42+ Resets, FCA/CAN FD/DoIP, 2-Year Updates</t>
        </is>
      </c>
      <c r="B72" s="30" t="inlineStr">
        <is>
          <t>B0FJXVCGSS</t>
        </is>
      </c>
      <c r="C72" s="30" t="inlineStr">
        <is>
          <t>Tablet</t>
        </is>
      </c>
      <c r="D72" s="324" t="n">
        <v>1199.123571428571</v>
      </c>
      <c r="E72" s="53" t="n">
        <v>144905.7307692308</v>
      </c>
      <c r="F72" s="54" t="n">
        <v>16787.73</v>
      </c>
      <c r="G72" s="55" t="n">
        <v>50</v>
      </c>
      <c r="H72" s="55" t="n">
        <v>14</v>
      </c>
      <c r="I72" s="55" t="n">
        <v>1</v>
      </c>
      <c r="J72" s="56" t="n">
        <v>5</v>
      </c>
      <c r="K72" s="56" t="inlineStr">
        <is>
          <t>https://amazon.com/dp/B0FJXVCGSS</t>
        </is>
      </c>
      <c r="L72" s="70">
        <f>HYPERLINK(Table543384[[#This Row],[Column1]])</f>
        <v/>
      </c>
    </row>
    <row r="73" ht="45" customHeight="1" s="290">
      <c r="A73" s="30" t="inlineStr">
        <is>
          <t>XTOOL IP919 MAX OBD2 Scanner with J2534 Pr0gramming Scan Tool, Topology Map, 51+Resets, ECU C0ding, Upgrade of IP919 PRO, AutoAuth for FCA, CAN FD/DoIP, All System Bidirectional Scanner, 3-y Update</t>
        </is>
      </c>
      <c r="B73" s="30" t="inlineStr">
        <is>
          <t>B09PYMMH86</t>
        </is>
      </c>
      <c r="C73" s="30" t="inlineStr">
        <is>
          <t>Tablet</t>
        </is>
      </c>
      <c r="D73" s="324" t="n">
        <v>1854.542222222222</v>
      </c>
      <c r="E73" s="53" t="n">
        <v>224769.3646153846</v>
      </c>
      <c r="F73" s="54" t="n">
        <v>16690.88</v>
      </c>
      <c r="G73" s="55" t="n">
        <v>82</v>
      </c>
      <c r="H73" s="55" t="n">
        <v>9</v>
      </c>
      <c r="I73" s="55" t="n">
        <v>15</v>
      </c>
      <c r="J73" s="56" t="n">
        <v>3.6</v>
      </c>
      <c r="K73" s="56" t="inlineStr">
        <is>
          <t>https://amazon.com/dp/B09PYMMH86</t>
        </is>
      </c>
      <c r="L73" s="70">
        <f>HYPERLINK(Table543384[[#This Row],[Column1]])</f>
        <v/>
      </c>
    </row>
    <row r="74" ht="60" customHeight="1" s="290">
      <c r="A74" s="30" t="inlineStr">
        <is>
          <t>XTOOL Scanner D9S PRO, AI-Assisted, ECU Pr0gramming/C0ding Scan Tool with Bidirectional Control, Topology Map, with 45+ Resets, OE-Level Full System, PMI, FCA/CAN FD/DoIP, 3-Yr Update</t>
        </is>
      </c>
      <c r="B74" s="30" t="inlineStr">
        <is>
          <t>B0BNHG61Q3</t>
        </is>
      </c>
      <c r="C74" s="30" t="inlineStr">
        <is>
          <t>Tablet</t>
        </is>
      </c>
      <c r="D74" s="324" t="n">
        <v>1386.8475</v>
      </c>
      <c r="E74" s="53" t="n">
        <v>216598.51</v>
      </c>
      <c r="F74" s="54" t="n">
        <v>16642.17</v>
      </c>
      <c r="G74" s="55" t="n">
        <v>161</v>
      </c>
      <c r="H74" s="55" t="n">
        <v>12</v>
      </c>
      <c r="I74" s="55" t="n">
        <v>63</v>
      </c>
      <c r="J74" s="56" t="n">
        <v>4</v>
      </c>
      <c r="K74" s="56" t="inlineStr">
        <is>
          <t>https://amazon.com/dp/B0BNHG61Q3</t>
        </is>
      </c>
      <c r="L74" s="70">
        <f>HYPERLINK(Table543384[[#This Row],[Column1]])</f>
        <v/>
      </c>
    </row>
    <row r="75" ht="45" customHeight="1" s="290">
      <c r="A75" s="30" t="inlineStr">
        <is>
          <t>XTOOL IP500 2.0 for BMW OBD2 Scanner, Full Systems Bidirectional Scan Tool with ECU C0ding, Battery Registration Tool for BMW/MiNi/RR, All Services-(Injector C0ding/BMS/ABS), Lifetime Free Update</t>
        </is>
      </c>
      <c r="B75" s="30" t="inlineStr">
        <is>
          <t>B0DG2H3XP4</t>
        </is>
      </c>
      <c r="C75" s="30" t="inlineStr">
        <is>
          <t>Tablet</t>
        </is>
      </c>
      <c r="D75" s="324" t="n">
        <v>159.6906172839506</v>
      </c>
      <c r="E75" s="53" t="n">
        <v>162083.06</v>
      </c>
      <c r="F75" s="54" t="n">
        <v>12934.94</v>
      </c>
      <c r="G75" s="55" t="n">
        <v>1049</v>
      </c>
      <c r="H75" s="55" t="n">
        <v>81</v>
      </c>
      <c r="I75" s="55" t="n">
        <v>64</v>
      </c>
      <c r="J75" s="56" t="n">
        <v>4.4</v>
      </c>
      <c r="K75" s="56" t="inlineStr">
        <is>
          <t>https://amazon.com/dp/B0DG2H3XP4</t>
        </is>
      </c>
      <c r="L75" s="70">
        <f>HYPERLINK(Table543384[[#This Row],[Column1]])</f>
        <v/>
      </c>
    </row>
    <row r="76" ht="45" customHeight="1" s="290">
      <c r="A76" s="30" t="inlineStr">
        <is>
          <t>XTOOL Scanner D9S 2.0, AI-Assisted Bidirectional Scan Tool with ECU C0ding, Wireless Automotive Diagnostic Tool with Topology Map, PMI, 45+ Resets, FCA/CAN FD/DoIP, 3-Year Update</t>
        </is>
      </c>
      <c r="B76" s="30" t="inlineStr">
        <is>
          <t>B09LYZ26PX</t>
        </is>
      </c>
      <c r="C76" s="30" t="inlineStr">
        <is>
          <t>Tablet</t>
        </is>
      </c>
      <c r="D76" s="324" t="n">
        <v>1064.854</v>
      </c>
      <c r="E76" s="53" t="n">
        <v>251295.15</v>
      </c>
      <c r="F76" s="54" t="n">
        <v>10648.54</v>
      </c>
      <c r="G76" s="55" t="n">
        <v>254</v>
      </c>
      <c r="H76" s="55" t="n">
        <v>10</v>
      </c>
      <c r="I76" s="55" t="n">
        <v>104</v>
      </c>
      <c r="J76" s="56" t="n">
        <v>4.5</v>
      </c>
      <c r="K76" s="56" t="inlineStr">
        <is>
          <t>https://amazon.com/dp/B09LYZ26PX</t>
        </is>
      </c>
      <c r="L76" s="70">
        <f>HYPERLINK(Table543384[[#This Row],[Column1]])</f>
        <v/>
      </c>
    </row>
    <row r="77" ht="45" customHeight="1" s="290">
      <c r="A77" s="30" t="inlineStr">
        <is>
          <t>XTOOL Advancer AD20 Pro AI-Assisted Wireless OBD2 Scanner Diagnostic Tool, Car Code Reader for iPhone&amp;Android, All System Scan Tool with Free Updates -Check Engine, Oil Reset, Performance/Battery Test</t>
        </is>
      </c>
      <c r="B77" s="30" t="inlineStr">
        <is>
          <t>B0BRKQRS2P</t>
        </is>
      </c>
      <c r="C77" s="30" t="inlineStr">
        <is>
          <t>Dongle</t>
        </is>
      </c>
      <c r="D77" s="324" t="n">
        <v>43.43967346938775</v>
      </c>
      <c r="E77" s="53" t="n">
        <v>167027.85</v>
      </c>
      <c r="F77" s="54" t="n">
        <v>10642.72</v>
      </c>
      <c r="G77" s="55" t="n">
        <v>3595</v>
      </c>
      <c r="H77" s="55" t="n">
        <v>245</v>
      </c>
      <c r="I77" s="55" t="n">
        <v>687</v>
      </c>
      <c r="J77" s="56" t="n">
        <v>4.3</v>
      </c>
      <c r="K77" s="56" t="inlineStr">
        <is>
          <t>https://amazon.com/dp/B0BRKQRS2P</t>
        </is>
      </c>
      <c r="L77" s="70">
        <f>HYPERLINK(Table543384[[#This Row],[Column1]])</f>
        <v/>
      </c>
    </row>
    <row r="78" ht="45" customHeight="1" s="290">
      <c r="A78" s="30" t="inlineStr">
        <is>
          <t>XTOOL IP900BT OBD2 Scanner Diagnostic Tool, ECU C0ding Automative Scanner, AI-Assisted Wireless Scan Tool with 41+ Reset, 4000+ Bidirectional Scanner for Car, CAN FD/DoIP/FCA, 3-Y Update</t>
        </is>
      </c>
      <c r="B78" s="30" t="inlineStr">
        <is>
          <t>B09KZZT818</t>
        </is>
      </c>
      <c r="C78" s="30" t="inlineStr">
        <is>
          <t>Tablet</t>
        </is>
      </c>
      <c r="D78" s="324" t="n">
        <v>586.1</v>
      </c>
      <c r="E78" s="53" t="n">
        <v>107768.1084615384</v>
      </c>
      <c r="F78" s="54" t="n">
        <v>8791.5</v>
      </c>
      <c r="G78" s="55" t="n">
        <v>31</v>
      </c>
      <c r="H78" s="55" t="n">
        <v>15</v>
      </c>
      <c r="I78" s="55" t="n">
        <v>141</v>
      </c>
      <c r="J78" s="56" t="n">
        <v>4.3</v>
      </c>
      <c r="K78" s="56" t="inlineStr">
        <is>
          <t>https://amazon.com/dp/B09KZZT818</t>
        </is>
      </c>
      <c r="L78" s="70">
        <f>HYPERLINK(Table543384[[#This Row],[Column1]])</f>
        <v/>
      </c>
    </row>
    <row r="79" ht="45" customHeight="1" s="290">
      <c r="A79" s="30" t="inlineStr">
        <is>
          <t>XTOOL D9S Topology Mapping OBD2 Scanner, Wireless ECU Coding &amp; Bidirectional Automotive Diagnostic Scan Tool, PMI for Ford, AI-Assisted, 45+ Resets, 8 PIDs Live Data, FCA, Full System, 3-Year Updates</t>
        </is>
      </c>
      <c r="B79" s="30" t="inlineStr">
        <is>
          <t>B0BHYRQ5WZ</t>
        </is>
      </c>
      <c r="C79" s="30" t="inlineStr">
        <is>
          <t>Tablet</t>
        </is>
      </c>
      <c r="D79" s="324" t="n">
        <v>971.688888888889</v>
      </c>
      <c r="E79" s="53" t="n">
        <v>155753.4</v>
      </c>
      <c r="F79" s="54" t="n">
        <v>8745.200000000001</v>
      </c>
      <c r="G79" s="55" t="n">
        <v>147</v>
      </c>
      <c r="H79" s="55" t="n">
        <v>9</v>
      </c>
      <c r="I79" s="55" t="n">
        <v>88</v>
      </c>
      <c r="J79" s="56" t="n">
        <v>4.3</v>
      </c>
      <c r="K79" s="56" t="inlineStr">
        <is>
          <t>https://amazon.com/dp/B0BHYRQ5WZ</t>
        </is>
      </c>
      <c r="L79" s="70">
        <f>HYPERLINK(Table543384[[#This Row],[Column1]])</f>
        <v/>
      </c>
    </row>
    <row r="80" ht="45" customHeight="1" s="290">
      <c r="A80" s="30" t="inlineStr">
        <is>
          <t>XTOOL IP919 AI-Assisted Diagnostic Scanner for Car, 2026 Ver.Bidirectional Scan Tool with Topology Map, ECU C0ding,8-Core Processor, 51+ Resets, All System OBD2 Scanner, 3-Y Free Update</t>
        </is>
      </c>
      <c r="B80" s="30" t="inlineStr">
        <is>
          <t>B0DBLMWKWW</t>
        </is>
      </c>
      <c r="C80" s="30" t="inlineStr">
        <is>
          <t>Tablet</t>
        </is>
      </c>
      <c r="D80" s="324" t="n">
        <v>1356.41</v>
      </c>
      <c r="E80" s="53" t="n">
        <v>91569.65999999997</v>
      </c>
      <c r="F80" s="54" t="n">
        <v>8138.46</v>
      </c>
      <c r="G80" s="55" t="n">
        <v>71</v>
      </c>
      <c r="H80" s="55" t="n">
        <v>6</v>
      </c>
      <c r="I80" s="55" t="n">
        <v>22</v>
      </c>
      <c r="J80" s="56" t="n">
        <v>4.2</v>
      </c>
      <c r="K80" s="56" t="inlineStr">
        <is>
          <t>https://amazon.com/dp/B0DBLMWKWW</t>
        </is>
      </c>
      <c r="L80" s="70">
        <f>HYPERLINK(Table543384[[#This Row],[Column1]])</f>
        <v/>
      </c>
    </row>
    <row r="81" ht="60" customHeight="1" s="290">
      <c r="A81" s="30" t="inlineStr">
        <is>
          <t>XTOOL X100 PAD3 AI-Assisted Scan Tool &amp; Pr0grammer Tool with [KC100+EEPROM Adapter Kit], All System Bidirectional OBD2 Scanner with FCA AutoAuth, 38+ Resets, ECU C0ding, CAN FD &amp; DOIP, 2 Years Update</t>
        </is>
      </c>
      <c r="B81" s="30" t="inlineStr">
        <is>
          <t>B0FJS2RKX9</t>
        </is>
      </c>
      <c r="C81" s="30" t="inlineStr">
        <is>
          <t>Tablet</t>
        </is>
      </c>
      <c r="D81" s="324" t="n">
        <v>763.4122222222222</v>
      </c>
      <c r="E81" s="53" t="n">
        <v>81381.61923076924</v>
      </c>
      <c r="F81" s="54" t="n">
        <v>6870.71</v>
      </c>
      <c r="G81" s="55" t="n">
        <v>54</v>
      </c>
      <c r="H81" s="55" t="n">
        <v>9</v>
      </c>
      <c r="I81" s="55" t="n">
        <v>3</v>
      </c>
      <c r="J81" s="56" t="n">
        <v>5</v>
      </c>
      <c r="K81" s="56" t="inlineStr">
        <is>
          <t>https://amazon.com/dp/B0FJS2RKX9</t>
        </is>
      </c>
      <c r="L81" s="70">
        <f>HYPERLINK(Table543384[[#This Row],[Column1]])</f>
        <v/>
      </c>
    </row>
    <row r="82" ht="45" customHeight="1" s="290">
      <c r="A82" s="30" t="inlineStr">
        <is>
          <t>XTOOL IP919 MAX, 2025 Bidirectional scan Tool with J2534 pr0gram ming, Upgrade of IP919 PRO, ECU Pr0gram ming Tool with Topology Map, 51+Resets, ECU C0ding, AutoAuth for FCA, CAN FD/DoIP, 3-y Update</t>
        </is>
      </c>
      <c r="B82" s="30" t="inlineStr">
        <is>
          <t>B0F23MSH56</t>
        </is>
      </c>
      <c r="C82" s="30" t="inlineStr">
        <is>
          <t>Tablet</t>
        </is>
      </c>
      <c r="D82" s="324" t="n">
        <v>2119.683333333333</v>
      </c>
      <c r="E82" s="53" t="n">
        <v>67740.03615384616</v>
      </c>
      <c r="F82" s="54" t="n">
        <v>6359.05</v>
      </c>
      <c r="G82" s="55" t="n">
        <v>13</v>
      </c>
      <c r="H82" s="55" t="n">
        <v>3</v>
      </c>
      <c r="I82" s="55" t="n">
        <v>1</v>
      </c>
      <c r="J82" s="56" t="n">
        <v>5</v>
      </c>
      <c r="K82" s="56" t="inlineStr">
        <is>
          <t>https://amazon.com/dp/B0F23MSH56</t>
        </is>
      </c>
      <c r="L82" s="70">
        <f>HYPERLINK(Table543384[[#This Row],[Column1]])</f>
        <v/>
      </c>
    </row>
    <row r="83" ht="45" customHeight="1" s="290">
      <c r="A83" s="30" t="inlineStr">
        <is>
          <t>XTOOL D7 Bidirectional Scan Tool, 2026 Ai-Assisted Full System OBD2 Scanner Diagnostic Tool for Car with ECU C0ding, Active Tests, FCA, CANFD/DoIP, 36+ Resets, Crank Sensor Relearn, 3 Years Updates</t>
        </is>
      </c>
      <c r="B83" s="30" t="inlineStr">
        <is>
          <t>B0BR81J15L</t>
        </is>
      </c>
      <c r="C83" s="30" t="inlineStr">
        <is>
          <t>Tablet</t>
        </is>
      </c>
      <c r="D83" s="324" t="n">
        <v>413.8808333333333</v>
      </c>
      <c r="E83" s="53" t="n">
        <v>92679.53615384616</v>
      </c>
      <c r="F83" s="54" t="n">
        <v>4966.57</v>
      </c>
      <c r="G83" s="55" t="n">
        <v>213</v>
      </c>
      <c r="H83" s="55" t="n">
        <v>12</v>
      </c>
      <c r="I83" s="55" t="n">
        <v>138</v>
      </c>
      <c r="J83" s="56" t="n">
        <v>4.3</v>
      </c>
      <c r="K83" s="56" t="inlineStr">
        <is>
          <t>https://amazon.com/dp/B0BR81J15L</t>
        </is>
      </c>
      <c r="L83" s="70">
        <f>HYPERLINK(Table543384[[#This Row],[Column1]])</f>
        <v/>
      </c>
    </row>
    <row r="84" ht="45" customHeight="1" s="290">
      <c r="A84" s="30" t="inlineStr">
        <is>
          <t>XTOOL IP900 Bidirectional Scan Tool 2026 Upgraded AI Assisted, OBD2 Scanner Diagnostic Tool, ECU C0ding, 41+ Resets, FCA, CAN FD&amp;DoIP, Pre &amp; Post Scan, All System Scanner for Car, 3-Year Update</t>
        </is>
      </c>
      <c r="B84" s="30" t="inlineStr">
        <is>
          <t>B0BQ3G6W9B</t>
        </is>
      </c>
      <c r="C84" s="30" t="inlineStr">
        <is>
          <t>Tablet</t>
        </is>
      </c>
      <c r="D84" s="324" t="n">
        <v>521.6311111111112</v>
      </c>
      <c r="E84" s="53" t="n">
        <v>82580.55076923077</v>
      </c>
      <c r="F84" s="54" t="n">
        <v>4694.68</v>
      </c>
      <c r="G84" s="55" t="n">
        <v>148</v>
      </c>
      <c r="H84" s="55" t="n">
        <v>9</v>
      </c>
      <c r="I84" s="55" t="n">
        <v>81</v>
      </c>
      <c r="J84" s="56" t="n">
        <v>4.3</v>
      </c>
      <c r="K84" s="56" t="inlineStr">
        <is>
          <t>https://amazon.com/dp/B0BQ3G6W9B</t>
        </is>
      </c>
      <c r="L84" s="70">
        <f>HYPERLINK(Table543384[[#This Row],[Column1]])</f>
        <v/>
      </c>
    </row>
    <row r="85" ht="45" customHeight="1" s="290">
      <c r="A85" s="30" t="inlineStr">
        <is>
          <t>XTOOL IP819 V2.0 Bidirectional Scan Tool, AI Assisted Car Scanner Diagnostic Tool with 39+ Resets, Full System, FCA, CAN FD/DOIP, EPB/ABS/Throttle/Crank Sensor Relearn, 3-Year Free Updates</t>
        </is>
      </c>
      <c r="B85" s="30" t="inlineStr">
        <is>
          <t>B0B8GZ1M6K</t>
        </is>
      </c>
      <c r="C85" s="30" t="inlineStr">
        <is>
          <t>Tablet</t>
        </is>
      </c>
      <c r="D85" s="324" t="n">
        <v>438.7266666666667</v>
      </c>
      <c r="E85" s="53" t="n">
        <v>145761.39</v>
      </c>
      <c r="F85" s="54" t="n">
        <v>3948.54</v>
      </c>
      <c r="G85" s="55" t="n">
        <v>343</v>
      </c>
      <c r="H85" s="55" t="n">
        <v>9</v>
      </c>
      <c r="I85" s="55" t="n">
        <v>91</v>
      </c>
      <c r="J85" s="56" t="n">
        <v>4.2</v>
      </c>
      <c r="K85" s="56" t="inlineStr">
        <is>
          <t>https://amazon.com/dp/B0B8GZ1M6K</t>
        </is>
      </c>
      <c r="L85" s="70">
        <f>HYPERLINK(Table543384[[#This Row],[Column1]])</f>
        <v/>
      </c>
    </row>
    <row r="86" ht="45" customHeight="1" s="290">
      <c r="A86" s="30" t="inlineStr">
        <is>
          <t>XTOOL D9 MAX AI-Assisted Professional Automotive Scan Tool, J2534 Reprogramming Tool, Bidirectional OBD2 Scanner with Topology Mapping, 45+ Relearns, ECU Coding, ADAS Calibration, FCA/DoIP/CAN FD</t>
        </is>
      </c>
      <c r="B86" s="30" t="inlineStr">
        <is>
          <t>B0DXPXS3BM</t>
        </is>
      </c>
      <c r="C86" s="30" t="inlineStr">
        <is>
          <t>Tablet</t>
        </is>
      </c>
      <c r="D86" s="324" t="n">
        <v>1699</v>
      </c>
      <c r="E86" s="53" t="n">
        <v>54236.84692307691</v>
      </c>
      <c r="F86" s="54" t="n">
        <v>3398</v>
      </c>
      <c r="G86" s="55" t="n">
        <v>22</v>
      </c>
      <c r="H86" s="55" t="n">
        <v>2</v>
      </c>
      <c r="I86" s="55" t="n">
        <v>1</v>
      </c>
      <c r="J86" s="56" t="n">
        <v>5</v>
      </c>
      <c r="K86" s="56" t="inlineStr">
        <is>
          <t>https://amazon.com/dp/B0DXPXS3BM</t>
        </is>
      </c>
      <c r="L86" s="70">
        <f>HYPERLINK(Table543384[[#This Row],[Column1]])</f>
        <v/>
      </c>
    </row>
    <row r="87" ht="60" customHeight="1" s="290">
      <c r="A87" s="30" t="inlineStr">
        <is>
          <t>XTOOL TP380 TPMS Programming Tool &amp; OBD2 Scanner: 2026 2-in-1 Car Diagnostic Tool, TPMS Relearn/Reset, 5 System Diagnosis, 13+ Service Functions(Oil/BMS/ABS), Lifetime Free Updates, No Subscription</t>
        </is>
      </c>
      <c r="B87" s="30" t="inlineStr">
        <is>
          <t>B0GLGBH3MZ</t>
        </is>
      </c>
      <c r="C87" s="30" t="inlineStr">
        <is>
          <t>Tablet</t>
        </is>
      </c>
      <c r="D87" s="324" t="n">
        <v>248.92</v>
      </c>
      <c r="E87" s="53" t="n">
        <v>36074.2523076923</v>
      </c>
      <c r="F87" s="54" t="n">
        <v>2987.04</v>
      </c>
      <c r="G87" s="55" t="n">
        <v>12</v>
      </c>
      <c r="H87" s="55" t="n">
        <v>12</v>
      </c>
      <c r="I87" s="55" t="n"/>
      <c r="J87" s="56" t="n"/>
      <c r="K87" s="56" t="inlineStr">
        <is>
          <t>https://amazon.com/dp/B0GLGBH3MZ</t>
        </is>
      </c>
      <c r="L87" s="70">
        <f>HYPERLINK(Table543384[[#This Row],[Column1]])</f>
        <v/>
      </c>
    </row>
    <row r="88" ht="45" customHeight="1" s="290">
      <c r="A88" s="30" t="inlineStr">
        <is>
          <t>XTOOL D7X OBD2 Scanner Diagnostic Tool, 3-Year Updates, Ai-Assisted Bidirectional Scan Tool with 36+Resets, 4000+Active Test, Full System Car Scanner for ABS, Throttle, ECU Coding, FCA,CAN FD</t>
        </is>
      </c>
      <c r="B88" s="30" t="inlineStr">
        <is>
          <t>B0F3C9MF88</t>
        </is>
      </c>
      <c r="C88" s="30" t="inlineStr">
        <is>
          <t>Tablet</t>
        </is>
      </c>
      <c r="D88" s="324" t="n">
        <v>391.1066666666666</v>
      </c>
      <c r="E88" s="53" t="n">
        <v>51247.42769230769</v>
      </c>
      <c r="F88" s="54" t="n">
        <v>2346.64</v>
      </c>
      <c r="G88" s="55" t="n">
        <v>113</v>
      </c>
      <c r="H88" s="55" t="n">
        <v>6</v>
      </c>
      <c r="I88" s="55" t="n">
        <v>3</v>
      </c>
      <c r="J88" s="56" t="n">
        <v>3.7</v>
      </c>
      <c r="K88" s="56" t="inlineStr">
        <is>
          <t>https://amazon.com/dp/B0F3C9MF88</t>
        </is>
      </c>
      <c r="L88" s="70">
        <f>HYPERLINK(Table543384[[#This Row],[Column1]])</f>
        <v/>
      </c>
    </row>
    <row r="89" ht="45" customHeight="1" s="290">
      <c r="A89" s="30" t="inlineStr">
        <is>
          <t>XTOOL KC100, Work with X100 PADS/IK618/X100 PAD3/X100 MAX, D8S/D8W, D9S/D9S PRO, Work Together with XTOOL Automotive Scan Tool</t>
        </is>
      </c>
      <c r="B89" s="30" t="inlineStr">
        <is>
          <t>B0FVSJR6DY</t>
        </is>
      </c>
      <c r="C89" s="30" t="inlineStr">
        <is>
          <t>Key</t>
        </is>
      </c>
      <c r="D89" s="324" t="n">
        <v>282.25</v>
      </c>
      <c r="E89" s="53" t="n">
        <v>24583.82692307692</v>
      </c>
      <c r="F89" s="54" t="n">
        <v>2258</v>
      </c>
      <c r="G89" s="55" t="n">
        <v>13</v>
      </c>
      <c r="H89" s="55" t="n">
        <v>8</v>
      </c>
      <c r="I89" s="55" t="n"/>
      <c r="J89" s="56" t="n"/>
      <c r="K89" s="56" t="inlineStr">
        <is>
          <t>https://amazon.com/dp/B0FVSJR6DY</t>
        </is>
      </c>
      <c r="L89" s="70">
        <f>HYPERLINK(Table543384[[#This Row],[Column1]])</f>
        <v/>
      </c>
    </row>
    <row r="90" ht="45" customHeight="1" s="290">
      <c r="A90" s="30" t="inlineStr">
        <is>
          <t>OBD2 Scanner Diagnostic Tool XTOOL IP508S: Code Reader for Cars &amp; Trucks with 15 Resets, Crank Sensor Relearn, ABS Bleed, CAN FD for GM, Engine, ABS, SRS, Transmission Car Diagnostic Tool, Android 10</t>
        </is>
      </c>
      <c r="B90" s="30" t="inlineStr">
        <is>
          <t>B0BL3125HB</t>
        </is>
      </c>
      <c r="C90" s="30" t="inlineStr">
        <is>
          <t>Tablet</t>
        </is>
      </c>
      <c r="D90" s="324" t="n">
        <v>205.646</v>
      </c>
      <c r="E90" s="53" t="n">
        <v>55863.71999999999</v>
      </c>
      <c r="F90" s="54" t="n">
        <v>2056.46</v>
      </c>
      <c r="G90" s="55" t="n">
        <v>274</v>
      </c>
      <c r="H90" s="55" t="n">
        <v>10</v>
      </c>
      <c r="I90" s="55" t="n">
        <v>147</v>
      </c>
      <c r="J90" s="56" t="n">
        <v>4.2</v>
      </c>
      <c r="K90" s="56" t="inlineStr">
        <is>
          <t>https://amazon.com/dp/B0BL3125HB</t>
        </is>
      </c>
      <c r="L90" s="70">
        <f>HYPERLINK(Table543384[[#This Row],[Column1]])</f>
        <v/>
      </c>
    </row>
    <row r="91" ht="30" customHeight="1" s="290">
      <c r="A91" s="30" t="inlineStr">
        <is>
          <t>OBD2 Scanner Diagnostic Tool XTOOL D6: All System Scanner for Car with Free Updates, 15 Resets, Throttle Body Relearn, ABS Bleed, FCA AutoAuth &amp; CAN FD, 2026 Upgrade Ver. of XTOOL D5/D5S</t>
        </is>
      </c>
      <c r="B91" s="30" t="inlineStr">
        <is>
          <t>B0DFCLSKMB</t>
        </is>
      </c>
      <c r="C91" s="30" t="inlineStr">
        <is>
          <t>Tablet</t>
        </is>
      </c>
      <c r="D91" s="324" t="n">
        <v>247.1975</v>
      </c>
      <c r="E91" s="53" t="n">
        <v>42755.26</v>
      </c>
      <c r="F91" s="54" t="n">
        <v>1977.58</v>
      </c>
      <c r="G91" s="55" t="n">
        <v>183</v>
      </c>
      <c r="H91" s="55" t="n">
        <v>8</v>
      </c>
      <c r="I91" s="55" t="n">
        <v>28</v>
      </c>
      <c r="J91" s="56" t="n">
        <v>4.3</v>
      </c>
      <c r="K91" s="56" t="inlineStr">
        <is>
          <t>https://amazon.com/dp/B0DFCLSKMB</t>
        </is>
      </c>
      <c r="L91" s="70">
        <f>HYPERLINK(Table543384[[#This Row],[Column1]])</f>
        <v/>
      </c>
    </row>
    <row r="92" ht="45" customHeight="1" s="290">
      <c r="A92" s="30" t="inlineStr">
        <is>
          <t>XTOOL AI-Assisted OBD2 Scanner Diagnostic Tool X100 Pads, Upgrade of X100 PAD, All Systems Scan Tool with 32+ Resets, Car Scanner with FCA AutoAuth, CKP Relearn, CANFD/DoIP, for Home Mechanic &amp; DIYer</t>
        </is>
      </c>
      <c r="B92" s="30" t="inlineStr">
        <is>
          <t>B0G5XYCD5M</t>
        </is>
      </c>
      <c r="C92" s="30" t="inlineStr">
        <is>
          <t>Tablet</t>
        </is>
      </c>
      <c r="D92" s="324" t="n">
        <v>391.456</v>
      </c>
      <c r="E92" s="53" t="n">
        <v>23186.91</v>
      </c>
      <c r="F92" s="54" t="n">
        <v>1957.28</v>
      </c>
      <c r="G92" s="55" t="n">
        <v>13</v>
      </c>
      <c r="H92" s="55" t="n">
        <v>5</v>
      </c>
      <c r="I92" s="55" t="n">
        <v>3</v>
      </c>
      <c r="J92" s="56" t="n">
        <v>3</v>
      </c>
      <c r="K92" s="56" t="inlineStr">
        <is>
          <t>https://amazon.com/dp/B0G5XYCD5M</t>
        </is>
      </c>
      <c r="L92" s="70">
        <f>HYPERLINK(Table543384[[#This Row],[Column1]])</f>
        <v/>
      </c>
    </row>
    <row r="93" ht="45" customHeight="1" s="290">
      <c r="A93" s="30" t="inlineStr">
        <is>
          <t>XTOOL Carrying Case for OBD2 Scanner Diagnostic Tool, Waterproof Car Scanner Tool Protective Bag Compatible with D5, D5S, D6, D6S, D7, D7S, TP150, IP508S, IP608, IP616, IP819, Size 11''x 7''x 4''</t>
        </is>
      </c>
      <c r="B93" s="30" t="inlineStr">
        <is>
          <t>B0BNQF6JZK</t>
        </is>
      </c>
      <c r="C93" s="30" t="inlineStr">
        <is>
          <t>Other</t>
        </is>
      </c>
      <c r="D93" s="324" t="n">
        <v>25.08356164383562</v>
      </c>
      <c r="E93" s="53" t="n">
        <v>20461.21615384616</v>
      </c>
      <c r="F93" s="54" t="n">
        <v>1831.1</v>
      </c>
      <c r="G93" s="55" t="n">
        <v>736</v>
      </c>
      <c r="H93" s="55" t="n">
        <v>73</v>
      </c>
      <c r="I93" s="55" t="n">
        <v>65</v>
      </c>
      <c r="J93" s="56" t="n">
        <v>4.9</v>
      </c>
      <c r="K93" s="56" t="inlineStr">
        <is>
          <t>https://amazon.com/dp/B0BNQF6JZK</t>
        </is>
      </c>
      <c r="L93" s="70">
        <f>HYPERLINK(Table543384[[#This Row],[Column1]])</f>
        <v/>
      </c>
    </row>
    <row r="94" ht="45" customHeight="1" s="290">
      <c r="A94" s="30" t="inlineStr">
        <is>
          <t>XTOOL KC501, Work with D8S/D8W, X100 PAD3/X100 PAD3 SE, IK618, X100 MAX/X100 MAX2, D9S/D9S PRO XTOOL Diagnostic Tool</t>
        </is>
      </c>
      <c r="B94" s="30" t="inlineStr">
        <is>
          <t>B0FVSTWRRQ</t>
        </is>
      </c>
      <c r="C94" s="30" t="inlineStr">
        <is>
          <t>Tablet</t>
        </is>
      </c>
      <c r="D94" s="324" t="n">
        <v>604.28</v>
      </c>
      <c r="E94" s="53" t="n">
        <v>20508.21692307693</v>
      </c>
      <c r="F94" s="54" t="n">
        <v>1812.84</v>
      </c>
      <c r="G94" s="55" t="n">
        <v>9</v>
      </c>
      <c r="H94" s="55" t="n">
        <v>3</v>
      </c>
      <c r="I94" s="55" t="n">
        <v>1</v>
      </c>
      <c r="J94" s="56" t="n">
        <v>5</v>
      </c>
      <c r="K94" s="56" t="inlineStr">
        <is>
          <t>https://amazon.com/dp/B0FVSTWRRQ</t>
        </is>
      </c>
      <c r="L94" s="70">
        <f>HYPERLINK(Table543384[[#This Row],[Column1]])</f>
        <v/>
      </c>
    </row>
    <row r="95" ht="45" customHeight="1" s="290">
      <c r="A95" s="30" t="inlineStr">
        <is>
          <t>XTOOL IP819TP Bidirectional OBD2 Scanner with TPMS Relearn &amp; Activation, Wireless Scan Tool with Full TPMS Diagnostic, 36+ Resets, Tire Size Reset, ECU C0ding, TPMS Pr0gramming for TS100 Sensors</t>
        </is>
      </c>
      <c r="B95" s="30" t="inlineStr">
        <is>
          <t>B0FPCLDDS1</t>
        </is>
      </c>
      <c r="C95" s="30" t="inlineStr">
        <is>
          <t>Tablet</t>
        </is>
      </c>
      <c r="D95" s="324" t="n">
        <v>443.54</v>
      </c>
      <c r="E95" s="53" t="n">
        <v>22154.51538461538</v>
      </c>
      <c r="F95" s="54" t="n">
        <v>1774.16</v>
      </c>
      <c r="G95" s="55" t="n">
        <v>16</v>
      </c>
      <c r="H95" s="55" t="n">
        <v>4</v>
      </c>
      <c r="I95" s="55" t="n"/>
      <c r="J95" s="56" t="n"/>
      <c r="K95" s="56" t="inlineStr">
        <is>
          <t>https://amazon.com/dp/B0FPCLDDS1</t>
        </is>
      </c>
      <c r="L95" s="70">
        <f>HYPERLINK(Table543384[[#This Row],[Column1]])</f>
        <v/>
      </c>
    </row>
    <row r="96" ht="45" customHeight="1" s="290">
      <c r="A96" s="30" t="inlineStr">
        <is>
          <t>XTOOL IP900S Bidirectional Scan Tool with Online &amp; Offline Coding, AI-Assisted Full System OBD2 Scanner with Topology Mapping, 41+ Services, CAN FD DoIP FCA Autoauth, Pre &amp; Post Scan, 3-Year Updates</t>
        </is>
      </c>
      <c r="B96" s="30" t="inlineStr">
        <is>
          <t>B0DBLBPZ23</t>
        </is>
      </c>
      <c r="C96" s="30" t="inlineStr">
        <is>
          <t>Tablet</t>
        </is>
      </c>
      <c r="D96" s="324" t="n">
        <v>740.41</v>
      </c>
      <c r="E96" s="53" t="n">
        <v>74476.40000000001</v>
      </c>
      <c r="F96" s="54" t="n">
        <v>1480.82</v>
      </c>
      <c r="G96" s="55" t="n">
        <v>94</v>
      </c>
      <c r="H96" s="55" t="n">
        <v>2</v>
      </c>
      <c r="I96" s="55" t="n">
        <v>24</v>
      </c>
      <c r="J96" s="56" t="n">
        <v>4.5</v>
      </c>
      <c r="K96" s="56" t="inlineStr">
        <is>
          <t>https://amazon.com/dp/B0DBLBPZ23</t>
        </is>
      </c>
      <c r="L96" s="70">
        <f>HYPERLINK(Table543384[[#This Row],[Column1]])</f>
        <v/>
      </c>
    </row>
    <row r="97" ht="45" customHeight="1" s="290">
      <c r="A97" s="30" t="inlineStr">
        <is>
          <t>XTOOL IP608 Full System OBD2 Scanner Diagnostic Tool, Code Reader for Cars and Trucks with 30+ Services - EPB/SAS/BMS/Throttle Relearn/ABS Bleeding, CAN FD, Lifetime Free Update</t>
        </is>
      </c>
      <c r="B97" s="30" t="inlineStr">
        <is>
          <t>B0BW3595H6</t>
        </is>
      </c>
      <c r="C97" s="30" t="inlineStr">
        <is>
          <t>Tablet</t>
        </is>
      </c>
      <c r="D97" s="324" t="n">
        <v>323.0275</v>
      </c>
      <c r="E97" s="53" t="n">
        <v>15908.93</v>
      </c>
      <c r="F97" s="54" t="n">
        <v>1292.11</v>
      </c>
      <c r="G97" s="55" t="n">
        <v>53</v>
      </c>
      <c r="H97" s="55" t="n">
        <v>4</v>
      </c>
      <c r="I97" s="55" t="n">
        <v>96</v>
      </c>
      <c r="J97" s="56" t="n">
        <v>4.4</v>
      </c>
      <c r="K97" s="56" t="inlineStr">
        <is>
          <t>https://amazon.com/dp/B0BW3595H6</t>
        </is>
      </c>
      <c r="L97" s="70">
        <f>HYPERLINK(Table543384[[#This Row],[Column1]])</f>
        <v/>
      </c>
    </row>
    <row r="98" ht="45" customHeight="1" s="290">
      <c r="A98" s="30" t="inlineStr">
        <is>
          <t>XTOOL X100 PAD3 SE AI-Assisted Bidirectional OBD2 Scanner, All System Scan Tool with 38+ Reset, Car Scanner Diagnostic Tool with FCA AutoAuth, ECU C0ding, Crank Sensor Relearn, CANFD/DOIP, 2-Yr Update</t>
        </is>
      </c>
      <c r="B98" s="30" t="inlineStr">
        <is>
          <t>B0FVL5MNLF</t>
        </is>
      </c>
      <c r="C98" s="30" t="inlineStr">
        <is>
          <t>Tablet</t>
        </is>
      </c>
      <c r="D98" s="324" t="n">
        <v>572.78</v>
      </c>
      <c r="E98" s="53" t="n">
        <v>12020.51</v>
      </c>
      <c r="F98" s="54" t="n">
        <v>1145.56</v>
      </c>
      <c r="G98" s="55" t="n">
        <v>4</v>
      </c>
      <c r="H98" s="55" t="n">
        <v>2</v>
      </c>
      <c r="I98" s="55" t="n"/>
      <c r="J98" s="56" t="n"/>
      <c r="K98" s="56" t="inlineStr">
        <is>
          <t>https://amazon.com/dp/B0FVL5MNLF</t>
        </is>
      </c>
      <c r="L98" s="70">
        <f>HYPERLINK(Table543384[[#This Row],[Column1]])</f>
        <v/>
      </c>
    </row>
    <row r="99" ht="45" customHeight="1" s="290">
      <c r="A99" s="30" t="inlineStr">
        <is>
          <t>XTOOL Original OBD2 12+8 Adapter for Chrysler, OBD II Universal Security Gateway Bypass Connector for FCA SGW Car, Work with XTOOL D7/ D7S/D7W /D8/D8S/D8W/IP616/IP819/IK618/X100 Pad Scanner</t>
        </is>
      </c>
      <c r="B99" s="30" t="inlineStr">
        <is>
          <t>B0BYS1314P</t>
        </is>
      </c>
      <c r="C99" s="30" t="inlineStr">
        <is>
          <t>Cable/Adapter</t>
        </is>
      </c>
      <c r="D99" s="324" t="n">
        <v>19.99107142857143</v>
      </c>
      <c r="E99" s="53" t="n">
        <v>9597.529999999999</v>
      </c>
      <c r="F99" s="54" t="n">
        <v>1119.5</v>
      </c>
      <c r="G99" s="55" t="n">
        <v>422</v>
      </c>
      <c r="H99" s="55" t="n">
        <v>56</v>
      </c>
      <c r="I99" s="55" t="n">
        <v>52</v>
      </c>
      <c r="J99" s="56" t="n">
        <v>4.6</v>
      </c>
      <c r="K99" s="56" t="inlineStr">
        <is>
          <t>https://amazon.com/dp/B0BYS1314P</t>
        </is>
      </c>
      <c r="L99" s="70">
        <f>HYPERLINK(Table543384[[#This Row],[Column1]])</f>
        <v/>
      </c>
    </row>
    <row r="100" ht="45" customHeight="1" s="290">
      <c r="A100" s="30" t="inlineStr">
        <is>
          <t>XTS500 J2534 Vehicle Communication Interface, Support J2534/D-PDU/CAN-FD/DolP, Enhanced J2534 Diganostic Tool, ECU C0ding, Work with OE Software for 18+ Vehicles Brands, NO OE Software Included</t>
        </is>
      </c>
      <c r="B100" s="30" t="inlineStr">
        <is>
          <t>B0G1BDBKV1</t>
        </is>
      </c>
      <c r="C100" s="30" t="inlineStr">
        <is>
          <t>VCI</t>
        </is>
      </c>
      <c r="D100" s="324" t="n">
        <v>255.025</v>
      </c>
      <c r="E100" s="53" t="n">
        <v>13094.21615384615</v>
      </c>
      <c r="F100" s="54" t="n">
        <v>1020.1</v>
      </c>
      <c r="G100" s="55" t="n">
        <v>19</v>
      </c>
      <c r="H100" s="55" t="n">
        <v>4</v>
      </c>
      <c r="I100" s="55" t="n">
        <v>2</v>
      </c>
      <c r="J100" s="56" t="n">
        <v>5</v>
      </c>
      <c r="K100" s="56" t="inlineStr">
        <is>
          <t>https://amazon.com/dp/B0G1BDBKV1</t>
        </is>
      </c>
      <c r="L100" s="70">
        <f>HYPERLINK(Table543384[[#This Row],[Column1]])</f>
        <v/>
      </c>
    </row>
    <row r="101" ht="30" customHeight="1" s="290">
      <c r="A101" s="30" t="inlineStr">
        <is>
          <t>XTOOL Original OBD2 12+8 Adapter Cable for Chrysler, OBD II Universal Security Gateway Bypass Cable for FCA SGW Vheicles, Fit for All scanners D5S IP919PRO D7 D6S D7S D7W D8S D8W IP616</t>
        </is>
      </c>
      <c r="B101" s="30" t="inlineStr">
        <is>
          <t>B0FLQDNLCJ</t>
        </is>
      </c>
      <c r="C101" s="30" t="inlineStr">
        <is>
          <t>Cable/Adapter</t>
        </is>
      </c>
      <c r="D101" s="324" t="n">
        <v>20.0272</v>
      </c>
      <c r="E101" s="53" t="n">
        <v>11229.24307692308</v>
      </c>
      <c r="F101" s="54" t="n">
        <v>1001.36</v>
      </c>
      <c r="G101" s="55" t="n">
        <v>99</v>
      </c>
      <c r="H101" s="55" t="n">
        <v>50</v>
      </c>
      <c r="I101" s="55" t="n">
        <v>3</v>
      </c>
      <c r="J101" s="56" t="n">
        <v>4.6</v>
      </c>
      <c r="K101" s="56" t="inlineStr">
        <is>
          <t>https://amazon.com/dp/B0FLQDNLCJ</t>
        </is>
      </c>
      <c r="L101" s="70">
        <f>HYPERLINK(Table543384[[#This Row],[Column1]])</f>
        <v/>
      </c>
    </row>
    <row r="102" ht="45" customHeight="1" s="290">
      <c r="A102" s="30" t="inlineStr">
        <is>
          <t>XTOOL OBD2 Main Test Cable - VGA to OBD2-16, Universal Scanner Replacement for IP508, IP508S, IP608, IP616, IP819, D7, D7S</t>
        </is>
      </c>
      <c r="B102" s="30" t="inlineStr">
        <is>
          <t>B0BVRH9ZF7</t>
        </is>
      </c>
      <c r="C102" s="30" t="inlineStr">
        <is>
          <t>Cable/Adapter</t>
        </is>
      </c>
      <c r="D102" s="324" t="n">
        <v>40.25956521739131</v>
      </c>
      <c r="E102" s="53" t="n">
        <v>12859.30153846154</v>
      </c>
      <c r="F102" s="54" t="n">
        <v>925.97</v>
      </c>
      <c r="G102" s="55" t="n">
        <v>301</v>
      </c>
      <c r="H102" s="55" t="n">
        <v>23</v>
      </c>
      <c r="I102" s="55" t="n">
        <v>27</v>
      </c>
      <c r="J102" s="56" t="n">
        <v>4.2</v>
      </c>
      <c r="K102" s="56" t="inlineStr">
        <is>
          <t>https://amazon.com/dp/B0BVRH9ZF7</t>
        </is>
      </c>
      <c r="L102" s="70">
        <f>HYPERLINK(Table543384[[#This Row],[Column1]])</f>
        <v/>
      </c>
    </row>
    <row r="103" ht="45" customHeight="1" s="290">
      <c r="A103" s="30" t="inlineStr">
        <is>
          <t>XTOOL Advancer AD20 Bluetooth OBD2 Scanner Diagnostic Tool, Lifetime Update, Check Engine Code Reader for iPhone/Android, Scanner for Car, Mode 6, Live Data, Freeze Frame, Performance/Voltage Test</t>
        </is>
      </c>
      <c r="B103" s="30" t="inlineStr">
        <is>
          <t>B0BRKR247Y</t>
        </is>
      </c>
      <c r="C103" s="30" t="inlineStr">
        <is>
          <t>Dongle</t>
        </is>
      </c>
      <c r="D103" s="324" t="n">
        <v>23.61076923076923</v>
      </c>
      <c r="E103" s="53" t="n">
        <v>34057.22</v>
      </c>
      <c r="F103" s="54" t="n">
        <v>920.8200000000001</v>
      </c>
      <c r="G103" s="55" t="n">
        <v>1537</v>
      </c>
      <c r="H103" s="55" t="n">
        <v>39</v>
      </c>
      <c r="I103" s="55" t="n">
        <v>793</v>
      </c>
      <c r="J103" s="56" t="n">
        <v>4.2</v>
      </c>
      <c r="K103" s="56" t="inlineStr">
        <is>
          <t>https://amazon.com/dp/B0BRKR247Y</t>
        </is>
      </c>
      <c r="L103" s="70">
        <f>HYPERLINK(Table543384[[#This Row],[Column1]])</f>
        <v/>
      </c>
    </row>
    <row r="104" ht="45" customHeight="1" s="290">
      <c r="A104" s="30" t="inlineStr">
        <is>
          <t>OBD2 Scanner Diagnostic Tool XTOOL IP608, All System Scan Tool with 30+ Resets, ABS Bleeding, Oil, EPB, SAS, BMS, Throttle,TPMS Reset, Transmission, Injector Coding, CAN FD, Lifetime Update</t>
        </is>
      </c>
      <c r="B104" s="30" t="inlineStr">
        <is>
          <t>B0CQP9S314</t>
        </is>
      </c>
      <c r="C104" s="30" t="inlineStr">
        <is>
          <t>Tablet</t>
        </is>
      </c>
      <c r="D104" s="324" t="n">
        <v>364.535</v>
      </c>
      <c r="E104" s="53" t="n">
        <v>10958.21</v>
      </c>
      <c r="F104" s="54" t="n">
        <v>729.0700000000001</v>
      </c>
      <c r="G104" s="55" t="n">
        <v>49</v>
      </c>
      <c r="H104" s="55" t="n">
        <v>2</v>
      </c>
      <c r="I104" s="55" t="n">
        <v>26</v>
      </c>
      <c r="J104" s="56" t="n">
        <v>3.8</v>
      </c>
      <c r="K104" s="56" t="inlineStr">
        <is>
          <t>https://amazon.com/dp/B0CQP9S314</t>
        </is>
      </c>
      <c r="L104" s="70">
        <f>HYPERLINK(Table543384[[#This Row],[Column1]])</f>
        <v/>
      </c>
    </row>
    <row r="105" ht="45" customHeight="1" s="290">
      <c r="A105" s="30" t="inlineStr">
        <is>
          <t>XTOOL TP500 OBD2 Scanner with TPMS Programming Tool, Full System Car Scanner Diagnostic Tool with TPMS Service, 17 Resets, FCA/CANFD/DoIP, Lifetime Free Update, Crank Sensor/Throttle Relearn Scan Tool</t>
        </is>
      </c>
      <c r="B105" s="30" t="inlineStr">
        <is>
          <t>B0GLMKDKMJ</t>
        </is>
      </c>
      <c r="C105" s="30" t="inlineStr">
        <is>
          <t>Tablet</t>
        </is>
      </c>
      <c r="D105" s="324" t="n">
        <v>318.975</v>
      </c>
      <c r="E105" s="53" t="n">
        <v>7704.473076923077</v>
      </c>
      <c r="F105" s="54" t="n">
        <v>637.95</v>
      </c>
      <c r="G105" s="55" t="n">
        <v>2</v>
      </c>
      <c r="H105" s="55" t="n">
        <v>2</v>
      </c>
      <c r="I105" s="55" t="n"/>
      <c r="J105" s="56" t="n"/>
      <c r="K105" s="56" t="inlineStr">
        <is>
          <t>https://amazon.com/dp/B0GLMKDKMJ</t>
        </is>
      </c>
      <c r="L105" s="70">
        <f>HYPERLINK(Table543384[[#This Row],[Column1]])</f>
        <v/>
      </c>
    </row>
    <row r="106" ht="45" customHeight="1" s="290">
      <c r="A106" s="30" t="inlineStr">
        <is>
          <t>XTOOL XTOOL12+8 Cable Adapter for FCA Chrysler, Work X100 PAD PLUS/PADS/IP616/IP819/IK618/D7/D7S/D7W/D8/D8S/D8BT/D8W/D9/D9S/D9 PRO/D9S PRO/X100 PAD3/MAX</t>
        </is>
      </c>
      <c r="B106" s="30" t="inlineStr">
        <is>
          <t>B0B4D76NWB</t>
        </is>
      </c>
      <c r="C106" s="30" t="inlineStr">
        <is>
          <t>Cable/Adapter</t>
        </is>
      </c>
      <c r="D106" s="324" t="n">
        <v>19.67709677419355</v>
      </c>
      <c r="E106" s="53" t="n">
        <v>17850.87</v>
      </c>
      <c r="F106" s="54" t="n">
        <v>609.99</v>
      </c>
      <c r="G106" s="55" t="n">
        <v>820</v>
      </c>
      <c r="H106" s="55" t="n">
        <v>31</v>
      </c>
      <c r="I106" s="55" t="n">
        <v>142</v>
      </c>
      <c r="J106" s="56" t="n">
        <v>4.7</v>
      </c>
      <c r="K106" s="56" t="inlineStr">
        <is>
          <t>https://amazon.com/dp/B0B4D76NWB</t>
        </is>
      </c>
      <c r="L106" s="70">
        <f>HYPERLINK(Table543384[[#This Row],[Column1]])</f>
        <v/>
      </c>
    </row>
    <row r="107" ht="45" customHeight="1" s="290">
      <c r="A107" s="30" t="inlineStr">
        <is>
          <t>XTOOL OBD2 Extension Cable, 1.64ft 16 Pin Male to Female Cable, Universal Extension Cord A30/A30D/A30M, D7, D8, D8BT, D9, D9 Pro, IP616, IP819, IP508, IP508S, IP608 Diagnostic Scanner</t>
        </is>
      </c>
      <c r="B107" s="30" t="inlineStr">
        <is>
          <t>B09YTTH4LD</t>
        </is>
      </c>
      <c r="C107" s="30" t="inlineStr">
        <is>
          <t>Cable/Adapter</t>
        </is>
      </c>
      <c r="D107" s="324" t="n">
        <v>11.06666666666667</v>
      </c>
      <c r="E107" s="53" t="n">
        <v>8559.744615384616</v>
      </c>
      <c r="F107" s="54" t="n">
        <v>564.4</v>
      </c>
      <c r="G107" s="55" t="n">
        <v>730</v>
      </c>
      <c r="H107" s="55" t="n">
        <v>51</v>
      </c>
      <c r="I107" s="55" t="n">
        <v>110</v>
      </c>
      <c r="J107" s="56" t="n">
        <v>4.7</v>
      </c>
      <c r="K107" s="56" t="inlineStr">
        <is>
          <t>https://amazon.com/dp/B09YTTH4LD</t>
        </is>
      </c>
      <c r="L107" s="70">
        <f>HYPERLINK(Table543384[[#This Row],[Column1]])</f>
        <v/>
      </c>
    </row>
    <row r="108" ht="45" customHeight="1" s="290">
      <c r="A108" s="30" t="inlineStr">
        <is>
          <t>OBD2 Scanner XTOOL IP508, 9 Services, Scan Tool for ABS Bleed, EPB, BMS, Oil Reset, Throttle Relearn, ABS SRS Transmission Car Diagnostic Tool, Check Engine Code Reader, No Subscription Fee</t>
        </is>
      </c>
      <c r="B108" s="30" t="inlineStr">
        <is>
          <t>B0BL7GH4WX</t>
        </is>
      </c>
      <c r="C108" s="30" t="inlineStr">
        <is>
          <t>Tablet</t>
        </is>
      </c>
      <c r="D108" s="324" t="n">
        <v>187.0833333333333</v>
      </c>
      <c r="E108" s="53" t="n">
        <v>12275.93</v>
      </c>
      <c r="F108" s="54" t="n">
        <v>561.25</v>
      </c>
      <c r="G108" s="55" t="n">
        <v>82</v>
      </c>
      <c r="H108" s="55" t="n">
        <v>3</v>
      </c>
      <c r="I108" s="55" t="n">
        <v>145</v>
      </c>
      <c r="J108" s="56" t="n">
        <v>4.4</v>
      </c>
      <c r="K108" s="56" t="inlineStr">
        <is>
          <t>https://amazon.com/dp/B0BL7GH4WX</t>
        </is>
      </c>
      <c r="L108" s="70">
        <f>HYPERLINK(Table543384[[#This Row],[Column1]])</f>
        <v/>
      </c>
    </row>
    <row r="109" ht="45" customHeight="1" s="290">
      <c r="A109" s="30" t="inlineStr">
        <is>
          <t>XTOOL X100 Pads AI-Assisted Scan Tool &amp; Programmer Tool, Upgrade of X100 PAD, 2026 OBD2 Scanner with 32+ Reset, All System Car Scanner, FCA AutoAuth, Crank Sensor Relearn, DoIP/CAN FD, 2-Year Update</t>
        </is>
      </c>
      <c r="B109" s="30" t="inlineStr">
        <is>
          <t>B0FXB1QJ2K</t>
        </is>
      </c>
      <c r="C109" s="30" t="inlineStr">
        <is>
          <t>Tablet</t>
        </is>
      </c>
      <c r="D109" s="324" t="n">
        <v>479</v>
      </c>
      <c r="E109" s="53" t="n">
        <v>22477.53692307693</v>
      </c>
      <c r="F109" s="54" t="n">
        <v>479</v>
      </c>
      <c r="G109" s="55" t="n">
        <v>46</v>
      </c>
      <c r="H109" s="55" t="n">
        <v>1</v>
      </c>
      <c r="I109" s="55" t="n">
        <v>2</v>
      </c>
      <c r="J109" s="56" t="n">
        <v>5</v>
      </c>
      <c r="K109" s="56" t="inlineStr">
        <is>
          <t>https://amazon.com/dp/B0FXB1QJ2K</t>
        </is>
      </c>
      <c r="L109" s="70">
        <f>HYPERLINK(Table543384[[#This Row],[Column1]])</f>
        <v/>
      </c>
    </row>
    <row r="110" ht="45" customHeight="1" s="290">
      <c r="A110" s="30" t="inlineStr">
        <is>
          <t>XTOOL Protective Case for OBD2 Scanner Diagnostic Tool, Waterproof Car Scan Tool Carrying Case Compatible with IP500, IP608, IP616, IP819, Size 11''x 7''x 4''</t>
        </is>
      </c>
      <c r="B110" s="30" t="inlineStr">
        <is>
          <t>B0G5254YDC</t>
        </is>
      </c>
      <c r="C110" s="30" t="inlineStr">
        <is>
          <t>Tablet</t>
        </is>
      </c>
      <c r="D110" s="324" t="n">
        <v>24.5625</v>
      </c>
      <c r="E110" s="53" t="n">
        <v>1198.043076923077</v>
      </c>
      <c r="F110" s="54" t="n">
        <v>98.25</v>
      </c>
      <c r="G110" s="55" t="n">
        <v>11</v>
      </c>
      <c r="H110" s="55" t="n">
        <v>4</v>
      </c>
      <c r="I110" s="55" t="n"/>
      <c r="J110" s="56" t="n"/>
      <c r="K110" s="56" t="inlineStr">
        <is>
          <t>https://amazon.com/dp/B0G5254YDC</t>
        </is>
      </c>
      <c r="L110" s="70">
        <f>HYPERLINK(Table543384[[#This Row],[Column1]])</f>
        <v/>
      </c>
    </row>
    <row r="111" ht="60" customHeight="1" s="290">
      <c r="A111" s="30" t="inlineStr">
        <is>
          <t>XTOOL OBD2 Extension Cable 16 Pin OBDII Male to Female 1.64ft, Universal Replacement Cable Diagnostic Scanner, for Anyscan A30/A30D/A30M and More</t>
        </is>
      </c>
      <c r="B111" s="30" t="inlineStr">
        <is>
          <t>B0B4D84M2V</t>
        </is>
      </c>
      <c r="C111" s="30" t="inlineStr">
        <is>
          <t>Cable/Adapter</t>
        </is>
      </c>
      <c r="D111" s="324" t="n">
        <v>9.963749999999999</v>
      </c>
      <c r="E111" s="53" t="n">
        <v>716.896923076923</v>
      </c>
      <c r="F111" s="54" t="n">
        <v>79.70999999999999</v>
      </c>
      <c r="G111" s="55" t="n">
        <v>58</v>
      </c>
      <c r="H111" s="55" t="n">
        <v>8</v>
      </c>
      <c r="I111" s="55" t="n">
        <v>4</v>
      </c>
      <c r="J111" s="56" t="n">
        <v>5</v>
      </c>
      <c r="K111" s="56" t="inlineStr">
        <is>
          <t>https://amazon.com/dp/B0B4D84M2V</t>
        </is>
      </c>
      <c r="L111" s="70">
        <f>HYPERLINK(Table543384[[#This Row],[Column1]])</f>
        <v/>
      </c>
    </row>
    <row r="112" ht="45" customHeight="1" s="290">
      <c r="A112" s="30" t="inlineStr">
        <is>
          <t>XTOOL DB15 OBDII Replacement Cable, Male to Female OBD2 Cable, Compatible for D8S, X100 Pads, IK618, X100 PAD3</t>
        </is>
      </c>
      <c r="B112" s="30" t="inlineStr">
        <is>
          <t>B0CHYPV8WS</t>
        </is>
      </c>
      <c r="C112" s="30" t="inlineStr">
        <is>
          <t>Cable/Adapter</t>
        </is>
      </c>
      <c r="D112" s="324" t="n">
        <v>22.21</v>
      </c>
      <c r="E112" s="53" t="n">
        <v>4653.573076923078</v>
      </c>
      <c r="F112" s="54" t="n">
        <v>44.42</v>
      </c>
      <c r="G112" s="55" t="n">
        <v>180</v>
      </c>
      <c r="H112" s="55" t="n">
        <v>2</v>
      </c>
      <c r="I112" s="55" t="n">
        <v>10</v>
      </c>
      <c r="J112" s="56" t="n">
        <v>3.8</v>
      </c>
      <c r="K112" s="56" t="inlineStr">
        <is>
          <t>https://amazon.com/dp/B0CHYPV8WS</t>
        </is>
      </c>
      <c r="L112" s="70">
        <f>HYPERLINK(Table543384[[#This Row],[Column1]])</f>
        <v/>
      </c>
    </row>
    <row r="113" ht="45" customHeight="1" s="290">
      <c r="A113" s="30" t="inlineStr">
        <is>
          <t>XTOOL IK618 AI-Assisted Bidirectional Scan Tool with KC100 Adapter, Full System OBD2 Scanner Diagnostic Tool with 31+ Resets, FCA AutoAuth, ECU C0ding, Crank Sensor Relearn, CAN FD &amp; DoIP, 2-Yr Update</t>
        </is>
      </c>
      <c r="B113" s="30" t="inlineStr">
        <is>
          <t>B0FVL1WZKB</t>
        </is>
      </c>
      <c r="C113" s="30" t="inlineStr">
        <is>
          <t>Tablet</t>
        </is>
      </c>
      <c r="D113" s="324" t="n">
        <v>639</v>
      </c>
      <c r="E113" s="53" t="n">
        <v>2214.11</v>
      </c>
      <c r="F113" s="54" t="n">
        <v>0</v>
      </c>
      <c r="G113" s="55" t="n">
        <v>3</v>
      </c>
      <c r="H113" s="55" t="n">
        <v>0</v>
      </c>
      <c r="I113" s="55" t="n"/>
      <c r="J113" s="56" t="n"/>
      <c r="K113" s="56" t="inlineStr">
        <is>
          <t>https://amazon.com/dp/B0FVL1WZKB</t>
        </is>
      </c>
      <c r="L113" s="70">
        <f>HYPERLINK(Table543384[[#This Row],[Column1]])</f>
        <v/>
      </c>
    </row>
    <row r="114" ht="30" customHeight="1" s="290">
      <c r="A114" s="30" t="inlineStr">
        <is>
          <t>XTOOL EEPROM Adapter, Work with IP616/IP819, D7/D7S/D7W, D8S/D8W, D9S/D9S PRO, X100 PADS/X100 PAD3/X100 MAX</t>
        </is>
      </c>
      <c r="B114" s="30" t="inlineStr">
        <is>
          <t>B0FVM2DTNG</t>
        </is>
      </c>
      <c r="C114" s="30" t="inlineStr">
        <is>
          <t>Key</t>
        </is>
      </c>
      <c r="D114" s="324" t="n">
        <v>49.98</v>
      </c>
      <c r="E114" s="53" t="n">
        <v>0</v>
      </c>
      <c r="F114" s="54" t="n">
        <v>0</v>
      </c>
      <c r="G114" s="55" t="n">
        <v>0</v>
      </c>
      <c r="H114" s="55" t="n">
        <v>0</v>
      </c>
      <c r="I114" s="55" t="n"/>
      <c r="J114" s="56" t="n"/>
      <c r="K114" s="56" t="inlineStr">
        <is>
          <t>https://amazon.com/dp/B0FVM2DTNG</t>
        </is>
      </c>
      <c r="L114" s="70">
        <f>HYPERLINK(Table543384[[#This Row],[Column1]])</f>
        <v/>
      </c>
    </row>
    <row r="115" ht="30" customHeight="1" s="290">
      <c r="A115" s="30" t="inlineStr">
        <is>
          <t>XTOOL X100 MAX2 AI-Assisted Professional Scan Tool, J2534 Repr0gramming Tool, Wireless Bidirectional OBD2 Scanner with ECU Pr0gramming &amp; C0ding, Topology Mapping, 42 Reset, FCA/CANFD/DoIP, 2-Yr Update</t>
        </is>
      </c>
      <c r="B115" s="30" t="inlineStr">
        <is>
          <t>B0FVL9FXQD</t>
        </is>
      </c>
      <c r="C115" s="30" t="inlineStr">
        <is>
          <t>Tablet</t>
        </is>
      </c>
      <c r="D115" s="324" t="n">
        <v>3176.5</v>
      </c>
      <c r="E115" s="53" t="n">
        <v>5875.49</v>
      </c>
      <c r="F115" s="54" t="n">
        <v>0</v>
      </c>
      <c r="G115" s="55" t="n">
        <v>2</v>
      </c>
      <c r="H115" s="55" t="n">
        <v>0</v>
      </c>
      <c r="I115" s="55" t="n"/>
      <c r="J115" s="56" t="n"/>
      <c r="K115" s="56" t="inlineStr">
        <is>
          <t>https://amazon.com/dp/B0FVL9FXQD</t>
        </is>
      </c>
      <c r="L115" s="70">
        <f>HYPERLINK(Table543384[[#This Row],[Column1]])</f>
        <v/>
      </c>
    </row>
    <row r="116" ht="45" customHeight="1" s="290">
      <c r="A116" s="30" t="inlineStr">
        <is>
          <t>XTOOL InPlus IP616 V2.0 OBD2 Scanner Diagnostic Tool, Lifetime Update Scan Tool, 34+ Services, ECU Configuration, CAN FD &amp; DoIP, All Systems Scanner for Car, Crank Sensor Relearn, ABS Bleed, Auto VIN</t>
        </is>
      </c>
      <c r="B116" s="30" t="inlineStr">
        <is>
          <t>B0B7DBF4FD</t>
        </is>
      </c>
      <c r="C116" s="30" t="inlineStr">
        <is>
          <t>Tablet</t>
        </is>
      </c>
      <c r="D116" s="324" t="n">
        <v>295.2</v>
      </c>
      <c r="E116" s="53" t="n">
        <v>45403.97000000001</v>
      </c>
      <c r="F116" s="54" t="n">
        <v>0</v>
      </c>
      <c r="G116" s="55" t="n">
        <v>130</v>
      </c>
      <c r="H116" s="55" t="n">
        <v>0</v>
      </c>
      <c r="I116" s="55" t="n">
        <v>186</v>
      </c>
      <c r="J116" s="56" t="n">
        <v>4.3</v>
      </c>
      <c r="K116" s="56" t="inlineStr">
        <is>
          <t>https://amazon.com/dp/B0B7DBF4FD</t>
        </is>
      </c>
      <c r="L116" s="70">
        <f>HYPERLINK(Table543384[[#This Row],[Column1]])</f>
        <v/>
      </c>
    </row>
    <row r="117" ht="45" customHeight="1" s="290">
      <c r="A117" s="30" t="inlineStr">
        <is>
          <t>XTOOL D9EV Automotive Scanner, EV Scan Tool, High Voltage System/Battery Pack Analysis for Tesla/Electric Vehicle, Topology Map, ECU C0ding/PMI, Bidirectional OBD2 Scanner, 46+ Resets, 3-Year Update</t>
        </is>
      </c>
      <c r="B117" s="30" t="inlineStr">
        <is>
          <t>B0CB8B6QB6</t>
        </is>
      </c>
      <c r="C117" s="30" t="inlineStr">
        <is>
          <t>Tablet</t>
        </is>
      </c>
      <c r="D117" s="324" t="n">
        <v>2399</v>
      </c>
      <c r="E117" s="53" t="n">
        <v>11063.44</v>
      </c>
      <c r="F117" s="54" t="n">
        <v>0</v>
      </c>
      <c r="G117" s="55" t="n">
        <v>5</v>
      </c>
      <c r="H117" s="55" t="n">
        <v>0</v>
      </c>
      <c r="I117" s="55" t="n">
        <v>1</v>
      </c>
      <c r="J117" s="56" t="n">
        <v>5</v>
      </c>
      <c r="K117" s="56" t="inlineStr">
        <is>
          <t>https://amazon.com/dp/B0CB8B6QB6</t>
        </is>
      </c>
      <c r="L117" s="70">
        <f>HYPERLINK(Table543384[[#This Row],[Column1]])</f>
        <v/>
      </c>
    </row>
    <row r="118" ht="45" customHeight="1" s="290">
      <c r="A118" s="30" t="n"/>
      <c r="B118" s="30" t="n"/>
      <c r="C118" s="30" t="n"/>
      <c r="D118" s="324" t="n"/>
      <c r="E118" s="53" t="n"/>
      <c r="F118" s="54" t="n"/>
      <c r="G118" s="55" t="n"/>
      <c r="H118" s="55" t="n"/>
      <c r="I118" s="55" t="n"/>
      <c r="J118" s="56" t="n"/>
      <c r="K118" s="56" t="n"/>
      <c r="L118" s="70">
        <f>HYPERLINK(Table543384[[#This Row],[Column1]])</f>
        <v/>
      </c>
    </row>
    <row r="119" ht="17" customHeight="1" s="290">
      <c r="A119" s="33" t="inlineStr">
        <is>
          <t>Total</t>
        </is>
      </c>
      <c r="B119" s="33" t="n"/>
      <c r="C119" s="327" t="n"/>
      <c r="D119" s="327" t="n"/>
      <c r="E119" s="72">
        <f>SUM(E49:E118)</f>
        <v/>
      </c>
      <c r="F119" s="72">
        <f>SUM(F49:F118)</f>
        <v/>
      </c>
      <c r="G119" s="73" t="n"/>
      <c r="H119" s="73" t="n"/>
      <c r="I119" s="73" t="n"/>
      <c r="J119" s="74" t="n"/>
      <c r="K119" s="33" t="n"/>
      <c r="L119" s="32" t="n"/>
    </row>
    <row r="120">
      <c r="A120" s="30" t="n"/>
      <c r="B120" s="30" t="n"/>
      <c r="C120" s="324" t="n"/>
      <c r="D120" s="53" t="n"/>
      <c r="E120" s="53" t="n"/>
      <c r="F120" s="55" t="n"/>
      <c r="G120" s="55" t="n"/>
      <c r="H120" s="55" t="n"/>
      <c r="I120" s="56" t="n"/>
      <c r="J120" s="30" t="n"/>
    </row>
    <row r="121">
      <c r="A121" s="30" t="n"/>
      <c r="B121" s="30" t="n"/>
      <c r="C121" s="324" t="n"/>
      <c r="D121" s="53" t="n"/>
      <c r="E121" s="53" t="n"/>
      <c r="F121" s="55" t="n"/>
      <c r="G121" s="55" t="n"/>
      <c r="H121" s="55" t="n"/>
      <c r="I121" s="56" t="n"/>
      <c r="J121" s="30" t="n"/>
    </row>
    <row r="122">
      <c r="A122" s="283" t="inlineStr">
        <is>
          <t>Rank by Units</t>
        </is>
      </c>
    </row>
    <row r="123" ht="17" customHeight="1" s="290">
      <c r="A123" s="38" t="inlineStr">
        <is>
          <t>Product Name</t>
        </is>
      </c>
      <c r="B123" s="39" t="inlineStr">
        <is>
          <t>ASIN</t>
        </is>
      </c>
      <c r="C123" s="39" t="inlineStr">
        <is>
          <t>Type</t>
        </is>
      </c>
      <c r="D123" s="322" t="inlineStr">
        <is>
          <t>Avg Price</t>
        </is>
      </c>
      <c r="E123" s="41" t="inlineStr">
        <is>
          <t>Estimated 12mo Revenue</t>
        </is>
      </c>
      <c r="F123" s="39" t="inlineStr">
        <is>
          <t>Monthly Rev</t>
        </is>
      </c>
      <c r="G123" s="42" t="inlineStr">
        <is>
          <t>Estimated 12mo Units</t>
        </is>
      </c>
      <c r="H123" s="45" t="inlineStr">
        <is>
          <t>Monthly Units</t>
        </is>
      </c>
      <c r="I123" s="42" t="inlineStr">
        <is>
          <t># of Reviews</t>
        </is>
      </c>
      <c r="J123" s="43" t="inlineStr">
        <is>
          <t xml:space="preserve">Tool Rating </t>
        </is>
      </c>
      <c r="K123" s="43" t="inlineStr">
        <is>
          <t>Column1</t>
        </is>
      </c>
      <c r="L123" s="323" t="inlineStr">
        <is>
          <t>Link</t>
        </is>
      </c>
    </row>
    <row r="124" ht="45" customHeight="1" s="290">
      <c r="A124" s="30" t="inlineStr">
        <is>
          <t>OBD2 Scanner Diagnostic Tool XTOOL Anyscan A30M V2.0, 2026 Wireless Bidirectional Scan Tool with Free Updates, 26 Resets, All System for Android &amp; iPhone, Crank Sensor Relearn, EPB, Throttle Relearn</t>
        </is>
      </c>
      <c r="B124" s="30" t="inlineStr">
        <is>
          <t>B09KT9XNML</t>
        </is>
      </c>
      <c r="C124" s="30" t="inlineStr">
        <is>
          <t>Dongle</t>
        </is>
      </c>
      <c r="D124" s="324" t="n">
        <v>151.2937490377213</v>
      </c>
      <c r="E124" s="53" t="n">
        <v>2029114.51</v>
      </c>
      <c r="F124" s="53" t="n">
        <v>196530.58</v>
      </c>
      <c r="G124" s="55" t="n">
        <v>13968</v>
      </c>
      <c r="H124" s="57" t="n">
        <v>1299</v>
      </c>
      <c r="I124" s="55" t="n">
        <v>1409</v>
      </c>
      <c r="J124" s="56" t="n">
        <v>4.3</v>
      </c>
      <c r="K124" s="56" t="inlineStr">
        <is>
          <t>https://amazon.com/dp/B09KT9XNML</t>
        </is>
      </c>
      <c r="L124" s="70">
        <f>HYPERLINK(Table5383[[#This Row],[Column1]])</f>
        <v/>
      </c>
    </row>
    <row r="125" ht="45" customHeight="1" s="290">
      <c r="A125" s="30" t="inlineStr">
        <is>
          <t>XTOOL D5S OBD2 Scanner with Touchscreen, Code Reader for Cars &amp; Trucks with 16 Resets, Crank Sensor Relearn, Throttle Relearn, EPB, FCA, CAN FD for GM, Engine ABS SRS Transmission Car Diagnostic Tool</t>
        </is>
      </c>
      <c r="B125" s="30" t="inlineStr">
        <is>
          <t>B0DFCMT416</t>
        </is>
      </c>
      <c r="C125" s="30" t="inlineStr">
        <is>
          <t>Tablet</t>
        </is>
      </c>
      <c r="D125" s="324" t="n">
        <v>169.8681318681319</v>
      </c>
      <c r="E125" s="53" t="n">
        <v>1238984.071538462</v>
      </c>
      <c r="F125" s="53" t="n">
        <v>108206</v>
      </c>
      <c r="G125" s="55" t="n">
        <v>6517</v>
      </c>
      <c r="H125" s="57" t="n">
        <v>637</v>
      </c>
      <c r="I125" s="55" t="n">
        <v>418</v>
      </c>
      <c r="J125" s="56" t="n">
        <v>4.2</v>
      </c>
      <c r="K125" s="56" t="inlineStr">
        <is>
          <t>https://amazon.com/dp/B0DFCMT416</t>
        </is>
      </c>
      <c r="L125" s="70">
        <f>HYPERLINK(Table5383[[#This Row],[Column1]])</f>
        <v/>
      </c>
    </row>
    <row r="126" ht="45" customHeight="1" s="290">
      <c r="A126" s="30" t="inlineStr">
        <is>
          <t>XTOOL Anyscan A30D OBD2 Scanner Diagnostic Tool - Bidirectional Scan Tool Wireless - Lifetime Updates &amp; 19 Resets Crank Sensor EPB Throttle Relearn - Full System Car Code Reader for iPhone &amp; Android</t>
        </is>
      </c>
      <c r="B126" s="30" t="inlineStr">
        <is>
          <t>B098NC47SX</t>
        </is>
      </c>
      <c r="C126" s="30" t="inlineStr">
        <is>
          <t>Dongle</t>
        </is>
      </c>
      <c r="D126" s="324" t="n">
        <v>98.74470479704796</v>
      </c>
      <c r="E126" s="53" t="n">
        <v>410855.3700000001</v>
      </c>
      <c r="F126" s="53" t="n">
        <v>53519.63</v>
      </c>
      <c r="G126" s="55" t="n">
        <v>3919</v>
      </c>
      <c r="H126" s="57" t="n">
        <v>542</v>
      </c>
      <c r="I126" s="55" t="n">
        <v>310</v>
      </c>
      <c r="J126" s="56" t="n">
        <v>4.1</v>
      </c>
      <c r="K126" s="56" t="inlineStr">
        <is>
          <t>https://amazon.com/dp/B098NC47SX</t>
        </is>
      </c>
      <c r="L126" s="70">
        <f>HYPERLINK(Table5383[[#This Row],[Column1]])</f>
        <v/>
      </c>
    </row>
    <row r="127" ht="60" customHeight="1" s="290">
      <c r="A127" s="30" t="inlineStr">
        <is>
          <t>XTOOL D7 Bidirectional Scan Tool: 2026 Ai-Assisted OBD2 Scanner Diagnostic Tool with 36+ Resets, Full System Car Scanner with EPB, Injector Test, Throttle, Crank Sensor Relearn, FCA, CANFD &amp; DoIP</t>
        </is>
      </c>
      <c r="B127" s="30" t="inlineStr">
        <is>
          <t>B098LF38DS</t>
        </is>
      </c>
      <c r="C127" s="30" t="inlineStr">
        <is>
          <t>Tablet</t>
        </is>
      </c>
      <c r="D127" s="324" t="n">
        <v>402.4123234624146</v>
      </c>
      <c r="E127" s="53" t="n">
        <v>2668698.07</v>
      </c>
      <c r="F127" s="53" t="n">
        <v>176659.01</v>
      </c>
      <c r="G127" s="55" t="n">
        <v>6932</v>
      </c>
      <c r="H127" s="57" t="n">
        <v>439</v>
      </c>
      <c r="I127" s="55" t="n">
        <v>1648</v>
      </c>
      <c r="J127" s="56" t="n">
        <v>4.4</v>
      </c>
      <c r="K127" s="56" t="inlineStr">
        <is>
          <t>https://amazon.com/dp/B098LF38DS</t>
        </is>
      </c>
      <c r="L127" s="70">
        <f>HYPERLINK(Table5383[[#This Row],[Column1]])</f>
        <v/>
      </c>
    </row>
    <row r="128" ht="45" customHeight="1" s="290">
      <c r="A128" s="30" t="inlineStr">
        <is>
          <t>XTOOL D5 Car Code Reader and Reset Tool, Engine ABS SRS Transmission Car Diagnostic Tool with EPB Service, ABS Bleed, Throttle Relearn, Clear Check Engine Light Code Reader with 10 Resets, Free Update</t>
        </is>
      </c>
      <c r="B128" s="30" t="inlineStr">
        <is>
          <t>B0DFCJHPR5</t>
        </is>
      </c>
      <c r="C128" s="30" t="inlineStr">
        <is>
          <t>Tablet</t>
        </is>
      </c>
      <c r="D128" s="324" t="n">
        <v>133.6657519788918</v>
      </c>
      <c r="E128" s="53" t="n">
        <v>429729.9792307693</v>
      </c>
      <c r="F128" s="53" t="n">
        <v>50659.32</v>
      </c>
      <c r="G128" s="55" t="n">
        <v>2779</v>
      </c>
      <c r="H128" s="57" t="n">
        <v>379</v>
      </c>
      <c r="I128" s="55" t="n">
        <v>145</v>
      </c>
      <c r="J128" s="56" t="n">
        <v>4.1</v>
      </c>
      <c r="K128" s="56" t="inlineStr">
        <is>
          <t>https://amazon.com/dp/B0DFCJHPR5</t>
        </is>
      </c>
      <c r="L128" s="70">
        <f>HYPERLINK(Table5383[[#This Row],[Column1]])</f>
        <v/>
      </c>
    </row>
    <row r="129" ht="45" customHeight="1" s="290">
      <c r="A129" s="30" t="inlineStr">
        <is>
          <t>XTOOL Anyscan A30M OBD2 Scanner Kit, 2026 Wireless Bidirectional Scan Tool with Free Updates, 26 Resets, Live Data, All System ABS Bleeding Diagnostic Tool for iOS &amp; Android, CANFD &amp; FCA AutoAuth</t>
        </is>
      </c>
      <c r="B129" s="30" t="inlineStr">
        <is>
          <t>B0FLJSZQHN</t>
        </is>
      </c>
      <c r="C129" s="30" t="inlineStr">
        <is>
          <t>Tablet</t>
        </is>
      </c>
      <c r="D129" s="324" t="n">
        <v>185.5240540540541</v>
      </c>
      <c r="E129" s="53" t="n">
        <v>590673.4300000001</v>
      </c>
      <c r="F129" s="53" t="n">
        <v>54915.12</v>
      </c>
      <c r="G129" s="55" t="n">
        <v>712</v>
      </c>
      <c r="H129" s="57" t="n">
        <v>296</v>
      </c>
      <c r="I129" s="55" t="n">
        <v>29</v>
      </c>
      <c r="J129" s="56" t="n">
        <v>4.7</v>
      </c>
      <c r="K129" s="56" t="inlineStr">
        <is>
          <t>https://amazon.com/dp/B0FLJSZQHN</t>
        </is>
      </c>
      <c r="L129" s="70">
        <f>HYPERLINK(Table5383[[#This Row],[Column1]])</f>
        <v/>
      </c>
    </row>
    <row r="130" ht="45" customHeight="1" s="290">
      <c r="A130" s="30" t="inlineStr">
        <is>
          <t>XTOOL D7S Bidirectional Scan Tool, 2026 AI-Assisted OBD2 Scanner Diagnostic Tool with FCA AutoAuth, All System Car Scanner, 39+ Resets, ECU C0ding, PMI, Upgrade of D7, Crankshaft Relearn, CAN FD/DoIP</t>
        </is>
      </c>
      <c r="B130" s="30" t="inlineStr">
        <is>
          <t>B0BTBQ1NR4</t>
        </is>
      </c>
      <c r="C130" s="30" t="inlineStr">
        <is>
          <t>Tablet</t>
        </is>
      </c>
      <c r="D130" s="324" t="n">
        <v>400.6637969924813</v>
      </c>
      <c r="E130" s="53" t="n">
        <v>830600.9</v>
      </c>
      <c r="F130" s="53" t="n">
        <v>106576.57</v>
      </c>
      <c r="G130" s="55" t="n">
        <v>2031</v>
      </c>
      <c r="H130" s="57" t="n">
        <v>266</v>
      </c>
      <c r="I130" s="55" t="n">
        <v>311</v>
      </c>
      <c r="J130" s="56" t="n">
        <v>4.4</v>
      </c>
      <c r="K130" s="56" t="inlineStr">
        <is>
          <t>https://amazon.com/dp/B0BTBQ1NR4</t>
        </is>
      </c>
      <c r="L130" s="70">
        <f>HYPERLINK(Table5383[[#This Row],[Column1]])</f>
        <v/>
      </c>
    </row>
    <row r="131" ht="45" customHeight="1" s="290">
      <c r="A131" s="30" t="inlineStr">
        <is>
          <t>XTOOL Advancer AD20 Pro AI-Assisted Wireless OBD2 Scanner Diagnostic Tool, Car Code Reader for iPhone&amp;Android, All System Scan Tool with Free Updates -Check Engine, Oil Reset, Performance/Battery Test</t>
        </is>
      </c>
      <c r="B131" s="30" t="inlineStr">
        <is>
          <t>B0BRKQRS2P</t>
        </is>
      </c>
      <c r="C131" s="30" t="inlineStr">
        <is>
          <t>Dongle</t>
        </is>
      </c>
      <c r="D131" s="324" t="n">
        <v>43.43967346938775</v>
      </c>
      <c r="E131" s="53" t="n">
        <v>167027.85</v>
      </c>
      <c r="F131" s="53" t="n">
        <v>10642.72</v>
      </c>
      <c r="G131" s="55" t="n">
        <v>3595</v>
      </c>
      <c r="H131" s="57" t="n">
        <v>245</v>
      </c>
      <c r="I131" s="55" t="n">
        <v>687</v>
      </c>
      <c r="J131" s="56" t="n">
        <v>4.3</v>
      </c>
      <c r="K131" s="56" t="inlineStr">
        <is>
          <t>https://amazon.com/dp/B0BRKQRS2P</t>
        </is>
      </c>
      <c r="L131" s="70">
        <f>HYPERLINK(Table5383[[#This Row],[Column1]])</f>
        <v/>
      </c>
    </row>
    <row r="132" ht="45" customHeight="1" s="290">
      <c r="A132" s="30" t="inlineStr">
        <is>
          <t>XTOOL D6S OBD2 Scanner Diagnostic Tool, 2026 Car Scanner with 30 Resets, All System Scan Tool with FCA &amp; CAN FD, ABS Bleed, Gearbox Match, Crank Sensor Relearn, Lifetime Update, Upgraded of D5S</t>
        </is>
      </c>
      <c r="B132" s="30" t="inlineStr">
        <is>
          <t>B0DNQD1Q1V</t>
        </is>
      </c>
      <c r="C132" s="30" t="inlineStr">
        <is>
          <t>Tablet</t>
        </is>
      </c>
      <c r="D132" s="324" t="n">
        <v>283.70775</v>
      </c>
      <c r="E132" s="53" t="n">
        <v>659139.4707692307</v>
      </c>
      <c r="F132" s="53" t="n">
        <v>56741.55</v>
      </c>
      <c r="G132" s="55" t="n">
        <v>2146</v>
      </c>
      <c r="H132" s="57" t="n">
        <v>200</v>
      </c>
      <c r="I132" s="55" t="n">
        <v>107</v>
      </c>
      <c r="J132" s="56" t="n">
        <v>4.4</v>
      </c>
      <c r="K132" s="56" t="inlineStr">
        <is>
          <t>https://amazon.com/dp/B0DNQD1Q1V</t>
        </is>
      </c>
      <c r="L132" s="70">
        <f>HYPERLINK(Table5383[[#This Row],[Column1]])</f>
        <v/>
      </c>
    </row>
    <row r="133" ht="60" customHeight="1" s="290">
      <c r="A133" s="30" t="inlineStr">
        <is>
          <t>XTOOL D8W Wireless Bidirectional Scan Tool, AI-Assisted OBD2 Scanner with Topology, 3-Year Updates, ECU C0ding, PMI, 42+ Resets, Full Diagnostic Scanner for Car, Crankshaft Relearn, FCA/CAN FD/DoIP</t>
        </is>
      </c>
      <c r="B133" s="30" t="inlineStr">
        <is>
          <t>B09N8VTBVH</t>
        </is>
      </c>
      <c r="C133" s="30" t="inlineStr">
        <is>
          <t>Tablet</t>
        </is>
      </c>
      <c r="D133" s="324" t="n">
        <v>584.2609340659341</v>
      </c>
      <c r="E133" s="53" t="n">
        <v>1359475.543846154</v>
      </c>
      <c r="F133" s="53" t="n">
        <v>106335.49</v>
      </c>
      <c r="G133" s="55" t="n">
        <v>1832</v>
      </c>
      <c r="H133" s="57" t="n">
        <v>182</v>
      </c>
      <c r="I133" s="55" t="n">
        <v>519</v>
      </c>
      <c r="J133" s="56" t="n">
        <v>4.4</v>
      </c>
      <c r="K133" s="56" t="inlineStr">
        <is>
          <t>https://amazon.com/dp/B09N8VTBVH</t>
        </is>
      </c>
      <c r="L133" s="70">
        <f>HYPERLINK(Table5383[[#This Row],[Column1]])</f>
        <v/>
      </c>
    </row>
    <row r="134" ht="45" customHeight="1" s="290">
      <c r="A134" s="30" t="inlineStr">
        <is>
          <t>XTOOL D6 OBD2 Scanner Diagnostic Tool with Lifetime Free Updates: 2026 Full System Scan Tool with 15 Resets, Crank Sensor/Throttle Relearn, EPB, Oil Reset, ABS Bleed, FCA &amp; CAN FD, Upgrade of D5S</t>
        </is>
      </c>
      <c r="B134" s="30" t="inlineStr">
        <is>
          <t>B0FP51N9MQ</t>
        </is>
      </c>
      <c r="C134" s="30" t="inlineStr">
        <is>
          <t>Tablet</t>
        </is>
      </c>
      <c r="D134" s="324" t="n">
        <v>188.1964935064935</v>
      </c>
      <c r="E134" s="53" t="n">
        <v>305089.5123076923</v>
      </c>
      <c r="F134" s="53" t="n">
        <v>28982.26</v>
      </c>
      <c r="G134" s="55" t="n">
        <v>687</v>
      </c>
      <c r="H134" s="57" t="n">
        <v>154</v>
      </c>
      <c r="I134" s="55" t="n">
        <v>42</v>
      </c>
      <c r="J134" s="56" t="n">
        <v>4.5</v>
      </c>
      <c r="K134" s="56" t="inlineStr">
        <is>
          <t>https://amazon.com/dp/B0FP51N9MQ</t>
        </is>
      </c>
      <c r="L134" s="70">
        <f>HYPERLINK(Table5383[[#This Row],[Column1]])</f>
        <v/>
      </c>
    </row>
    <row r="135" ht="45" customHeight="1" s="290">
      <c r="A135" s="30" t="inlineStr">
        <is>
          <t>XTOOL D8S AI-Assisted Bidirectional OBD2 Scanner with Topology Mapping: 2026 Upgrade of XTOOL D8, Scan Tool with 42+ Reset, Full System Automotive Scanner Diagnostic Tool, PMI for Ford, FCA/CANFD/DoIP</t>
        </is>
      </c>
      <c r="B135" s="30" t="inlineStr">
        <is>
          <t>B098N7QMGC</t>
        </is>
      </c>
      <c r="C135" s="30" t="inlineStr">
        <is>
          <t>Tablet</t>
        </is>
      </c>
      <c r="D135" s="324" t="n">
        <v>596.4560666666667</v>
      </c>
      <c r="E135" s="53" t="n">
        <v>1205763.67</v>
      </c>
      <c r="F135" s="53" t="n">
        <v>89468.41</v>
      </c>
      <c r="G135" s="55" t="n">
        <v>1977</v>
      </c>
      <c r="H135" s="57" t="n">
        <v>150</v>
      </c>
      <c r="I135" s="55" t="n">
        <v>1035</v>
      </c>
      <c r="J135" s="56" t="n">
        <v>4.4</v>
      </c>
      <c r="K135" s="56" t="inlineStr">
        <is>
          <t>https://amazon.com/dp/B098N7QMGC</t>
        </is>
      </c>
      <c r="L135" s="70">
        <f>HYPERLINK(Table5383[[#This Row],[Column1]])</f>
        <v/>
      </c>
    </row>
    <row r="136" ht="45" customHeight="1" s="290">
      <c r="A136" s="30" t="inlineStr">
        <is>
          <t>XTOOL IP500 for Toyota OBD2 Scanner, Full Systems Bi-Directional Scan Tool for Toyota/Lexus/Scion with Multi-in-One Live Data Graph, All Reset Services-(Injector Coding/EPB/ABS), Lifetime Free Update</t>
        </is>
      </c>
      <c r="B136" s="30" t="inlineStr">
        <is>
          <t>B0DG2GTGD5</t>
        </is>
      </c>
      <c r="C136" s="30" t="inlineStr">
        <is>
          <t>Tablet</t>
        </is>
      </c>
      <c r="D136" s="324" t="n">
        <v>189.3855652173913</v>
      </c>
      <c r="E136" s="53" t="n">
        <v>116468.03</v>
      </c>
      <c r="F136" s="53" t="n">
        <v>21779.34</v>
      </c>
      <c r="G136" s="55" t="n">
        <v>672</v>
      </c>
      <c r="H136" s="57" t="n">
        <v>115</v>
      </c>
      <c r="I136" s="55" t="n">
        <v>47</v>
      </c>
      <c r="J136" s="56" t="n">
        <v>4.2</v>
      </c>
      <c r="K136" s="56" t="inlineStr">
        <is>
          <t>https://amazon.com/dp/B0DG2GTGD5</t>
        </is>
      </c>
      <c r="L136" s="70">
        <f>HYPERLINK(Table5383[[#This Row],[Column1]])</f>
        <v/>
      </c>
    </row>
    <row r="137" ht="45" customHeight="1" s="290">
      <c r="A137" s="30" t="inlineStr">
        <is>
          <t>XTOOL IP500 for GM OBD2 Scanner, Bidirectional Scan Tool with Full Systems Diagnostic for Buick/Chevy/Cadillac/GMC, Diagnostic Scanner with All Services-Oil/ABS Bleed/Crank Relearn, Lifetime Update</t>
        </is>
      </c>
      <c r="B137" s="30" t="inlineStr">
        <is>
          <t>B0DKTH45K2</t>
        </is>
      </c>
      <c r="C137" s="30" t="inlineStr">
        <is>
          <t>Tablet</t>
        </is>
      </c>
      <c r="D137" s="324" t="n">
        <v>180.9245614035088</v>
      </c>
      <c r="E137" s="53" t="n">
        <v>310902.66</v>
      </c>
      <c r="F137" s="53" t="n">
        <v>20625.4</v>
      </c>
      <c r="G137" s="55" t="n">
        <v>1752</v>
      </c>
      <c r="H137" s="57" t="n">
        <v>114</v>
      </c>
      <c r="I137" s="55" t="n">
        <v>88</v>
      </c>
      <c r="J137" s="56" t="n">
        <v>4</v>
      </c>
      <c r="K137" s="56" t="inlineStr">
        <is>
          <t>https://amazon.com/dp/B0DKTH45K2</t>
        </is>
      </c>
      <c r="L137" s="70">
        <f>HYPERLINK(Table5383[[#This Row],[Column1]])</f>
        <v/>
      </c>
    </row>
    <row r="138" ht="45" customHeight="1" s="290">
      <c r="A138" s="30" t="inlineStr">
        <is>
          <t>XTOOL IP500 for Jeep OBD2 Scanner, Full Systems Bi-Directional Scan Tool for Jeep/Dodge/Chrysler, with FCA AutoAuth, OBD2 Scanner Diagnostic Tool with All Reset -(Injector/EPB/ABS/BMS),Lifetime Update</t>
        </is>
      </c>
      <c r="B138" s="30" t="inlineStr">
        <is>
          <t>B0DG2FKQ5W</t>
        </is>
      </c>
      <c r="C138" s="30" t="inlineStr">
        <is>
          <t>Tablet</t>
        </is>
      </c>
      <c r="D138" s="324" t="n">
        <v>189.4546666666667</v>
      </c>
      <c r="E138" s="53" t="n">
        <v>131247.92</v>
      </c>
      <c r="F138" s="53" t="n">
        <v>19892.74</v>
      </c>
      <c r="G138" s="55" t="n">
        <v>756</v>
      </c>
      <c r="H138" s="57" t="n">
        <v>105</v>
      </c>
      <c r="I138" s="55" t="n">
        <v>40</v>
      </c>
      <c r="J138" s="56" t="n">
        <v>3.8</v>
      </c>
      <c r="K138" s="56" t="inlineStr">
        <is>
          <t>https://amazon.com/dp/B0DG2FKQ5W</t>
        </is>
      </c>
      <c r="L138" s="70">
        <f>HYPERLINK(Table5383[[#This Row],[Column1]])</f>
        <v/>
      </c>
    </row>
    <row r="139" ht="45" customHeight="1" s="290">
      <c r="A139" s="30" t="inlineStr">
        <is>
          <t>XTOOL D7W Wireless OBD2 Scanner Diagnostic Tool 2026 AI-Assisted Bidirectional Scan Tool Upgraded of D7/D7S/D7BT, ECU C0ding, 39+ Resets, CAN FD &amp; DoIP, All System Scanner for Car, 3-Yr Update</t>
        </is>
      </c>
      <c r="B139" s="30" t="inlineStr">
        <is>
          <t>B0D9PFD382</t>
        </is>
      </c>
      <c r="C139" s="30" t="inlineStr">
        <is>
          <t>Tablet</t>
        </is>
      </c>
      <c r="D139" s="324" t="n">
        <v>451.175376344086</v>
      </c>
      <c r="E139" s="53" t="n">
        <v>261949.38</v>
      </c>
      <c r="F139" s="53" t="n">
        <v>41959.31</v>
      </c>
      <c r="G139" s="55" t="n">
        <v>569</v>
      </c>
      <c r="H139" s="57" t="n">
        <v>93</v>
      </c>
      <c r="I139" s="55" t="n">
        <v>54</v>
      </c>
      <c r="J139" s="56" t="n">
        <v>4.4</v>
      </c>
      <c r="K139" s="56" t="inlineStr">
        <is>
          <t>https://amazon.com/dp/B0D9PFD382</t>
        </is>
      </c>
      <c r="L139" s="70">
        <f>HYPERLINK(Table5383[[#This Row],[Column1]])</f>
        <v/>
      </c>
    </row>
    <row r="140" ht="45" customHeight="1" s="290">
      <c r="A140" s="30" t="inlineStr">
        <is>
          <t>XTOOL Scanner D8S, AI-Assisted Bidirectional OBD2 Scanner, 8" Full System Bidirectional Scan Tool, ECU C0ding, Topology Mapping, 42+ Resets Automotive Diagnostic Scanner, FCA, CAN FD&amp;DoIP</t>
        </is>
      </c>
      <c r="B140" s="30" t="inlineStr">
        <is>
          <t>B097R8Q122</t>
        </is>
      </c>
      <c r="C140" s="30" t="inlineStr">
        <is>
          <t>Tablet</t>
        </is>
      </c>
      <c r="D140" s="324" t="n">
        <v>580.1169318181818</v>
      </c>
      <c r="E140" s="53" t="n">
        <v>940245.67</v>
      </c>
      <c r="F140" s="53" t="n">
        <v>51050.29</v>
      </c>
      <c r="G140" s="55" t="n">
        <v>1611</v>
      </c>
      <c r="H140" s="57" t="n">
        <v>88</v>
      </c>
      <c r="I140" s="55" t="n">
        <v>549</v>
      </c>
      <c r="J140" s="56" t="n">
        <v>4.4</v>
      </c>
      <c r="K140" s="56" t="inlineStr">
        <is>
          <t>https://amazon.com/dp/B097R8Q122</t>
        </is>
      </c>
      <c r="L140" s="70">
        <f>HYPERLINK(Table5383[[#This Row],[Column1]])</f>
        <v/>
      </c>
    </row>
    <row r="141" ht="45" customHeight="1" s="290">
      <c r="A141" s="30" t="inlineStr">
        <is>
          <t>XTOOL IP500 2.0 for BMW OBD2 Scanner, Full Systems Bidirectional Scan Tool with ECU C0ding, Battery Registration Tool for BMW/MiNi/RR, All Services-(Injector C0ding/BMS/ABS), Lifetime Free Update</t>
        </is>
      </c>
      <c r="B141" s="30" t="inlineStr">
        <is>
          <t>B0DG2H3XP4</t>
        </is>
      </c>
      <c r="C141" s="30" t="inlineStr">
        <is>
          <t>Tablet</t>
        </is>
      </c>
      <c r="D141" s="324" t="n">
        <v>159.6906172839506</v>
      </c>
      <c r="E141" s="53" t="n">
        <v>162083.06</v>
      </c>
      <c r="F141" s="53" t="n">
        <v>12934.94</v>
      </c>
      <c r="G141" s="55" t="n">
        <v>1049</v>
      </c>
      <c r="H141" s="57" t="n">
        <v>81</v>
      </c>
      <c r="I141" s="55" t="n">
        <v>64</v>
      </c>
      <c r="J141" s="56" t="n">
        <v>4.4</v>
      </c>
      <c r="K141" s="56" t="inlineStr">
        <is>
          <t>https://amazon.com/dp/B0DG2H3XP4</t>
        </is>
      </c>
      <c r="L141" s="70">
        <f>HYPERLINK(Table5383[[#This Row],[Column1]])</f>
        <v/>
      </c>
    </row>
    <row r="142" ht="45" customHeight="1" s="290">
      <c r="A142" s="30" t="inlineStr">
        <is>
          <t>XTOOL IP616 V2.0 Bidirectional Scan Tool with Lifetime Free Updates, AI-Assisted Full System OBD2 Scanner Diagnostic Tool with 34+ Reset Services, Active Test, CAN FD &amp; DoIP, FCA AutoAuth, Android 10</t>
        </is>
      </c>
      <c r="B142" s="30" t="inlineStr">
        <is>
          <t>B0B8H2C4WH</t>
        </is>
      </c>
      <c r="C142" s="30" t="inlineStr">
        <is>
          <t>Tablet</t>
        </is>
      </c>
      <c r="D142" s="324" t="n">
        <v>324.2433333333333</v>
      </c>
      <c r="E142" s="53" t="n">
        <v>189475.2853846154</v>
      </c>
      <c r="F142" s="53" t="n">
        <v>24318.25</v>
      </c>
      <c r="G142" s="55" t="n">
        <v>473</v>
      </c>
      <c r="H142" s="57" t="n">
        <v>75</v>
      </c>
      <c r="I142" s="55" t="n">
        <v>200</v>
      </c>
      <c r="J142" s="56" t="n">
        <v>4.2</v>
      </c>
      <c r="K142" s="56" t="inlineStr">
        <is>
          <t>https://amazon.com/dp/B0B8H2C4WH</t>
        </is>
      </c>
      <c r="L142" s="70">
        <f>HYPERLINK(Table5383[[#This Row],[Column1]])</f>
        <v/>
      </c>
    </row>
    <row r="143" ht="45" customHeight="1" s="290">
      <c r="A143" s="30" t="inlineStr">
        <is>
          <t>XTOOL Carrying Case for OBD2 Scanner Diagnostic Tool, Waterproof Car Scanner Tool Protective Bag Compatible with D5, D5S, D6, D6S, D7, D7S, TP150, IP508S, IP608, IP616, IP819, Size 11''x 7''x 4''</t>
        </is>
      </c>
      <c r="B143" s="30" t="inlineStr">
        <is>
          <t>B0BNQF6JZK</t>
        </is>
      </c>
      <c r="C143" s="30" t="inlineStr">
        <is>
          <t>Other</t>
        </is>
      </c>
      <c r="D143" s="324" t="n">
        <v>25.08356164383562</v>
      </c>
      <c r="E143" s="53" t="n">
        <v>20461.21615384616</v>
      </c>
      <c r="F143" s="53" t="n">
        <v>1831.1</v>
      </c>
      <c r="G143" s="55" t="n">
        <v>736</v>
      </c>
      <c r="H143" s="57" t="n">
        <v>73</v>
      </c>
      <c r="I143" s="55" t="n">
        <v>65</v>
      </c>
      <c r="J143" s="56" t="n">
        <v>4.9</v>
      </c>
      <c r="K143" s="56" t="inlineStr">
        <is>
          <t>https://amazon.com/dp/B0BNQF6JZK</t>
        </is>
      </c>
      <c r="L143" s="70">
        <f>HYPERLINK(Table5383[[#This Row],[Column1]])</f>
        <v/>
      </c>
    </row>
    <row r="144" ht="45" customHeight="1" s="290">
      <c r="A144" s="30" t="inlineStr">
        <is>
          <t>XTOOL D7S OBD2 Scanner Diagnostic Tool 2026 AI-Assisted Bidirectional Scan Tool Ver. of D7 with ECU C0ding, Active Test, FCA, All-System 39+ Resets, EPB, Crankshaft Relearn, DoIP/CAN FD, 3-Yr Update</t>
        </is>
      </c>
      <c r="B144" s="30" t="inlineStr">
        <is>
          <t>B098L8FWGN</t>
        </is>
      </c>
      <c r="C144" s="30" t="inlineStr">
        <is>
          <t>Tablet</t>
        </is>
      </c>
      <c r="D144" s="324" t="n">
        <v>395.3752054794521</v>
      </c>
      <c r="E144" s="53" t="n">
        <v>556694.1</v>
      </c>
      <c r="F144" s="53" t="n">
        <v>28862.39</v>
      </c>
      <c r="G144" s="55" t="n">
        <v>1342</v>
      </c>
      <c r="H144" s="57" t="n">
        <v>73</v>
      </c>
      <c r="I144" s="55" t="n">
        <v>539</v>
      </c>
      <c r="J144" s="56" t="n">
        <v>4.3</v>
      </c>
      <c r="K144" s="56" t="inlineStr">
        <is>
          <t>https://amazon.com/dp/B098L8FWGN</t>
        </is>
      </c>
      <c r="L144" s="70">
        <f>HYPERLINK(Table5383[[#This Row],[Column1]])</f>
        <v/>
      </c>
    </row>
    <row r="145" ht="45" customHeight="1" s="290">
      <c r="A145" s="30" t="inlineStr">
        <is>
          <t>XTOOL Original OBD2 12+8 Adapter for Chrysler, OBD II Universal Security Gateway Bypass Connector for FCA SGW Car, Work with XTOOL D7/ D7S/D7W /D8/D8S/D8W/IP616/IP819/IK618/X100 Pad Scanner</t>
        </is>
      </c>
      <c r="B145" s="30" t="inlineStr">
        <is>
          <t>B0BYS1314P</t>
        </is>
      </c>
      <c r="C145" s="30" t="inlineStr">
        <is>
          <t>Cable/Adapter</t>
        </is>
      </c>
      <c r="D145" s="324" t="n">
        <v>19.99107142857143</v>
      </c>
      <c r="E145" s="53" t="n">
        <v>9597.529999999999</v>
      </c>
      <c r="F145" s="53" t="n">
        <v>1119.5</v>
      </c>
      <c r="G145" s="55" t="n">
        <v>422</v>
      </c>
      <c r="H145" s="57" t="n">
        <v>56</v>
      </c>
      <c r="I145" s="55" t="n">
        <v>52</v>
      </c>
      <c r="J145" s="56" t="n">
        <v>4.6</v>
      </c>
      <c r="K145" s="56" t="inlineStr">
        <is>
          <t>https://amazon.com/dp/B0BYS1314P</t>
        </is>
      </c>
      <c r="L145" s="70">
        <f>HYPERLINK(Table5383[[#This Row],[Column1]])</f>
        <v/>
      </c>
    </row>
    <row r="146" ht="45" customHeight="1" s="290">
      <c r="A146" s="30" t="inlineStr">
        <is>
          <t>XTOOL OBD2 Extension Cable, 1.64ft 16 Pin Male to Female Cable, Universal Extension Cord A30/A30D/A30M, D7, D8, D8BT, D9, D9 Pro, IP616, IP819, IP508, IP508S, IP608 Diagnostic Scanner</t>
        </is>
      </c>
      <c r="B146" s="30" t="inlineStr">
        <is>
          <t>B09YTTH4LD</t>
        </is>
      </c>
      <c r="C146" s="30" t="inlineStr">
        <is>
          <t>Cable/Adapter</t>
        </is>
      </c>
      <c r="D146" s="324" t="n">
        <v>11.06666666666667</v>
      </c>
      <c r="E146" s="53" t="n">
        <v>8559.744615384616</v>
      </c>
      <c r="F146" s="53" t="n">
        <v>564.4</v>
      </c>
      <c r="G146" s="55" t="n">
        <v>730</v>
      </c>
      <c r="H146" s="57" t="n">
        <v>51</v>
      </c>
      <c r="I146" s="55" t="n">
        <v>110</v>
      </c>
      <c r="J146" s="56" t="n">
        <v>4.7</v>
      </c>
      <c r="K146" s="56" t="inlineStr">
        <is>
          <t>https://amazon.com/dp/B09YTTH4LD</t>
        </is>
      </c>
      <c r="L146" s="70">
        <f>HYPERLINK(Table5383[[#This Row],[Column1]])</f>
        <v/>
      </c>
    </row>
    <row r="147" ht="45" customHeight="1" s="290">
      <c r="A147" s="30" t="inlineStr">
        <is>
          <t>XTOOL Original OBD2 12+8 Adapter Cable for Chrysler, OBD II Universal Security Gateway Bypass Cable for FCA SGW Vheicles, Fit for All scanners D5S IP919PRO D7 D6S D7S D7W D8S D8W IP616</t>
        </is>
      </c>
      <c r="B147" s="30" t="inlineStr">
        <is>
          <t>B0FLQDNLCJ</t>
        </is>
      </c>
      <c r="C147" s="30" t="inlineStr">
        <is>
          <t>Cable/Adapter</t>
        </is>
      </c>
      <c r="D147" s="324" t="n">
        <v>20.0272</v>
      </c>
      <c r="E147" s="53" t="n">
        <v>11229.24307692308</v>
      </c>
      <c r="F147" s="53" t="n">
        <v>1001.36</v>
      </c>
      <c r="G147" s="55" t="n">
        <v>99</v>
      </c>
      <c r="H147" s="57" t="n">
        <v>50</v>
      </c>
      <c r="I147" s="55" t="n">
        <v>3</v>
      </c>
      <c r="J147" s="56" t="n">
        <v>4.6</v>
      </c>
      <c r="K147" s="56" t="inlineStr">
        <is>
          <t>https://amazon.com/dp/B0FLQDNLCJ</t>
        </is>
      </c>
      <c r="L147" s="70">
        <f>HYPERLINK(Table5383[[#This Row],[Column1]])</f>
        <v/>
      </c>
    </row>
    <row r="148" ht="45" customHeight="1" s="290">
      <c r="A148" s="30" t="inlineStr">
        <is>
          <t>XTOOL D7W OBD2 Scanner Diagnostic Tool: 2026 Wireless Ver. of D7/D7S/D7BT, AI-Assisted Bidirectional Scan Tool with Full System Diagnostic, PMI, ECU Coding, 39+ Resets, CAN FD/DoIP, Scanner for Car</t>
        </is>
      </c>
      <c r="B148" s="30" t="inlineStr">
        <is>
          <t>B099K7SSTQ</t>
        </is>
      </c>
      <c r="C148" s="30" t="inlineStr">
        <is>
          <t>Tablet</t>
        </is>
      </c>
      <c r="D148" s="324" t="n">
        <v>500.2091489361703</v>
      </c>
      <c r="E148" s="53" t="n">
        <v>538088.3100000001</v>
      </c>
      <c r="F148" s="53" t="n">
        <v>23509.83</v>
      </c>
      <c r="G148" s="55" t="n">
        <v>1155</v>
      </c>
      <c r="H148" s="57" t="n">
        <v>47</v>
      </c>
      <c r="I148" s="55" t="n">
        <v>515</v>
      </c>
      <c r="J148" s="56" t="n">
        <v>4.3</v>
      </c>
      <c r="K148" s="56" t="inlineStr">
        <is>
          <t>https://amazon.com/dp/B099K7SSTQ</t>
        </is>
      </c>
      <c r="L148" s="70">
        <f>HYPERLINK(Table5383[[#This Row],[Column1]])</f>
        <v/>
      </c>
    </row>
    <row r="149" ht="45" customHeight="1" s="290">
      <c r="A149" s="30" t="inlineStr">
        <is>
          <t>XTOOL Advancer AD20 Bluetooth OBD2 Scanner Diagnostic Tool, Lifetime Update, Check Engine Code Reader for iPhone/Android, Scanner for Car, Mode 6, Live Data, Freeze Frame, Performance/Voltage Test</t>
        </is>
      </c>
      <c r="B149" s="30" t="inlineStr">
        <is>
          <t>B0BRKR247Y</t>
        </is>
      </c>
      <c r="C149" s="30" t="inlineStr">
        <is>
          <t>Dongle</t>
        </is>
      </c>
      <c r="D149" s="324" t="n">
        <v>23.61076923076923</v>
      </c>
      <c r="E149" s="53" t="n">
        <v>34057.22</v>
      </c>
      <c r="F149" s="53" t="n">
        <v>920.8200000000001</v>
      </c>
      <c r="G149" s="55" t="n">
        <v>1537</v>
      </c>
      <c r="H149" s="57" t="n">
        <v>39</v>
      </c>
      <c r="I149" s="55" t="n">
        <v>793</v>
      </c>
      <c r="J149" s="56" t="n">
        <v>4.2</v>
      </c>
      <c r="K149" s="56" t="inlineStr">
        <is>
          <t>https://amazon.com/dp/B0BRKR247Y</t>
        </is>
      </c>
      <c r="L149" s="70">
        <f>HYPERLINK(Table5383[[#This Row],[Column1]])</f>
        <v/>
      </c>
    </row>
    <row r="150" ht="45" customHeight="1" s="290">
      <c r="A150" s="30" t="inlineStr">
        <is>
          <t>XTOOL D8W Wireless OBD2 Scanner Diagnostic Tool 2026 AI-Assisted Bidirectional Scan Tool with Topology Mapping, ECU C0ding, 42+ Resets, CAN FD &amp; DoIP, All System Scanner for Car, 3-Yr Update</t>
        </is>
      </c>
      <c r="B150" s="30" t="inlineStr">
        <is>
          <t>B09N8LKGCY</t>
        </is>
      </c>
      <c r="C150" s="30" t="inlineStr">
        <is>
          <t>Tablet</t>
        </is>
      </c>
      <c r="D150" s="324" t="n">
        <v>615.3888888888889</v>
      </c>
      <c r="E150" s="53" t="n">
        <v>449129.91</v>
      </c>
      <c r="F150" s="53" t="n">
        <v>22154</v>
      </c>
      <c r="G150" s="55" t="n">
        <v>721</v>
      </c>
      <c r="H150" s="57" t="n">
        <v>36</v>
      </c>
      <c r="I150" s="55" t="n">
        <v>359</v>
      </c>
      <c r="J150" s="56" t="n">
        <v>4.2</v>
      </c>
      <c r="K150" s="56" t="inlineStr">
        <is>
          <t>https://amazon.com/dp/B09N8LKGCY</t>
        </is>
      </c>
      <c r="L150" s="70">
        <f>HYPERLINK(Table5383[[#This Row],[Column1]])</f>
        <v/>
      </c>
    </row>
    <row r="151" ht="45" customHeight="1" s="290">
      <c r="A151" s="30" t="inlineStr">
        <is>
          <t>XTOOL IP919 PRO 2.0V 10''OE Level Scan Tool, Topology Mapping OBD2 Scanner with Bidirectional Test, 51+ Reset, Upgrade of D9S PRO, Automotive Scanner for Car, ADAS Diagnostic Scanner, FCA/CAN FD/DoIP</t>
        </is>
      </c>
      <c r="B151" s="30" t="inlineStr">
        <is>
          <t>B0DBLQXQ6W</t>
        </is>
      </c>
      <c r="C151" s="30" t="inlineStr">
        <is>
          <t>Tablet</t>
        </is>
      </c>
      <c r="D151" s="324" t="n">
        <v>1474.73875</v>
      </c>
      <c r="E151" s="53" t="n">
        <v>797173.383846154</v>
      </c>
      <c r="F151" s="53" t="n">
        <v>47191.64</v>
      </c>
      <c r="G151" s="55" t="n">
        <v>489</v>
      </c>
      <c r="H151" s="57" t="n">
        <v>32</v>
      </c>
      <c r="I151" s="55" t="n">
        <v>72</v>
      </c>
      <c r="J151" s="56" t="n">
        <v>4.4</v>
      </c>
      <c r="K151" s="56" t="inlineStr">
        <is>
          <t>https://amazon.com/dp/B0DBLQXQ6W</t>
        </is>
      </c>
      <c r="L151" s="70">
        <f>HYPERLINK(Table5383[[#This Row],[Column1]])</f>
        <v/>
      </c>
    </row>
    <row r="152" ht="30" customHeight="1" s="290">
      <c r="A152" s="30" t="inlineStr">
        <is>
          <t>XTOOL XTOOL12+8 Cable Adapter for FCA Chrysler, Work X100 PAD PLUS/PADS/IP616/IP819/IK618/D7/D7S/D7W/D8/D8S/D8BT/D8W/D9/D9S/D9 PRO/D9S PRO/X100 PAD3/MAX</t>
        </is>
      </c>
      <c r="B152" s="30" t="inlineStr">
        <is>
          <t>B0B4D76NWB</t>
        </is>
      </c>
      <c r="C152" s="30" t="inlineStr">
        <is>
          <t>Cable/Adapter</t>
        </is>
      </c>
      <c r="D152" s="324" t="n">
        <v>19.67709677419355</v>
      </c>
      <c r="E152" s="53" t="n">
        <v>17850.87</v>
      </c>
      <c r="F152" s="53" t="n">
        <v>609.99</v>
      </c>
      <c r="G152" s="55" t="n">
        <v>820</v>
      </c>
      <c r="H152" s="57" t="n">
        <v>31</v>
      </c>
      <c r="I152" s="55" t="n">
        <v>142</v>
      </c>
      <c r="J152" s="56" t="n">
        <v>4.7</v>
      </c>
      <c r="K152" s="56" t="inlineStr">
        <is>
          <t>https://amazon.com/dp/B0B4D76NWB</t>
        </is>
      </c>
      <c r="L152" s="70">
        <f>HYPERLINK(Table5383[[#This Row],[Column1]])</f>
        <v/>
      </c>
    </row>
    <row r="153" ht="45" customHeight="1" s="290">
      <c r="A153" s="30" t="inlineStr">
        <is>
          <t>XTOOL OBD2 Main Test Cable - VGA to OBD2-16, Universal Scanner Replacement for IP508, IP508S, IP608, IP616, IP819, D7, D7S</t>
        </is>
      </c>
      <c r="B153" s="30" t="inlineStr">
        <is>
          <t>B0BVRH9ZF7</t>
        </is>
      </c>
      <c r="C153" s="30" t="inlineStr">
        <is>
          <t>Cable/Adapter</t>
        </is>
      </c>
      <c r="D153" s="324" t="n">
        <v>40.25956521739131</v>
      </c>
      <c r="E153" s="53" t="n">
        <v>12859.30153846154</v>
      </c>
      <c r="F153" s="53" t="n">
        <v>925.97</v>
      </c>
      <c r="G153" s="55" t="n">
        <v>301</v>
      </c>
      <c r="H153" s="57" t="n">
        <v>23</v>
      </c>
      <c r="I153" s="55" t="n">
        <v>27</v>
      </c>
      <c r="J153" s="56" t="n">
        <v>4.2</v>
      </c>
      <c r="K153" s="56" t="inlineStr">
        <is>
          <t>https://amazon.com/dp/B0BVRH9ZF7</t>
        </is>
      </c>
      <c r="L153" s="70">
        <f>HYPERLINK(Table5383[[#This Row],[Column1]])</f>
        <v/>
      </c>
    </row>
    <row r="154" ht="45" customHeight="1" s="290">
      <c r="A154" s="30" t="inlineStr">
        <is>
          <t>XTOOL D9S PRO Scan Tool with ECU Programming/Coding: 2026 AI-Assisted Wireless Automotive Diagnostic Scanner with Bidirectional, Topology Map, 45+ Services, FCA/DoIP/CAN FD, Full System, 3-Year Update</t>
        </is>
      </c>
      <c r="B154" s="30" t="inlineStr">
        <is>
          <t>B0BGL2YY8J</t>
        </is>
      </c>
      <c r="C154" s="30" t="inlineStr">
        <is>
          <t>Tablet</t>
        </is>
      </c>
      <c r="D154" s="324" t="n">
        <v>1354.843529411765</v>
      </c>
      <c r="E154" s="53" t="n">
        <v>433645.1200000001</v>
      </c>
      <c r="F154" s="53" t="n">
        <v>23032.34</v>
      </c>
      <c r="G154" s="55" t="n">
        <v>331</v>
      </c>
      <c r="H154" s="57" t="n">
        <v>17</v>
      </c>
      <c r="I154" s="55" t="n">
        <v>124</v>
      </c>
      <c r="J154" s="56" t="n">
        <v>4.3</v>
      </c>
      <c r="K154" s="56" t="inlineStr">
        <is>
          <t>https://amazon.com/dp/B0BGL2YY8J</t>
        </is>
      </c>
      <c r="L154" s="70">
        <f>HYPERLINK(Table5383[[#This Row],[Column1]])</f>
        <v/>
      </c>
    </row>
    <row r="155" ht="45" customHeight="1" s="290">
      <c r="A155" s="30" t="inlineStr">
        <is>
          <t>XTOOL IP900BT OBD2 Scanner Diagnostic Tool, ECU C0ding Automative Scanner, AI-Assisted Wireless Scan Tool with 41+ Reset, 4000+ Bidirectional Scanner for Car, CAN FD/DoIP/FCA, 3-Y Update</t>
        </is>
      </c>
      <c r="B155" s="30" t="inlineStr">
        <is>
          <t>B09KZZT818</t>
        </is>
      </c>
      <c r="C155" s="30" t="inlineStr">
        <is>
          <t>Tablet</t>
        </is>
      </c>
      <c r="D155" s="324" t="n">
        <v>586.1</v>
      </c>
      <c r="E155" s="53" t="n">
        <v>107768.1084615384</v>
      </c>
      <c r="F155" s="53" t="n">
        <v>8791.5</v>
      </c>
      <c r="G155" s="55" t="n">
        <v>31</v>
      </c>
      <c r="H155" s="57" t="n">
        <v>15</v>
      </c>
      <c r="I155" s="55" t="n">
        <v>141</v>
      </c>
      <c r="J155" s="56" t="n">
        <v>4.3</v>
      </c>
      <c r="K155" s="56" t="inlineStr">
        <is>
          <t>https://amazon.com/dp/B09KZZT818</t>
        </is>
      </c>
      <c r="L155" s="70">
        <f>HYPERLINK(Table5383[[#This Row],[Column1]])</f>
        <v/>
      </c>
    </row>
    <row r="156" ht="45" customHeight="1" s="290">
      <c r="A156" s="30" t="inlineStr">
        <is>
          <t>XTOOL X100 MAX AI-Assisted Bidirectional Scan Tool with ECU Pr0gramming &amp; C0ding, Wireless Automotive Diagnostic Tool with Topology Map and [KC501 Adapter], 42+ Resets, FCA/CAN FD/DoIP, 2-Year Updates</t>
        </is>
      </c>
      <c r="B156" s="30" t="inlineStr">
        <is>
          <t>B0FJXVCGSS</t>
        </is>
      </c>
      <c r="C156" s="30" t="inlineStr">
        <is>
          <t>Tablet</t>
        </is>
      </c>
      <c r="D156" s="324" t="n">
        <v>1199.123571428571</v>
      </c>
      <c r="E156" s="53" t="n">
        <v>144905.7307692308</v>
      </c>
      <c r="F156" s="53" t="n">
        <v>16787.73</v>
      </c>
      <c r="G156" s="55" t="n">
        <v>50</v>
      </c>
      <c r="H156" s="57" t="n">
        <v>14</v>
      </c>
      <c r="I156" s="55" t="n">
        <v>1</v>
      </c>
      <c r="J156" s="56" t="n">
        <v>5</v>
      </c>
      <c r="K156" s="56" t="inlineStr">
        <is>
          <t>https://amazon.com/dp/B0FJXVCGSS</t>
        </is>
      </c>
      <c r="L156" s="70">
        <f>HYPERLINK(Table5383[[#This Row],[Column1]])</f>
        <v/>
      </c>
    </row>
    <row r="157" ht="45" customHeight="1" s="290">
      <c r="A157" s="30" t="inlineStr">
        <is>
          <t>XTOOL Scanner D9S PRO, AI-Assisted, ECU Pr0gramming/C0ding Scan Tool with Bidirectional Control, Topology Map, with 45+ Resets, OE-Level Full System, PMI, FCA/CAN FD/DoIP, 3-Yr Update</t>
        </is>
      </c>
      <c r="B157" s="30" t="inlineStr">
        <is>
          <t>B0BNHG61Q3</t>
        </is>
      </c>
      <c r="C157" s="30" t="inlineStr">
        <is>
          <t>Tablet</t>
        </is>
      </c>
      <c r="D157" s="324" t="n">
        <v>1386.8475</v>
      </c>
      <c r="E157" s="53" t="n">
        <v>216598.51</v>
      </c>
      <c r="F157" s="53" t="n">
        <v>16642.17</v>
      </c>
      <c r="G157" s="55" t="n">
        <v>161</v>
      </c>
      <c r="H157" s="57" t="n">
        <v>12</v>
      </c>
      <c r="I157" s="55" t="n">
        <v>63</v>
      </c>
      <c r="J157" s="56" t="n">
        <v>4</v>
      </c>
      <c r="K157" s="56" t="inlineStr">
        <is>
          <t>https://amazon.com/dp/B0BNHG61Q3</t>
        </is>
      </c>
      <c r="L157" s="70">
        <f>HYPERLINK(Table5383[[#This Row],[Column1]])</f>
        <v/>
      </c>
    </row>
    <row r="158" ht="45" customHeight="1" s="290">
      <c r="A158" s="30" t="inlineStr">
        <is>
          <t>XTOOL D7 Bidirectional Scan Tool, 2026 Ai-Assisted Full System OBD2 Scanner Diagnostic Tool for Car with ECU C0ding, Active Tests, FCA, CANFD/DoIP, 36+ Resets, Crank Sensor Relearn, 3 Years Updates</t>
        </is>
      </c>
      <c r="B158" s="30" t="inlineStr">
        <is>
          <t>B0BR81J15L</t>
        </is>
      </c>
      <c r="C158" s="30" t="inlineStr">
        <is>
          <t>Tablet</t>
        </is>
      </c>
      <c r="D158" s="324" t="n">
        <v>413.8808333333333</v>
      </c>
      <c r="E158" s="53" t="n">
        <v>92679.53615384616</v>
      </c>
      <c r="F158" s="53" t="n">
        <v>4966.57</v>
      </c>
      <c r="G158" s="55" t="n">
        <v>213</v>
      </c>
      <c r="H158" s="57" t="n">
        <v>12</v>
      </c>
      <c r="I158" s="55" t="n">
        <v>138</v>
      </c>
      <c r="J158" s="56" t="n">
        <v>4.3</v>
      </c>
      <c r="K158" s="56" t="inlineStr">
        <is>
          <t>https://amazon.com/dp/B0BR81J15L</t>
        </is>
      </c>
      <c r="L158" s="70">
        <f>HYPERLINK(Table5383[[#This Row],[Column1]])</f>
        <v/>
      </c>
    </row>
    <row r="159" ht="45" customHeight="1" s="290">
      <c r="A159" s="30" t="inlineStr">
        <is>
          <t>XTOOL D9 MAX AI-Assisted Automotive Diagnostic Scanner, J2534 Reprogramming Tool, Wireless Bidirectional Scan Tool, OBD2 Scanner with Topology Mapping, 45+ Relearns, ECU Coding, FCA/DoIP/CAN FD</t>
        </is>
      </c>
      <c r="B159" s="30" t="inlineStr">
        <is>
          <t>B0FMRVF9N7</t>
        </is>
      </c>
      <c r="C159" s="30" t="inlineStr">
        <is>
          <t>Tablet</t>
        </is>
      </c>
      <c r="D159" s="324" t="n">
        <v>1660.060833333333</v>
      </c>
      <c r="E159" s="53" t="n">
        <v>170439.213076923</v>
      </c>
      <c r="F159" s="53" t="n">
        <v>19920.73</v>
      </c>
      <c r="G159" s="55" t="n">
        <v>26</v>
      </c>
      <c r="H159" s="57" t="n">
        <v>12</v>
      </c>
      <c r="I159" s="55" t="n">
        <v>2</v>
      </c>
      <c r="J159" s="56" t="n">
        <v>5</v>
      </c>
      <c r="K159" s="56" t="inlineStr">
        <is>
          <t>https://amazon.com/dp/B0FMRVF9N7</t>
        </is>
      </c>
      <c r="L159" s="70">
        <f>HYPERLINK(Table5383[[#This Row],[Column1]])</f>
        <v/>
      </c>
    </row>
    <row r="160" ht="60" customHeight="1" s="290">
      <c r="A160" s="30" t="inlineStr">
        <is>
          <t>XTOOL TP380 TPMS Programming Tool &amp; OBD2 Scanner: 2026 2-in-1 Car Diagnostic Tool, TPMS Relearn/Reset, 5 System Diagnosis, 13+ Service Functions(Oil/BMS/ABS), Lifetime Free Updates, No Subscription</t>
        </is>
      </c>
      <c r="B160" s="30" t="inlineStr">
        <is>
          <t>B0GLGBH3MZ</t>
        </is>
      </c>
      <c r="C160" s="30" t="inlineStr">
        <is>
          <t>Tablet</t>
        </is>
      </c>
      <c r="D160" s="324" t="n">
        <v>248.92</v>
      </c>
      <c r="E160" s="53" t="n">
        <v>36074.2523076923</v>
      </c>
      <c r="F160" s="53" t="n">
        <v>2987.04</v>
      </c>
      <c r="G160" s="55" t="n">
        <v>12</v>
      </c>
      <c r="H160" s="57" t="n">
        <v>12</v>
      </c>
      <c r="I160" s="55" t="n"/>
      <c r="J160" s="56" t="n"/>
      <c r="K160" s="56" t="inlineStr">
        <is>
          <t>https://amazon.com/dp/B0GLGBH3MZ</t>
        </is>
      </c>
      <c r="L160" s="70">
        <f>HYPERLINK(Table5383[[#This Row],[Column1]])</f>
        <v/>
      </c>
    </row>
    <row r="161" ht="45" customHeight="1" s="290">
      <c r="A161" s="30" t="inlineStr">
        <is>
          <t>OBD2 Scanner Diagnostic Tool XTOOL IP508S: Code Reader for Cars &amp; Trucks with 15 Resets, Crank Sensor Relearn, ABS Bleed, CAN FD for GM, Engine, ABS, SRS, Transmission Car Diagnostic Tool, Android 10</t>
        </is>
      </c>
      <c r="B161" s="30" t="inlineStr">
        <is>
          <t>B0BL3125HB</t>
        </is>
      </c>
      <c r="C161" s="30" t="inlineStr">
        <is>
          <t>Tablet</t>
        </is>
      </c>
      <c r="D161" s="324" t="n">
        <v>205.646</v>
      </c>
      <c r="E161" s="53" t="n">
        <v>55863.71999999999</v>
      </c>
      <c r="F161" s="53" t="n">
        <v>2056.46</v>
      </c>
      <c r="G161" s="55" t="n">
        <v>274</v>
      </c>
      <c r="H161" s="57" t="n">
        <v>10</v>
      </c>
      <c r="I161" s="55" t="n">
        <v>147</v>
      </c>
      <c r="J161" s="56" t="n">
        <v>4.2</v>
      </c>
      <c r="K161" s="56" t="inlineStr">
        <is>
          <t>https://amazon.com/dp/B0BL3125HB</t>
        </is>
      </c>
      <c r="L161" s="70">
        <f>HYPERLINK(Table5383[[#This Row],[Column1]])</f>
        <v/>
      </c>
    </row>
    <row r="162" ht="60" customHeight="1" s="290">
      <c r="A162" s="30" t="inlineStr">
        <is>
          <t>XTOOL Scanner D9S 2.0, AI-Assisted Bidirectional Scan Tool with ECU C0ding, Wireless Automotive Diagnostic Tool with Topology Map, PMI, 45+ Resets, FCA/CAN FD/DoIP, 3-Year Update</t>
        </is>
      </c>
      <c r="B162" s="30" t="inlineStr">
        <is>
          <t>B09LYZ26PX</t>
        </is>
      </c>
      <c r="C162" s="30" t="inlineStr">
        <is>
          <t>Tablet</t>
        </is>
      </c>
      <c r="D162" s="324" t="n">
        <v>1064.854</v>
      </c>
      <c r="E162" s="53" t="n">
        <v>251295.15</v>
      </c>
      <c r="F162" s="53" t="n">
        <v>10648.54</v>
      </c>
      <c r="G162" s="55" t="n">
        <v>254</v>
      </c>
      <c r="H162" s="57" t="n">
        <v>10</v>
      </c>
      <c r="I162" s="55" t="n">
        <v>104</v>
      </c>
      <c r="J162" s="56" t="n">
        <v>4.5</v>
      </c>
      <c r="K162" s="56" t="inlineStr">
        <is>
          <t>https://amazon.com/dp/B09LYZ26PX</t>
        </is>
      </c>
      <c r="L162" s="70">
        <f>HYPERLINK(Table5383[[#This Row],[Column1]])</f>
        <v/>
      </c>
    </row>
    <row r="163" ht="45" customHeight="1" s="290">
      <c r="A163" s="30" t="inlineStr">
        <is>
          <t>XTOOL IP919 MAX OBD2 Scanner with J2534 Pr0gramming Scan Tool, Topology Map, 51+Resets, ECU C0ding, Upgrade of IP919 PRO, AutoAuth for FCA, CAN FD/DoIP, All System Bidirectional Scanner, 3-y Update</t>
        </is>
      </c>
      <c r="B163" s="30" t="inlineStr">
        <is>
          <t>B09PYMMH86</t>
        </is>
      </c>
      <c r="C163" s="30" t="inlineStr">
        <is>
          <t>Tablet</t>
        </is>
      </c>
      <c r="D163" s="324" t="n">
        <v>1854.542222222222</v>
      </c>
      <c r="E163" s="53" t="n">
        <v>224769.3646153846</v>
      </c>
      <c r="F163" s="53" t="n">
        <v>16690.88</v>
      </c>
      <c r="G163" s="55" t="n">
        <v>82</v>
      </c>
      <c r="H163" s="57" t="n">
        <v>9</v>
      </c>
      <c r="I163" s="55" t="n">
        <v>15</v>
      </c>
      <c r="J163" s="56" t="n">
        <v>3.6</v>
      </c>
      <c r="K163" s="56" t="inlineStr">
        <is>
          <t>https://amazon.com/dp/B09PYMMH86</t>
        </is>
      </c>
      <c r="L163" s="70">
        <f>HYPERLINK(Table5383[[#This Row],[Column1]])</f>
        <v/>
      </c>
    </row>
    <row r="164" ht="45" customHeight="1" s="290">
      <c r="A164" s="30" t="inlineStr">
        <is>
          <t>XTOOL X100 PAD3 AI-Assisted Scan Tool &amp; Pr0grammer Tool with [KC100+EEPROM Adapter Kit], All System Bidirectional OBD2 Scanner with FCA AutoAuth, 38+ Resets, ECU C0ding, CAN FD &amp; DOIP, 2 Years Update</t>
        </is>
      </c>
      <c r="B164" s="30" t="inlineStr">
        <is>
          <t>B0FJS2RKX9</t>
        </is>
      </c>
      <c r="C164" s="30" t="inlineStr">
        <is>
          <t>Tablet</t>
        </is>
      </c>
      <c r="D164" s="324" t="n">
        <v>763.4122222222222</v>
      </c>
      <c r="E164" s="53" t="n">
        <v>81381.61923076924</v>
      </c>
      <c r="F164" s="53" t="n">
        <v>6870.71</v>
      </c>
      <c r="G164" s="55" t="n">
        <v>54</v>
      </c>
      <c r="H164" s="57" t="n">
        <v>9</v>
      </c>
      <c r="I164" s="55" t="n">
        <v>3</v>
      </c>
      <c r="J164" s="56" t="n">
        <v>5</v>
      </c>
      <c r="K164" s="56" t="inlineStr">
        <is>
          <t>https://amazon.com/dp/B0FJS2RKX9</t>
        </is>
      </c>
      <c r="L164" s="70">
        <f>HYPERLINK(Table5383[[#This Row],[Column1]])</f>
        <v/>
      </c>
    </row>
    <row r="165" ht="45" customHeight="1" s="290">
      <c r="A165" s="30" t="inlineStr">
        <is>
          <t>XTOOL IP819 V2.0 Bidirectional Scan Tool, AI Assisted Car Scanner Diagnostic Tool with 39+ Resets, Full System, FCA, CAN FD/DOIP, EPB/ABS/Throttle/Crank Sensor Relearn, 3-Year Free Updates</t>
        </is>
      </c>
      <c r="B165" s="30" t="inlineStr">
        <is>
          <t>B0B8GZ1M6K</t>
        </is>
      </c>
      <c r="C165" s="30" t="inlineStr">
        <is>
          <t>Tablet</t>
        </is>
      </c>
      <c r="D165" s="324" t="n">
        <v>438.7266666666667</v>
      </c>
      <c r="E165" s="53" t="n">
        <v>145761.39</v>
      </c>
      <c r="F165" s="53" t="n">
        <v>3948.54</v>
      </c>
      <c r="G165" s="55" t="n">
        <v>343</v>
      </c>
      <c r="H165" s="57" t="n">
        <v>9</v>
      </c>
      <c r="I165" s="55" t="n">
        <v>91</v>
      </c>
      <c r="J165" s="56" t="n">
        <v>4.2</v>
      </c>
      <c r="K165" s="56" t="inlineStr">
        <is>
          <t>https://amazon.com/dp/B0B8GZ1M6K</t>
        </is>
      </c>
      <c r="L165" s="70">
        <f>HYPERLINK(Table5383[[#This Row],[Column1]])</f>
        <v/>
      </c>
    </row>
    <row r="166" ht="45" customHeight="1" s="290">
      <c r="A166" s="30" t="inlineStr">
        <is>
          <t>XTOOL D9S Topology Mapping OBD2 Scanner, Wireless ECU Coding &amp; Bidirectional Automotive Diagnostic Scan Tool, PMI for Ford, AI-Assisted, 45+ Resets, 8 PIDs Live Data, FCA, Full System, 3-Year Updates</t>
        </is>
      </c>
      <c r="B166" s="30" t="inlineStr">
        <is>
          <t>B0BHYRQ5WZ</t>
        </is>
      </c>
      <c r="C166" s="30" t="inlineStr">
        <is>
          <t>Tablet</t>
        </is>
      </c>
      <c r="D166" s="324" t="n">
        <v>971.688888888889</v>
      </c>
      <c r="E166" s="53" t="n">
        <v>155753.4</v>
      </c>
      <c r="F166" s="53" t="n">
        <v>8745.200000000001</v>
      </c>
      <c r="G166" s="55" t="n">
        <v>147</v>
      </c>
      <c r="H166" s="57" t="n">
        <v>9</v>
      </c>
      <c r="I166" s="55" t="n">
        <v>88</v>
      </c>
      <c r="J166" s="56" t="n">
        <v>4.3</v>
      </c>
      <c r="K166" s="56" t="inlineStr">
        <is>
          <t>https://amazon.com/dp/B0BHYRQ5WZ</t>
        </is>
      </c>
      <c r="L166" s="70">
        <f>HYPERLINK(Table5383[[#This Row],[Column1]])</f>
        <v/>
      </c>
    </row>
    <row r="167" ht="45" customHeight="1" s="290">
      <c r="A167" s="30" t="inlineStr">
        <is>
          <t>XTOOL IP900 Bidirectional Scan Tool 2026 Upgraded AI Assisted, OBD2 Scanner Diagnostic Tool, ECU C0ding, 41+ Resets, FCA, CAN FD&amp;DoIP, Pre &amp; Post Scan, All System Scanner for Car, 3-Year Update</t>
        </is>
      </c>
      <c r="B167" s="30" t="inlineStr">
        <is>
          <t>B0BQ3G6W9B</t>
        </is>
      </c>
      <c r="C167" s="30" t="inlineStr">
        <is>
          <t>Tablet</t>
        </is>
      </c>
      <c r="D167" s="324" t="n">
        <v>521.6311111111112</v>
      </c>
      <c r="E167" s="53" t="n">
        <v>82580.55076923077</v>
      </c>
      <c r="F167" s="53" t="n">
        <v>4694.68</v>
      </c>
      <c r="G167" s="55" t="n">
        <v>148</v>
      </c>
      <c r="H167" s="57" t="n">
        <v>9</v>
      </c>
      <c r="I167" s="55" t="n">
        <v>81</v>
      </c>
      <c r="J167" s="56" t="n">
        <v>4.3</v>
      </c>
      <c r="K167" s="56" t="inlineStr">
        <is>
          <t>https://amazon.com/dp/B0BQ3G6W9B</t>
        </is>
      </c>
      <c r="L167" s="70">
        <f>HYPERLINK(Table5383[[#This Row],[Column1]])</f>
        <v/>
      </c>
    </row>
    <row r="168" ht="45" customHeight="1" s="290">
      <c r="A168" s="30" t="inlineStr">
        <is>
          <t>OBD2 Scanner Diagnostic Tool XTOOL D6: All System Scanner for Car with Free Updates, 15 Resets, Throttle Body Relearn, ABS Bleed, FCA AutoAuth &amp; CAN FD, 2026 Upgrade Ver. of XTOOL D5/D5S</t>
        </is>
      </c>
      <c r="B168" s="30" t="inlineStr">
        <is>
          <t>B0DFCLSKMB</t>
        </is>
      </c>
      <c r="C168" s="30" t="inlineStr">
        <is>
          <t>Tablet</t>
        </is>
      </c>
      <c r="D168" s="324" t="n">
        <v>247.1975</v>
      </c>
      <c r="E168" s="53" t="n">
        <v>42755.26</v>
      </c>
      <c r="F168" s="53" t="n">
        <v>1977.58</v>
      </c>
      <c r="G168" s="55" t="n">
        <v>183</v>
      </c>
      <c r="H168" s="57" t="n">
        <v>8</v>
      </c>
      <c r="I168" s="55" t="n">
        <v>28</v>
      </c>
      <c r="J168" s="56" t="n">
        <v>4.3</v>
      </c>
      <c r="K168" s="56" t="inlineStr">
        <is>
          <t>https://amazon.com/dp/B0DFCLSKMB</t>
        </is>
      </c>
      <c r="L168" s="70">
        <f>HYPERLINK(Table5383[[#This Row],[Column1]])</f>
        <v/>
      </c>
    </row>
    <row r="169" ht="60" customHeight="1" s="290">
      <c r="A169" s="30" t="inlineStr">
        <is>
          <t>XTOOL OBD2 Extension Cable 16 Pin OBDII Male to Female 1.64ft, Universal Replacement Cable Diagnostic Scanner, for Anyscan A30/A30D/A30M and More</t>
        </is>
      </c>
      <c r="B169" s="30" t="inlineStr">
        <is>
          <t>B0B4D84M2V</t>
        </is>
      </c>
      <c r="C169" s="30" t="inlineStr">
        <is>
          <t>Cable/Adapter</t>
        </is>
      </c>
      <c r="D169" s="324" t="n">
        <v>9.963749999999999</v>
      </c>
      <c r="E169" s="53" t="n">
        <v>716.896923076923</v>
      </c>
      <c r="F169" s="53" t="n">
        <v>79.70999999999999</v>
      </c>
      <c r="G169" s="55" t="n">
        <v>58</v>
      </c>
      <c r="H169" s="57" t="n">
        <v>8</v>
      </c>
      <c r="I169" s="55" t="n">
        <v>4</v>
      </c>
      <c r="J169" s="56" t="n">
        <v>5</v>
      </c>
      <c r="K169" s="56" t="inlineStr">
        <is>
          <t>https://amazon.com/dp/B0B4D84M2V</t>
        </is>
      </c>
      <c r="L169" s="70">
        <f>HYPERLINK(Table5383[[#This Row],[Column1]])</f>
        <v/>
      </c>
    </row>
    <row r="170" ht="45" customHeight="1" s="290">
      <c r="A170" s="30" t="inlineStr">
        <is>
          <t>XTOOL KC100, Work with X100 PADS/IK618/X100 PAD3/X100 MAX, D8S/D8W, D9S/D9S PRO, Work Together with XTOOL Automotive Scan Tool</t>
        </is>
      </c>
      <c r="B170" s="30" t="inlineStr">
        <is>
          <t>B0FVSJR6DY</t>
        </is>
      </c>
      <c r="C170" s="30" t="inlineStr">
        <is>
          <t>Key</t>
        </is>
      </c>
      <c r="D170" s="324" t="n">
        <v>282.25</v>
      </c>
      <c r="E170" s="53" t="n">
        <v>24583.82692307692</v>
      </c>
      <c r="F170" s="53" t="n">
        <v>2258</v>
      </c>
      <c r="G170" s="55" t="n">
        <v>13</v>
      </c>
      <c r="H170" s="57" t="n">
        <v>8</v>
      </c>
      <c r="I170" s="55" t="n"/>
      <c r="J170" s="56" t="n"/>
      <c r="K170" s="56" t="inlineStr">
        <is>
          <t>https://amazon.com/dp/B0FVSJR6DY</t>
        </is>
      </c>
      <c r="L170" s="70">
        <f>HYPERLINK(Table5383[[#This Row],[Column1]])</f>
        <v/>
      </c>
    </row>
    <row r="171" ht="45" customHeight="1" s="290">
      <c r="A171" s="30" t="inlineStr">
        <is>
          <t>XTOOL IP919 AI-Assisted Diagnostic Scanner for Car, 2026 Ver.Bidirectional Scan Tool with Topology Map, ECU C0ding,8-Core Processor, 51+ Resets, All System OBD2 Scanner, 3-Y Free Update</t>
        </is>
      </c>
      <c r="B171" s="30" t="inlineStr">
        <is>
          <t>B0DBLMWKWW</t>
        </is>
      </c>
      <c r="C171" s="30" t="inlineStr">
        <is>
          <t>Tablet</t>
        </is>
      </c>
      <c r="D171" s="324" t="n">
        <v>1356.41</v>
      </c>
      <c r="E171" s="53" t="n">
        <v>91569.65999999997</v>
      </c>
      <c r="F171" s="53" t="n">
        <v>8138.46</v>
      </c>
      <c r="G171" s="55" t="n">
        <v>71</v>
      </c>
      <c r="H171" s="57" t="n">
        <v>6</v>
      </c>
      <c r="I171" s="55" t="n">
        <v>22</v>
      </c>
      <c r="J171" s="56" t="n">
        <v>4.2</v>
      </c>
      <c r="K171" s="56" t="inlineStr">
        <is>
          <t>https://amazon.com/dp/B0DBLMWKWW</t>
        </is>
      </c>
      <c r="L171" s="70">
        <f>HYPERLINK(Table5383[[#This Row],[Column1]])</f>
        <v/>
      </c>
    </row>
    <row r="172" ht="45" customHeight="1" s="290">
      <c r="A172" s="30" t="inlineStr">
        <is>
          <t>XTOOL D7X OBD2 Scanner Diagnostic Tool, 3-Year Updates, Ai-Assisted Bidirectional Scan Tool with 36+Resets, 4000+Active Test, Full System Car Scanner for ABS, Throttle, ECU Coding, FCA,CAN FD</t>
        </is>
      </c>
      <c r="B172" s="30" t="inlineStr">
        <is>
          <t>B0F3C9MF88</t>
        </is>
      </c>
      <c r="C172" s="30" t="inlineStr">
        <is>
          <t>Tablet</t>
        </is>
      </c>
      <c r="D172" s="324" t="n">
        <v>391.1066666666666</v>
      </c>
      <c r="E172" s="53" t="n">
        <v>51247.42769230769</v>
      </c>
      <c r="F172" s="53" t="n">
        <v>2346.64</v>
      </c>
      <c r="G172" s="55" t="n">
        <v>113</v>
      </c>
      <c r="H172" s="57" t="n">
        <v>6</v>
      </c>
      <c r="I172" s="55" t="n">
        <v>3</v>
      </c>
      <c r="J172" s="56" t="n">
        <v>3.7</v>
      </c>
      <c r="K172" s="56" t="inlineStr">
        <is>
          <t>https://amazon.com/dp/B0F3C9MF88</t>
        </is>
      </c>
      <c r="L172" s="70">
        <f>HYPERLINK(Table5383[[#This Row],[Column1]])</f>
        <v/>
      </c>
    </row>
    <row r="173" ht="45" customHeight="1" s="290">
      <c r="A173" s="30" t="inlineStr">
        <is>
          <t>XTOOL AI-Assisted OBD2 Scanner Diagnostic Tool X100 Pads, Upgrade of X100 PAD, All Systems Scan Tool with 32+ Resets, Car Scanner with FCA AutoAuth, CKP Relearn, CANFD/DoIP, for Home Mechanic &amp; DIYer</t>
        </is>
      </c>
      <c r="B173" s="30" t="inlineStr">
        <is>
          <t>B0G5XYCD5M</t>
        </is>
      </c>
      <c r="C173" s="30" t="inlineStr">
        <is>
          <t>Tablet</t>
        </is>
      </c>
      <c r="D173" s="324" t="n">
        <v>391.456</v>
      </c>
      <c r="E173" s="53" t="n">
        <v>23186.91</v>
      </c>
      <c r="F173" s="53" t="n">
        <v>1957.28</v>
      </c>
      <c r="G173" s="55" t="n">
        <v>13</v>
      </c>
      <c r="H173" s="57" t="n">
        <v>5</v>
      </c>
      <c r="I173" s="55" t="n">
        <v>3</v>
      </c>
      <c r="J173" s="56" t="n">
        <v>3</v>
      </c>
      <c r="K173" s="56" t="inlineStr">
        <is>
          <t>https://amazon.com/dp/B0G5XYCD5M</t>
        </is>
      </c>
      <c r="L173" s="70">
        <f>HYPERLINK(Table5383[[#This Row],[Column1]])</f>
        <v/>
      </c>
    </row>
    <row r="174" ht="45" customHeight="1" s="290">
      <c r="A174" s="30" t="inlineStr">
        <is>
          <t>XTS500 J2534 Vehicle Communication Interface, Support J2534/D-PDU/CAN-FD/DolP, Enhanced J2534 Diganostic Tool, ECU C0ding, Work with OE Software for 18+ Vehicles Brands, NO OE Software Included</t>
        </is>
      </c>
      <c r="B174" s="30" t="inlineStr">
        <is>
          <t>B0G1BDBKV1</t>
        </is>
      </c>
      <c r="C174" s="30" t="inlineStr">
        <is>
          <t>VCI</t>
        </is>
      </c>
      <c r="D174" s="324" t="n">
        <v>255.025</v>
      </c>
      <c r="E174" s="53" t="n">
        <v>13094.21615384615</v>
      </c>
      <c r="F174" s="53" t="n">
        <v>1020.1</v>
      </c>
      <c r="G174" s="55" t="n">
        <v>19</v>
      </c>
      <c r="H174" s="57" t="n">
        <v>4</v>
      </c>
      <c r="I174" s="55" t="n">
        <v>2</v>
      </c>
      <c r="J174" s="56" t="n">
        <v>5</v>
      </c>
      <c r="K174" s="56" t="inlineStr">
        <is>
          <t>https://amazon.com/dp/B0G1BDBKV1</t>
        </is>
      </c>
      <c r="L174" s="70">
        <f>HYPERLINK(Table5383[[#This Row],[Column1]])</f>
        <v/>
      </c>
    </row>
    <row r="175" ht="45" customHeight="1" s="290">
      <c r="A175" s="30" t="inlineStr">
        <is>
          <t>XTOOL IP819TP Bidirectional OBD2 Scanner with TPMS Relearn &amp; Activation, Wireless Scan Tool with Full TPMS Diagnostic, 36+ Resets, Tire Size Reset, ECU C0ding, TPMS Pr0gramming for TS100 Sensors</t>
        </is>
      </c>
      <c r="B175" s="30" t="inlineStr">
        <is>
          <t>B0FPCLDDS1</t>
        </is>
      </c>
      <c r="C175" s="30" t="inlineStr">
        <is>
          <t>Tablet</t>
        </is>
      </c>
      <c r="D175" s="324" t="n">
        <v>443.54</v>
      </c>
      <c r="E175" s="53" t="n">
        <v>22154.51538461538</v>
      </c>
      <c r="F175" s="53" t="n">
        <v>1774.16</v>
      </c>
      <c r="G175" s="55" t="n">
        <v>16</v>
      </c>
      <c r="H175" s="57" t="n">
        <v>4</v>
      </c>
      <c r="I175" s="55" t="n"/>
      <c r="J175" s="56" t="n"/>
      <c r="K175" s="56" t="inlineStr">
        <is>
          <t>https://amazon.com/dp/B0FPCLDDS1</t>
        </is>
      </c>
      <c r="L175" s="70">
        <f>HYPERLINK(Table5383[[#This Row],[Column1]])</f>
        <v/>
      </c>
    </row>
    <row r="176" ht="30" customHeight="1" s="290">
      <c r="A176" s="30" t="inlineStr">
        <is>
          <t>XTOOL IP608 Full System OBD2 Scanner Diagnostic Tool, Code Reader for Cars and Trucks with 30+ Services - EPB/SAS/BMS/Throttle Relearn/ABS Bleeding, CAN FD, Lifetime Free Update</t>
        </is>
      </c>
      <c r="B176" s="30" t="inlineStr">
        <is>
          <t>B0BW3595H6</t>
        </is>
      </c>
      <c r="C176" s="30" t="inlineStr">
        <is>
          <t>Tablet</t>
        </is>
      </c>
      <c r="D176" s="324" t="n">
        <v>323.0275</v>
      </c>
      <c r="E176" s="53" t="n">
        <v>15908.93</v>
      </c>
      <c r="F176" s="53" t="n">
        <v>1292.11</v>
      </c>
      <c r="G176" s="55" t="n">
        <v>53</v>
      </c>
      <c r="H176" s="57" t="n">
        <v>4</v>
      </c>
      <c r="I176" s="55" t="n">
        <v>96</v>
      </c>
      <c r="J176" s="56" t="n">
        <v>4.4</v>
      </c>
      <c r="K176" s="56" t="inlineStr">
        <is>
          <t>https://amazon.com/dp/B0BW3595H6</t>
        </is>
      </c>
      <c r="L176" s="70">
        <f>HYPERLINK(Table5383[[#This Row],[Column1]])</f>
        <v/>
      </c>
    </row>
    <row r="177" ht="45" customHeight="1" s="290">
      <c r="A177" s="30" t="inlineStr">
        <is>
          <t>XTOOL Protective Case for OBD2 Scanner Diagnostic Tool, Waterproof Car Scan Tool Carrying Case Compatible with IP500, IP608, IP616, IP819, Size 11''x 7''x 4''</t>
        </is>
      </c>
      <c r="B177" s="30" t="inlineStr">
        <is>
          <t>B0G5254YDC</t>
        </is>
      </c>
      <c r="C177" s="30" t="inlineStr">
        <is>
          <t>Tablet</t>
        </is>
      </c>
      <c r="D177" s="324" t="n">
        <v>24.5625</v>
      </c>
      <c r="E177" s="53" t="n">
        <v>1198.043076923077</v>
      </c>
      <c r="F177" s="53" t="n">
        <v>98.25</v>
      </c>
      <c r="G177" s="55" t="n">
        <v>11</v>
      </c>
      <c r="H177" s="57" t="n">
        <v>4</v>
      </c>
      <c r="I177" s="55" t="n"/>
      <c r="J177" s="56" t="n"/>
      <c r="K177" s="56" t="inlineStr">
        <is>
          <t>https://amazon.com/dp/B0G5254YDC</t>
        </is>
      </c>
      <c r="L177" s="70">
        <f>HYPERLINK(Table5383[[#This Row],[Column1]])</f>
        <v/>
      </c>
    </row>
    <row r="178" ht="45" customHeight="1" s="290">
      <c r="A178" s="30" t="inlineStr">
        <is>
          <t>OBD2 Scanner XTOOL IP508, 9 Services, Scan Tool for ABS Bleed, EPB, BMS, Oil Reset, Throttle Relearn, ABS SRS Transmission Car Diagnostic Tool, Check Engine Code Reader, No Subscription Fee</t>
        </is>
      </c>
      <c r="B178" s="30" t="inlineStr">
        <is>
          <t>B0BL7GH4WX</t>
        </is>
      </c>
      <c r="C178" s="30" t="inlineStr">
        <is>
          <t>Tablet</t>
        </is>
      </c>
      <c r="D178" s="324" t="n">
        <v>187.0833333333333</v>
      </c>
      <c r="E178" s="53" t="n">
        <v>12275.93</v>
      </c>
      <c r="F178" s="53" t="n">
        <v>561.25</v>
      </c>
      <c r="G178" s="55" t="n">
        <v>82</v>
      </c>
      <c r="H178" s="57" t="n">
        <v>3</v>
      </c>
      <c r="I178" s="55" t="n">
        <v>145</v>
      </c>
      <c r="J178" s="56" t="n">
        <v>4.4</v>
      </c>
      <c r="K178" s="56" t="inlineStr">
        <is>
          <t>https://amazon.com/dp/B0BL7GH4WX</t>
        </is>
      </c>
      <c r="L178" s="70">
        <f>HYPERLINK(Table5383[[#This Row],[Column1]])</f>
        <v/>
      </c>
    </row>
    <row r="179" ht="45" customHeight="1" s="290">
      <c r="A179" s="30" t="inlineStr">
        <is>
          <t>XTOOL KC501, Work with D8S/D8W, X100 PAD3/X100 PAD3 SE, IK618, X100 MAX/X100 MAX2, D9S/D9S PRO XTOOL Diagnostic Tool</t>
        </is>
      </c>
      <c r="B179" s="30" t="inlineStr">
        <is>
          <t>B0FVSTWRRQ</t>
        </is>
      </c>
      <c r="C179" s="30" t="inlineStr">
        <is>
          <t>Tablet</t>
        </is>
      </c>
      <c r="D179" s="324" t="n">
        <v>604.28</v>
      </c>
      <c r="E179" s="53" t="n">
        <v>20508.21692307693</v>
      </c>
      <c r="F179" s="53" t="n">
        <v>1812.84</v>
      </c>
      <c r="G179" s="55" t="n">
        <v>9</v>
      </c>
      <c r="H179" s="57" t="n">
        <v>3</v>
      </c>
      <c r="I179" s="55" t="n">
        <v>1</v>
      </c>
      <c r="J179" s="56" t="n">
        <v>5</v>
      </c>
      <c r="K179" s="56" t="inlineStr">
        <is>
          <t>https://amazon.com/dp/B0FVSTWRRQ</t>
        </is>
      </c>
      <c r="L179" s="70">
        <f>HYPERLINK(Table5383[[#This Row],[Column1]])</f>
        <v/>
      </c>
    </row>
    <row r="180" ht="45" customHeight="1" s="290">
      <c r="A180" s="30" t="inlineStr">
        <is>
          <t>XTOOL IP919 MAX, 2025 Bidirectional scan Tool with J2534 pr0gram ming, Upgrade of IP919 PRO, ECU Pr0gram ming Tool with Topology Map, 51+Resets, ECU C0ding, AutoAuth for FCA, CAN FD/DoIP, 3-y Update</t>
        </is>
      </c>
      <c r="B180" s="30" t="inlineStr">
        <is>
          <t>B0F23MSH56</t>
        </is>
      </c>
      <c r="C180" s="30" t="inlineStr">
        <is>
          <t>Tablet</t>
        </is>
      </c>
      <c r="D180" s="324" t="n">
        <v>2119.683333333333</v>
      </c>
      <c r="E180" s="53" t="n">
        <v>67740.03615384616</v>
      </c>
      <c r="F180" s="53" t="n">
        <v>6359.05</v>
      </c>
      <c r="G180" s="55" t="n">
        <v>13</v>
      </c>
      <c r="H180" s="57" t="n">
        <v>3</v>
      </c>
      <c r="I180" s="55" t="n">
        <v>1</v>
      </c>
      <c r="J180" s="56" t="n">
        <v>5</v>
      </c>
      <c r="K180" s="56" t="inlineStr">
        <is>
          <t>https://amazon.com/dp/B0F23MSH56</t>
        </is>
      </c>
      <c r="L180" s="70">
        <f>HYPERLINK(Table5383[[#This Row],[Column1]])</f>
        <v/>
      </c>
    </row>
    <row r="181" ht="45" customHeight="1" s="290">
      <c r="A181" s="30" t="inlineStr">
        <is>
          <t>XTOOL DB15 OBDII Replacement Cable, Male to Female OBD2 Cable, Compatible for D8S, X100 Pads, IK618, X100 PAD3</t>
        </is>
      </c>
      <c r="B181" s="30" t="inlineStr">
        <is>
          <t>B0CHYPV8WS</t>
        </is>
      </c>
      <c r="C181" s="30" t="inlineStr">
        <is>
          <t>Cable/Adapter</t>
        </is>
      </c>
      <c r="D181" s="324" t="n">
        <v>22.21</v>
      </c>
      <c r="E181" s="53" t="n">
        <v>4653.573076923078</v>
      </c>
      <c r="F181" s="53" t="n">
        <v>44.42</v>
      </c>
      <c r="G181" s="55" t="n">
        <v>180</v>
      </c>
      <c r="H181" s="57" t="n">
        <v>2</v>
      </c>
      <c r="I181" s="55" t="n">
        <v>10</v>
      </c>
      <c r="J181" s="56" t="n">
        <v>3.8</v>
      </c>
      <c r="K181" s="56" t="inlineStr">
        <is>
          <t>https://amazon.com/dp/B0CHYPV8WS</t>
        </is>
      </c>
      <c r="L181" s="70">
        <f>HYPERLINK(Table5383[[#This Row],[Column1]])</f>
        <v/>
      </c>
    </row>
    <row r="182" ht="45" customHeight="1" s="290">
      <c r="A182" s="30" t="inlineStr">
        <is>
          <t>XTOOL X100 PAD3 SE AI-Assisted Bidirectional OBD2 Scanner, All System Scan Tool with 38+ Reset, Car Scanner Diagnostic Tool with FCA AutoAuth, ECU C0ding, Crank Sensor Relearn, CANFD/DOIP, 2-Yr Update</t>
        </is>
      </c>
      <c r="B182" s="30" t="inlineStr">
        <is>
          <t>B0FVL5MNLF</t>
        </is>
      </c>
      <c r="C182" s="30" t="inlineStr">
        <is>
          <t>Tablet</t>
        </is>
      </c>
      <c r="D182" s="324" t="n">
        <v>572.78</v>
      </c>
      <c r="E182" s="53" t="n">
        <v>12020.51</v>
      </c>
      <c r="F182" s="53" t="n">
        <v>1145.56</v>
      </c>
      <c r="G182" s="55" t="n">
        <v>4</v>
      </c>
      <c r="H182" s="57" t="n">
        <v>2</v>
      </c>
      <c r="I182" s="55" t="n"/>
      <c r="J182" s="56" t="n"/>
      <c r="K182" s="56" t="inlineStr">
        <is>
          <t>https://amazon.com/dp/B0FVL5MNLF</t>
        </is>
      </c>
      <c r="L182" s="70">
        <f>HYPERLINK(Table5383[[#This Row],[Column1]])</f>
        <v/>
      </c>
    </row>
    <row r="183" ht="60" customHeight="1" s="290">
      <c r="A183" s="30" t="inlineStr">
        <is>
          <t>XTOOL TP500 OBD2 Scanner with TPMS Programming Tool, Full System Car Scanner Diagnostic Tool with TPMS Service, 17 Resets, FCA/CANFD/DoIP, Lifetime Free Update, Crank Sensor/Throttle Relearn Scan Tool</t>
        </is>
      </c>
      <c r="B183" s="30" t="inlineStr">
        <is>
          <t>B0GLMKDKMJ</t>
        </is>
      </c>
      <c r="C183" s="30" t="inlineStr">
        <is>
          <t>Tablet</t>
        </is>
      </c>
      <c r="D183" s="324" t="n">
        <v>318.975</v>
      </c>
      <c r="E183" s="53" t="n">
        <v>7704.473076923077</v>
      </c>
      <c r="F183" s="53" t="n">
        <v>637.95</v>
      </c>
      <c r="G183" s="55" t="n">
        <v>2</v>
      </c>
      <c r="H183" s="57" t="n">
        <v>2</v>
      </c>
      <c r="I183" s="55" t="n"/>
      <c r="J183" s="56" t="n"/>
      <c r="K183" s="56" t="inlineStr">
        <is>
          <t>https://amazon.com/dp/B0GLMKDKMJ</t>
        </is>
      </c>
      <c r="L183" s="70">
        <f>HYPERLINK(Table5383[[#This Row],[Column1]])</f>
        <v/>
      </c>
    </row>
    <row r="184" ht="45" customHeight="1" s="290">
      <c r="A184" s="30" t="inlineStr">
        <is>
          <t>XTOOL IP900S Bidirectional Scan Tool with Online &amp; Offline Coding, AI-Assisted Full System OBD2 Scanner with Topology Mapping, 41+ Services, CAN FD DoIP FCA Autoauth, Pre &amp; Post Scan, 3-Year Updates</t>
        </is>
      </c>
      <c r="B184" s="30" t="inlineStr">
        <is>
          <t>B0DBLBPZ23</t>
        </is>
      </c>
      <c r="C184" s="30" t="inlineStr">
        <is>
          <t>Tablet</t>
        </is>
      </c>
      <c r="D184" s="324" t="n">
        <v>740.41</v>
      </c>
      <c r="E184" s="53" t="n">
        <v>74476.40000000001</v>
      </c>
      <c r="F184" s="53" t="n">
        <v>1480.82</v>
      </c>
      <c r="G184" s="55" t="n">
        <v>94</v>
      </c>
      <c r="H184" s="57" t="n">
        <v>2</v>
      </c>
      <c r="I184" s="55" t="n">
        <v>24</v>
      </c>
      <c r="J184" s="56" t="n">
        <v>4.5</v>
      </c>
      <c r="K184" s="56" t="inlineStr">
        <is>
          <t>https://amazon.com/dp/B0DBLBPZ23</t>
        </is>
      </c>
      <c r="L184" s="70">
        <f>HYPERLINK(Table5383[[#This Row],[Column1]])</f>
        <v/>
      </c>
    </row>
    <row r="185" ht="45" customHeight="1" s="290">
      <c r="A185" s="30" t="inlineStr">
        <is>
          <t>OBD2 Scanner Diagnostic Tool XTOOL IP608, All System Scan Tool with 30+ Resets, ABS Bleeding, Oil, EPB, SAS, BMS, Throttle,TPMS Reset, Transmission, Injector Coding, CAN FD, Lifetime Update</t>
        </is>
      </c>
      <c r="B185" s="30" t="inlineStr">
        <is>
          <t>B0CQP9S314</t>
        </is>
      </c>
      <c r="C185" s="30" t="inlineStr">
        <is>
          <t>Tablet</t>
        </is>
      </c>
      <c r="D185" s="324" t="n">
        <v>364.535</v>
      </c>
      <c r="E185" s="53" t="n">
        <v>10958.21</v>
      </c>
      <c r="F185" s="53" t="n">
        <v>729.0700000000001</v>
      </c>
      <c r="G185" s="55" t="n">
        <v>49</v>
      </c>
      <c r="H185" s="57" t="n">
        <v>2</v>
      </c>
      <c r="I185" s="55" t="n">
        <v>26</v>
      </c>
      <c r="J185" s="56" t="n">
        <v>3.8</v>
      </c>
      <c r="K185" s="56" t="inlineStr">
        <is>
          <t>https://amazon.com/dp/B0CQP9S314</t>
        </is>
      </c>
      <c r="L185" s="70">
        <f>HYPERLINK(Table5383[[#This Row],[Column1]])</f>
        <v/>
      </c>
    </row>
    <row r="186" ht="45" customHeight="1" s="290">
      <c r="A186" s="30" t="inlineStr">
        <is>
          <t>XTOOL D9 MAX AI-Assisted Professional Automotive Scan Tool, J2534 Reprogramming Tool, Bidirectional OBD2 Scanner with Topology Mapping, 45+ Relearns, ECU Coding, ADAS Calibration, FCA/DoIP/CAN FD</t>
        </is>
      </c>
      <c r="B186" s="30" t="inlineStr">
        <is>
          <t>B0DXPXS3BM</t>
        </is>
      </c>
      <c r="C186" s="30" t="inlineStr">
        <is>
          <t>Tablet</t>
        </is>
      </c>
      <c r="D186" s="324" t="n">
        <v>1699</v>
      </c>
      <c r="E186" s="53" t="n">
        <v>54236.84692307691</v>
      </c>
      <c r="F186" s="53" t="n">
        <v>3398</v>
      </c>
      <c r="G186" s="55" t="n">
        <v>22</v>
      </c>
      <c r="H186" s="57" t="n">
        <v>2</v>
      </c>
      <c r="I186" s="55" t="n">
        <v>1</v>
      </c>
      <c r="J186" s="56" t="n">
        <v>5</v>
      </c>
      <c r="K186" s="56" t="inlineStr">
        <is>
          <t>https://amazon.com/dp/B0DXPXS3BM</t>
        </is>
      </c>
      <c r="L186" s="70">
        <f>HYPERLINK(Table5383[[#This Row],[Column1]])</f>
        <v/>
      </c>
    </row>
    <row r="187" ht="45" customHeight="1" s="290">
      <c r="A187" s="30" t="inlineStr">
        <is>
          <t>XTOOL X100 Pads AI-Assisted Scan Tool &amp; Programmer Tool, Upgrade of X100 PAD, 2026 OBD2 Scanner with 32+ Reset, All System Car Scanner, FCA AutoAuth, Crank Sensor Relearn, DoIP/CAN FD, 2-Year Update</t>
        </is>
      </c>
      <c r="B187" s="30" t="inlineStr">
        <is>
          <t>B0FXB1QJ2K</t>
        </is>
      </c>
      <c r="C187" s="30" t="inlineStr">
        <is>
          <t>Tablet</t>
        </is>
      </c>
      <c r="D187" s="324" t="n">
        <v>479</v>
      </c>
      <c r="E187" s="53" t="n">
        <v>22477.53692307693</v>
      </c>
      <c r="F187" s="53" t="n">
        <v>479</v>
      </c>
      <c r="G187" s="55" t="n">
        <v>46</v>
      </c>
      <c r="H187" s="57" t="n">
        <v>1</v>
      </c>
      <c r="I187" s="55" t="n">
        <v>2</v>
      </c>
      <c r="J187" s="56" t="n">
        <v>5</v>
      </c>
      <c r="K187" s="56" t="inlineStr">
        <is>
          <t>https://amazon.com/dp/B0FXB1QJ2K</t>
        </is>
      </c>
      <c r="L187" s="70">
        <f>HYPERLINK(Table5383[[#This Row],[Column1]])</f>
        <v/>
      </c>
    </row>
    <row r="188" ht="60" customHeight="1" s="290">
      <c r="A188" s="30" t="inlineStr">
        <is>
          <t>XTOOL IK618 AI-Assisted Bidirectional Scan Tool with KC100 Adapter, Full System OBD2 Scanner Diagnostic Tool with 31+ Resets, FCA AutoAuth, ECU C0ding, Crank Sensor Relearn, CAN FD &amp; DoIP, 2-Yr Update</t>
        </is>
      </c>
      <c r="B188" s="30" t="inlineStr">
        <is>
          <t>B0FVL1WZKB</t>
        </is>
      </c>
      <c r="C188" s="30" t="inlineStr">
        <is>
          <t>Tablet</t>
        </is>
      </c>
      <c r="D188" s="324" t="n">
        <v>639</v>
      </c>
      <c r="E188" s="53" t="n">
        <v>2214.11</v>
      </c>
      <c r="F188" s="53" t="n">
        <v>0</v>
      </c>
      <c r="G188" s="55" t="n">
        <v>3</v>
      </c>
      <c r="H188" s="57" t="n">
        <v>0</v>
      </c>
      <c r="I188" s="55" t="n"/>
      <c r="J188" s="56" t="n"/>
      <c r="K188" s="56" t="inlineStr">
        <is>
          <t>https://amazon.com/dp/B0FVL1WZKB</t>
        </is>
      </c>
      <c r="L188" s="70">
        <f>HYPERLINK(Table5383[[#This Row],[Column1]])</f>
        <v/>
      </c>
    </row>
    <row r="189" ht="30" customHeight="1" s="290">
      <c r="A189" s="30" t="inlineStr">
        <is>
          <t>XTOOL EEPROM Adapter, Work with IP616/IP819, D7/D7S/D7W, D8S/D8W, D9S/D9S PRO, X100 PADS/X100 PAD3/X100 MAX</t>
        </is>
      </c>
      <c r="B189" s="30" t="inlineStr">
        <is>
          <t>B0FVM2DTNG</t>
        </is>
      </c>
      <c r="C189" s="30" t="inlineStr">
        <is>
          <t>Key</t>
        </is>
      </c>
      <c r="D189" s="324" t="n">
        <v>49.98</v>
      </c>
      <c r="E189" s="53" t="n">
        <v>0</v>
      </c>
      <c r="F189" s="53" t="n">
        <v>0</v>
      </c>
      <c r="G189" s="55" t="n">
        <v>0</v>
      </c>
      <c r="H189" s="57" t="n">
        <v>0</v>
      </c>
      <c r="I189" s="55" t="n"/>
      <c r="J189" s="56" t="n"/>
      <c r="K189" s="56" t="inlineStr">
        <is>
          <t>https://amazon.com/dp/B0FVM2DTNG</t>
        </is>
      </c>
      <c r="L189" s="70">
        <f>HYPERLINK(Table5383[[#This Row],[Column1]])</f>
        <v/>
      </c>
    </row>
    <row r="190" ht="30" customHeight="1" s="290">
      <c r="A190" s="30" t="inlineStr">
        <is>
          <t>XTOOL X100 MAX2 AI-Assisted Professional Scan Tool, J2534 Repr0gramming Tool, Wireless Bidirectional OBD2 Scanner with ECU Pr0gramming &amp; C0ding, Topology Mapping, 42 Reset, FCA/CANFD/DoIP, 2-Yr Update</t>
        </is>
      </c>
      <c r="B190" s="30" t="inlineStr">
        <is>
          <t>B0FVL9FXQD</t>
        </is>
      </c>
      <c r="C190" s="30" t="inlineStr">
        <is>
          <t>Tablet</t>
        </is>
      </c>
      <c r="D190" s="324" t="n">
        <v>3176.5</v>
      </c>
      <c r="E190" s="53" t="n">
        <v>5875.49</v>
      </c>
      <c r="F190" s="53" t="n">
        <v>0</v>
      </c>
      <c r="G190" s="55" t="n">
        <v>2</v>
      </c>
      <c r="H190" s="57" t="n">
        <v>0</v>
      </c>
      <c r="I190" s="55" t="n"/>
      <c r="J190" s="56" t="n"/>
      <c r="K190" s="56" t="inlineStr">
        <is>
          <t>https://amazon.com/dp/B0FVL9FXQD</t>
        </is>
      </c>
      <c r="L190" s="70">
        <f>HYPERLINK(Table5383[[#This Row],[Column1]])</f>
        <v/>
      </c>
    </row>
    <row r="191" ht="45" customHeight="1" s="290">
      <c r="A191" s="30" t="inlineStr">
        <is>
          <t>XTOOL InPlus IP616 V2.0 OBD2 Scanner Diagnostic Tool, Lifetime Update Scan Tool, 34+ Services, ECU Configuration, CAN FD &amp; DoIP, All Systems Scanner for Car, Crank Sensor Relearn, ABS Bleed, Auto VIN</t>
        </is>
      </c>
      <c r="B191" s="30" t="inlineStr">
        <is>
          <t>B0B7DBF4FD</t>
        </is>
      </c>
      <c r="C191" s="30" t="inlineStr">
        <is>
          <t>Tablet</t>
        </is>
      </c>
      <c r="D191" s="324" t="n">
        <v>295.2</v>
      </c>
      <c r="E191" s="53" t="n">
        <v>45403.97000000001</v>
      </c>
      <c r="F191" s="53" t="n">
        <v>0</v>
      </c>
      <c r="G191" s="55" t="n">
        <v>130</v>
      </c>
      <c r="H191" s="57" t="n">
        <v>0</v>
      </c>
      <c r="I191" s="55" t="n">
        <v>186</v>
      </c>
      <c r="J191" s="56" t="n">
        <v>4.3</v>
      </c>
      <c r="K191" s="56" t="inlineStr">
        <is>
          <t>https://amazon.com/dp/B0B7DBF4FD</t>
        </is>
      </c>
      <c r="L191" s="70">
        <f>HYPERLINK(Table5383[[#This Row],[Column1]])</f>
        <v/>
      </c>
    </row>
    <row r="192" ht="45" customHeight="1" s="290">
      <c r="A192" s="30" t="inlineStr">
        <is>
          <t>XTOOL D9EV Automotive Scanner, EV Scan Tool, High Voltage System/Battery Pack Analysis for Tesla/Electric Vehicle, Topology Map, ECU C0ding/PMI, Bidirectional OBD2 Scanner, 46+ Resets, 3-Year Update</t>
        </is>
      </c>
      <c r="B192" s="30" t="inlineStr">
        <is>
          <t>B0CB8B6QB6</t>
        </is>
      </c>
      <c r="C192" s="30" t="inlineStr">
        <is>
          <t>Tablet</t>
        </is>
      </c>
      <c r="D192" s="324" t="n">
        <v>2399</v>
      </c>
      <c r="E192" s="53" t="n">
        <v>11063.44</v>
      </c>
      <c r="F192" s="53" t="n">
        <v>0</v>
      </c>
      <c r="G192" s="55" t="n">
        <v>5</v>
      </c>
      <c r="H192" s="57" t="n">
        <v>0</v>
      </c>
      <c r="I192" s="55" t="n">
        <v>1</v>
      </c>
      <c r="J192" s="56" t="n">
        <v>5</v>
      </c>
      <c r="K192" s="56" t="inlineStr">
        <is>
          <t>https://amazon.com/dp/B0CB8B6QB6</t>
        </is>
      </c>
      <c r="L192" s="70">
        <f>HYPERLINK(Table5383[[#This Row],[Column1]])</f>
        <v/>
      </c>
    </row>
    <row r="193" ht="45" customHeight="1" s="290">
      <c r="A193" s="30" t="n"/>
      <c r="B193" s="30" t="n"/>
      <c r="C193" s="30" t="n"/>
      <c r="D193" s="324" t="n"/>
      <c r="E193" s="53" t="n"/>
      <c r="F193" s="53" t="n"/>
      <c r="G193" s="55" t="n"/>
      <c r="H193" s="57" t="n"/>
      <c r="I193" s="55" t="n"/>
      <c r="J193" s="56" t="n"/>
      <c r="K193" s="56" t="n"/>
      <c r="L193" s="70">
        <f>HYPERLINK(Table5383[[#This Row],[Column1]])</f>
        <v/>
      </c>
    </row>
    <row r="194" ht="17" customHeight="1" s="290">
      <c r="A194" s="33" t="inlineStr">
        <is>
          <t>Total</t>
        </is>
      </c>
      <c r="B194" s="33" t="n"/>
      <c r="C194" s="327" t="n"/>
      <c r="D194" s="72" t="n"/>
      <c r="E194" s="72" t="n"/>
      <c r="F194" s="72" t="n"/>
      <c r="G194" s="73">
        <f>SUM(G124:G193)</f>
        <v/>
      </c>
      <c r="H194" s="73">
        <f>SUM(H124:H193)</f>
        <v/>
      </c>
      <c r="I194" s="73" t="n"/>
      <c r="J194" s="74" t="n"/>
      <c r="K194" s="33" t="n"/>
      <c r="L194" s="32" t="n"/>
    </row>
  </sheetData>
  <mergeCells count="3">
    <mergeCell ref="A1:M5"/>
    <mergeCell ref="A122:L122"/>
    <mergeCell ref="A47:L47"/>
  </mergeCells>
  <conditionalFormatting sqref="C8:M14">
    <cfRule type="expression" priority="1" dxfId="30">
      <formula>C8&lt;0</formula>
    </cfRule>
  </conditionalFormatting>
  <pageMargins left="0.7" right="0.7" top="0.75" bottom="0.75" header="0.3" footer="0.3"/>
  <drawing xmlns:r="http://schemas.openxmlformats.org/officeDocument/2006/relationships" r:id="rId1"/>
  <tableParts count="2">
    <tablePart xmlns:r="http://schemas.openxmlformats.org/officeDocument/2006/relationships" r:id="rId2"/>
    <tablePart xmlns:r="http://schemas.openxmlformats.org/officeDocument/2006/relationships" r:id="rId3"/>
  </tableParts>
</worksheet>
</file>

<file path=xl/worksheets/sheet20.xml><?xml version="1.0" encoding="utf-8"?>
<worksheet xmlns="http://schemas.openxmlformats.org/spreadsheetml/2006/main">
  <sheetPr codeName="Sheet6">
    <outlinePr summaryBelow="1" summaryRight="1"/>
    <pageSetUpPr/>
  </sheetPr>
  <dimension ref="A1:Q208"/>
  <sheetViews>
    <sheetView workbookViewId="0">
      <selection activeCell="A1" sqref="A1"/>
    </sheetView>
  </sheetViews>
  <sheetFormatPr baseColWidth="10" defaultColWidth="10.83203125" defaultRowHeight="16"/>
  <cols>
    <col width="50.6640625" customWidth="1" style="284" min="1" max="1"/>
    <col width="12.6640625" customWidth="1" style="284" min="2" max="2"/>
    <col width="12.6640625" customWidth="1" style="320" min="3" max="3"/>
    <col width="11.1640625" customWidth="1" style="296" min="4" max="4"/>
    <col width="24.83203125" bestFit="1" customWidth="1" style="284" min="5" max="5"/>
    <col width="17.6640625" bestFit="1" customWidth="1" style="286" min="6" max="6"/>
    <col width="21.6640625" bestFit="1" customWidth="1" style="286" min="7" max="7"/>
    <col width="19.1640625" bestFit="1" customWidth="1" style="286" min="8" max="8"/>
    <col width="13.5" bestFit="1" customWidth="1" style="287" min="9" max="9"/>
    <col width="13" bestFit="1" customWidth="1" style="284" min="10" max="10"/>
    <col hidden="1" width="29" customWidth="1" style="284" min="11" max="11"/>
    <col width="35.6640625" customWidth="1" style="284" min="12" max="12"/>
    <col width="15.6640625" customWidth="1" style="284" min="13" max="13"/>
    <col width="10.83203125" customWidth="1" style="284" min="14" max="16384"/>
  </cols>
  <sheetData>
    <row r="1">
      <c r="A1" s="282" t="inlineStr">
        <is>
          <t>Innova Monthly Summary</t>
        </is>
      </c>
    </row>
    <row r="2"/>
    <row r="3"/>
    <row r="4"/>
    <row r="5"/>
    <row r="6">
      <c r="A6" s="29" t="n"/>
      <c r="B6" s="29" t="n"/>
      <c r="C6" s="321" t="n"/>
      <c r="D6" s="47" t="n"/>
      <c r="E6" s="48" t="n"/>
      <c r="F6" s="48" t="n"/>
      <c r="G6" s="48" t="n"/>
      <c r="H6" s="48" t="n"/>
      <c r="I6" s="49" t="n"/>
      <c r="J6" s="50" t="n"/>
    </row>
    <row r="7" ht="32" customHeight="1" s="290">
      <c r="A7" s="80" t="n"/>
      <c r="B7" s="81" t="inlineStr">
        <is>
          <t>Avg Price</t>
        </is>
      </c>
      <c r="C7" s="81" t="inlineStr">
        <is>
          <t>Avg Price MoM</t>
        </is>
      </c>
      <c r="D7" s="82" t="inlineStr">
        <is>
          <t>Avg Price YoY</t>
        </is>
      </c>
      <c r="E7" s="81" t="inlineStr">
        <is>
          <t>Quantity/Mo</t>
        </is>
      </c>
      <c r="F7" s="84" t="inlineStr">
        <is>
          <t>Qty by %</t>
        </is>
      </c>
      <c r="G7" s="84" t="inlineStr">
        <is>
          <t>Qty MoM</t>
        </is>
      </c>
      <c r="H7" s="82" t="inlineStr">
        <is>
          <t>Qty YoY</t>
        </is>
      </c>
      <c r="I7" s="309" t="inlineStr">
        <is>
          <t>Revenue/Mo</t>
        </is>
      </c>
      <c r="J7" s="126" t="inlineStr">
        <is>
          <t>Revenue by %</t>
        </is>
      </c>
      <c r="K7" s="173" t="n"/>
      <c r="L7" s="126" t="inlineStr">
        <is>
          <t>Revenue MoM</t>
        </is>
      </c>
      <c r="M7" s="310" t="inlineStr">
        <is>
          <t>Revenue YoY</t>
        </is>
      </c>
      <c r="N7" s="286" t="n"/>
      <c r="O7" s="286" t="n"/>
      <c r="P7" s="49" t="n"/>
      <c r="Q7" s="50" t="n"/>
    </row>
    <row r="8">
      <c r="A8" s="93" t="inlineStr">
        <is>
          <t>Tablet $800+</t>
        </is>
      </c>
      <c r="B8" s="298" t="n"/>
      <c r="C8" s="270" t="n"/>
      <c r="D8" s="271" t="n"/>
      <c r="E8" s="269" t="n">
        <v>0</v>
      </c>
      <c r="F8" s="270" t="n">
        <v>0</v>
      </c>
      <c r="G8" s="270" t="n"/>
      <c r="H8" s="271" t="n"/>
      <c r="I8" s="95" t="n">
        <v>0</v>
      </c>
      <c r="J8" s="128" t="n">
        <v>0</v>
      </c>
      <c r="L8" s="169" t="n"/>
      <c r="M8" s="169" t="n"/>
      <c r="N8" s="286" t="n"/>
      <c r="O8" s="286" t="n"/>
      <c r="P8" s="49" t="n"/>
      <c r="Q8" s="50" t="n"/>
    </row>
    <row r="9">
      <c r="A9" s="93" t="inlineStr">
        <is>
          <t>Tablet $400-$800</t>
        </is>
      </c>
      <c r="B9" s="298" t="n"/>
      <c r="C9" s="270" t="n"/>
      <c r="D9" s="271" t="n"/>
      <c r="E9" s="269" t="n">
        <v>0</v>
      </c>
      <c r="F9" s="270" t="n">
        <v>0</v>
      </c>
      <c r="G9" s="270" t="n"/>
      <c r="H9" s="271" t="n"/>
      <c r="I9" s="95" t="n">
        <v>0</v>
      </c>
      <c r="J9" s="128" t="n">
        <v>0</v>
      </c>
      <c r="L9" s="169" t="n"/>
      <c r="M9" s="169" t="n"/>
      <c r="N9" s="286" t="n"/>
      <c r="O9" s="286" t="n"/>
      <c r="P9" s="49" t="n"/>
      <c r="Q9" s="50" t="n"/>
    </row>
    <row r="10">
      <c r="A10" s="96" t="inlineStr">
        <is>
          <t>Tablet $400-</t>
        </is>
      </c>
      <c r="B10" s="299" t="n">
        <v>163.9359672131148</v>
      </c>
      <c r="C10" s="274" t="n">
        <v>0.07465106468302607</v>
      </c>
      <c r="D10" s="275" t="inlineStr">
        <is>
          <t>inf</t>
        </is>
      </c>
      <c r="E10" s="273" t="n">
        <v>305</v>
      </c>
      <c r="F10" s="274" t="n">
        <v>0.02386354745325092</v>
      </c>
      <c r="G10" s="274" t="n">
        <v>-0.6573033707865168</v>
      </c>
      <c r="H10" s="275" t="n">
        <v>6.261904761904762</v>
      </c>
      <c r="I10" s="98" t="n">
        <v>50000.47</v>
      </c>
      <c r="J10" s="127" t="n">
        <v>0.02628813433960001</v>
      </c>
      <c r="L10" s="171" t="n">
        <v>-0.6317207025524461</v>
      </c>
      <c r="M10" s="171" t="inlineStr">
        <is>
          <t>inf</t>
        </is>
      </c>
      <c r="N10" s="286" t="n"/>
      <c r="O10" s="286" t="n"/>
      <c r="P10" s="49" t="n"/>
      <c r="Q10" s="50" t="n"/>
    </row>
    <row r="11">
      <c r="A11" s="101" t="inlineStr">
        <is>
          <t>Total Tablet</t>
        </is>
      </c>
      <c r="B11" s="300" t="n">
        <v>163.9359672131148</v>
      </c>
      <c r="C11" s="112" t="n">
        <v>0.07465106468302607</v>
      </c>
      <c r="D11" s="104" t="inlineStr">
        <is>
          <t>inf</t>
        </is>
      </c>
      <c r="E11" s="116" t="n">
        <v>305</v>
      </c>
      <c r="F11" s="112" t="n">
        <v>0.02386354745325092</v>
      </c>
      <c r="G11" s="112" t="n">
        <v>-0.6573033707865168</v>
      </c>
      <c r="H11" s="104" t="n">
        <v>6.261904761904762</v>
      </c>
      <c r="I11" s="103" t="n">
        <v>50000.47</v>
      </c>
      <c r="J11" s="129" t="n">
        <v>0.02628813433960001</v>
      </c>
      <c r="L11" s="170" t="n">
        <v>-0.6317207025524461</v>
      </c>
      <c r="M11" s="170" t="inlineStr">
        <is>
          <t>inf</t>
        </is>
      </c>
      <c r="N11" s="286" t="n"/>
      <c r="O11" s="286" t="n"/>
      <c r="P11" s="49" t="n"/>
      <c r="Q11" s="50" t="n"/>
    </row>
    <row r="12">
      <c r="A12" s="93" t="inlineStr">
        <is>
          <t>Handheld $75+</t>
        </is>
      </c>
      <c r="B12" s="298" t="n">
        <v>203.6302527767139</v>
      </c>
      <c r="C12" s="270" t="n">
        <v>-0.03752015462342617</v>
      </c>
      <c r="D12" s="271" t="n">
        <v>-0.09314079381642681</v>
      </c>
      <c r="E12" s="269" t="n">
        <v>7833</v>
      </c>
      <c r="F12" s="270" t="n">
        <v>0.6128628432829982</v>
      </c>
      <c r="G12" s="270" t="n">
        <v>-0.02912741695587506</v>
      </c>
      <c r="H12" s="271" t="n">
        <v>1.424326833797586</v>
      </c>
      <c r="I12" s="95" t="n">
        <v>1595035.77</v>
      </c>
      <c r="J12" s="128" t="n">
        <v>0.8386024091019013</v>
      </c>
      <c r="L12" s="169" t="n">
        <v>-0.06555470639133598</v>
      </c>
      <c r="M12" s="169" t="n">
        <v>1.198523108027214</v>
      </c>
      <c r="N12" s="286" t="n"/>
      <c r="O12" s="286" t="n"/>
      <c r="P12" s="49" t="n"/>
      <c r="Q12" s="50" t="n"/>
    </row>
    <row r="13">
      <c r="A13" s="96" t="inlineStr">
        <is>
          <t>Handheld $75-</t>
        </is>
      </c>
      <c r="B13" s="299" t="n">
        <v>42.60007672634271</v>
      </c>
      <c r="C13" s="274" t="n">
        <v>-0.3535397501993103</v>
      </c>
      <c r="D13" s="275" t="n">
        <v>-0.34976524422997</v>
      </c>
      <c r="E13" s="273" t="n">
        <v>782</v>
      </c>
      <c r="F13" s="274" t="n">
        <v>0.06118457084735154</v>
      </c>
      <c r="G13" s="274" t="n">
        <v>3.546511627906977</v>
      </c>
      <c r="H13" s="275" t="n">
        <v>3.273224043715847</v>
      </c>
      <c r="I13" s="98" t="n">
        <v>33313.26</v>
      </c>
      <c r="J13" s="127" t="n">
        <v>0.01751470444517868</v>
      </c>
      <c r="L13" s="171" t="n">
        <v>1.939139042698485</v>
      </c>
      <c r="M13" s="171" t="n">
        <v>1.778598792416194</v>
      </c>
      <c r="N13" s="286" t="n"/>
      <c r="O13" s="286" t="n"/>
      <c r="P13" s="49" t="n"/>
      <c r="Q13" s="50" t="n"/>
    </row>
    <row r="14">
      <c r="A14" s="101" t="inlineStr">
        <is>
          <t>Total Handheld</t>
        </is>
      </c>
      <c r="B14" s="300" t="n">
        <v>189.0132362159025</v>
      </c>
      <c r="C14" s="112" t="n">
        <v>-0.09358179705983594</v>
      </c>
      <c r="D14" s="104" t="n">
        <v>-0.1250200345200905</v>
      </c>
      <c r="E14" s="116" t="n">
        <v>8615</v>
      </c>
      <c r="F14" s="112" t="n">
        <v>0.6740474141303497</v>
      </c>
      <c r="G14" s="112" t="n">
        <v>0.04550970873786397</v>
      </c>
      <c r="H14" s="104" t="n">
        <v>1.523432923257176</v>
      </c>
      <c r="I14" s="103" t="n">
        <v>1628349.03</v>
      </c>
      <c r="J14" s="129" t="n">
        <v>0.85611711354708</v>
      </c>
      <c r="L14" s="170" t="n">
        <v>-0.05233096864933096</v>
      </c>
      <c r="M14" s="170" t="n">
        <v>1.207953252082431</v>
      </c>
      <c r="N14" s="286" t="n"/>
      <c r="O14" s="286" t="n"/>
      <c r="P14" s="49" t="n"/>
      <c r="Q14" s="50" t="n"/>
    </row>
    <row r="15">
      <c r="A15" s="78" t="inlineStr">
        <is>
          <t>Total Dongle</t>
        </is>
      </c>
      <c r="B15" s="301" t="n">
        <v>89.44265232974911</v>
      </c>
      <c r="C15" s="113" t="n">
        <v>0.02345285981556033</v>
      </c>
      <c r="D15" s="107" t="n">
        <v>-0.1055928317551246</v>
      </c>
      <c r="E15" s="99" t="n">
        <v>279</v>
      </c>
      <c r="F15" s="113" t="n">
        <v>0.02182927783428527</v>
      </c>
      <c r="G15" s="113" t="n">
        <v>-0.003571428571428559</v>
      </c>
      <c r="H15" s="107" t="n">
        <v>-0.3644646924829157</v>
      </c>
      <c r="I15" s="76" t="n">
        <v>24954.5</v>
      </c>
      <c r="J15" s="130" t="n">
        <v>0.01312002163934756</v>
      </c>
      <c r="L15" s="174" t="n">
        <v>0.01979767103050456</v>
      </c>
      <c r="M15" s="174" t="n">
        <v>-0.4315726652840086</v>
      </c>
      <c r="N15" s="286" t="n"/>
      <c r="O15" s="286" t="n"/>
      <c r="P15" s="49" t="n"/>
      <c r="Q15" s="50" t="n"/>
    </row>
    <row r="16">
      <c r="A16" s="78" t="inlineStr">
        <is>
          <t>Total Other Tools</t>
        </is>
      </c>
      <c r="B16" s="301" t="n">
        <v>62.18095671981777</v>
      </c>
      <c r="C16" s="113" t="n">
        <v>-0.3696990179719404</v>
      </c>
      <c r="D16" s="107" t="n"/>
      <c r="E16" s="99" t="n">
        <v>3073</v>
      </c>
      <c r="F16" s="113" t="n">
        <v>0.2404350207339019</v>
      </c>
      <c r="G16" s="113" t="n">
        <v>121.92</v>
      </c>
      <c r="H16" s="107" t="n"/>
      <c r="I16" s="76" t="n">
        <v>191082.08</v>
      </c>
      <c r="J16" s="130" t="n">
        <v>0.1004628834274997</v>
      </c>
      <c r="L16" s="174" t="n">
        <v>76.4765967108891</v>
      </c>
      <c r="M16" s="174" t="n"/>
      <c r="N16" s="286" t="n"/>
      <c r="O16" s="286" t="n"/>
      <c r="P16" s="49" t="n"/>
      <c r="Q16" s="50" t="n"/>
    </row>
    <row r="17">
      <c r="A17" s="86" t="inlineStr">
        <is>
          <t>Total</t>
        </is>
      </c>
      <c r="B17" s="302" t="n">
        <v>154.3665319426336</v>
      </c>
      <c r="C17" s="109" t="n">
        <v>-0.225693749828846</v>
      </c>
      <c r="D17" s="108" t="n">
        <v>-0.2305315346161347</v>
      </c>
      <c r="E17" s="100" t="n">
        <v>12272</v>
      </c>
      <c r="F17" s="109" t="n">
        <v>0.9601752601517878</v>
      </c>
      <c r="G17" s="109" t="n">
        <v>0.3006889242183359</v>
      </c>
      <c r="H17" s="108" t="n">
        <v>2.150706033376123</v>
      </c>
      <c r="I17" s="85" t="n">
        <v>1894386.08</v>
      </c>
      <c r="J17" s="109" t="n">
        <v>0.9959881529535273</v>
      </c>
      <c r="L17" s="172" t="n">
        <v>0.00713156355065192</v>
      </c>
      <c r="M17" s="172" t="n">
        <v>1.424368936377611</v>
      </c>
      <c r="N17" s="286" t="n"/>
      <c r="O17" s="286" t="n"/>
      <c r="P17" s="49" t="n"/>
      <c r="Q17" s="50" t="n"/>
    </row>
    <row r="18">
      <c r="A18" s="29" t="n"/>
      <c r="B18" s="29" t="n"/>
      <c r="C18" s="321" t="n"/>
      <c r="D18" s="47" t="n"/>
      <c r="E18" s="48" t="n"/>
      <c r="F18" s="48" t="n"/>
      <c r="G18" s="48" t="n"/>
      <c r="H18" s="48" t="n"/>
      <c r="I18" s="49" t="n"/>
      <c r="J18" s="50" t="n"/>
    </row>
    <row r="19">
      <c r="A19" s="29" t="n"/>
      <c r="B19" s="29" t="n"/>
      <c r="C19" s="321" t="n"/>
      <c r="D19" s="47" t="n"/>
      <c r="E19" s="48" t="n"/>
      <c r="F19" s="48" t="n"/>
      <c r="G19" s="48" t="n"/>
      <c r="H19" s="48" t="n"/>
      <c r="I19" s="49" t="n"/>
      <c r="J19" s="50" t="n"/>
    </row>
    <row r="20">
      <c r="A20" s="29" t="n"/>
      <c r="B20" s="29" t="n"/>
      <c r="C20" s="321" t="n"/>
      <c r="D20" s="47" t="n"/>
      <c r="E20" s="48" t="n"/>
      <c r="F20" s="48" t="n"/>
      <c r="G20" s="48" t="n"/>
      <c r="H20" s="48" t="n"/>
      <c r="I20" s="49" t="n"/>
      <c r="J20" s="50" t="n"/>
    </row>
    <row r="21">
      <c r="A21" s="29" t="n"/>
      <c r="B21" s="29" t="n"/>
      <c r="C21" s="321" t="n"/>
      <c r="D21" s="47" t="n"/>
      <c r="E21" s="48" t="n"/>
      <c r="F21" s="48" t="n"/>
      <c r="G21" s="48" t="n"/>
      <c r="H21" s="48" t="n"/>
      <c r="I21" s="49" t="n"/>
      <c r="J21" s="50" t="n"/>
    </row>
    <row r="22">
      <c r="A22" s="29" t="n"/>
      <c r="B22" s="29" t="n"/>
      <c r="C22" s="321" t="n"/>
      <c r="D22" s="47" t="n"/>
      <c r="E22" s="48" t="n"/>
      <c r="F22" s="48" t="n"/>
      <c r="G22" s="48" t="n"/>
      <c r="H22" s="48" t="n"/>
      <c r="I22" s="49" t="n"/>
      <c r="J22" s="50" t="n"/>
    </row>
    <row r="23">
      <c r="A23" s="29" t="n"/>
      <c r="B23" s="29" t="n"/>
      <c r="C23" s="321" t="n"/>
      <c r="D23" s="47" t="n"/>
      <c r="E23" s="48" t="n"/>
      <c r="F23" s="48" t="n"/>
      <c r="G23" s="48" t="n"/>
      <c r="H23" s="48" t="n"/>
      <c r="I23" s="49" t="n"/>
      <c r="J23" s="50" t="n"/>
    </row>
    <row r="24">
      <c r="A24" s="29" t="n"/>
      <c r="B24" s="29" t="n"/>
      <c r="C24" s="321" t="n"/>
      <c r="D24" s="47" t="n"/>
      <c r="E24" s="48" t="n"/>
      <c r="F24" s="48" t="n"/>
      <c r="G24" s="48" t="n"/>
      <c r="H24" s="48" t="n"/>
      <c r="I24" s="49" t="n"/>
      <c r="J24" s="50" t="n"/>
    </row>
    <row r="25">
      <c r="A25" s="29" t="n"/>
      <c r="B25" s="29" t="n"/>
      <c r="C25" s="321" t="n"/>
      <c r="D25" s="47" t="n"/>
      <c r="E25" s="48" t="n"/>
      <c r="F25" s="48" t="n"/>
      <c r="G25" s="48" t="n"/>
      <c r="H25" s="48" t="n"/>
      <c r="I25" s="49" t="n"/>
      <c r="J25" s="50" t="n"/>
    </row>
    <row r="26">
      <c r="A26" s="29" t="n"/>
      <c r="B26" s="29" t="n"/>
      <c r="C26" s="321" t="n"/>
      <c r="D26" s="47" t="n"/>
      <c r="E26" s="48" t="n"/>
      <c r="F26" s="48" t="n"/>
      <c r="G26" s="48" t="n"/>
      <c r="H26" s="48" t="n"/>
      <c r="I26" s="49" t="n"/>
      <c r="J26" s="50" t="n"/>
    </row>
    <row r="27">
      <c r="A27" s="29" t="n"/>
      <c r="B27" s="29" t="n"/>
      <c r="C27" s="321" t="n"/>
      <c r="D27" s="47" t="n"/>
      <c r="E27" s="48" t="n"/>
      <c r="F27" s="48" t="n"/>
      <c r="G27" s="48" t="n"/>
      <c r="H27" s="48" t="n"/>
      <c r="I27" s="49" t="n"/>
      <c r="J27" s="50" t="n"/>
    </row>
    <row r="28">
      <c r="A28" s="29" t="n"/>
      <c r="B28" s="29" t="n"/>
      <c r="C28" s="321" t="n"/>
      <c r="D28" s="47" t="n"/>
      <c r="E28" s="48" t="n"/>
      <c r="F28" s="48" t="n"/>
      <c r="G28" s="48" t="n"/>
      <c r="H28" s="48" t="n"/>
      <c r="I28" s="49" t="n"/>
      <c r="J28" s="50" t="n"/>
    </row>
    <row r="29">
      <c r="A29" s="29" t="n"/>
      <c r="B29" s="29" t="n"/>
      <c r="C29" s="321" t="n"/>
      <c r="D29" s="47" t="n"/>
      <c r="E29" s="48" t="n"/>
      <c r="F29" s="48" t="n"/>
      <c r="G29" s="48" t="n"/>
      <c r="H29" s="48" t="n"/>
      <c r="I29" s="49" t="n"/>
      <c r="J29" s="50" t="n"/>
    </row>
    <row r="30">
      <c r="A30" s="29" t="n"/>
      <c r="B30" s="29" t="n"/>
      <c r="C30" s="321" t="n"/>
      <c r="D30" s="47" t="n"/>
      <c r="E30" s="48" t="n"/>
      <c r="F30" s="48" t="n"/>
      <c r="G30" s="48" t="n"/>
      <c r="H30" s="48" t="n"/>
      <c r="I30" s="49" t="n"/>
      <c r="J30" s="50" t="n"/>
    </row>
    <row r="31">
      <c r="A31" s="29" t="n"/>
      <c r="B31" s="29" t="n"/>
      <c r="C31" s="321" t="n"/>
      <c r="D31" s="47" t="n"/>
      <c r="E31" s="48" t="n"/>
      <c r="F31" s="48" t="n"/>
      <c r="G31" s="48" t="n"/>
      <c r="H31" s="48" t="n"/>
      <c r="I31" s="49" t="n"/>
      <c r="J31" s="50" t="n"/>
    </row>
    <row r="32">
      <c r="A32" s="29" t="n"/>
      <c r="B32" s="29" t="n"/>
      <c r="C32" s="321" t="n"/>
      <c r="D32" s="47" t="n"/>
      <c r="E32" s="48" t="n"/>
      <c r="F32" s="48" t="n"/>
      <c r="G32" s="48" t="n"/>
      <c r="H32" s="48" t="n"/>
      <c r="I32" s="49" t="n"/>
      <c r="J32" s="50" t="n"/>
    </row>
    <row r="33">
      <c r="A33" s="29" t="n"/>
      <c r="B33" s="29" t="n"/>
      <c r="C33" s="321" t="n"/>
      <c r="D33" s="47" t="n"/>
      <c r="E33" s="48" t="n"/>
      <c r="F33" s="48" t="n"/>
      <c r="G33" s="48" t="n"/>
      <c r="H33" s="48" t="n"/>
      <c r="I33" s="49" t="n"/>
      <c r="J33" s="50" t="n"/>
    </row>
    <row r="49" ht="16" customHeight="1" s="290">
      <c r="C49" s="284" t="n"/>
      <c r="D49" s="284" t="n"/>
      <c r="F49" s="284" t="n"/>
      <c r="G49" s="284" t="n"/>
      <c r="H49" s="284" t="n"/>
      <c r="I49" s="284" t="n"/>
    </row>
    <row r="50">
      <c r="C50" s="284" t="n"/>
      <c r="D50" s="284" t="n"/>
      <c r="F50" s="284" t="n"/>
      <c r="G50" s="284" t="n"/>
      <c r="H50" s="284" t="n"/>
      <c r="I50" s="284" t="n"/>
    </row>
    <row r="51">
      <c r="A51" s="283" t="inlineStr">
        <is>
          <t xml:space="preserve">Rank by Revenue </t>
        </is>
      </c>
    </row>
    <row r="52" ht="17" customHeight="1" s="290">
      <c r="A52" s="38" t="inlineStr">
        <is>
          <t>Product Name</t>
        </is>
      </c>
      <c r="B52" s="39" t="inlineStr">
        <is>
          <t>ASIN</t>
        </is>
      </c>
      <c r="C52" s="39" t="inlineStr">
        <is>
          <t>Type</t>
        </is>
      </c>
      <c r="D52" s="322" t="inlineStr">
        <is>
          <t>Avg Price</t>
        </is>
      </c>
      <c r="E52" s="41" t="inlineStr">
        <is>
          <t>Estimated 12mo Revenue</t>
        </is>
      </c>
      <c r="F52" s="39" t="inlineStr">
        <is>
          <t>Monthly Rev</t>
        </is>
      </c>
      <c r="G52" s="42" t="inlineStr">
        <is>
          <t>Estimated 12mo Units</t>
        </is>
      </c>
      <c r="H52" s="45" t="inlineStr">
        <is>
          <t>Monthly Units</t>
        </is>
      </c>
      <c r="I52" s="42" t="inlineStr">
        <is>
          <t># of Reviews</t>
        </is>
      </c>
      <c r="J52" s="43" t="inlineStr">
        <is>
          <t xml:space="preserve">Tool Rating </t>
        </is>
      </c>
      <c r="K52" s="43" t="inlineStr">
        <is>
          <t>Column1</t>
        </is>
      </c>
      <c r="L52" s="323" t="inlineStr">
        <is>
          <t>Link</t>
        </is>
      </c>
    </row>
    <row r="53" ht="45" customHeight="1" s="290">
      <c r="A53" s="30" t="inlineStr">
        <is>
          <t>Innova 5610 OBD2 Bidirectional Scan Tool - Understand Your Vehicle, Pinpoint What's Wrong, and Complete Your Repairs with Less Headache, Updates Included, US-Based Technical Support</t>
        </is>
      </c>
      <c r="B53" s="30" t="inlineStr">
        <is>
          <t>B07Z481NJM</t>
        </is>
      </c>
      <c r="C53" s="30" t="inlineStr">
        <is>
          <t>Handheld</t>
        </is>
      </c>
      <c r="D53" s="324" t="n">
        <v>292.6118611449452</v>
      </c>
      <c r="E53" s="53" t="n">
        <v>11645944.12</v>
      </c>
      <c r="F53" s="54" t="n">
        <v>1201171.69</v>
      </c>
      <c r="G53" s="55" t="n">
        <v>39046</v>
      </c>
      <c r="H53" s="55" t="n">
        <v>4105</v>
      </c>
      <c r="I53" s="55" t="n">
        <v>3435</v>
      </c>
      <c r="J53" s="56" t="n">
        <v>4.4</v>
      </c>
      <c r="K53" s="56" t="inlineStr">
        <is>
          <t>https://amazon.com/dp/B07Z481NJM</t>
        </is>
      </c>
      <c r="L53" s="34">
        <f>HYPERLINK(Innova_2[[#This Row],[Column1]])</f>
        <v/>
      </c>
    </row>
    <row r="54" ht="45" customHeight="1" s="290">
      <c r="A54" s="30" t="inlineStr">
        <is>
          <t>Innova 5210 OBD2 Scanner &amp; Engine Code Reader, Battery Tester, Live Data, Oil Reset, Car Diagnostic Tool for Most Vehicles, Bluetooth Compatible with America's Top Car Repair App</t>
        </is>
      </c>
      <c r="B54" s="30" t="inlineStr">
        <is>
          <t>B07Z46L5FG</t>
        </is>
      </c>
      <c r="C54" s="30" t="inlineStr">
        <is>
          <t>Handheld</t>
        </is>
      </c>
      <c r="D54" s="324" t="n">
        <v>87.48796262367168</v>
      </c>
      <c r="E54" s="53" t="n">
        <v>2540961.49</v>
      </c>
      <c r="F54" s="54" t="n">
        <v>238754.65</v>
      </c>
      <c r="G54" s="55" t="n">
        <v>28360</v>
      </c>
      <c r="H54" s="55" t="n">
        <v>2729</v>
      </c>
      <c r="I54" s="55" t="n">
        <v>3977</v>
      </c>
      <c r="J54" s="56" t="n">
        <v>4.5</v>
      </c>
      <c r="K54" s="56" t="inlineStr">
        <is>
          <t>https://amazon.com/dp/B07Z46L5FG</t>
        </is>
      </c>
      <c r="L54" s="34">
        <f>HYPERLINK(Innova_2[[#This Row],[Column1]])</f>
        <v/>
      </c>
    </row>
    <row r="55" ht="45" customHeight="1" s="290">
      <c r="A55" s="30" t="inlineStr">
        <is>
          <t>Innova 5410 All-System OBD2 Scanner Diagnostic Tool for Cars &amp; Trucks – Automotive Scan Tools for Engine, ABS, SRS &amp; Transmission, Bluetooth Compatible with America's Top Car Repair App</t>
        </is>
      </c>
      <c r="B55" s="30" t="inlineStr">
        <is>
          <t>B07ZL7CLYR</t>
        </is>
      </c>
      <c r="C55" s="30" t="inlineStr">
        <is>
          <t>Handheld</t>
        </is>
      </c>
      <c r="D55" s="324" t="n">
        <v>153.9972163120567</v>
      </c>
      <c r="E55" s="53" t="n">
        <v>1014363.7</v>
      </c>
      <c r="F55" s="54" t="n">
        <v>86854.42999999999</v>
      </c>
      <c r="G55" s="55" t="n">
        <v>6150</v>
      </c>
      <c r="H55" s="55" t="n">
        <v>564</v>
      </c>
      <c r="I55" s="55" t="n">
        <v>680</v>
      </c>
      <c r="J55" s="56" t="n">
        <v>4.4</v>
      </c>
      <c r="K55" s="56" t="inlineStr">
        <is>
          <t>https://amazon.com/dp/B07ZL7CLYR</t>
        </is>
      </c>
      <c r="L55" s="34">
        <f>HYPERLINK(Innova_2[[#This Row],[Column1]])</f>
        <v/>
      </c>
    </row>
    <row r="56" ht="60" customHeight="1" s="290">
      <c r="A56" s="30" t="inlineStr">
        <is>
          <t>Innova 3568 Digital Timing Light</t>
        </is>
      </c>
      <c r="B56" s="30" t="inlineStr">
        <is>
          <t>B000EVYGV4</t>
        </is>
      </c>
      <c r="C56" s="30" t="inlineStr">
        <is>
          <t>Other</t>
        </is>
      </c>
      <c r="D56" s="324" t="n">
        <v>79.89569668246446</v>
      </c>
      <c r="E56" s="53" t="n">
        <v>1017963.363076923</v>
      </c>
      <c r="F56" s="54" t="n">
        <v>84289.96000000001</v>
      </c>
      <c r="G56" s="55" t="n">
        <v>1055</v>
      </c>
      <c r="H56" s="55" t="n">
        <v>1055</v>
      </c>
      <c r="I56" s="55" t="n"/>
      <c r="J56" s="56" t="n"/>
      <c r="K56" s="56" t="inlineStr">
        <is>
          <t>https://www.amazon.com/dp/B000EVYGV4</t>
        </is>
      </c>
      <c r="L56" s="34">
        <f>HYPERLINK(Innova_2[[#This Row],[Column1]])</f>
        <v/>
      </c>
    </row>
    <row r="57" ht="45" customHeight="1" s="290">
      <c r="A57" s="30" t="inlineStr">
        <is>
          <t>Innova SD35 OBD2 Scanner – ABS, SRS, TPMS &amp; Check Engine Code Reader, Live Data, All System Diagnostics, Compatible with Most Vehicles</t>
        </is>
      </c>
      <c r="B57" s="30" t="inlineStr">
        <is>
          <t>B0F254MVB5</t>
        </is>
      </c>
      <c r="C57" s="30" t="inlineStr">
        <is>
          <t>Tablet</t>
        </is>
      </c>
      <c r="D57" s="324" t="n">
        <v>142.2215175097276</v>
      </c>
      <c r="E57" s="53" t="n">
        <v>1070841.26</v>
      </c>
      <c r="F57" s="54" t="n">
        <v>36550.93</v>
      </c>
      <c r="G57" s="55" t="n">
        <v>7985</v>
      </c>
      <c r="H57" s="55" t="n">
        <v>257</v>
      </c>
      <c r="I57" s="55" t="n">
        <v>336</v>
      </c>
      <c r="J57" s="56" t="n">
        <v>4.5</v>
      </c>
      <c r="K57" s="56" t="inlineStr">
        <is>
          <t>https://amazon.com/dp/B0F254MVB5</t>
        </is>
      </c>
      <c r="L57" s="34">
        <f>HYPERLINK(Innova_2[[#This Row],[Column1]])</f>
        <v/>
      </c>
    </row>
    <row r="58" ht="45" customHeight="1" s="290">
      <c r="A58" s="30" t="inlineStr">
        <is>
          <t>Innova 3380 Automotive Borescope with Light, 2.7" Inspection Camera, 39" Extension, IP67 Waterproof Digital Scope</t>
        </is>
      </c>
      <c r="B58" s="30" t="inlineStr">
        <is>
          <t>B082JCSB4Z</t>
        </is>
      </c>
      <c r="C58" s="30" t="inlineStr">
        <is>
          <t>Other</t>
        </is>
      </c>
      <c r="D58" s="324" t="n">
        <v>82.5832541567696</v>
      </c>
      <c r="E58" s="53" t="n">
        <v>419885.0269230769</v>
      </c>
      <c r="F58" s="54" t="n">
        <v>34767.55</v>
      </c>
      <c r="G58" s="55" t="n">
        <v>421</v>
      </c>
      <c r="H58" s="55" t="n">
        <v>421</v>
      </c>
      <c r="I58" s="55" t="n"/>
      <c r="J58" s="56" t="n"/>
      <c r="K58" s="56" t="inlineStr">
        <is>
          <t>https://www.amazon.com/dp/B082JCSB4Z</t>
        </is>
      </c>
      <c r="L58" s="34">
        <f>HYPERLINK(Innova_2[[#This Row],[Column1]])</f>
        <v/>
      </c>
    </row>
    <row r="59" ht="45" customHeight="1" s="290">
      <c r="A59" s="30" t="inlineStr">
        <is>
          <t>INNOVA 5310 OBD2 Scanner – ABS &amp; SRS Code Reader, Check Engine Light Diagnostic Tool with Battery Test, Oil Reset, Live Data – Works with Most OBDII Vehicles 1996 &amp; Newer</t>
        </is>
      </c>
      <c r="B59" s="30" t="inlineStr">
        <is>
          <t>B07ZL746BR</t>
        </is>
      </c>
      <c r="C59" s="30" t="inlineStr">
        <is>
          <t>Handheld</t>
        </is>
      </c>
      <c r="D59" s="324" t="n">
        <v>127.4812053571429</v>
      </c>
      <c r="E59" s="53" t="n">
        <v>326612.54</v>
      </c>
      <c r="F59" s="54" t="n">
        <v>28555.79</v>
      </c>
      <c r="G59" s="55" t="n">
        <v>2661</v>
      </c>
      <c r="H59" s="55" t="n">
        <v>224</v>
      </c>
      <c r="I59" s="55" t="n">
        <v>830</v>
      </c>
      <c r="J59" s="56" t="n">
        <v>4.5</v>
      </c>
      <c r="K59" s="56" t="inlineStr">
        <is>
          <t>https://amazon.com/dp/B07ZL746BR</t>
        </is>
      </c>
      <c r="L59" s="34">
        <f>HYPERLINK(Innova_2[[#This Row],[Column1]])</f>
        <v/>
      </c>
    </row>
    <row r="60" ht="45" customHeight="1" s="290">
      <c r="A60" s="30" t="inlineStr">
        <is>
          <t>INNOVA 3145 Ford Digital OBD1 Code Reader</t>
        </is>
      </c>
      <c r="B60" s="30" t="inlineStr">
        <is>
          <t>B000EW0KHW</t>
        </is>
      </c>
      <c r="C60" s="30" t="inlineStr">
        <is>
          <t>Handheld</t>
        </is>
      </c>
      <c r="D60" s="324" t="n">
        <v>39.82766475644699</v>
      </c>
      <c r="E60" s="53" t="n">
        <v>335734.9592307693</v>
      </c>
      <c r="F60" s="54" t="n">
        <v>27799.71</v>
      </c>
      <c r="G60" s="55" t="n">
        <v>698</v>
      </c>
      <c r="H60" s="55" t="n">
        <v>698</v>
      </c>
      <c r="I60" s="55" t="n">
        <v>6858</v>
      </c>
      <c r="J60" s="56" t="n">
        <v>4.4</v>
      </c>
      <c r="K60" s="56" t="inlineStr">
        <is>
          <t>https://amazon.com/dp/B000EW0KHW</t>
        </is>
      </c>
      <c r="L60" s="34">
        <f>HYPERLINK(Innova_2[[#This Row],[Column1]])</f>
        <v/>
      </c>
    </row>
    <row r="61" ht="45" customHeight="1" s="290">
      <c r="A61" s="30" t="inlineStr">
        <is>
          <t>Innova 1000 Bluetooth OBD2 Scanner for iPhone &amp; Android - Predict Car Problems Before They Happen - No Subscriptions - Detect Check Engine, ABS, SRS Issues for Cars 1996+</t>
        </is>
      </c>
      <c r="B61" s="30" t="inlineStr">
        <is>
          <t>B0D32BNNQ9</t>
        </is>
      </c>
      <c r="C61" s="30" t="inlineStr">
        <is>
          <t>Dongle</t>
        </is>
      </c>
      <c r="D61" s="324" t="n">
        <v>89.44265232974911</v>
      </c>
      <c r="E61" s="53" t="n">
        <v>506840.65</v>
      </c>
      <c r="F61" s="54" t="n">
        <v>24954.5</v>
      </c>
      <c r="G61" s="55" t="n">
        <v>5510</v>
      </c>
      <c r="H61" s="55" t="n">
        <v>279</v>
      </c>
      <c r="I61" s="55" t="n">
        <v>407</v>
      </c>
      <c r="J61" s="56" t="n">
        <v>4.3</v>
      </c>
      <c r="K61" s="56" t="inlineStr">
        <is>
          <t>https://amazon.com/dp/B0D32BNNQ9</t>
        </is>
      </c>
      <c r="L61" s="34">
        <f>HYPERLINK(Innova_2[[#This Row],[Column1]])</f>
        <v/>
      </c>
    </row>
    <row r="62" ht="45" customHeight="1" s="290">
      <c r="A62" s="30" t="inlineStr">
        <is>
          <t>Innova SDS43 OBD2 Scanner Diagnostic Tool - Bidirectional Tablet Scanner for Engine, ABS, SRS, Transmission - Compatible with Most Vehicles</t>
        </is>
      </c>
      <c r="B62" s="30" t="inlineStr">
        <is>
          <t>B0F4M2MZYN</t>
        </is>
      </c>
      <c r="C62" s="30" t="inlineStr">
        <is>
          <t>Tablet</t>
        </is>
      </c>
      <c r="D62" s="324" t="n">
        <v>280.19875</v>
      </c>
      <c r="E62" s="53" t="n">
        <v>171634.31</v>
      </c>
      <c r="F62" s="54" t="n">
        <v>13449.54</v>
      </c>
      <c r="G62" s="55" t="n">
        <v>651</v>
      </c>
      <c r="H62" s="55" t="n">
        <v>48</v>
      </c>
      <c r="I62" s="55" t="n">
        <v>62</v>
      </c>
      <c r="J62" s="56" t="n">
        <v>4</v>
      </c>
      <c r="K62" s="56" t="inlineStr">
        <is>
          <t>https://amazon.com/dp/B0F4M2MZYN</t>
        </is>
      </c>
      <c r="L62" s="34">
        <f>HYPERLINK(Innova_2[[#This Row],[Column1]])</f>
        <v/>
      </c>
    </row>
    <row r="63" ht="45" customHeight="1" s="290">
      <c r="A63" s="30" t="inlineStr">
        <is>
          <t>Innova 3555 Advance Timing Light</t>
        </is>
      </c>
      <c r="B63" s="30" t="inlineStr">
        <is>
          <t>B000EVYH7W</t>
        </is>
      </c>
      <c r="C63" s="30" t="inlineStr">
        <is>
          <t>Other</t>
        </is>
      </c>
      <c r="D63" s="324" t="n">
        <v>55.06609756097561</v>
      </c>
      <c r="E63" s="53" t="n">
        <v>136330.95</v>
      </c>
      <c r="F63" s="54" t="n">
        <v>11288.55</v>
      </c>
      <c r="G63" s="55" t="n">
        <v>205</v>
      </c>
      <c r="H63" s="55" t="n">
        <v>205</v>
      </c>
      <c r="I63" s="55" t="n"/>
      <c r="J63" s="56" t="n"/>
      <c r="K63" s="56" t="inlineStr">
        <is>
          <t>https://www.amazon.com/dp/B000EVYH7W</t>
        </is>
      </c>
      <c r="L63" s="34">
        <f>HYPERLINK(Innova_2[[#This Row],[Column1]])</f>
        <v/>
      </c>
    </row>
    <row r="64" ht="45" customHeight="1" s="290">
      <c r="A64" s="30" t="inlineStr">
        <is>
          <t>INNOVA 3320 Auto-Ranging Digital Multimeter, Red &amp; Black</t>
        </is>
      </c>
      <c r="B64" s="30" t="inlineStr">
        <is>
          <t>B000EVYGZA</t>
        </is>
      </c>
      <c r="C64" s="30" t="inlineStr">
        <is>
          <t>Other</t>
        </is>
      </c>
      <c r="D64" s="324" t="n">
        <v>35.61220779220779</v>
      </c>
      <c r="E64" s="53" t="n">
        <v>132466.4553846154</v>
      </c>
      <c r="F64" s="54" t="n">
        <v>10968.56</v>
      </c>
      <c r="G64" s="55" t="n">
        <v>308</v>
      </c>
      <c r="H64" s="55" t="n">
        <v>308</v>
      </c>
      <c r="I64" s="55" t="n"/>
      <c r="J64" s="56" t="n"/>
      <c r="K64" s="56" t="inlineStr">
        <is>
          <t>https://www.amazon.com/dp/B000EVYGZA</t>
        </is>
      </c>
      <c r="L64" s="34">
        <f>HYPERLINK(Innova_2[[#This Row],[Column1]])</f>
        <v/>
      </c>
    </row>
    <row r="65" ht="45" customHeight="1" s="290">
      <c r="A65" s="30" t="inlineStr">
        <is>
          <t>INNOVA 5510 OBD2 Scanner, Scan Tool for ABS, All System Scanner, Caliper Service, Brake Pad Life, Read/Erase ABS/SRS Codes, Reset Oil Light, Live Data, Updates Included</t>
        </is>
      </c>
      <c r="B65" s="30" t="inlineStr">
        <is>
          <t>B07Z48NKF1</t>
        </is>
      </c>
      <c r="C65" s="30" t="inlineStr">
        <is>
          <t>Handheld</t>
        </is>
      </c>
      <c r="D65" s="324" t="n">
        <v>224.99</v>
      </c>
      <c r="E65" s="53" t="n">
        <v>79422.56</v>
      </c>
      <c r="F65" s="54" t="n">
        <v>9899.559999999999</v>
      </c>
      <c r="G65" s="55" t="n">
        <v>358</v>
      </c>
      <c r="H65" s="55" t="n">
        <v>44</v>
      </c>
      <c r="I65" s="55" t="n">
        <v>292</v>
      </c>
      <c r="J65" s="56" t="n">
        <v>4.1</v>
      </c>
      <c r="K65" s="56" t="inlineStr">
        <is>
          <t>https://amazon.com/dp/B07Z48NKF1</t>
        </is>
      </c>
      <c r="L65" s="34">
        <f>HYPERLINK(Innova_2[[#This Row],[Column1]])</f>
        <v/>
      </c>
    </row>
    <row r="66" ht="45" customHeight="1" s="290">
      <c r="A66" s="30" t="inlineStr">
        <is>
          <t>Innova 3129 OBD-1 Kit (Includes OBD1 Adapters &amp; Pouch) , Black</t>
        </is>
      </c>
      <c r="B66" s="30" t="inlineStr">
        <is>
          <t>B078BHTCK1</t>
        </is>
      </c>
      <c r="C66" s="30" t="inlineStr">
        <is>
          <t>Cable/Adapter</t>
        </is>
      </c>
      <c r="D66" s="324" t="n">
        <v>106.7930120481928</v>
      </c>
      <c r="E66" s="53" t="n">
        <v>107047.6723076923</v>
      </c>
      <c r="F66" s="54" t="n">
        <v>8863.82</v>
      </c>
      <c r="G66" s="55" t="n">
        <v>83</v>
      </c>
      <c r="H66" s="55" t="n">
        <v>83</v>
      </c>
      <c r="I66" s="55" t="n">
        <v>200</v>
      </c>
      <c r="J66" s="56" t="n">
        <v>4.3</v>
      </c>
      <c r="K66" s="56" t="inlineStr">
        <is>
          <t>https://amazon.com/dp/B078BHTCK1</t>
        </is>
      </c>
      <c r="L66" s="34">
        <f>HYPERLINK(Innova_2[[#This Row],[Column1]])</f>
        <v/>
      </c>
    </row>
    <row r="67" ht="45" customHeight="1" s="290">
      <c r="A67" s="30" t="inlineStr">
        <is>
          <t>INNOVA 5160RS, OBD2 Bidirectional Scan Tool, OE-Level All System Diagnostics, Reset Oil Light/Battery/EPB/SAS/DPF, Mechanic Recommended Fixes &amp; Parts, TSBs, 1yr Warranty, Free Updates</t>
        </is>
      </c>
      <c r="B67" s="30" t="inlineStr">
        <is>
          <t>B071VYLP32</t>
        </is>
      </c>
      <c r="C67" s="30" t="inlineStr">
        <is>
          <t>Handheld</t>
        </is>
      </c>
      <c r="D67" s="324" t="n">
        <v>317.482962962963</v>
      </c>
      <c r="E67" s="53" t="n">
        <v>137375.98</v>
      </c>
      <c r="F67" s="54" t="n">
        <v>8572.040000000001</v>
      </c>
      <c r="G67" s="55" t="n">
        <v>434</v>
      </c>
      <c r="H67" s="55" t="n">
        <v>27</v>
      </c>
      <c r="I67" s="55" t="n">
        <v>300</v>
      </c>
      <c r="J67" s="56" t="n">
        <v>4.2</v>
      </c>
      <c r="K67" s="56" t="inlineStr">
        <is>
          <t>https://amazon.com/dp/B071VYLP32</t>
        </is>
      </c>
      <c r="L67" s="34">
        <f>HYPERLINK(Innova_2[[#This Row],[Column1]])</f>
        <v/>
      </c>
    </row>
    <row r="68" ht="45" customHeight="1" s="290">
      <c r="A68" s="30" t="inlineStr">
        <is>
          <t>Innova 3551 Inductive Timing Light</t>
        </is>
      </c>
      <c r="B68" s="30" t="inlineStr">
        <is>
          <t>B000EVYH72</t>
        </is>
      </c>
      <c r="C68" s="30" t="inlineStr">
        <is>
          <t>Other</t>
        </is>
      </c>
      <c r="D68" s="324" t="n">
        <v>38.83009661835749</v>
      </c>
      <c r="E68" s="53" t="n">
        <v>97072.25461538462</v>
      </c>
      <c r="F68" s="54" t="n">
        <v>8037.83</v>
      </c>
      <c r="G68" s="55" t="n">
        <v>207</v>
      </c>
      <c r="H68" s="55" t="n">
        <v>207</v>
      </c>
      <c r="I68" s="55" t="n"/>
      <c r="J68" s="56" t="n"/>
      <c r="K68" s="56" t="inlineStr">
        <is>
          <t>https://www.amazon.com/dp/B000EVYH72</t>
        </is>
      </c>
      <c r="L68" s="34">
        <f>HYPERLINK(Innova_2[[#This Row],[Column1]])</f>
        <v/>
      </c>
    </row>
    <row r="69" ht="60" customHeight="1" s="290">
      <c r="A69" s="30" t="inlineStr">
        <is>
          <t>INNOVA 3123 GM OBD1 Code Reader, Windows XP</t>
        </is>
      </c>
      <c r="B69" s="30" t="inlineStr">
        <is>
          <t>B000EVU8C0</t>
        </is>
      </c>
      <c r="C69" s="30" t="inlineStr">
        <is>
          <t>OBD1</t>
        </is>
      </c>
      <c r="D69" s="324" t="n">
        <v>14.99135559921415</v>
      </c>
      <c r="E69" s="53" t="n">
        <v>92154.16923076924</v>
      </c>
      <c r="F69" s="54" t="n">
        <v>7630.6</v>
      </c>
      <c r="G69" s="55" t="n">
        <v>509</v>
      </c>
      <c r="H69" s="55" t="n">
        <v>509</v>
      </c>
      <c r="I69" s="55" t="n">
        <v>6860</v>
      </c>
      <c r="J69" s="56" t="n">
        <v>4.4</v>
      </c>
      <c r="K69" s="56" t="inlineStr">
        <is>
          <t>https://amazon.com/dp/B000EVU8C0</t>
        </is>
      </c>
      <c r="L69" s="34">
        <f>HYPERLINK(Innova_2[[#This Row],[Column1]])</f>
        <v/>
      </c>
    </row>
    <row r="70" ht="45" customHeight="1" s="290">
      <c r="A70" s="30" t="inlineStr">
        <is>
          <t>Innova 3340 Professional Automotive Digital Multimeter, Black</t>
        </is>
      </c>
      <c r="B70" s="30" t="inlineStr">
        <is>
          <t>B000KIMHRQ</t>
        </is>
      </c>
      <c r="C70" s="30" t="inlineStr">
        <is>
          <t>Other</t>
        </is>
      </c>
      <c r="D70" s="324" t="n">
        <v>90.64324999999999</v>
      </c>
      <c r="E70" s="53" t="n">
        <v>87575.32461538461</v>
      </c>
      <c r="F70" s="54" t="n">
        <v>7251.46</v>
      </c>
      <c r="G70" s="55" t="n">
        <v>80</v>
      </c>
      <c r="H70" s="55" t="n">
        <v>80</v>
      </c>
      <c r="I70" s="55" t="n"/>
      <c r="J70" s="56" t="n"/>
      <c r="K70" s="56" t="inlineStr">
        <is>
          <t>https://www.amazon.com/dp/B000KIMHRQ</t>
        </is>
      </c>
      <c r="L70" s="34">
        <f>HYPERLINK(Innova_2[[#This Row],[Column1]])</f>
        <v/>
      </c>
    </row>
    <row r="71" ht="45" customHeight="1" s="290">
      <c r="A71" s="30" t="inlineStr">
        <is>
          <t>INNOVA 3100RS, OBD2 Scanner, ABS SRS Airbag Scan Tool with Airbag Light &amp; Oil Light Reset, Stream Graph &amp; Record Live Data, Get Suggested Repair &amp; Parts on iPhone or Android</t>
        </is>
      </c>
      <c r="B71" s="30" t="inlineStr">
        <is>
          <t>B084SW4K8J</t>
        </is>
      </c>
      <c r="C71" s="30" t="inlineStr">
        <is>
          <t>Handheld</t>
        </is>
      </c>
      <c r="D71" s="324" t="n">
        <v>140.0402</v>
      </c>
      <c r="E71" s="53" t="n">
        <v>88653.43999999999</v>
      </c>
      <c r="F71" s="54" t="n">
        <v>7002.01</v>
      </c>
      <c r="G71" s="55" t="n">
        <v>640</v>
      </c>
      <c r="H71" s="55" t="n">
        <v>50</v>
      </c>
      <c r="I71" s="55" t="n">
        <v>533</v>
      </c>
      <c r="J71" s="56" t="n">
        <v>4.4</v>
      </c>
      <c r="K71" s="56" t="inlineStr">
        <is>
          <t>https://amazon.com/dp/B084SW4K8J</t>
        </is>
      </c>
      <c r="L71" s="34">
        <f>HYPERLINK(Innova_2[[#This Row],[Column1]])</f>
        <v/>
      </c>
    </row>
    <row r="72" ht="45" customHeight="1" s="290">
      <c r="A72" s="30" t="inlineStr">
        <is>
          <t>INNOVA 3040RS, OBD2 Scanner, Live Data Streamer, Battery/Alt Tester, Reset Check Engine Light/Brake Light/Oil Light, Free Mechanic Recommended Fix &amp; Parts &amp; Est Repair Cost, Free Updates</t>
        </is>
      </c>
      <c r="B72" s="30" t="inlineStr">
        <is>
          <t>B084SVS383</t>
        </is>
      </c>
      <c r="C72" s="30" t="inlineStr">
        <is>
          <t>Handheld</t>
        </is>
      </c>
      <c r="D72" s="324" t="n">
        <v>104.99</v>
      </c>
      <c r="E72" s="53" t="n">
        <v>117640.11</v>
      </c>
      <c r="F72" s="54" t="n">
        <v>6824.35</v>
      </c>
      <c r="G72" s="55" t="n">
        <v>1185</v>
      </c>
      <c r="H72" s="55" t="n">
        <v>65</v>
      </c>
      <c r="I72" s="55" t="n">
        <v>606</v>
      </c>
      <c r="J72" s="56" t="n">
        <v>4.4</v>
      </c>
      <c r="K72" s="56" t="inlineStr">
        <is>
          <t>https://amazon.com/dp/B084SVS383</t>
        </is>
      </c>
      <c r="L72" s="34">
        <f>HYPERLINK(Innova_2[[#This Row],[Column1]])</f>
        <v/>
      </c>
    </row>
    <row r="73" ht="45" customHeight="1" s="290">
      <c r="A73" s="30" t="inlineStr">
        <is>
          <t>INNOVA 5110 Check Engine Code Reader - Super Simple Car Scanner for All Levels - Works on Most 1996 &amp; Newer OBDII Cars</t>
        </is>
      </c>
      <c r="B73" s="30" t="inlineStr">
        <is>
          <t>B07Z46KNLR</t>
        </is>
      </c>
      <c r="C73" s="30" t="inlineStr">
        <is>
          <t>Handheld</t>
        </is>
      </c>
      <c r="D73" s="324" t="n">
        <v>65.72888888888889</v>
      </c>
      <c r="E73" s="53" t="n">
        <v>76589.42999999999</v>
      </c>
      <c r="F73" s="54" t="n">
        <v>4140.92</v>
      </c>
      <c r="G73" s="55" t="n">
        <v>1160</v>
      </c>
      <c r="H73" s="55" t="n">
        <v>63</v>
      </c>
      <c r="I73" s="55" t="n">
        <v>1029</v>
      </c>
      <c r="J73" s="56" t="n">
        <v>4.3</v>
      </c>
      <c r="K73" s="56" t="inlineStr">
        <is>
          <t>https://amazon.com/dp/B07Z46KNLR</t>
        </is>
      </c>
      <c r="L73" s="34">
        <f>HYPERLINK(Innova_2[[#This Row],[Column1]])</f>
        <v/>
      </c>
    </row>
    <row r="74" ht="45" customHeight="1" s="290">
      <c r="A74" s="30" t="inlineStr">
        <is>
          <t>INNOVA 3170RS OBD1 &amp; OBD2 Scanner, ABS Bleeder Scan Tool, OBD2 Diagnostic, Caliper Service, Brake Pad Life, Read/Erase ABS/SRS Codes, Reset Oil Light, Live Data, Updates Included</t>
        </is>
      </c>
      <c r="B74" s="30" t="inlineStr">
        <is>
          <t>B08FZ46X2M</t>
        </is>
      </c>
      <c r="C74" s="30" t="inlineStr">
        <is>
          <t>Handheld</t>
        </is>
      </c>
      <c r="D74" s="324" t="n">
        <v>296.5284615384616</v>
      </c>
      <c r="E74" s="53" t="n">
        <v>67811.843334</v>
      </c>
      <c r="F74" s="54" t="n">
        <v>3854.87</v>
      </c>
      <c r="G74" s="55" t="n">
        <v>228</v>
      </c>
      <c r="H74" s="55" t="n">
        <v>13</v>
      </c>
      <c r="I74" s="55" t="n">
        <v>157</v>
      </c>
      <c r="J74" s="56" t="n">
        <v>3.9</v>
      </c>
      <c r="K74" s="56" t="inlineStr">
        <is>
          <t>https://amazon.com/dp/B08FZ46X2M</t>
        </is>
      </c>
      <c r="L74" s="34">
        <f>HYPERLINK(Innova_2[[#This Row],[Column1]])</f>
        <v/>
      </c>
    </row>
    <row r="75" ht="45" customHeight="1" s="290">
      <c r="A75" s="30" t="inlineStr">
        <is>
          <t>Innova 3994 Soft Pouch</t>
        </is>
      </c>
      <c r="B75" s="30" t="inlineStr">
        <is>
          <t>B0D4R8Y6SY</t>
        </is>
      </c>
      <c r="C75" s="30" t="inlineStr">
        <is>
          <t>Other</t>
        </is>
      </c>
      <c r="D75" s="324" t="n">
        <v>19.22457894736842</v>
      </c>
      <c r="E75" s="53" t="n">
        <v>44113.01461538461</v>
      </c>
      <c r="F75" s="54" t="n">
        <v>3652.67</v>
      </c>
      <c r="G75" s="55" t="n">
        <v>190</v>
      </c>
      <c r="H75" s="55" t="n">
        <v>190</v>
      </c>
      <c r="I75" s="55" t="n"/>
      <c r="J75" s="56" t="n"/>
      <c r="K75" s="56" t="inlineStr">
        <is>
          <t>https://www.amazon.com/dp/B0D4R8Y6SY</t>
        </is>
      </c>
      <c r="L75" s="34">
        <f>HYPERLINK(Innova_2[[#This Row],[Column1]])</f>
        <v/>
      </c>
    </row>
    <row r="76" ht="45" customHeight="1" s="290">
      <c r="A76" s="30" t="inlineStr">
        <is>
          <t>Innova 3149 Extension Cable for Ford Code Reader (Item 3145)</t>
        </is>
      </c>
      <c r="B76" s="30" t="inlineStr">
        <is>
          <t>B000EVYH36</t>
        </is>
      </c>
      <c r="C76" s="30" t="inlineStr">
        <is>
          <t>Cable/Adapter</t>
        </is>
      </c>
      <c r="D76" s="324" t="n">
        <v>39.75924999999999</v>
      </c>
      <c r="E76" s="53" t="n">
        <v>38413.55230769231</v>
      </c>
      <c r="F76" s="54" t="n">
        <v>3180.74</v>
      </c>
      <c r="G76" s="55" t="n">
        <v>80</v>
      </c>
      <c r="H76" s="55" t="n">
        <v>80</v>
      </c>
      <c r="I76" s="55" t="n">
        <v>1355</v>
      </c>
      <c r="J76" s="56" t="n">
        <v>4.7</v>
      </c>
      <c r="K76" s="56" t="inlineStr">
        <is>
          <t>https://amazon.com/dp/B000EVYH36</t>
        </is>
      </c>
      <c r="L76" s="34">
        <f>HYPERLINK(Innova_2[[#This Row],[Column1]])</f>
        <v/>
      </c>
    </row>
    <row r="77" ht="60" customHeight="1" s="290">
      <c r="A77" s="30" t="inlineStr">
        <is>
          <t>Innova 3128 HD Adapter Kit - Made for Heavy-Duty Trucks - Compatible with Innova 5610 - Includes 4 Heavy-Duty OBD Adapters with a Pouch Bag</t>
        </is>
      </c>
      <c r="B77" s="30" t="inlineStr">
        <is>
          <t>B0FD49XQTG</t>
        </is>
      </c>
      <c r="C77" s="30" t="inlineStr">
        <is>
          <t>Cable/Adapter</t>
        </is>
      </c>
      <c r="D77" s="324" t="n">
        <v>93.93181818181819</v>
      </c>
      <c r="E77" s="53" t="n">
        <v>26628.22846153846</v>
      </c>
      <c r="F77" s="54" t="n">
        <v>3099.75</v>
      </c>
      <c r="G77" s="55" t="n">
        <v>125</v>
      </c>
      <c r="H77" s="55" t="n">
        <v>33</v>
      </c>
      <c r="I77" s="55" t="n">
        <v>3</v>
      </c>
      <c r="J77" s="56" t="n">
        <v>5</v>
      </c>
      <c r="K77" s="56" t="inlineStr">
        <is>
          <t>https://amazon.com/dp/B0FD49XQTG</t>
        </is>
      </c>
      <c r="L77" s="34">
        <f>HYPERLINK(Innova_2[[#This Row],[Column1]])</f>
        <v/>
      </c>
    </row>
    <row r="78" ht="45" customHeight="1" s="290">
      <c r="A78" s="30" t="inlineStr">
        <is>
          <t>Innova 5420 Power Circuit Tester for Automotive | 45° Swivel Head | Fuse, Relay, Battery, and Circuit Diagnostics | Voltage Tester, Multimeter, Relay Tester, Short Circuit Finder, 12V/24V</t>
        </is>
      </c>
      <c r="B78" s="30" t="inlineStr">
        <is>
          <t>B09ZQ3ZQV2</t>
        </is>
      </c>
      <c r="C78" s="30" t="inlineStr">
        <is>
          <t>Other</t>
        </is>
      </c>
      <c r="D78" s="324" t="n">
        <v>90.3060606060606</v>
      </c>
      <c r="E78" s="53" t="n">
        <v>35990.43846153846</v>
      </c>
      <c r="F78" s="54" t="n">
        <v>2980.1</v>
      </c>
      <c r="G78" s="55" t="n">
        <v>33</v>
      </c>
      <c r="H78" s="55" t="n">
        <v>33</v>
      </c>
      <c r="I78" s="55" t="n"/>
      <c r="J78" s="56" t="n"/>
      <c r="K78" s="56" t="inlineStr">
        <is>
          <t>https://www.amazon.com/dp/B09ZQ3ZQV2</t>
        </is>
      </c>
      <c r="L78" s="34">
        <f>HYPERLINK(Innova_2[[#This Row],[Column1]])</f>
        <v/>
      </c>
    </row>
    <row r="79" ht="45" customHeight="1" s="290">
      <c r="A79" s="30" t="inlineStr">
        <is>
          <t>Innova 3721 Battery and Charging System Monitor</t>
        </is>
      </c>
      <c r="B79" s="30" t="inlineStr">
        <is>
          <t>B000EVWDU0</t>
        </is>
      </c>
      <c r="C79" s="30" t="inlineStr">
        <is>
          <t>Other</t>
        </is>
      </c>
      <c r="D79" s="324" t="n">
        <v>23.34055555555556</v>
      </c>
      <c r="E79" s="53" t="n">
        <v>25369.38846153846</v>
      </c>
      <c r="F79" s="54" t="n">
        <v>2100.65</v>
      </c>
      <c r="G79" s="55" t="n">
        <v>90</v>
      </c>
      <c r="H79" s="55" t="n">
        <v>90</v>
      </c>
      <c r="I79" s="55" t="n"/>
      <c r="J79" s="56" t="n"/>
      <c r="K79" s="56" t="inlineStr">
        <is>
          <t>https://www.amazon.com/dp/B000EVWDU0</t>
        </is>
      </c>
      <c r="L79" s="34">
        <f>HYPERLINK(Innova_2[[#This Row],[Column1]])</f>
        <v/>
      </c>
    </row>
    <row r="80" ht="45" customHeight="1" s="290">
      <c r="A80" s="30" t="inlineStr">
        <is>
          <t>Innova 3595 Replacement Metal Inductive Pickup Lead Set</t>
        </is>
      </c>
      <c r="B80" s="30" t="inlineStr">
        <is>
          <t>B001QUB8KE</t>
        </is>
      </c>
      <c r="C80" s="30" t="inlineStr">
        <is>
          <t>Other</t>
        </is>
      </c>
      <c r="D80" s="324" t="n">
        <v>26.55512820512821</v>
      </c>
      <c r="E80" s="53" t="n">
        <v>25014.93076923077</v>
      </c>
      <c r="F80" s="54" t="n">
        <v>2071.3</v>
      </c>
      <c r="G80" s="55" t="n">
        <v>78</v>
      </c>
      <c r="H80" s="55" t="n">
        <v>78</v>
      </c>
      <c r="I80" s="55" t="n"/>
      <c r="J80" s="56" t="n"/>
      <c r="K80" s="56" t="inlineStr">
        <is>
          <t>https://www.amazon.com/dp/B001QUB8KE</t>
        </is>
      </c>
      <c r="L80" s="34">
        <f>HYPERLINK(Innova_2[[#This Row],[Column1]])</f>
        <v/>
      </c>
    </row>
    <row r="81" ht="45" customHeight="1" s="290">
      <c r="A81" s="30" t="inlineStr">
        <is>
          <t>Innova 3612 Compression Tester - 4 Piece Kit</t>
        </is>
      </c>
      <c r="B81" s="30" t="inlineStr">
        <is>
          <t>B000EVU89I</t>
        </is>
      </c>
      <c r="C81" s="30" t="inlineStr">
        <is>
          <t>Other</t>
        </is>
      </c>
      <c r="D81" s="324" t="n">
        <v>32.96580645161291</v>
      </c>
      <c r="E81" s="53" t="n">
        <v>24683.78153846153</v>
      </c>
      <c r="F81" s="54" t="n">
        <v>2043.88</v>
      </c>
      <c r="G81" s="55" t="n">
        <v>62</v>
      </c>
      <c r="H81" s="55" t="n">
        <v>62</v>
      </c>
      <c r="I81" s="55" t="n"/>
      <c r="J81" s="56" t="n"/>
      <c r="K81" s="56" t="inlineStr">
        <is>
          <t>https://www.amazon.com/dp/B000EVU89I</t>
        </is>
      </c>
      <c r="L81" s="34">
        <f>HYPERLINK(Innova_2[[#This Row],[Column1]])</f>
        <v/>
      </c>
    </row>
    <row r="82" ht="45" customHeight="1" s="290">
      <c r="A82" s="30" t="inlineStr">
        <is>
          <t>Innova 3614 Compression Tester Plus - 6 Piece Kit</t>
        </is>
      </c>
      <c r="B82" s="30" t="inlineStr">
        <is>
          <t>B000EVU8JS</t>
        </is>
      </c>
      <c r="C82" s="30" t="inlineStr">
        <is>
          <t>Other</t>
        </is>
      </c>
      <c r="D82" s="324" t="n">
        <v>36.51596153846154</v>
      </c>
      <c r="E82" s="53" t="n">
        <v>22932.02384615385</v>
      </c>
      <c r="F82" s="54" t="n">
        <v>1898.83</v>
      </c>
      <c r="G82" s="55" t="n">
        <v>52</v>
      </c>
      <c r="H82" s="55" t="n">
        <v>52</v>
      </c>
      <c r="I82" s="55" t="n"/>
      <c r="J82" s="56" t="n"/>
      <c r="K82" s="56" t="inlineStr">
        <is>
          <t>https://www.amazon.com/dp/B000EVU8JS</t>
        </is>
      </c>
      <c r="L82" s="34">
        <f>HYPERLINK(Innova_2[[#This Row],[Column1]])</f>
        <v/>
      </c>
    </row>
    <row r="83" ht="30" customHeight="1" s="290">
      <c r="A83" s="30" t="inlineStr">
        <is>
          <t>Innova 5512 OBD2 Scanner, ABS Brake Bleeding, Transmission Temp, TPMS, OBD1 Adapters Included, Repair App</t>
        </is>
      </c>
      <c r="B83" s="30" t="inlineStr">
        <is>
          <t>B09WPW4WQ4</t>
        </is>
      </c>
      <c r="C83" s="30" t="inlineStr">
        <is>
          <t>Handheld</t>
        </is>
      </c>
      <c r="D83" s="324" t="n">
        <v>299.99</v>
      </c>
      <c r="E83" s="53" t="n">
        <v>21691.06307692307</v>
      </c>
      <c r="F83" s="54" t="n">
        <v>1799.94</v>
      </c>
      <c r="G83" s="55" t="n">
        <v>66</v>
      </c>
      <c r="H83" s="55" t="n">
        <v>6</v>
      </c>
      <c r="I83" s="55" t="n">
        <v>32</v>
      </c>
      <c r="J83" s="56" t="n">
        <v>3.8</v>
      </c>
      <c r="K83" s="56" t="inlineStr">
        <is>
          <t>https://amazon.com/dp/B09WPW4WQ4</t>
        </is>
      </c>
      <c r="L83" s="34">
        <f>HYPERLINK(Innova_2[[#This Row],[Column1]])</f>
        <v/>
      </c>
    </row>
    <row r="84" ht="45" customHeight="1" s="290">
      <c r="A84" s="30" t="inlineStr">
        <is>
          <t>INNOVA 3160RS OBD2 Scanner, ABS Brake Bleeder, ABS SRS Engine Transmission Diagnoses, Airbag Light Reset, Car Battery Tester &amp; Alternator Tester, Battery Reset, Fix &amp; Parts Recommendations</t>
        </is>
      </c>
      <c r="B84" s="30" t="inlineStr">
        <is>
          <t>B084SVSFZY</t>
        </is>
      </c>
      <c r="C84" s="30" t="inlineStr">
        <is>
          <t>Handheld</t>
        </is>
      </c>
      <c r="D84" s="324" t="n">
        <v>262.295</v>
      </c>
      <c r="E84" s="53" t="n">
        <v>35742.58</v>
      </c>
      <c r="F84" s="54" t="n">
        <v>1573.77</v>
      </c>
      <c r="G84" s="55" t="n">
        <v>169</v>
      </c>
      <c r="H84" s="55" t="n">
        <v>6</v>
      </c>
      <c r="I84" s="55" t="n">
        <v>288</v>
      </c>
      <c r="J84" s="56" t="n">
        <v>4.1</v>
      </c>
      <c r="K84" s="56" t="inlineStr">
        <is>
          <t>https://amazon.com/dp/B084SVSFZY</t>
        </is>
      </c>
      <c r="L84" s="34">
        <f>HYPERLINK(Innova_2[[#This Row],[Column1]])</f>
        <v/>
      </c>
    </row>
    <row r="85" ht="45" customHeight="1" s="290">
      <c r="A85" s="30" t="inlineStr">
        <is>
          <t>INNOVA 3020RS Fast &amp; Easy-to-Use Check Engine Code Reader, OBD2 Scan tool for ABS Clear with Fix &amp; Part Recommendations, Maintenance Schedules, &amp; Free TSBs on iPhone &amp; Android</t>
        </is>
      </c>
      <c r="B85" s="30" t="inlineStr">
        <is>
          <t>B084SWJL4J</t>
        </is>
      </c>
      <c r="C85" s="30" t="inlineStr">
        <is>
          <t>Handheld</t>
        </is>
      </c>
      <c r="D85" s="324" t="n">
        <v>65.36333333333334</v>
      </c>
      <c r="E85" s="53" t="n">
        <v>78600.73999999999</v>
      </c>
      <c r="F85" s="54" t="n">
        <v>1372.63</v>
      </c>
      <c r="G85" s="55" t="n">
        <v>1191</v>
      </c>
      <c r="H85" s="55" t="n">
        <v>21</v>
      </c>
      <c r="I85" s="55" t="n">
        <v>2485</v>
      </c>
      <c r="J85" s="56" t="n">
        <v>4.3</v>
      </c>
      <c r="K85" s="56" t="inlineStr">
        <is>
          <t>https://amazon.com/dp/B084SWJL4J</t>
        </is>
      </c>
      <c r="L85" s="34">
        <f>HYPERLINK(Innova_2[[#This Row],[Column1]])</f>
        <v/>
      </c>
    </row>
    <row r="86" ht="45" customHeight="1" s="290">
      <c r="A86" s="30" t="inlineStr">
        <is>
          <t>Innova 5568 Pro Digital Timing Light Tool with Digital Advance, LED Display, Ignition Timing for 2 and 4 Cycle Engines, Automotive Diagnostic Tool for Cars and Trucks</t>
        </is>
      </c>
      <c r="B86" s="30" t="inlineStr">
        <is>
          <t>B000EVU8J8</t>
        </is>
      </c>
      <c r="C86" s="30" t="inlineStr">
        <is>
          <t>Other</t>
        </is>
      </c>
      <c r="D86" s="324" t="n">
        <v>131.6177777777778</v>
      </c>
      <c r="E86" s="53" t="n">
        <v>14305.84</v>
      </c>
      <c r="F86" s="54" t="n">
        <v>1184.56</v>
      </c>
      <c r="G86" s="55" t="n">
        <v>9</v>
      </c>
      <c r="H86" s="55" t="n">
        <v>9</v>
      </c>
      <c r="I86" s="55" t="n"/>
      <c r="J86" s="56" t="n"/>
      <c r="K86" s="56" t="inlineStr">
        <is>
          <t>https://www.amazon.com/dp/B000EVU8J8</t>
        </is>
      </c>
      <c r="L86" s="34">
        <f>HYPERLINK(Innova_2[[#This Row],[Column1]])</f>
        <v/>
      </c>
    </row>
    <row r="87" ht="45" customHeight="1" s="290">
      <c r="A87" s="30" t="inlineStr">
        <is>
          <t>Innova 3640 Professional Fuel Injection Pressure Tester</t>
        </is>
      </c>
      <c r="B87" s="30" t="inlineStr">
        <is>
          <t>B000EVU8NY</t>
        </is>
      </c>
      <c r="C87" s="30" t="inlineStr">
        <is>
          <t>Other</t>
        </is>
      </c>
      <c r="D87" s="324" t="n">
        <v>28.26666666666667</v>
      </c>
      <c r="E87" s="53" t="n">
        <v>11265.35384615384</v>
      </c>
      <c r="F87" s="54" t="n">
        <v>932.8</v>
      </c>
      <c r="G87" s="55" t="n">
        <v>33</v>
      </c>
      <c r="H87" s="55" t="n">
        <v>33</v>
      </c>
      <c r="I87" s="55" t="n"/>
      <c r="J87" s="56" t="n"/>
      <c r="K87" s="56" t="inlineStr">
        <is>
          <t>https://www.amazon.com/dp/B000EVU8NY</t>
        </is>
      </c>
      <c r="L87" s="34">
        <f>HYPERLINK(Innova_2[[#This Row],[Column1]])</f>
        <v/>
      </c>
    </row>
    <row r="88" ht="45" customHeight="1" s="290">
      <c r="A88" s="30" t="inlineStr">
        <is>
          <t>Innova 3360 Thermal Camera - Infrared Camera with Heat Vision - Identify Hot/Cold Spots -4° ~ 1112°F - Easy to Use Thermal Imager</t>
        </is>
      </c>
      <c r="B88" s="30" t="inlineStr">
        <is>
          <t>B0FDLVW4G8</t>
        </is>
      </c>
      <c r="C88" s="30" t="inlineStr">
        <is>
          <t>Other</t>
        </is>
      </c>
      <c r="D88" s="324" t="n">
        <v>95.54666666666667</v>
      </c>
      <c r="E88" s="53" t="n">
        <v>10385.18769230769</v>
      </c>
      <c r="F88" s="54" t="n">
        <v>859.92</v>
      </c>
      <c r="G88" s="55" t="n">
        <v>9</v>
      </c>
      <c r="H88" s="55" t="n">
        <v>9</v>
      </c>
      <c r="I88" s="55" t="n"/>
      <c r="J88" s="56" t="n"/>
      <c r="K88" s="56" t="inlineStr">
        <is>
          <t>https://www.amazon.com/dp/B0FDLVW4G8</t>
        </is>
      </c>
      <c r="L88" s="34">
        <f>HYPERLINK(Innova_2[[#This Row],[Column1]])</f>
        <v/>
      </c>
    </row>
    <row r="89" ht="45" customHeight="1" s="290">
      <c r="A89" s="30" t="inlineStr">
        <is>
          <t>Innova 3347 Digital Multimeter AMP Probe Red</t>
        </is>
      </c>
      <c r="B89" s="30" t="inlineStr">
        <is>
          <t>B0015S9SWW</t>
        </is>
      </c>
      <c r="C89" s="30" t="inlineStr">
        <is>
          <t>Other</t>
        </is>
      </c>
      <c r="D89" s="324" t="n">
        <v>82.026</v>
      </c>
      <c r="E89" s="53" t="n">
        <v>9906.21692307692</v>
      </c>
      <c r="F89" s="54" t="n">
        <v>820.26</v>
      </c>
      <c r="G89" s="55" t="n">
        <v>10</v>
      </c>
      <c r="H89" s="55" t="n">
        <v>10</v>
      </c>
      <c r="I89" s="55" t="n"/>
      <c r="J89" s="56" t="n"/>
      <c r="K89" s="56" t="inlineStr">
        <is>
          <t>https://www.amazon.com/dp/B0015S9SWW</t>
        </is>
      </c>
      <c r="L89" s="34">
        <f>HYPERLINK(Innova_2[[#This Row],[Column1]])</f>
        <v/>
      </c>
    </row>
    <row r="90" ht="45" customHeight="1" s="290">
      <c r="A90" s="30" t="inlineStr">
        <is>
          <t>Innova 3620 Vacuum/Carburetor Fuel Pressure Tester</t>
        </is>
      </c>
      <c r="B90" s="30" t="inlineStr">
        <is>
          <t>B000EW0KPY</t>
        </is>
      </c>
      <c r="C90" s="30" t="inlineStr">
        <is>
          <t>Other</t>
        </is>
      </c>
      <c r="D90" s="324" t="n">
        <v>32.99</v>
      </c>
      <c r="E90" s="53" t="n">
        <v>7171.518461538461</v>
      </c>
      <c r="F90" s="54" t="n">
        <v>593.8200000000001</v>
      </c>
      <c r="G90" s="55" t="n">
        <v>18</v>
      </c>
      <c r="H90" s="55" t="n">
        <v>18</v>
      </c>
      <c r="I90" s="55" t="n"/>
      <c r="J90" s="56" t="n"/>
      <c r="K90" s="56" t="inlineStr">
        <is>
          <t>https://www.amazon.com/dp/B000EW0KPY</t>
        </is>
      </c>
      <c r="L90" s="34">
        <f>HYPERLINK(Innova_2[[#This Row],[Column1]])</f>
        <v/>
      </c>
    </row>
    <row r="91" ht="45" customHeight="1" s="290">
      <c r="A91" s="30" t="inlineStr">
        <is>
          <t>Innova 3160g Pro OBD2 Scanner / Car Code Reader with Live data, ABS, SRS, Battery Reset, Service Light Reset, and Bluetooth</t>
        </is>
      </c>
      <c r="B91" s="30" t="inlineStr">
        <is>
          <t>B06XKX2KDJ</t>
        </is>
      </c>
      <c r="C91" s="30" t="inlineStr">
        <is>
          <t>Handheld</t>
        </is>
      </c>
      <c r="D91" s="324" t="n">
        <v>254.6</v>
      </c>
      <c r="E91" s="53" t="n">
        <v>2692.292307692307</v>
      </c>
      <c r="F91" s="54" t="n">
        <v>254.6</v>
      </c>
      <c r="G91" s="55" t="n">
        <v>5</v>
      </c>
      <c r="H91" s="55" t="n">
        <v>1</v>
      </c>
      <c r="I91" s="55" t="n">
        <v>289</v>
      </c>
      <c r="J91" s="56" t="n">
        <v>4.3</v>
      </c>
      <c r="K91" s="56" t="inlineStr">
        <is>
          <t>https://amazon.com/dp/B06XKX2KDJ</t>
        </is>
      </c>
      <c r="L91" s="34">
        <f>HYPERLINK(Innova_2[[#This Row],[Column1]])</f>
        <v/>
      </c>
    </row>
    <row r="92" ht="45" customHeight="1" s="290">
      <c r="A92" s="30" t="inlineStr">
        <is>
          <t>Innova 3410 Test Light/Circuit Tester</t>
        </is>
      </c>
      <c r="B92" s="30" t="inlineStr">
        <is>
          <t>B0014DINF6</t>
        </is>
      </c>
      <c r="C92" s="30" t="inlineStr">
        <is>
          <t>Other</t>
        </is>
      </c>
      <c r="D92" s="324" t="n">
        <v>11.47470588235294</v>
      </c>
      <c r="E92" s="53" t="n">
        <v>2355.845384615384</v>
      </c>
      <c r="F92" s="54" t="n">
        <v>195.07</v>
      </c>
      <c r="G92" s="55" t="n">
        <v>17</v>
      </c>
      <c r="H92" s="55" t="n">
        <v>17</v>
      </c>
      <c r="I92" s="55" t="n"/>
      <c r="J92" s="56" t="n"/>
      <c r="K92" s="56" t="inlineStr">
        <is>
          <t>https://www.amazon.com/dp/B0014DINF6</t>
        </is>
      </c>
      <c r="L92" s="34">
        <f>HYPERLINK(Innova_2[[#This Row],[Column1]])</f>
        <v/>
      </c>
    </row>
    <row r="93" ht="45" customHeight="1" s="290">
      <c r="A93" s="30" t="inlineStr">
        <is>
          <t>Diagnostic Scan Tool Code Reader with ABS and Battery Backup for OBD2 Vehicles</t>
        </is>
      </c>
      <c r="B93" s="30" t="inlineStr">
        <is>
          <t>B000EVWDAK</t>
        </is>
      </c>
      <c r="C93" s="30" t="inlineStr">
        <is>
          <t>Handheld</t>
        </is>
      </c>
      <c r="D93" s="324" t="n">
        <v>189.63</v>
      </c>
      <c r="E93" s="53" t="n">
        <v>562.05</v>
      </c>
      <c r="F93" s="54" t="n">
        <v>0</v>
      </c>
      <c r="G93" s="55" t="n">
        <v>3</v>
      </c>
      <c r="H93" s="55" t="n">
        <v>0</v>
      </c>
      <c r="I93" s="55" t="n">
        <v>1123</v>
      </c>
      <c r="J93" s="56" t="n">
        <v>4.5</v>
      </c>
      <c r="K93" s="56" t="inlineStr">
        <is>
          <t>https://amazon.com/dp/B000EVWDAK</t>
        </is>
      </c>
      <c r="L93" s="34">
        <f>HYPERLINK(Innova_2[[#This Row],[Column1]])</f>
        <v/>
      </c>
    </row>
    <row r="94" ht="60" customHeight="1" s="290">
      <c r="A94" s="30" t="inlineStr">
        <is>
          <t>Innova 5023 Pro CarScan Code Scanner - Professional OBD2 Scanner - Smog Test Scan Tool - Multilingual Code Reader</t>
        </is>
      </c>
      <c r="B94" s="30" t="inlineStr">
        <is>
          <t>B076N5V6SN</t>
        </is>
      </c>
      <c r="C94" s="30" t="inlineStr">
        <is>
          <t>Handheld</t>
        </is>
      </c>
      <c r="D94" s="324" t="n">
        <v>77.63</v>
      </c>
      <c r="E94" s="53" t="n">
        <v>-686.9515384615386</v>
      </c>
      <c r="F94" s="54" t="n">
        <v>-81.93000000000001</v>
      </c>
      <c r="G94" s="55" t="n">
        <v>-1</v>
      </c>
      <c r="H94" s="55" t="n">
        <v>-1</v>
      </c>
      <c r="I94" s="55" t="n">
        <v>48</v>
      </c>
      <c r="J94" s="56" t="n">
        <v>3.6</v>
      </c>
      <c r="K94" s="56" t="inlineStr">
        <is>
          <t>https://amazon.com/dp/B076N5V6SN</t>
        </is>
      </c>
      <c r="L94" s="34">
        <f>HYPERLINK(Innova_2[[#This Row],[Column1]])</f>
        <v/>
      </c>
    </row>
    <row r="95" ht="45" customHeight="1" s="290">
      <c r="A95" s="30" t="n"/>
      <c r="B95" s="30" t="n"/>
      <c r="C95" s="30" t="n"/>
      <c r="D95" s="324" t="n"/>
      <c r="E95" s="53" t="n"/>
      <c r="F95" s="54" t="n"/>
      <c r="G95" s="55" t="n"/>
      <c r="H95" s="55" t="n"/>
      <c r="I95" s="55" t="n"/>
      <c r="J95" s="56" t="n"/>
      <c r="K95" s="56" t="n"/>
      <c r="L95" s="34">
        <f>HYPERLINK(Table544[[#This Row],[Column1]])</f>
        <v/>
      </c>
    </row>
    <row r="96" ht="45" customHeight="1" s="290">
      <c r="A96" s="30" t="n"/>
      <c r="B96" s="30" t="n"/>
      <c r="C96" s="30" t="n"/>
      <c r="D96" s="324" t="n"/>
      <c r="E96" s="53" t="n"/>
      <c r="F96" s="54" t="n"/>
      <c r="G96" s="55" t="n"/>
      <c r="H96" s="55" t="n"/>
      <c r="I96" s="55" t="n"/>
      <c r="J96" s="56" t="n"/>
      <c r="K96" s="56" t="n"/>
      <c r="L96" s="34">
        <f>HYPERLINK(Table544[[#This Row],[Column1]])</f>
        <v/>
      </c>
    </row>
    <row r="97" ht="45" customHeight="1" s="290">
      <c r="A97" s="30" t="n"/>
      <c r="B97" s="30" t="n"/>
      <c r="C97" s="30" t="n"/>
      <c r="D97" s="324" t="n"/>
      <c r="E97" s="53" t="n"/>
      <c r="F97" s="54" t="n"/>
      <c r="G97" s="55" t="n"/>
      <c r="H97" s="55" t="n"/>
      <c r="I97" s="55" t="n"/>
      <c r="J97" s="56" t="n"/>
      <c r="K97" s="56" t="n"/>
      <c r="L97" s="34">
        <f>HYPERLINK(Table544[[#This Row],[Column1]])</f>
        <v/>
      </c>
    </row>
    <row r="98" ht="60" customHeight="1" s="290">
      <c r="A98" s="30" t="n"/>
      <c r="B98" s="30" t="n"/>
      <c r="C98" s="30" t="n"/>
      <c r="D98" s="324" t="n"/>
      <c r="E98" s="53" t="n"/>
      <c r="F98" s="54" t="n"/>
      <c r="G98" s="55" t="n"/>
      <c r="H98" s="55" t="n"/>
      <c r="I98" s="55" t="n"/>
      <c r="J98" s="56" t="n"/>
      <c r="K98" s="56" t="n"/>
      <c r="L98" s="34">
        <f>HYPERLINK(Table544[[#This Row],[Column1]])</f>
        <v/>
      </c>
    </row>
    <row r="99" ht="45" customHeight="1" s="290">
      <c r="A99" s="30" t="n"/>
      <c r="B99" s="30" t="n"/>
      <c r="C99" s="30" t="n"/>
      <c r="D99" s="324" t="n"/>
      <c r="E99" s="53" t="n"/>
      <c r="F99" s="54" t="n"/>
      <c r="G99" s="55" t="n"/>
      <c r="H99" s="55" t="n"/>
      <c r="I99" s="55" t="n"/>
      <c r="J99" s="56" t="n"/>
      <c r="K99" s="56" t="n"/>
      <c r="L99" s="34">
        <f>HYPERLINK(Table544[[#This Row],[Column1]])</f>
        <v/>
      </c>
    </row>
    <row r="100" ht="45" customHeight="1" s="290">
      <c r="A100" s="30" t="n"/>
      <c r="B100" s="30" t="n"/>
      <c r="C100" s="30" t="n"/>
      <c r="D100" s="324" t="n"/>
      <c r="E100" s="53" t="n"/>
      <c r="F100" s="54" t="n"/>
      <c r="G100" s="55" t="n"/>
      <c r="H100" s="55" t="n"/>
      <c r="I100" s="55" t="n"/>
      <c r="J100" s="56" t="n"/>
      <c r="K100" s="56" t="n"/>
      <c r="L100" s="34">
        <f>HYPERLINK(Table544[[#This Row],[Column1]])</f>
        <v/>
      </c>
    </row>
    <row r="101" ht="45" customHeight="1" s="290">
      <c r="A101" s="30" t="n"/>
      <c r="B101" s="30" t="n"/>
      <c r="C101" s="30" t="n"/>
      <c r="D101" s="324" t="n"/>
      <c r="E101" s="53" t="n"/>
      <c r="F101" s="54" t="n"/>
      <c r="G101" s="55" t="n"/>
      <c r="H101" s="55" t="n"/>
      <c r="I101" s="55" t="n"/>
      <c r="J101" s="56" t="n"/>
      <c r="K101" s="56" t="n"/>
      <c r="L101" s="34">
        <f>HYPERLINK(Table544[[#This Row],[Column1]])</f>
        <v/>
      </c>
    </row>
    <row r="102" ht="45" customHeight="1" s="290">
      <c r="A102" s="30" t="n"/>
      <c r="B102" s="30" t="n"/>
      <c r="C102" s="30" t="n"/>
      <c r="D102" s="324" t="n"/>
      <c r="E102" s="53" t="n"/>
      <c r="F102" s="54" t="n"/>
      <c r="G102" s="55" t="n"/>
      <c r="H102" s="55" t="n"/>
      <c r="I102" s="55" t="n"/>
      <c r="J102" s="56" t="n"/>
      <c r="K102" s="56" t="n"/>
      <c r="L102" s="34">
        <f>HYPERLINK(Table544[[#This Row],[Column1]])</f>
        <v/>
      </c>
    </row>
    <row r="103" ht="45" customHeight="1" s="290">
      <c r="A103" s="30" t="n"/>
      <c r="B103" s="30" t="n"/>
      <c r="C103" s="30" t="n"/>
      <c r="D103" s="324" t="n"/>
      <c r="E103" s="53" t="n"/>
      <c r="F103" s="54" t="n"/>
      <c r="G103" s="55" t="n"/>
      <c r="H103" s="55" t="n"/>
      <c r="I103" s="55" t="n"/>
      <c r="J103" s="56" t="n"/>
      <c r="K103" s="56" t="n"/>
      <c r="L103" s="34">
        <f>HYPERLINK(Table544[[#This Row],[Column1]])</f>
        <v/>
      </c>
    </row>
    <row r="104" ht="45" customHeight="1" s="290">
      <c r="A104" s="30" t="n"/>
      <c r="B104" s="30" t="n"/>
      <c r="C104" s="30" t="n"/>
      <c r="D104" s="324" t="n"/>
      <c r="E104" s="53" t="n"/>
      <c r="F104" s="54" t="n"/>
      <c r="G104" s="55" t="n"/>
      <c r="H104" s="55" t="n"/>
      <c r="I104" s="55" t="n"/>
      <c r="J104" s="56" t="n"/>
      <c r="K104" s="56" t="n"/>
      <c r="L104" s="34">
        <f>HYPERLINK(Table544[[#This Row],[Column1]])</f>
        <v/>
      </c>
    </row>
    <row r="105" ht="45" customHeight="1" s="290">
      <c r="A105" s="30" t="n"/>
      <c r="B105" s="30" t="n"/>
      <c r="C105" s="30" t="n"/>
      <c r="D105" s="324" t="n"/>
      <c r="E105" s="53" t="n"/>
      <c r="F105" s="54" t="n"/>
      <c r="G105" s="55" t="n"/>
      <c r="H105" s="55" t="n"/>
      <c r="I105" s="55" t="n"/>
      <c r="J105" s="56" t="n"/>
      <c r="K105" s="56" t="n"/>
      <c r="L105" s="34">
        <f>HYPERLINK(Table544[[#This Row],[Column1]])</f>
        <v/>
      </c>
    </row>
    <row r="106" ht="45" customHeight="1" s="290">
      <c r="A106" s="30" t="n"/>
      <c r="B106" s="30" t="n"/>
      <c r="C106" s="30" t="n"/>
      <c r="D106" s="324" t="n"/>
      <c r="E106" s="53" t="n"/>
      <c r="F106" s="54" t="n"/>
      <c r="G106" s="55" t="n"/>
      <c r="H106" s="55" t="n"/>
      <c r="I106" s="55" t="n"/>
      <c r="J106" s="56" t="n"/>
      <c r="K106" s="56" t="n"/>
      <c r="L106" s="34">
        <f>HYPERLINK(Table544[[#This Row],[Column1]])</f>
        <v/>
      </c>
    </row>
    <row r="107" ht="60" customHeight="1" s="290">
      <c r="A107" s="30" t="n"/>
      <c r="B107" s="30" t="n"/>
      <c r="C107" s="30" t="n"/>
      <c r="D107" s="324" t="n"/>
      <c r="E107" s="53" t="n"/>
      <c r="F107" s="54" t="n"/>
      <c r="G107" s="55" t="n"/>
      <c r="H107" s="55" t="n"/>
      <c r="I107" s="55" t="n"/>
      <c r="J107" s="56" t="n"/>
      <c r="K107" s="56" t="n"/>
      <c r="L107" s="34">
        <f>HYPERLINK(Table544[[#This Row],[Column1]])</f>
        <v/>
      </c>
    </row>
    <row r="108" ht="45" customHeight="1" s="290">
      <c r="A108" s="30" t="n"/>
      <c r="B108" s="30" t="n"/>
      <c r="C108" s="30" t="n"/>
      <c r="D108" s="324" t="n"/>
      <c r="E108" s="53" t="n"/>
      <c r="F108" s="54" t="n"/>
      <c r="G108" s="55" t="n"/>
      <c r="H108" s="55" t="n"/>
      <c r="I108" s="55" t="n"/>
      <c r="J108" s="56" t="n"/>
      <c r="K108" s="56" t="n"/>
      <c r="L108" s="34">
        <f>HYPERLINK(Table544[[#This Row],[Column1]])</f>
        <v/>
      </c>
    </row>
    <row r="109" ht="45" customHeight="1" s="290">
      <c r="A109" s="30" t="n"/>
      <c r="B109" s="30" t="n"/>
      <c r="C109" s="30" t="n"/>
      <c r="D109" s="324" t="n"/>
      <c r="E109" s="53" t="n"/>
      <c r="F109" s="54" t="n"/>
      <c r="G109" s="55" t="n"/>
      <c r="H109" s="55" t="n"/>
      <c r="I109" s="55" t="n"/>
      <c r="J109" s="56" t="n"/>
      <c r="K109" s="56" t="n"/>
      <c r="L109" s="34">
        <f>HYPERLINK(Table544[[#This Row],[Column1]])</f>
        <v/>
      </c>
    </row>
    <row r="110" ht="45" customHeight="1" s="290">
      <c r="A110" s="30" t="n"/>
      <c r="B110" s="30" t="n"/>
      <c r="C110" s="30" t="n"/>
      <c r="D110" s="324" t="n"/>
      <c r="E110" s="53" t="n"/>
      <c r="F110" s="54" t="n"/>
      <c r="G110" s="55" t="n"/>
      <c r="H110" s="55" t="n"/>
      <c r="I110" s="55" t="n"/>
      <c r="J110" s="56" t="n"/>
      <c r="K110" s="56" t="n"/>
      <c r="L110" s="34">
        <f>HYPERLINK(Table544[[#This Row],[Column1]])</f>
        <v/>
      </c>
    </row>
    <row r="111" ht="45" customHeight="1" s="290">
      <c r="A111" s="30" t="n"/>
      <c r="B111" s="30" t="n"/>
      <c r="C111" s="30" t="n"/>
      <c r="D111" s="324" t="n"/>
      <c r="E111" s="53" t="n"/>
      <c r="F111" s="54" t="n"/>
      <c r="G111" s="55" t="n"/>
      <c r="H111" s="55" t="n"/>
      <c r="I111" s="55" t="n"/>
      <c r="J111" s="56" t="n"/>
      <c r="K111" s="56" t="n"/>
      <c r="L111" s="34">
        <f>HYPERLINK(Table544[[#This Row],[Column1]])</f>
        <v/>
      </c>
    </row>
    <row r="112" ht="45" customHeight="1" s="290">
      <c r="A112" s="30" t="n"/>
      <c r="B112" s="30" t="n"/>
      <c r="C112" s="30" t="n"/>
      <c r="D112" s="324" t="n"/>
      <c r="E112" s="53" t="n"/>
      <c r="F112" s="54" t="n"/>
      <c r="G112" s="55" t="n"/>
      <c r="H112" s="55" t="n"/>
      <c r="I112" s="55" t="n"/>
      <c r="J112" s="56" t="n"/>
      <c r="K112" s="56" t="n"/>
      <c r="L112" s="34">
        <f>HYPERLINK(Table544[[#This Row],[Column1]])</f>
        <v/>
      </c>
    </row>
    <row r="113" ht="45" customHeight="1" s="290">
      <c r="A113" s="30" t="n"/>
      <c r="B113" s="30" t="n"/>
      <c r="C113" s="30" t="n"/>
      <c r="D113" s="324" t="n"/>
      <c r="E113" s="53" t="n"/>
      <c r="F113" s="54" t="n"/>
      <c r="G113" s="55" t="n"/>
      <c r="H113" s="55" t="n"/>
      <c r="I113" s="55" t="n"/>
      <c r="J113" s="56" t="n"/>
      <c r="K113" s="56" t="n"/>
      <c r="L113" s="34">
        <f>HYPERLINK(Table544[[#This Row],[Column1]])</f>
        <v/>
      </c>
    </row>
    <row r="114" ht="45" customHeight="1" s="290">
      <c r="A114" s="30" t="n"/>
      <c r="B114" s="30" t="n"/>
      <c r="C114" s="30" t="n"/>
      <c r="D114" s="324" t="n"/>
      <c r="E114" s="53" t="n"/>
      <c r="F114" s="54" t="n"/>
      <c r="G114" s="55" t="n"/>
      <c r="H114" s="55" t="n"/>
      <c r="I114" s="55" t="n"/>
      <c r="J114" s="56" t="n"/>
      <c r="K114" s="56" t="n"/>
      <c r="L114" s="34">
        <f>HYPERLINK(Table544[[#This Row],[Column1]])</f>
        <v/>
      </c>
    </row>
    <row r="115" ht="45" customHeight="1" s="290">
      <c r="A115" s="30" t="n"/>
      <c r="B115" s="30" t="n"/>
      <c r="C115" s="30" t="n"/>
      <c r="D115" s="324" t="n"/>
      <c r="E115" s="53" t="n"/>
      <c r="F115" s="54" t="n"/>
      <c r="G115" s="55" t="n"/>
      <c r="H115" s="55" t="n"/>
      <c r="I115" s="55" t="n"/>
      <c r="J115" s="56" t="n"/>
      <c r="K115" s="56" t="n"/>
      <c r="L115" s="34">
        <f>HYPERLINK(Table544[[#This Row],[Column1]])</f>
        <v/>
      </c>
    </row>
    <row r="116" ht="30" customHeight="1" s="290">
      <c r="A116" s="30" t="n"/>
      <c r="B116" s="30" t="n"/>
      <c r="C116" s="30" t="n"/>
      <c r="D116" s="324" t="n"/>
      <c r="E116" s="53" t="n"/>
      <c r="F116" s="54" t="n"/>
      <c r="G116" s="55" t="n"/>
      <c r="H116" s="55" t="n"/>
      <c r="I116" s="55" t="n"/>
      <c r="J116" s="56" t="n"/>
      <c r="K116" s="56" t="n"/>
      <c r="L116" s="34">
        <f>HYPERLINK(Table544[[#This Row],[Column1]])</f>
        <v/>
      </c>
    </row>
    <row r="117" ht="30" customHeight="1" s="290">
      <c r="A117" s="30" t="n"/>
      <c r="B117" s="30" t="n"/>
      <c r="C117" s="30" t="n"/>
      <c r="D117" s="324" t="n"/>
      <c r="E117" s="53" t="n"/>
      <c r="F117" s="54" t="n"/>
      <c r="G117" s="55" t="n"/>
      <c r="H117" s="55" t="n"/>
      <c r="I117" s="55" t="n"/>
      <c r="J117" s="56" t="n"/>
      <c r="K117" s="56" t="n"/>
      <c r="L117" s="34">
        <f>HYPERLINK(Table544[[#This Row],[Column1]])</f>
        <v/>
      </c>
    </row>
    <row r="118" ht="45" customHeight="1" s="290">
      <c r="A118" s="30" t="n"/>
      <c r="B118" s="30" t="n"/>
      <c r="C118" s="30" t="n"/>
      <c r="D118" s="324" t="n"/>
      <c r="E118" s="53" t="n"/>
      <c r="F118" s="54" t="n"/>
      <c r="G118" s="55" t="n"/>
      <c r="H118" s="55" t="n"/>
      <c r="I118" s="55" t="n"/>
      <c r="J118" s="56" t="n"/>
      <c r="K118" s="56" t="n"/>
      <c r="L118" s="34">
        <f>HYPERLINK(Table544[[#This Row],[Column1]])</f>
        <v/>
      </c>
    </row>
    <row r="119" ht="45" customHeight="1" s="290">
      <c r="A119" s="30" t="n"/>
      <c r="B119" s="30" t="n"/>
      <c r="C119" s="30" t="n"/>
      <c r="D119" s="324" t="n"/>
      <c r="E119" s="53" t="n"/>
      <c r="F119" s="54" t="n"/>
      <c r="G119" s="55" t="n"/>
      <c r="H119" s="55" t="n"/>
      <c r="I119" s="55" t="n"/>
      <c r="J119" s="56" t="n"/>
      <c r="K119" s="56" t="n"/>
      <c r="L119" s="34">
        <f>HYPERLINK(Table544[[#This Row],[Column1]])</f>
        <v/>
      </c>
    </row>
    <row r="120" ht="60" customHeight="1" s="290">
      <c r="A120" s="30" t="n"/>
      <c r="B120" s="30" t="n"/>
      <c r="C120" s="30" t="n"/>
      <c r="D120" s="324" t="n"/>
      <c r="E120" s="53" t="n"/>
      <c r="F120" s="54" t="n"/>
      <c r="G120" s="55" t="n"/>
      <c r="H120" s="55" t="n"/>
      <c r="I120" s="55" t="n"/>
      <c r="J120" s="56" t="n"/>
      <c r="K120" s="56" t="n"/>
      <c r="L120" s="34">
        <f>HYPERLINK(Table544[[#This Row],[Column1]])</f>
        <v/>
      </c>
    </row>
    <row r="121" ht="45" customHeight="1" s="290">
      <c r="A121" s="30" t="n"/>
      <c r="B121" s="30" t="n"/>
      <c r="C121" s="30" t="n"/>
      <c r="D121" s="324" t="n"/>
      <c r="E121" s="53" t="n"/>
      <c r="F121" s="54" t="n"/>
      <c r="G121" s="55" t="n"/>
      <c r="H121" s="55" t="n"/>
      <c r="I121" s="55" t="n"/>
      <c r="J121" s="56" t="n"/>
      <c r="K121" s="56" t="n"/>
      <c r="L121" s="34">
        <f>HYPERLINK(Table544[[#This Row],[Column1]])</f>
        <v/>
      </c>
    </row>
    <row r="122" ht="45" customHeight="1" s="290">
      <c r="A122" s="30" t="n"/>
      <c r="B122" s="30" t="n"/>
      <c r="C122" s="30" t="n"/>
      <c r="D122" s="324" t="n"/>
      <c r="E122" s="53" t="n"/>
      <c r="F122" s="54" t="n"/>
      <c r="G122" s="55" t="n"/>
      <c r="H122" s="55" t="n"/>
      <c r="I122" s="55" t="n"/>
      <c r="J122" s="56" t="n"/>
      <c r="K122" s="56" t="n"/>
      <c r="L122" s="34">
        <f>HYPERLINK(Table544[[#This Row],[Column1]])</f>
        <v/>
      </c>
    </row>
    <row r="123" ht="45" customHeight="1" s="290">
      <c r="A123" s="30" t="n"/>
      <c r="B123" s="30" t="n"/>
      <c r="C123" s="30" t="n"/>
      <c r="D123" s="324" t="n"/>
      <c r="E123" s="53" t="n"/>
      <c r="F123" s="54" t="n"/>
      <c r="G123" s="55" t="n"/>
      <c r="H123" s="55" t="n"/>
      <c r="I123" s="55" t="n"/>
      <c r="J123" s="56" t="n"/>
      <c r="K123" s="56" t="n"/>
      <c r="L123" s="34">
        <f>HYPERLINK(Table544[[#This Row],[Column1]])</f>
        <v/>
      </c>
    </row>
    <row r="124" ht="17" customHeight="1" s="290">
      <c r="A124" s="30" t="n"/>
      <c r="B124" s="30" t="n"/>
      <c r="C124" s="30" t="n"/>
      <c r="D124" s="324" t="n"/>
      <c r="E124" s="53" t="n"/>
      <c r="F124" s="54" t="n"/>
      <c r="G124" s="55" t="n"/>
      <c r="H124" s="55" t="n"/>
      <c r="I124" s="55" t="n"/>
      <c r="J124" s="56" t="n"/>
      <c r="K124" s="56" t="n"/>
      <c r="L124" s="34">
        <f>HYPERLINK(Table544[[#This Row],[Column1]])</f>
        <v/>
      </c>
    </row>
    <row r="125" ht="30" customHeight="1" s="290">
      <c r="A125" s="30" t="n"/>
      <c r="B125" s="30" t="n"/>
      <c r="C125" s="30" t="n"/>
      <c r="D125" s="324" t="n"/>
      <c r="E125" s="53" t="n"/>
      <c r="F125" s="54" t="n"/>
      <c r="G125" s="55" t="n"/>
      <c r="H125" s="55" t="n"/>
      <c r="I125" s="55" t="n"/>
      <c r="J125" s="56" t="n"/>
      <c r="K125" s="56" t="n"/>
      <c r="L125" s="34">
        <f>HYPERLINK(Table544[[#This Row],[Column1]])</f>
        <v/>
      </c>
    </row>
    <row r="126" ht="45" customHeight="1" s="290">
      <c r="A126" s="30" t="n"/>
      <c r="B126" s="30" t="n"/>
      <c r="C126" s="30" t="n"/>
      <c r="D126" s="324" t="n"/>
      <c r="E126" s="53" t="n"/>
      <c r="F126" s="54" t="n"/>
      <c r="G126" s="55" t="n"/>
      <c r="H126" s="55" t="n"/>
      <c r="I126" s="55" t="n"/>
      <c r="J126" s="56" t="n"/>
      <c r="K126" s="56" t="n"/>
      <c r="L126" s="34">
        <f>HYPERLINK(Table544[[#This Row],[Column1]])</f>
        <v/>
      </c>
    </row>
    <row r="127" ht="45" customHeight="1" s="290">
      <c r="A127" s="30" t="n"/>
      <c r="B127" s="30" t="n"/>
      <c r="C127" s="30" t="n"/>
      <c r="D127" s="324" t="n"/>
      <c r="E127" s="53" t="n"/>
      <c r="F127" s="54" t="n"/>
      <c r="G127" s="55" t="n"/>
      <c r="H127" s="55" t="n"/>
      <c r="I127" s="55" t="n"/>
      <c r="J127" s="56" t="n"/>
      <c r="K127" s="56" t="n"/>
      <c r="L127" s="34">
        <f>HYPERLINK(Table544[[#This Row],[Column1]])</f>
        <v/>
      </c>
    </row>
    <row r="128" ht="17" customHeight="1" s="290">
      <c r="A128" s="33" t="inlineStr">
        <is>
          <t>Total</t>
        </is>
      </c>
      <c r="B128" s="32" t="n"/>
      <c r="C128" s="325" t="n"/>
      <c r="D128" s="325" t="n"/>
      <c r="E128" s="59">
        <f>SUM(Table544[Estimated 12mo Revenue])</f>
        <v/>
      </c>
      <c r="F128" s="59">
        <f>SUM(Table544[Monthly Rev])</f>
        <v/>
      </c>
      <c r="I128" s="286" t="n"/>
      <c r="J128" s="287" t="n"/>
    </row>
    <row r="131">
      <c r="A131" s="283" t="inlineStr">
        <is>
          <t>Rank by Units</t>
        </is>
      </c>
    </row>
    <row r="132" ht="17" customHeight="1" s="290">
      <c r="A132" s="38" t="inlineStr">
        <is>
          <t>Product Name</t>
        </is>
      </c>
      <c r="B132" s="39" t="inlineStr">
        <is>
          <t>ASIN</t>
        </is>
      </c>
      <c r="C132" s="39" t="inlineStr">
        <is>
          <t>Type</t>
        </is>
      </c>
      <c r="D132" s="322" t="inlineStr">
        <is>
          <t>Avg Price</t>
        </is>
      </c>
      <c r="E132" s="41" t="inlineStr">
        <is>
          <t>Estimated 12mo Revenue</t>
        </is>
      </c>
      <c r="F132" s="39" t="inlineStr">
        <is>
          <t>Monthly Rev</t>
        </is>
      </c>
      <c r="G132" s="42" t="inlineStr">
        <is>
          <t>Estimated 12mo Units</t>
        </is>
      </c>
      <c r="H132" s="45" t="inlineStr">
        <is>
          <t>Monthly Units</t>
        </is>
      </c>
      <c r="I132" s="42" t="inlineStr">
        <is>
          <t># of Reviews</t>
        </is>
      </c>
      <c r="J132" s="43" t="inlineStr">
        <is>
          <t xml:space="preserve">Tool Rating </t>
        </is>
      </c>
      <c r="K132" s="43" t="inlineStr">
        <is>
          <t>Column1</t>
        </is>
      </c>
      <c r="L132" s="323" t="inlineStr">
        <is>
          <t>Link</t>
        </is>
      </c>
    </row>
    <row r="133" ht="45" customHeight="1" s="290">
      <c r="A133" s="30" t="inlineStr">
        <is>
          <t>Innova 5610 OBD2 Bidirectional Scan Tool - Understand Your Vehicle, Pinpoint What's Wrong, and Complete Your Repairs with Less Headache, Updates Included, US-Based Technical Support</t>
        </is>
      </c>
      <c r="B133" s="30" t="inlineStr">
        <is>
          <t>B07Z481NJM</t>
        </is>
      </c>
      <c r="C133" s="30" t="inlineStr">
        <is>
          <t>Handheld</t>
        </is>
      </c>
      <c r="D133" s="324" t="n">
        <v>292.6118611449452</v>
      </c>
      <c r="E133" s="53" t="n">
        <v>11645944.12</v>
      </c>
      <c r="F133" s="53" t="n">
        <v>1201171.69</v>
      </c>
      <c r="G133" s="55" t="n">
        <v>39046</v>
      </c>
      <c r="H133" s="57" t="n">
        <v>4105</v>
      </c>
      <c r="I133" s="55" t="n">
        <v>3435</v>
      </c>
      <c r="J133" s="56" t="n">
        <v>4.4</v>
      </c>
      <c r="K133" s="56" t="inlineStr">
        <is>
          <t>https://amazon.com/dp/B07Z481NJM</t>
        </is>
      </c>
      <c r="L133" s="34">
        <f>HYPERLINK(Innova_1[[#This Row],[Column1]])</f>
        <v/>
      </c>
    </row>
    <row r="134" ht="45" customHeight="1" s="290">
      <c r="A134" s="30" t="inlineStr">
        <is>
          <t>Innova 5210 OBD2 Scanner &amp; Engine Code Reader, Battery Tester, Live Data, Oil Reset, Car Diagnostic Tool for Most Vehicles, Bluetooth Compatible with America's Top Car Repair App</t>
        </is>
      </c>
      <c r="B134" s="30" t="inlineStr">
        <is>
          <t>B07Z46L5FG</t>
        </is>
      </c>
      <c r="C134" s="30" t="inlineStr">
        <is>
          <t>Handheld</t>
        </is>
      </c>
      <c r="D134" s="324" t="n">
        <v>87.48796262367168</v>
      </c>
      <c r="E134" s="53" t="n">
        <v>2540961.49</v>
      </c>
      <c r="F134" s="53" t="n">
        <v>238754.65</v>
      </c>
      <c r="G134" s="55" t="n">
        <v>28360</v>
      </c>
      <c r="H134" s="57" t="n">
        <v>2729</v>
      </c>
      <c r="I134" s="55" t="n">
        <v>3977</v>
      </c>
      <c r="J134" s="56" t="n">
        <v>4.5</v>
      </c>
      <c r="K134" s="56" t="inlineStr">
        <is>
          <t>https://amazon.com/dp/B07Z46L5FG</t>
        </is>
      </c>
      <c r="L134" s="34">
        <f>HYPERLINK(Innova_1[[#This Row],[Column1]])</f>
        <v/>
      </c>
    </row>
    <row r="135" ht="45" customHeight="1" s="290">
      <c r="A135" s="30" t="inlineStr">
        <is>
          <t>Innova 3568 Digital Timing Light</t>
        </is>
      </c>
      <c r="B135" s="30" t="inlineStr">
        <is>
          <t>B000EVYGV4</t>
        </is>
      </c>
      <c r="C135" s="30" t="inlineStr">
        <is>
          <t>Other</t>
        </is>
      </c>
      <c r="D135" s="324" t="n">
        <v>79.89569668246446</v>
      </c>
      <c r="E135" s="53" t="n">
        <v>1017963.363076923</v>
      </c>
      <c r="F135" s="53" t="n">
        <v>84289.96000000001</v>
      </c>
      <c r="G135" s="55" t="n">
        <v>1055</v>
      </c>
      <c r="H135" s="57" t="n">
        <v>1055</v>
      </c>
      <c r="I135" s="55" t="n"/>
      <c r="J135" s="56" t="n"/>
      <c r="K135" s="56" t="inlineStr">
        <is>
          <t>https://www.amazon.com/dp/B000EVYGV4</t>
        </is>
      </c>
      <c r="L135" s="34">
        <f>HYPERLINK(Innova_1[[#This Row],[Column1]])</f>
        <v/>
      </c>
    </row>
    <row r="136" ht="45" customHeight="1" s="290">
      <c r="A136" s="30" t="inlineStr">
        <is>
          <t>INNOVA 3145 Ford Digital OBD1 Code Reader</t>
        </is>
      </c>
      <c r="B136" s="30" t="inlineStr">
        <is>
          <t>B000EW0KHW</t>
        </is>
      </c>
      <c r="C136" s="30" t="inlineStr">
        <is>
          <t>Handheld</t>
        </is>
      </c>
      <c r="D136" s="324" t="n">
        <v>39.82766475644699</v>
      </c>
      <c r="E136" s="53" t="n">
        <v>335734.9592307693</v>
      </c>
      <c r="F136" s="53" t="n">
        <v>27799.71</v>
      </c>
      <c r="G136" s="55" t="n">
        <v>698</v>
      </c>
      <c r="H136" s="57" t="n">
        <v>698</v>
      </c>
      <c r="I136" s="55" t="n">
        <v>6858</v>
      </c>
      <c r="J136" s="56" t="n">
        <v>4.4</v>
      </c>
      <c r="K136" s="56" t="inlineStr">
        <is>
          <t>https://amazon.com/dp/B000EW0KHW</t>
        </is>
      </c>
      <c r="L136" s="34">
        <f>HYPERLINK(Innova_1[[#This Row],[Column1]])</f>
        <v/>
      </c>
    </row>
    <row r="137" ht="45" customHeight="1" s="290">
      <c r="A137" s="30" t="inlineStr">
        <is>
          <t>Innova 5410 All-System OBD2 Scanner Diagnostic Tool for Cars &amp; Trucks – Automotive Scan Tools for Engine, ABS, SRS &amp; Transmission, Bluetooth Compatible with America's Top Car Repair App</t>
        </is>
      </c>
      <c r="B137" s="30" t="inlineStr">
        <is>
          <t>B07ZL7CLYR</t>
        </is>
      </c>
      <c r="C137" s="30" t="inlineStr">
        <is>
          <t>Handheld</t>
        </is>
      </c>
      <c r="D137" s="324" t="n">
        <v>153.9972163120567</v>
      </c>
      <c r="E137" s="53" t="n">
        <v>1014363.7</v>
      </c>
      <c r="F137" s="53" t="n">
        <v>86854.42999999999</v>
      </c>
      <c r="G137" s="55" t="n">
        <v>6150</v>
      </c>
      <c r="H137" s="57" t="n">
        <v>564</v>
      </c>
      <c r="I137" s="55" t="n">
        <v>680</v>
      </c>
      <c r="J137" s="56" t="n">
        <v>4.4</v>
      </c>
      <c r="K137" s="56" t="inlineStr">
        <is>
          <t>https://amazon.com/dp/B07ZL7CLYR</t>
        </is>
      </c>
      <c r="L137" s="34">
        <f>HYPERLINK(Innova_1[[#This Row],[Column1]])</f>
        <v/>
      </c>
    </row>
    <row r="138" ht="45" customHeight="1" s="290">
      <c r="A138" s="30" t="inlineStr">
        <is>
          <t>INNOVA 3123 GM OBD1 Code Reader, Windows XP</t>
        </is>
      </c>
      <c r="B138" s="30" t="inlineStr">
        <is>
          <t>B000EVU8C0</t>
        </is>
      </c>
      <c r="C138" s="30" t="inlineStr">
        <is>
          <t>OBD1</t>
        </is>
      </c>
      <c r="D138" s="324" t="n">
        <v>14.99135559921415</v>
      </c>
      <c r="E138" s="53" t="n">
        <v>92154.16923076924</v>
      </c>
      <c r="F138" s="53" t="n">
        <v>7630.6</v>
      </c>
      <c r="G138" s="55" t="n">
        <v>509</v>
      </c>
      <c r="H138" s="57" t="n">
        <v>509</v>
      </c>
      <c r="I138" s="55" t="n">
        <v>6860</v>
      </c>
      <c r="J138" s="56" t="n">
        <v>4.4</v>
      </c>
      <c r="K138" s="56" t="inlineStr">
        <is>
          <t>https://amazon.com/dp/B000EVU8C0</t>
        </is>
      </c>
      <c r="L138" s="34">
        <f>HYPERLINK(Innova_1[[#This Row],[Column1]])</f>
        <v/>
      </c>
    </row>
    <row r="139" ht="45" customHeight="1" s="290">
      <c r="A139" s="30" t="inlineStr">
        <is>
          <t>Innova 3380 Automotive Borescope with Light, 2.7" Inspection Camera, 39" Extension, IP67 Waterproof Digital Scope</t>
        </is>
      </c>
      <c r="B139" s="30" t="inlineStr">
        <is>
          <t>B082JCSB4Z</t>
        </is>
      </c>
      <c r="C139" s="30" t="inlineStr">
        <is>
          <t>Other</t>
        </is>
      </c>
      <c r="D139" s="324" t="n">
        <v>82.5832541567696</v>
      </c>
      <c r="E139" s="53" t="n">
        <v>419885.0269230769</v>
      </c>
      <c r="F139" s="53" t="n">
        <v>34767.55</v>
      </c>
      <c r="G139" s="55" t="n">
        <v>421</v>
      </c>
      <c r="H139" s="57" t="n">
        <v>421</v>
      </c>
      <c r="I139" s="55" t="n"/>
      <c r="J139" s="56" t="n"/>
      <c r="K139" s="56" t="inlineStr">
        <is>
          <t>https://www.amazon.com/dp/B082JCSB4Z</t>
        </is>
      </c>
      <c r="L139" s="34">
        <f>HYPERLINK(Innova_1[[#This Row],[Column1]])</f>
        <v/>
      </c>
    </row>
    <row r="140" ht="45" customHeight="1" s="290">
      <c r="A140" s="30" t="inlineStr">
        <is>
          <t>INNOVA 3320 Auto-Ranging Digital Multimeter, Red &amp; Black</t>
        </is>
      </c>
      <c r="B140" s="30" t="inlineStr">
        <is>
          <t>B000EVYGZA</t>
        </is>
      </c>
      <c r="C140" s="30" t="inlineStr">
        <is>
          <t>Other</t>
        </is>
      </c>
      <c r="D140" s="324" t="n">
        <v>35.61220779220779</v>
      </c>
      <c r="E140" s="53" t="n">
        <v>132466.4553846154</v>
      </c>
      <c r="F140" s="53" t="n">
        <v>10968.56</v>
      </c>
      <c r="G140" s="55" t="n">
        <v>308</v>
      </c>
      <c r="H140" s="57" t="n">
        <v>308</v>
      </c>
      <c r="I140" s="55" t="n"/>
      <c r="J140" s="56" t="n"/>
      <c r="K140" s="56" t="inlineStr">
        <is>
          <t>https://www.amazon.com/dp/B000EVYGZA</t>
        </is>
      </c>
      <c r="L140" s="34">
        <f>HYPERLINK(Innova_1[[#This Row],[Column1]])</f>
        <v/>
      </c>
    </row>
    <row r="141" ht="30" customHeight="1" s="290">
      <c r="A141" s="30" t="inlineStr">
        <is>
          <t>Innova 1000 Bluetooth OBD2 Scanner for iPhone &amp; Android - Predict Car Problems Before They Happen - No Subscriptions - Detect Check Engine, ABS, SRS Issues for Cars 1996+</t>
        </is>
      </c>
      <c r="B141" s="30" t="inlineStr">
        <is>
          <t>B0D32BNNQ9</t>
        </is>
      </c>
      <c r="C141" s="30" t="inlineStr">
        <is>
          <t>Dongle</t>
        </is>
      </c>
      <c r="D141" s="324" t="n">
        <v>89.44265232974911</v>
      </c>
      <c r="E141" s="53" t="n">
        <v>506840.65</v>
      </c>
      <c r="F141" s="53" t="n">
        <v>24954.5</v>
      </c>
      <c r="G141" s="55" t="n">
        <v>5510</v>
      </c>
      <c r="H141" s="57" t="n">
        <v>279</v>
      </c>
      <c r="I141" s="55" t="n">
        <v>407</v>
      </c>
      <c r="J141" s="56" t="n">
        <v>4.3</v>
      </c>
      <c r="K141" s="56" t="inlineStr">
        <is>
          <t>https://amazon.com/dp/B0D32BNNQ9</t>
        </is>
      </c>
      <c r="L141" s="34">
        <f>HYPERLINK(Innova_1[[#This Row],[Column1]])</f>
        <v/>
      </c>
    </row>
    <row r="142" ht="45" customHeight="1" s="290">
      <c r="A142" s="30" t="inlineStr">
        <is>
          <t>Innova SD35 OBD2 Scanner – ABS, SRS, TPMS &amp; Check Engine Code Reader, Live Data, All System Diagnostics, Compatible with Most Vehicles</t>
        </is>
      </c>
      <c r="B142" s="30" t="inlineStr">
        <is>
          <t>B0F254MVB5</t>
        </is>
      </c>
      <c r="C142" s="30" t="inlineStr">
        <is>
          <t>Tablet</t>
        </is>
      </c>
      <c r="D142" s="324" t="n">
        <v>142.2215175097276</v>
      </c>
      <c r="E142" s="53" t="n">
        <v>1070841.26</v>
      </c>
      <c r="F142" s="53" t="n">
        <v>36550.93</v>
      </c>
      <c r="G142" s="55" t="n">
        <v>7985</v>
      </c>
      <c r="H142" s="57" t="n">
        <v>257</v>
      </c>
      <c r="I142" s="55" t="n">
        <v>336</v>
      </c>
      <c r="J142" s="56" t="n">
        <v>4.5</v>
      </c>
      <c r="K142" s="56" t="inlineStr">
        <is>
          <t>https://amazon.com/dp/B0F254MVB5</t>
        </is>
      </c>
      <c r="L142" s="34">
        <f>HYPERLINK(Innova_1[[#This Row],[Column1]])</f>
        <v/>
      </c>
    </row>
    <row r="143" ht="45" customHeight="1" s="290">
      <c r="A143" s="30" t="inlineStr">
        <is>
          <t>INNOVA 5310 OBD2 Scanner – ABS &amp; SRS Code Reader, Check Engine Light Diagnostic Tool with Battery Test, Oil Reset, Live Data – Works with Most OBDII Vehicles 1996 &amp; Newer</t>
        </is>
      </c>
      <c r="B143" s="30" t="inlineStr">
        <is>
          <t>B07ZL746BR</t>
        </is>
      </c>
      <c r="C143" s="30" t="inlineStr">
        <is>
          <t>Handheld</t>
        </is>
      </c>
      <c r="D143" s="324" t="n">
        <v>127.4812053571429</v>
      </c>
      <c r="E143" s="53" t="n">
        <v>326612.54</v>
      </c>
      <c r="F143" s="53" t="n">
        <v>28555.79</v>
      </c>
      <c r="G143" s="55" t="n">
        <v>2661</v>
      </c>
      <c r="H143" s="57" t="n">
        <v>224</v>
      </c>
      <c r="I143" s="55" t="n">
        <v>830</v>
      </c>
      <c r="J143" s="56" t="n">
        <v>4.5</v>
      </c>
      <c r="K143" s="56" t="inlineStr">
        <is>
          <t>https://amazon.com/dp/B07ZL746BR</t>
        </is>
      </c>
      <c r="L143" s="34">
        <f>HYPERLINK(Innova_1[[#This Row],[Column1]])</f>
        <v/>
      </c>
    </row>
    <row r="144" ht="45" customHeight="1" s="290">
      <c r="A144" s="30" t="inlineStr">
        <is>
          <t>Innova 3551 Inductive Timing Light</t>
        </is>
      </c>
      <c r="B144" s="30" t="inlineStr">
        <is>
          <t>B000EVYH72</t>
        </is>
      </c>
      <c r="C144" s="30" t="inlineStr">
        <is>
          <t>Other</t>
        </is>
      </c>
      <c r="D144" s="324" t="n">
        <v>38.83009661835749</v>
      </c>
      <c r="E144" s="53" t="n">
        <v>97072.25461538462</v>
      </c>
      <c r="F144" s="53" t="n">
        <v>8037.83</v>
      </c>
      <c r="G144" s="55" t="n">
        <v>207</v>
      </c>
      <c r="H144" s="57" t="n">
        <v>207</v>
      </c>
      <c r="I144" s="55" t="n"/>
      <c r="J144" s="56" t="n"/>
      <c r="K144" s="56" t="inlineStr">
        <is>
          <t>https://www.amazon.com/dp/B000EVYH72</t>
        </is>
      </c>
      <c r="L144" s="34">
        <f>HYPERLINK(Innova_1[[#This Row],[Column1]])</f>
        <v/>
      </c>
    </row>
    <row r="145" ht="45" customHeight="1" s="290">
      <c r="A145" s="30" t="inlineStr">
        <is>
          <t>Innova 3555 Advance Timing Light</t>
        </is>
      </c>
      <c r="B145" s="30" t="inlineStr">
        <is>
          <t>B000EVYH7W</t>
        </is>
      </c>
      <c r="C145" s="30" t="inlineStr">
        <is>
          <t>Other</t>
        </is>
      </c>
      <c r="D145" s="324" t="n">
        <v>55.06609756097561</v>
      </c>
      <c r="E145" s="53" t="n">
        <v>136330.95</v>
      </c>
      <c r="F145" s="53" t="n">
        <v>11288.55</v>
      </c>
      <c r="G145" s="55" t="n">
        <v>205</v>
      </c>
      <c r="H145" s="57" t="n">
        <v>205</v>
      </c>
      <c r="I145" s="55" t="n"/>
      <c r="J145" s="56" t="n"/>
      <c r="K145" s="56" t="inlineStr">
        <is>
          <t>https://www.amazon.com/dp/B000EVYH7W</t>
        </is>
      </c>
      <c r="L145" s="34">
        <f>HYPERLINK(Innova_1[[#This Row],[Column1]])</f>
        <v/>
      </c>
    </row>
    <row r="146" ht="60" customHeight="1" s="290">
      <c r="A146" s="30" t="inlineStr">
        <is>
          <t>Innova 3994 Soft Pouch</t>
        </is>
      </c>
      <c r="B146" s="30" t="inlineStr">
        <is>
          <t>B0D4R8Y6SY</t>
        </is>
      </c>
      <c r="C146" s="30" t="inlineStr">
        <is>
          <t>Other</t>
        </is>
      </c>
      <c r="D146" s="324" t="n">
        <v>19.22457894736842</v>
      </c>
      <c r="E146" s="53" t="n">
        <v>44113.01461538461</v>
      </c>
      <c r="F146" s="53" t="n">
        <v>3652.67</v>
      </c>
      <c r="G146" s="55" t="n">
        <v>190</v>
      </c>
      <c r="H146" s="57" t="n">
        <v>190</v>
      </c>
      <c r="I146" s="55" t="n"/>
      <c r="J146" s="56" t="n"/>
      <c r="K146" s="56" t="inlineStr">
        <is>
          <t>https://www.amazon.com/dp/B0D4R8Y6SY</t>
        </is>
      </c>
      <c r="L146" s="34">
        <f>HYPERLINK(Innova_1[[#This Row],[Column1]])</f>
        <v/>
      </c>
    </row>
    <row r="147" ht="45" customHeight="1" s="290">
      <c r="A147" s="30" t="inlineStr">
        <is>
          <t>Innova 3721 Battery and Charging System Monitor</t>
        </is>
      </c>
      <c r="B147" s="30" t="inlineStr">
        <is>
          <t>B000EVWDU0</t>
        </is>
      </c>
      <c r="C147" s="30" t="inlineStr">
        <is>
          <t>Other</t>
        </is>
      </c>
      <c r="D147" s="324" t="n">
        <v>23.34055555555556</v>
      </c>
      <c r="E147" s="53" t="n">
        <v>25369.38846153846</v>
      </c>
      <c r="F147" s="53" t="n">
        <v>2100.65</v>
      </c>
      <c r="G147" s="55" t="n">
        <v>90</v>
      </c>
      <c r="H147" s="57" t="n">
        <v>90</v>
      </c>
      <c r="I147" s="55" t="n"/>
      <c r="J147" s="56" t="n"/>
      <c r="K147" s="56" t="inlineStr">
        <is>
          <t>https://www.amazon.com/dp/B000EVWDU0</t>
        </is>
      </c>
      <c r="L147" s="34">
        <f>HYPERLINK(Innova_1[[#This Row],[Column1]])</f>
        <v/>
      </c>
    </row>
    <row r="148" ht="45" customHeight="1" s="290">
      <c r="A148" s="30" t="inlineStr">
        <is>
          <t>Innova 3129 OBD-1 Kit (Includes OBD1 Adapters &amp; Pouch) , Black</t>
        </is>
      </c>
      <c r="B148" s="30" t="inlineStr">
        <is>
          <t>B078BHTCK1</t>
        </is>
      </c>
      <c r="C148" s="30" t="inlineStr">
        <is>
          <t>Cable/Adapter</t>
        </is>
      </c>
      <c r="D148" s="324" t="n">
        <v>106.7930120481928</v>
      </c>
      <c r="E148" s="53" t="n">
        <v>107047.6723076923</v>
      </c>
      <c r="F148" s="53" t="n">
        <v>8863.82</v>
      </c>
      <c r="G148" s="55" t="n">
        <v>83</v>
      </c>
      <c r="H148" s="57" t="n">
        <v>83</v>
      </c>
      <c r="I148" s="55" t="n">
        <v>200</v>
      </c>
      <c r="J148" s="56" t="n">
        <v>4.3</v>
      </c>
      <c r="K148" s="56" t="inlineStr">
        <is>
          <t>https://amazon.com/dp/B078BHTCK1</t>
        </is>
      </c>
      <c r="L148" s="34">
        <f>HYPERLINK(Innova_1[[#This Row],[Column1]])</f>
        <v/>
      </c>
    </row>
    <row r="149" ht="45" customHeight="1" s="290">
      <c r="A149" s="30" t="inlineStr">
        <is>
          <t>Innova 3340 Professional Automotive Digital Multimeter, Black</t>
        </is>
      </c>
      <c r="B149" s="30" t="inlineStr">
        <is>
          <t>B000KIMHRQ</t>
        </is>
      </c>
      <c r="C149" s="30" t="inlineStr">
        <is>
          <t>Other</t>
        </is>
      </c>
      <c r="D149" s="324" t="n">
        <v>90.64324999999999</v>
      </c>
      <c r="E149" s="53" t="n">
        <v>87575.32461538461</v>
      </c>
      <c r="F149" s="53" t="n">
        <v>7251.46</v>
      </c>
      <c r="G149" s="55" t="n">
        <v>80</v>
      </c>
      <c r="H149" s="57" t="n">
        <v>80</v>
      </c>
      <c r="I149" s="55" t="n"/>
      <c r="J149" s="56" t="n"/>
      <c r="K149" s="56" t="inlineStr">
        <is>
          <t>https://www.amazon.com/dp/B000KIMHRQ</t>
        </is>
      </c>
      <c r="L149" s="34">
        <f>HYPERLINK(Innova_1[[#This Row],[Column1]])</f>
        <v/>
      </c>
    </row>
    <row r="150" ht="45" customHeight="1" s="290">
      <c r="A150" s="30" t="inlineStr">
        <is>
          <t>Innova 3149 Extension Cable for Ford Code Reader (Item 3145)</t>
        </is>
      </c>
      <c r="B150" s="30" t="inlineStr">
        <is>
          <t>B000EVYH36</t>
        </is>
      </c>
      <c r="C150" s="30" t="inlineStr">
        <is>
          <t>Cable/Adapter</t>
        </is>
      </c>
      <c r="D150" s="324" t="n">
        <v>39.75924999999999</v>
      </c>
      <c r="E150" s="53" t="n">
        <v>38413.55230769231</v>
      </c>
      <c r="F150" s="53" t="n">
        <v>3180.74</v>
      </c>
      <c r="G150" s="55" t="n">
        <v>80</v>
      </c>
      <c r="H150" s="57" t="n">
        <v>80</v>
      </c>
      <c r="I150" s="55" t="n">
        <v>1355</v>
      </c>
      <c r="J150" s="56" t="n">
        <v>4.7</v>
      </c>
      <c r="K150" s="56" t="inlineStr">
        <is>
          <t>https://amazon.com/dp/B000EVYH36</t>
        </is>
      </c>
      <c r="L150" s="34">
        <f>HYPERLINK(Innova_1[[#This Row],[Column1]])</f>
        <v/>
      </c>
    </row>
    <row r="151" ht="45" customHeight="1" s="290">
      <c r="A151" s="30" t="inlineStr">
        <is>
          <t>Innova 3595 Replacement Metal Inductive Pickup Lead Set</t>
        </is>
      </c>
      <c r="B151" s="30" t="inlineStr">
        <is>
          <t>B001QUB8KE</t>
        </is>
      </c>
      <c r="C151" s="30" t="inlineStr">
        <is>
          <t>Other</t>
        </is>
      </c>
      <c r="D151" s="324" t="n">
        <v>26.55512820512821</v>
      </c>
      <c r="E151" s="53" t="n">
        <v>25014.93076923077</v>
      </c>
      <c r="F151" s="53" t="n">
        <v>2071.3</v>
      </c>
      <c r="G151" s="55" t="n">
        <v>78</v>
      </c>
      <c r="H151" s="57" t="n">
        <v>78</v>
      </c>
      <c r="I151" s="55" t="n"/>
      <c r="J151" s="56" t="n"/>
      <c r="K151" s="56" t="inlineStr">
        <is>
          <t>https://www.amazon.com/dp/B001QUB8KE</t>
        </is>
      </c>
      <c r="L151" s="34">
        <f>HYPERLINK(Innova_1[[#This Row],[Column1]])</f>
        <v/>
      </c>
    </row>
    <row r="152" ht="45" customHeight="1" s="290">
      <c r="A152" s="30" t="inlineStr">
        <is>
          <t>INNOVA 3040RS, OBD2 Scanner, Live Data Streamer, Battery/Alt Tester, Reset Check Engine Light/Brake Light/Oil Light, Free Mechanic Recommended Fix &amp; Parts &amp; Est Repair Cost, Free Updates</t>
        </is>
      </c>
      <c r="B152" s="30" t="inlineStr">
        <is>
          <t>B084SVS383</t>
        </is>
      </c>
      <c r="C152" s="30" t="inlineStr">
        <is>
          <t>Handheld</t>
        </is>
      </c>
      <c r="D152" s="324" t="n">
        <v>104.99</v>
      </c>
      <c r="E152" s="53" t="n">
        <v>117640.11</v>
      </c>
      <c r="F152" s="53" t="n">
        <v>6824.35</v>
      </c>
      <c r="G152" s="55" t="n">
        <v>1185</v>
      </c>
      <c r="H152" s="57" t="n">
        <v>65</v>
      </c>
      <c r="I152" s="55" t="n">
        <v>606</v>
      </c>
      <c r="J152" s="56" t="n">
        <v>4.4</v>
      </c>
      <c r="K152" s="56" t="inlineStr">
        <is>
          <t>https://amazon.com/dp/B084SVS383</t>
        </is>
      </c>
      <c r="L152" s="34">
        <f>HYPERLINK(Innova_1[[#This Row],[Column1]])</f>
        <v/>
      </c>
    </row>
    <row r="153" ht="60" customHeight="1" s="290">
      <c r="A153" s="30" t="inlineStr">
        <is>
          <t>INNOVA 5110 Check Engine Code Reader - Super Simple Car Scanner for All Levels - Works on Most 1996 &amp; Newer OBDII Cars</t>
        </is>
      </c>
      <c r="B153" s="30" t="inlineStr">
        <is>
          <t>B07Z46KNLR</t>
        </is>
      </c>
      <c r="C153" s="30" t="inlineStr">
        <is>
          <t>Handheld</t>
        </is>
      </c>
      <c r="D153" s="324" t="n">
        <v>65.72888888888889</v>
      </c>
      <c r="E153" s="53" t="n">
        <v>76589.42999999999</v>
      </c>
      <c r="F153" s="53" t="n">
        <v>4140.92</v>
      </c>
      <c r="G153" s="55" t="n">
        <v>1160</v>
      </c>
      <c r="H153" s="57" t="n">
        <v>63</v>
      </c>
      <c r="I153" s="55" t="n">
        <v>1029</v>
      </c>
      <c r="J153" s="56" t="n">
        <v>4.3</v>
      </c>
      <c r="K153" s="56" t="inlineStr">
        <is>
          <t>https://amazon.com/dp/B07Z46KNLR</t>
        </is>
      </c>
      <c r="L153" s="34">
        <f>HYPERLINK(Innova_1[[#This Row],[Column1]])</f>
        <v/>
      </c>
    </row>
    <row r="154" ht="45" customHeight="1" s="290">
      <c r="A154" s="30" t="inlineStr">
        <is>
          <t>Innova 3612 Compression Tester - 4 Piece Kit</t>
        </is>
      </c>
      <c r="B154" s="30" t="inlineStr">
        <is>
          <t>B000EVU89I</t>
        </is>
      </c>
      <c r="C154" s="30" t="inlineStr">
        <is>
          <t>Other</t>
        </is>
      </c>
      <c r="D154" s="324" t="n">
        <v>32.96580645161291</v>
      </c>
      <c r="E154" s="53" t="n">
        <v>24683.78153846153</v>
      </c>
      <c r="F154" s="53" t="n">
        <v>2043.88</v>
      </c>
      <c r="G154" s="55" t="n">
        <v>62</v>
      </c>
      <c r="H154" s="57" t="n">
        <v>62</v>
      </c>
      <c r="I154" s="55" t="n"/>
      <c r="J154" s="56" t="n"/>
      <c r="K154" s="56" t="inlineStr">
        <is>
          <t>https://www.amazon.com/dp/B000EVU89I</t>
        </is>
      </c>
      <c r="L154" s="34">
        <f>HYPERLINK(Innova_1[[#This Row],[Column1]])</f>
        <v/>
      </c>
    </row>
    <row r="155" ht="45" customHeight="1" s="290">
      <c r="A155" s="30" t="inlineStr">
        <is>
          <t>Innova 3614 Compression Tester Plus - 6 Piece Kit</t>
        </is>
      </c>
      <c r="B155" s="30" t="inlineStr">
        <is>
          <t>B000EVU8JS</t>
        </is>
      </c>
      <c r="C155" s="30" t="inlineStr">
        <is>
          <t>Other</t>
        </is>
      </c>
      <c r="D155" s="324" t="n">
        <v>36.51596153846154</v>
      </c>
      <c r="E155" s="53" t="n">
        <v>22932.02384615385</v>
      </c>
      <c r="F155" s="53" t="n">
        <v>1898.83</v>
      </c>
      <c r="G155" s="55" t="n">
        <v>52</v>
      </c>
      <c r="H155" s="57" t="n">
        <v>52</v>
      </c>
      <c r="I155" s="55" t="n"/>
      <c r="J155" s="56" t="n"/>
      <c r="K155" s="56" t="inlineStr">
        <is>
          <t>https://www.amazon.com/dp/B000EVU8JS</t>
        </is>
      </c>
      <c r="L155" s="34">
        <f>HYPERLINK(Innova_1[[#This Row],[Column1]])</f>
        <v/>
      </c>
    </row>
    <row r="156" ht="45" customHeight="1" s="290">
      <c r="A156" s="30" t="inlineStr">
        <is>
          <t>INNOVA 3100RS, OBD2 Scanner, ABS SRS Airbag Scan Tool with Airbag Light &amp; Oil Light Reset, Stream Graph &amp; Record Live Data, Get Suggested Repair &amp; Parts on iPhone or Android</t>
        </is>
      </c>
      <c r="B156" s="30" t="inlineStr">
        <is>
          <t>B084SW4K8J</t>
        </is>
      </c>
      <c r="C156" s="30" t="inlineStr">
        <is>
          <t>Handheld</t>
        </is>
      </c>
      <c r="D156" s="324" t="n">
        <v>140.0402</v>
      </c>
      <c r="E156" s="53" t="n">
        <v>88653.43999999999</v>
      </c>
      <c r="F156" s="53" t="n">
        <v>7002.01</v>
      </c>
      <c r="G156" s="55" t="n">
        <v>640</v>
      </c>
      <c r="H156" s="57" t="n">
        <v>50</v>
      </c>
      <c r="I156" s="55" t="n">
        <v>533</v>
      </c>
      <c r="J156" s="56" t="n">
        <v>4.4</v>
      </c>
      <c r="K156" s="56" t="inlineStr">
        <is>
          <t>https://amazon.com/dp/B084SW4K8J</t>
        </is>
      </c>
      <c r="L156" s="34">
        <f>HYPERLINK(Innova_1[[#This Row],[Column1]])</f>
        <v/>
      </c>
    </row>
    <row r="157" ht="45" customHeight="1" s="290">
      <c r="A157" s="30" t="inlineStr">
        <is>
          <t>Innova SDS43 OBD2 Scanner Diagnostic Tool - Bidirectional Tablet Scanner for Engine, ABS, SRS, Transmission - Compatible with Most Vehicles</t>
        </is>
      </c>
      <c r="B157" s="30" t="inlineStr">
        <is>
          <t>B0F4M2MZYN</t>
        </is>
      </c>
      <c r="C157" s="30" t="inlineStr">
        <is>
          <t>Tablet</t>
        </is>
      </c>
      <c r="D157" s="324" t="n">
        <v>280.19875</v>
      </c>
      <c r="E157" s="53" t="n">
        <v>171634.31</v>
      </c>
      <c r="F157" s="53" t="n">
        <v>13449.54</v>
      </c>
      <c r="G157" s="55" t="n">
        <v>651</v>
      </c>
      <c r="H157" s="57" t="n">
        <v>48</v>
      </c>
      <c r="I157" s="55" t="n">
        <v>62</v>
      </c>
      <c r="J157" s="56" t="n">
        <v>4</v>
      </c>
      <c r="K157" s="56" t="inlineStr">
        <is>
          <t>https://amazon.com/dp/B0F4M2MZYN</t>
        </is>
      </c>
      <c r="L157" s="34">
        <f>HYPERLINK(Innova_1[[#This Row],[Column1]])</f>
        <v/>
      </c>
    </row>
    <row r="158" ht="45" customHeight="1" s="290">
      <c r="A158" s="30" t="inlineStr">
        <is>
          <t>INNOVA 5510 OBD2 Scanner, Scan Tool for ABS, All System Scanner, Caliper Service, Brake Pad Life, Read/Erase ABS/SRS Codes, Reset Oil Light, Live Data, Updates Included</t>
        </is>
      </c>
      <c r="B158" s="30" t="inlineStr">
        <is>
          <t>B07Z48NKF1</t>
        </is>
      </c>
      <c r="C158" s="30" t="inlineStr">
        <is>
          <t>Handheld</t>
        </is>
      </c>
      <c r="D158" s="324" t="n">
        <v>224.99</v>
      </c>
      <c r="E158" s="53" t="n">
        <v>79422.56</v>
      </c>
      <c r="F158" s="53" t="n">
        <v>9899.559999999999</v>
      </c>
      <c r="G158" s="55" t="n">
        <v>358</v>
      </c>
      <c r="H158" s="57" t="n">
        <v>44</v>
      </c>
      <c r="I158" s="55" t="n">
        <v>292</v>
      </c>
      <c r="J158" s="56" t="n">
        <v>4.1</v>
      </c>
      <c r="K158" s="56" t="inlineStr">
        <is>
          <t>https://amazon.com/dp/B07Z48NKF1</t>
        </is>
      </c>
      <c r="L158" s="34">
        <f>HYPERLINK(Innova_1[[#This Row],[Column1]])</f>
        <v/>
      </c>
    </row>
    <row r="159" ht="45" customHeight="1" s="290">
      <c r="A159" s="30" t="inlineStr">
        <is>
          <t>Innova 5420 Power Circuit Tester for Automotive | 45° Swivel Head | Fuse, Relay, Battery, and Circuit Diagnostics | Voltage Tester, Multimeter, Relay Tester, Short Circuit Finder, 12V/24V</t>
        </is>
      </c>
      <c r="B159" s="30" t="inlineStr">
        <is>
          <t>B09ZQ3ZQV2</t>
        </is>
      </c>
      <c r="C159" s="30" t="inlineStr">
        <is>
          <t>Other</t>
        </is>
      </c>
      <c r="D159" s="324" t="n">
        <v>90.3060606060606</v>
      </c>
      <c r="E159" s="53" t="n">
        <v>35990.43846153846</v>
      </c>
      <c r="F159" s="53" t="n">
        <v>2980.1</v>
      </c>
      <c r="G159" s="55" t="n">
        <v>33</v>
      </c>
      <c r="H159" s="57" t="n">
        <v>33</v>
      </c>
      <c r="I159" s="55" t="n"/>
      <c r="J159" s="56" t="n"/>
      <c r="K159" s="56" t="inlineStr">
        <is>
          <t>https://www.amazon.com/dp/B09ZQ3ZQV2</t>
        </is>
      </c>
      <c r="L159" s="34">
        <f>HYPERLINK(Innova_1[[#This Row],[Column1]])</f>
        <v/>
      </c>
    </row>
    <row r="160" ht="45" customHeight="1" s="290">
      <c r="A160" s="30" t="inlineStr">
        <is>
          <t>Innova 3640 Professional Fuel Injection Pressure Tester</t>
        </is>
      </c>
      <c r="B160" s="30" t="inlineStr">
        <is>
          <t>B000EVU8NY</t>
        </is>
      </c>
      <c r="C160" s="30" t="inlineStr">
        <is>
          <t>Other</t>
        </is>
      </c>
      <c r="D160" s="324" t="n">
        <v>28.26666666666667</v>
      </c>
      <c r="E160" s="53" t="n">
        <v>11265.35384615384</v>
      </c>
      <c r="F160" s="53" t="n">
        <v>932.8</v>
      </c>
      <c r="G160" s="55" t="n">
        <v>33</v>
      </c>
      <c r="H160" s="57" t="n">
        <v>33</v>
      </c>
      <c r="I160" s="55" t="n"/>
      <c r="J160" s="56" t="n"/>
      <c r="K160" s="56" t="inlineStr">
        <is>
          <t>https://www.amazon.com/dp/B000EVU8NY</t>
        </is>
      </c>
      <c r="L160" s="34">
        <f>HYPERLINK(Innova_1[[#This Row],[Column1]])</f>
        <v/>
      </c>
    </row>
    <row r="161" ht="60" customHeight="1" s="290">
      <c r="A161" s="30" t="inlineStr">
        <is>
          <t>Innova 3128 HD Adapter Kit - Made for Heavy-Duty Trucks - Compatible with Innova 5610 - Includes 4 Heavy-Duty OBD Adapters with a Pouch Bag</t>
        </is>
      </c>
      <c r="B161" s="30" t="inlineStr">
        <is>
          <t>B0FD49XQTG</t>
        </is>
      </c>
      <c r="C161" s="30" t="inlineStr">
        <is>
          <t>Cable/Adapter</t>
        </is>
      </c>
      <c r="D161" s="324" t="n">
        <v>93.93181818181819</v>
      </c>
      <c r="E161" s="53" t="n">
        <v>26628.22846153846</v>
      </c>
      <c r="F161" s="53" t="n">
        <v>3099.75</v>
      </c>
      <c r="G161" s="55" t="n">
        <v>125</v>
      </c>
      <c r="H161" s="57" t="n">
        <v>33</v>
      </c>
      <c r="I161" s="55" t="n">
        <v>3</v>
      </c>
      <c r="J161" s="56" t="n">
        <v>5</v>
      </c>
      <c r="K161" s="56" t="inlineStr">
        <is>
          <t>https://amazon.com/dp/B0FD49XQTG</t>
        </is>
      </c>
      <c r="L161" s="34">
        <f>HYPERLINK(Innova_1[[#This Row],[Column1]])</f>
        <v/>
      </c>
    </row>
    <row r="162" ht="45" customHeight="1" s="290">
      <c r="A162" s="30" t="inlineStr">
        <is>
          <t>INNOVA 5160RS, OBD2 Bidirectional Scan Tool, OE-Level All System Diagnostics, Reset Oil Light/Battery/EPB/SAS/DPF, Mechanic Recommended Fixes &amp; Parts, TSBs, 1yr Warranty, Free Updates</t>
        </is>
      </c>
      <c r="B162" s="30" t="inlineStr">
        <is>
          <t>B071VYLP32</t>
        </is>
      </c>
      <c r="C162" s="30" t="inlineStr">
        <is>
          <t>Handheld</t>
        </is>
      </c>
      <c r="D162" s="324" t="n">
        <v>317.482962962963</v>
      </c>
      <c r="E162" s="53" t="n">
        <v>137375.98</v>
      </c>
      <c r="F162" s="53" t="n">
        <v>8572.040000000001</v>
      </c>
      <c r="G162" s="55" t="n">
        <v>434</v>
      </c>
      <c r="H162" s="57" t="n">
        <v>27</v>
      </c>
      <c r="I162" s="55" t="n">
        <v>300</v>
      </c>
      <c r="J162" s="56" t="n">
        <v>4.2</v>
      </c>
      <c r="K162" s="56" t="inlineStr">
        <is>
          <t>https://amazon.com/dp/B071VYLP32</t>
        </is>
      </c>
      <c r="L162" s="34">
        <f>HYPERLINK(Innova_1[[#This Row],[Column1]])</f>
        <v/>
      </c>
    </row>
    <row r="163" ht="45" customHeight="1" s="290">
      <c r="A163" s="30" t="inlineStr">
        <is>
          <t>INNOVA 3020RS Fast &amp; Easy-to-Use Check Engine Code Reader, OBD2 Scan tool for ABS Clear with Fix &amp; Part Recommendations, Maintenance Schedules, &amp; Free TSBs on iPhone &amp; Android</t>
        </is>
      </c>
      <c r="B163" s="30" t="inlineStr">
        <is>
          <t>B084SWJL4J</t>
        </is>
      </c>
      <c r="C163" s="30" t="inlineStr">
        <is>
          <t>Handheld</t>
        </is>
      </c>
      <c r="D163" s="324" t="n">
        <v>65.36333333333334</v>
      </c>
      <c r="E163" s="53" t="n">
        <v>78600.73999999999</v>
      </c>
      <c r="F163" s="53" t="n">
        <v>1372.63</v>
      </c>
      <c r="G163" s="55" t="n">
        <v>1191</v>
      </c>
      <c r="H163" s="57" t="n">
        <v>21</v>
      </c>
      <c r="I163" s="55" t="n">
        <v>2485</v>
      </c>
      <c r="J163" s="56" t="n">
        <v>4.3</v>
      </c>
      <c r="K163" s="56" t="inlineStr">
        <is>
          <t>https://amazon.com/dp/B084SWJL4J</t>
        </is>
      </c>
      <c r="L163" s="34">
        <f>HYPERLINK(Innova_1[[#This Row],[Column1]])</f>
        <v/>
      </c>
    </row>
    <row r="164" ht="45" customHeight="1" s="290">
      <c r="A164" s="30" t="inlineStr">
        <is>
          <t>Innova 3620 Vacuum/Carburetor Fuel Pressure Tester</t>
        </is>
      </c>
      <c r="B164" s="30" t="inlineStr">
        <is>
          <t>B000EW0KPY</t>
        </is>
      </c>
      <c r="C164" s="30" t="inlineStr">
        <is>
          <t>Other</t>
        </is>
      </c>
      <c r="D164" s="324" t="n">
        <v>32.99</v>
      </c>
      <c r="E164" s="53" t="n">
        <v>7171.518461538461</v>
      </c>
      <c r="F164" s="53" t="n">
        <v>593.8200000000001</v>
      </c>
      <c r="G164" s="55" t="n">
        <v>18</v>
      </c>
      <c r="H164" s="57" t="n">
        <v>18</v>
      </c>
      <c r="I164" s="55" t="n"/>
      <c r="J164" s="56" t="n"/>
      <c r="K164" s="56" t="inlineStr">
        <is>
          <t>https://www.amazon.com/dp/B000EW0KPY</t>
        </is>
      </c>
      <c r="L164" s="34">
        <f>HYPERLINK(Innova_1[[#This Row],[Column1]])</f>
        <v/>
      </c>
    </row>
    <row r="165" ht="45" customHeight="1" s="290">
      <c r="A165" s="30" t="inlineStr">
        <is>
          <t>Innova 3410 Test Light/Circuit Tester</t>
        </is>
      </c>
      <c r="B165" s="30" t="inlineStr">
        <is>
          <t>B0014DINF6</t>
        </is>
      </c>
      <c r="C165" s="30" t="inlineStr">
        <is>
          <t>Other</t>
        </is>
      </c>
      <c r="D165" s="324" t="n">
        <v>11.47470588235294</v>
      </c>
      <c r="E165" s="53" t="n">
        <v>2355.845384615384</v>
      </c>
      <c r="F165" s="53" t="n">
        <v>195.07</v>
      </c>
      <c r="G165" s="55" t="n">
        <v>17</v>
      </c>
      <c r="H165" s="57" t="n">
        <v>17</v>
      </c>
      <c r="I165" s="55" t="n"/>
      <c r="J165" s="56" t="n"/>
      <c r="K165" s="56" t="inlineStr">
        <is>
          <t>https://www.amazon.com/dp/B0014DINF6</t>
        </is>
      </c>
      <c r="L165" s="34">
        <f>HYPERLINK(Innova_1[[#This Row],[Column1]])</f>
        <v/>
      </c>
    </row>
    <row r="166" ht="45" customHeight="1" s="290">
      <c r="A166" s="30" t="inlineStr">
        <is>
          <t>INNOVA 3170RS OBD1 &amp; OBD2 Scanner, ABS Bleeder Scan Tool, OBD2 Diagnostic, Caliper Service, Brake Pad Life, Read/Erase ABS/SRS Codes, Reset Oil Light, Live Data, Updates Included</t>
        </is>
      </c>
      <c r="B166" s="30" t="inlineStr">
        <is>
          <t>B08FZ46X2M</t>
        </is>
      </c>
      <c r="C166" s="30" t="inlineStr">
        <is>
          <t>Handheld</t>
        </is>
      </c>
      <c r="D166" s="324" t="n">
        <v>296.5284615384616</v>
      </c>
      <c r="E166" s="53" t="n">
        <v>67811.843334</v>
      </c>
      <c r="F166" s="53" t="n">
        <v>3854.87</v>
      </c>
      <c r="G166" s="55" t="n">
        <v>228</v>
      </c>
      <c r="H166" s="57" t="n">
        <v>13</v>
      </c>
      <c r="I166" s="55" t="n">
        <v>157</v>
      </c>
      <c r="J166" s="56" t="n">
        <v>3.9</v>
      </c>
      <c r="K166" s="56" t="inlineStr">
        <is>
          <t>https://amazon.com/dp/B08FZ46X2M</t>
        </is>
      </c>
      <c r="L166" s="34">
        <f>HYPERLINK(Innova_1[[#This Row],[Column1]])</f>
        <v/>
      </c>
    </row>
    <row r="167" ht="45" customHeight="1" s="290">
      <c r="A167" s="30" t="inlineStr">
        <is>
          <t>Innova 3347 Digital Multimeter AMP Probe Red</t>
        </is>
      </c>
      <c r="B167" s="30" t="inlineStr">
        <is>
          <t>B0015S9SWW</t>
        </is>
      </c>
      <c r="C167" s="30" t="inlineStr">
        <is>
          <t>Other</t>
        </is>
      </c>
      <c r="D167" s="324" t="n">
        <v>82.026</v>
      </c>
      <c r="E167" s="53" t="n">
        <v>9906.21692307692</v>
      </c>
      <c r="F167" s="53" t="n">
        <v>820.26</v>
      </c>
      <c r="G167" s="55" t="n">
        <v>10</v>
      </c>
      <c r="H167" s="57" t="n">
        <v>10</v>
      </c>
      <c r="I167" s="55" t="n"/>
      <c r="J167" s="56" t="n"/>
      <c r="K167" s="56" t="inlineStr">
        <is>
          <t>https://www.amazon.com/dp/B0015S9SWW</t>
        </is>
      </c>
      <c r="L167" s="34">
        <f>HYPERLINK(Innova_1[[#This Row],[Column1]])</f>
        <v/>
      </c>
    </row>
    <row r="168" ht="45" customHeight="1" s="290">
      <c r="A168" s="30" t="inlineStr">
        <is>
          <t>Innova 5568 Pro Digital Timing Light Tool with Digital Advance, LED Display, Ignition Timing for 2 and 4 Cycle Engines, Automotive Diagnostic Tool for Cars and Trucks</t>
        </is>
      </c>
      <c r="B168" s="30" t="inlineStr">
        <is>
          <t>B000EVU8J8</t>
        </is>
      </c>
      <c r="C168" s="30" t="inlineStr">
        <is>
          <t>Other</t>
        </is>
      </c>
      <c r="D168" s="324" t="n">
        <v>131.6177777777778</v>
      </c>
      <c r="E168" s="53" t="n">
        <v>14305.84</v>
      </c>
      <c r="F168" s="53" t="n">
        <v>1184.56</v>
      </c>
      <c r="G168" s="55" t="n">
        <v>9</v>
      </c>
      <c r="H168" s="57" t="n">
        <v>9</v>
      </c>
      <c r="I168" s="55" t="n"/>
      <c r="J168" s="56" t="n"/>
      <c r="K168" s="56" t="inlineStr">
        <is>
          <t>https://www.amazon.com/dp/B000EVU8J8</t>
        </is>
      </c>
      <c r="L168" s="34">
        <f>HYPERLINK(Innova_1[[#This Row],[Column1]])</f>
        <v/>
      </c>
    </row>
    <row r="169" ht="45" customHeight="1" s="290">
      <c r="A169" s="30" t="inlineStr">
        <is>
          <t>Innova 3360 Thermal Camera - Infrared Camera with Heat Vision - Identify Hot/Cold Spots -4° ~ 1112°F - Easy to Use Thermal Imager</t>
        </is>
      </c>
      <c r="B169" s="30" t="inlineStr">
        <is>
          <t>B0FDLVW4G8</t>
        </is>
      </c>
      <c r="C169" s="30" t="inlineStr">
        <is>
          <t>Other</t>
        </is>
      </c>
      <c r="D169" s="324" t="n">
        <v>95.54666666666667</v>
      </c>
      <c r="E169" s="53" t="n">
        <v>10385.18769230769</v>
      </c>
      <c r="F169" s="53" t="n">
        <v>859.92</v>
      </c>
      <c r="G169" s="55" t="n">
        <v>9</v>
      </c>
      <c r="H169" s="57" t="n">
        <v>9</v>
      </c>
      <c r="I169" s="55" t="n"/>
      <c r="J169" s="56" t="n"/>
      <c r="K169" s="56" t="inlineStr">
        <is>
          <t>https://www.amazon.com/dp/B0FDLVW4G8</t>
        </is>
      </c>
      <c r="L169" s="34">
        <f>HYPERLINK(Innova_1[[#This Row],[Column1]])</f>
        <v/>
      </c>
    </row>
    <row r="170" ht="30" customHeight="1" s="290">
      <c r="A170" s="30" t="inlineStr">
        <is>
          <t>INNOVA 3160RS OBD2 Scanner, ABS Brake Bleeder, ABS SRS Engine Transmission Diagnoses, Airbag Light Reset, Car Battery Tester &amp; Alternator Tester, Battery Reset, Fix &amp; Parts Recommendations</t>
        </is>
      </c>
      <c r="B170" s="30" t="inlineStr">
        <is>
          <t>B084SVSFZY</t>
        </is>
      </c>
      <c r="C170" s="30" t="inlineStr">
        <is>
          <t>Handheld</t>
        </is>
      </c>
      <c r="D170" s="324" t="n">
        <v>262.295</v>
      </c>
      <c r="E170" s="53" t="n">
        <v>35742.58</v>
      </c>
      <c r="F170" s="53" t="n">
        <v>1573.77</v>
      </c>
      <c r="G170" s="55" t="n">
        <v>169</v>
      </c>
      <c r="H170" s="57" t="n">
        <v>6</v>
      </c>
      <c r="I170" s="55" t="n">
        <v>288</v>
      </c>
      <c r="J170" s="56" t="n">
        <v>4.1</v>
      </c>
      <c r="K170" s="56" t="inlineStr">
        <is>
          <t>https://amazon.com/dp/B084SVSFZY</t>
        </is>
      </c>
      <c r="L170" s="34">
        <f>HYPERLINK(Innova_1[[#This Row],[Column1]])</f>
        <v/>
      </c>
    </row>
    <row r="171" ht="45" customHeight="1" s="290">
      <c r="A171" s="30" t="inlineStr">
        <is>
          <t>Innova 5512 OBD2 Scanner, ABS Brake Bleeding, Transmission Temp, TPMS, OBD1 Adapters Included, Repair App</t>
        </is>
      </c>
      <c r="B171" s="30" t="inlineStr">
        <is>
          <t>B09WPW4WQ4</t>
        </is>
      </c>
      <c r="C171" s="30" t="inlineStr">
        <is>
          <t>Handheld</t>
        </is>
      </c>
      <c r="D171" s="324" t="n">
        <v>299.99</v>
      </c>
      <c r="E171" s="53" t="n">
        <v>21691.06307692307</v>
      </c>
      <c r="F171" s="53" t="n">
        <v>1799.94</v>
      </c>
      <c r="G171" s="55" t="n">
        <v>66</v>
      </c>
      <c r="H171" s="57" t="n">
        <v>6</v>
      </c>
      <c r="I171" s="55" t="n">
        <v>32</v>
      </c>
      <c r="J171" s="56" t="n">
        <v>3.8</v>
      </c>
      <c r="K171" s="56" t="inlineStr">
        <is>
          <t>https://amazon.com/dp/B09WPW4WQ4</t>
        </is>
      </c>
      <c r="L171" s="34">
        <f>HYPERLINK(Innova_1[[#This Row],[Column1]])</f>
        <v/>
      </c>
    </row>
    <row r="172" ht="45" customHeight="1" s="290">
      <c r="A172" s="30" t="inlineStr">
        <is>
          <t>Innova 3160g Pro OBD2 Scanner / Car Code Reader with Live data, ABS, SRS, Battery Reset, Service Light Reset, and Bluetooth</t>
        </is>
      </c>
      <c r="B172" s="30" t="inlineStr">
        <is>
          <t>B06XKX2KDJ</t>
        </is>
      </c>
      <c r="C172" s="30" t="inlineStr">
        <is>
          <t>Handheld</t>
        </is>
      </c>
      <c r="D172" s="324" t="n">
        <v>254.6</v>
      </c>
      <c r="E172" s="53" t="n">
        <v>2692.292307692307</v>
      </c>
      <c r="F172" s="53" t="n">
        <v>254.6</v>
      </c>
      <c r="G172" s="55" t="n">
        <v>5</v>
      </c>
      <c r="H172" s="57" t="n">
        <v>1</v>
      </c>
      <c r="I172" s="55" t="n">
        <v>289</v>
      </c>
      <c r="J172" s="56" t="n">
        <v>4.3</v>
      </c>
      <c r="K172" s="56" t="inlineStr">
        <is>
          <t>https://amazon.com/dp/B06XKX2KDJ</t>
        </is>
      </c>
      <c r="L172" s="34">
        <f>HYPERLINK(Innova_1[[#This Row],[Column1]])</f>
        <v/>
      </c>
    </row>
    <row r="173" ht="45" customHeight="1" s="290">
      <c r="A173" s="30" t="inlineStr">
        <is>
          <t>Diagnostic Scan Tool Code Reader with ABS and Battery Backup for OBD2 Vehicles</t>
        </is>
      </c>
      <c r="B173" s="30" t="inlineStr">
        <is>
          <t>B000EVWDAK</t>
        </is>
      </c>
      <c r="C173" s="30" t="inlineStr">
        <is>
          <t>Handheld</t>
        </is>
      </c>
      <c r="D173" s="324" t="n">
        <v>189.63</v>
      </c>
      <c r="E173" s="53" t="n">
        <v>562.05</v>
      </c>
      <c r="F173" s="53" t="n">
        <v>0</v>
      </c>
      <c r="G173" s="55" t="n">
        <v>3</v>
      </c>
      <c r="H173" s="57" t="n">
        <v>0</v>
      </c>
      <c r="I173" s="55" t="n">
        <v>1123</v>
      </c>
      <c r="J173" s="56" t="n">
        <v>4.5</v>
      </c>
      <c r="K173" s="56" t="inlineStr">
        <is>
          <t>https://amazon.com/dp/B000EVWDAK</t>
        </is>
      </c>
      <c r="L173" s="34">
        <f>HYPERLINK(Innova_1[[#This Row],[Column1]])</f>
        <v/>
      </c>
    </row>
    <row r="174" ht="45" customHeight="1" s="290">
      <c r="A174" s="30" t="inlineStr">
        <is>
          <t>Innova 5023 Pro CarScan Code Scanner - Professional OBD2 Scanner - Smog Test Scan Tool - Multilingual Code Reader</t>
        </is>
      </c>
      <c r="B174" s="30" t="inlineStr">
        <is>
          <t>B076N5V6SN</t>
        </is>
      </c>
      <c r="C174" s="30" t="inlineStr">
        <is>
          <t>Handheld</t>
        </is>
      </c>
      <c r="D174" s="324" t="n">
        <v>77.63</v>
      </c>
      <c r="E174" s="53" t="n">
        <v>-686.9515384615386</v>
      </c>
      <c r="F174" s="53" t="n">
        <v>-81.93000000000001</v>
      </c>
      <c r="G174" s="55" t="n">
        <v>-1</v>
      </c>
      <c r="H174" s="57" t="n">
        <v>-1</v>
      </c>
      <c r="I174" s="55" t="n">
        <v>48</v>
      </c>
      <c r="J174" s="56" t="n">
        <v>3.6</v>
      </c>
      <c r="K174" s="56" t="inlineStr">
        <is>
          <t>https://amazon.com/dp/B076N5V6SN</t>
        </is>
      </c>
      <c r="L174" s="34">
        <f>HYPERLINK(Innova_1[[#This Row],[Column1]])</f>
        <v/>
      </c>
    </row>
    <row r="175" ht="45" customHeight="1" s="290">
      <c r="A175" s="30" t="n"/>
      <c r="B175" s="30" t="n"/>
      <c r="C175" s="30" t="n"/>
      <c r="D175" s="324" t="n"/>
      <c r="E175" s="53" t="n"/>
      <c r="F175" s="53" t="n"/>
      <c r="G175" s="55" t="n"/>
      <c r="H175" s="57" t="n"/>
      <c r="I175" s="55" t="n"/>
      <c r="J175" s="56" t="n"/>
      <c r="K175" s="56" t="n"/>
      <c r="L175" s="34">
        <f>HYPERLINK(Table65[[#This Row],[Column1]])</f>
        <v/>
      </c>
    </row>
    <row r="176" ht="60" customHeight="1" s="290">
      <c r="A176" s="30" t="n"/>
      <c r="B176" s="30" t="n"/>
      <c r="C176" s="30" t="n"/>
      <c r="D176" s="324" t="n"/>
      <c r="E176" s="53" t="n"/>
      <c r="F176" s="53" t="n"/>
      <c r="G176" s="55" t="n"/>
      <c r="H176" s="57" t="n"/>
      <c r="I176" s="55" t="n"/>
      <c r="J176" s="56" t="n"/>
      <c r="K176" s="56" t="n"/>
      <c r="L176" s="34">
        <f>HYPERLINK(Table65[[#This Row],[Column1]])</f>
        <v/>
      </c>
    </row>
    <row r="177" ht="45" customHeight="1" s="290">
      <c r="A177" s="30" t="n"/>
      <c r="B177" s="30" t="n"/>
      <c r="C177" s="30" t="n"/>
      <c r="D177" s="324" t="n"/>
      <c r="E177" s="53" t="n"/>
      <c r="F177" s="53" t="n"/>
      <c r="G177" s="55" t="n"/>
      <c r="H177" s="57" t="n"/>
      <c r="I177" s="55" t="n"/>
      <c r="J177" s="56" t="n"/>
      <c r="K177" s="56" t="n"/>
      <c r="L177" s="34">
        <f>HYPERLINK(Table65[[#This Row],[Column1]])</f>
        <v/>
      </c>
    </row>
    <row r="178" ht="45" customHeight="1" s="290">
      <c r="A178" s="30" t="n"/>
      <c r="B178" s="30" t="n"/>
      <c r="C178" s="30" t="n"/>
      <c r="D178" s="324" t="n"/>
      <c r="E178" s="53" t="n"/>
      <c r="F178" s="53" t="n"/>
      <c r="G178" s="55" t="n"/>
      <c r="H178" s="57" t="n"/>
      <c r="I178" s="55" t="n"/>
      <c r="J178" s="56" t="n"/>
      <c r="K178" s="56" t="n"/>
      <c r="L178" s="34">
        <f>HYPERLINK(Table65[[#This Row],[Column1]])</f>
        <v/>
      </c>
    </row>
    <row r="179" ht="30" customHeight="1" s="290">
      <c r="A179" s="30" t="n"/>
      <c r="B179" s="30" t="n"/>
      <c r="C179" s="30" t="n"/>
      <c r="D179" s="324" t="n"/>
      <c r="E179" s="53" t="n"/>
      <c r="F179" s="53" t="n"/>
      <c r="G179" s="55" t="n"/>
      <c r="H179" s="57" t="n"/>
      <c r="I179" s="55" t="n"/>
      <c r="J179" s="56" t="n"/>
      <c r="K179" s="56" t="n"/>
      <c r="L179" s="34">
        <f>HYPERLINK(Table65[[#This Row],[Column1]])</f>
        <v/>
      </c>
    </row>
    <row r="180" ht="45" customHeight="1" s="290">
      <c r="A180" s="30" t="n"/>
      <c r="B180" s="30" t="n"/>
      <c r="C180" s="30" t="n"/>
      <c r="D180" s="324" t="n"/>
      <c r="E180" s="53" t="n"/>
      <c r="F180" s="53" t="n"/>
      <c r="G180" s="55" t="n"/>
      <c r="H180" s="57" t="n"/>
      <c r="I180" s="55" t="n"/>
      <c r="J180" s="56" t="n"/>
      <c r="K180" s="56" t="n"/>
      <c r="L180" s="34">
        <f>HYPERLINK(Table65[[#This Row],[Column1]])</f>
        <v/>
      </c>
    </row>
    <row r="181" ht="45" customHeight="1" s="290">
      <c r="A181" s="30" t="n"/>
      <c r="B181" s="30" t="n"/>
      <c r="C181" s="30" t="n"/>
      <c r="D181" s="324" t="n"/>
      <c r="E181" s="53" t="n"/>
      <c r="F181" s="53" t="n"/>
      <c r="G181" s="55" t="n"/>
      <c r="H181" s="57" t="n"/>
      <c r="I181" s="55" t="n"/>
      <c r="J181" s="56" t="n"/>
      <c r="K181" s="56" t="n"/>
      <c r="L181" s="34">
        <f>HYPERLINK(Table65[[#This Row],[Column1]])</f>
        <v/>
      </c>
    </row>
    <row r="182" ht="45" customHeight="1" s="290">
      <c r="A182" s="30" t="n"/>
      <c r="B182" s="30" t="n"/>
      <c r="C182" s="30" t="n"/>
      <c r="D182" s="324" t="n"/>
      <c r="E182" s="53" t="n"/>
      <c r="F182" s="53" t="n"/>
      <c r="G182" s="55" t="n"/>
      <c r="H182" s="57" t="n"/>
      <c r="I182" s="55" t="n"/>
      <c r="J182" s="56" t="n"/>
      <c r="K182" s="56" t="n"/>
      <c r="L182" s="34">
        <f>HYPERLINK(Table65[[#This Row],[Column1]])</f>
        <v/>
      </c>
    </row>
    <row r="183" ht="45" customHeight="1" s="290">
      <c r="A183" s="30" t="n"/>
      <c r="B183" s="30" t="n"/>
      <c r="C183" s="30" t="n"/>
      <c r="D183" s="324" t="n"/>
      <c r="E183" s="53" t="n"/>
      <c r="F183" s="53" t="n"/>
      <c r="G183" s="55" t="n"/>
      <c r="H183" s="57" t="n"/>
      <c r="I183" s="55" t="n"/>
      <c r="J183" s="56" t="n"/>
      <c r="K183" s="56" t="n"/>
      <c r="L183" s="34">
        <f>HYPERLINK(Table65[[#This Row],[Column1]])</f>
        <v/>
      </c>
    </row>
    <row r="184" ht="45" customHeight="1" s="290">
      <c r="A184" s="30" t="n"/>
      <c r="B184" s="30" t="n"/>
      <c r="C184" s="30" t="n"/>
      <c r="D184" s="324" t="n"/>
      <c r="E184" s="53" t="n"/>
      <c r="F184" s="53" t="n"/>
      <c r="G184" s="55" t="n"/>
      <c r="H184" s="57" t="n"/>
      <c r="I184" s="55" t="n"/>
      <c r="J184" s="56" t="n"/>
      <c r="K184" s="56" t="n"/>
      <c r="L184" s="34">
        <f>HYPERLINK(Table65[[#This Row],[Column1]])</f>
        <v/>
      </c>
    </row>
    <row r="185" ht="45" customHeight="1" s="290">
      <c r="A185" s="30" t="n"/>
      <c r="B185" s="30" t="n"/>
      <c r="C185" s="30" t="n"/>
      <c r="D185" s="324" t="n"/>
      <c r="E185" s="53" t="n"/>
      <c r="F185" s="53" t="n"/>
      <c r="G185" s="55" t="n"/>
      <c r="H185" s="57" t="n"/>
      <c r="I185" s="55" t="n"/>
      <c r="J185" s="56" t="n"/>
      <c r="K185" s="56" t="n"/>
      <c r="L185" s="34">
        <f>HYPERLINK(Table65[[#This Row],[Column1]])</f>
        <v/>
      </c>
    </row>
    <row r="186" ht="60" customHeight="1" s="290">
      <c r="A186" s="30" t="n"/>
      <c r="B186" s="30" t="n"/>
      <c r="C186" s="30" t="n"/>
      <c r="D186" s="324" t="n"/>
      <c r="E186" s="53" t="n"/>
      <c r="F186" s="53" t="n"/>
      <c r="G186" s="55" t="n"/>
      <c r="H186" s="57" t="n"/>
      <c r="I186" s="55" t="n"/>
      <c r="J186" s="56" t="n"/>
      <c r="K186" s="56" t="n"/>
      <c r="L186" s="34">
        <f>HYPERLINK(Table65[[#This Row],[Column1]])</f>
        <v/>
      </c>
    </row>
    <row r="187" ht="45" customHeight="1" s="290">
      <c r="A187" s="30" t="n"/>
      <c r="B187" s="30" t="n"/>
      <c r="C187" s="30" t="n"/>
      <c r="D187" s="324" t="n"/>
      <c r="E187" s="53" t="n"/>
      <c r="F187" s="53" t="n"/>
      <c r="G187" s="55" t="n"/>
      <c r="H187" s="57" t="n"/>
      <c r="I187" s="55" t="n"/>
      <c r="J187" s="56" t="n"/>
      <c r="K187" s="56" t="n"/>
      <c r="L187" s="34">
        <f>HYPERLINK(Table65[[#This Row],[Column1]])</f>
        <v/>
      </c>
    </row>
    <row r="188" ht="45" customHeight="1" s="290">
      <c r="A188" s="30" t="n"/>
      <c r="B188" s="30" t="n"/>
      <c r="C188" s="30" t="n"/>
      <c r="D188" s="324" t="n"/>
      <c r="E188" s="53" t="n"/>
      <c r="F188" s="53" t="n"/>
      <c r="G188" s="55" t="n"/>
      <c r="H188" s="57" t="n"/>
      <c r="I188" s="55" t="n"/>
      <c r="J188" s="56" t="n"/>
      <c r="K188" s="56" t="n"/>
      <c r="L188" s="34">
        <f>HYPERLINK(Table65[[#This Row],[Column1]])</f>
        <v/>
      </c>
    </row>
    <row r="189" ht="45" customHeight="1" s="290">
      <c r="A189" s="30" t="n"/>
      <c r="B189" s="30" t="n"/>
      <c r="C189" s="30" t="n"/>
      <c r="D189" s="324" t="n"/>
      <c r="E189" s="53" t="n"/>
      <c r="F189" s="53" t="n"/>
      <c r="G189" s="55" t="n"/>
      <c r="H189" s="57" t="n"/>
      <c r="I189" s="55" t="n"/>
      <c r="J189" s="56" t="n"/>
      <c r="K189" s="56" t="n"/>
      <c r="L189" s="34">
        <f>HYPERLINK(Table65[[#This Row],[Column1]])</f>
        <v/>
      </c>
    </row>
    <row r="190" ht="60" customHeight="1" s="290">
      <c r="A190" s="30" t="n"/>
      <c r="B190" s="30" t="n"/>
      <c r="C190" s="30" t="n"/>
      <c r="D190" s="324" t="n"/>
      <c r="E190" s="53" t="n"/>
      <c r="F190" s="53" t="n"/>
      <c r="G190" s="55" t="n"/>
      <c r="H190" s="57" t="n"/>
      <c r="I190" s="55" t="n"/>
      <c r="J190" s="56" t="n"/>
      <c r="K190" s="56" t="n"/>
      <c r="L190" s="34">
        <f>HYPERLINK(Table65[[#This Row],[Column1]])</f>
        <v/>
      </c>
    </row>
    <row r="191" ht="45" customHeight="1" s="290">
      <c r="A191" s="30" t="n"/>
      <c r="B191" s="30" t="n"/>
      <c r="C191" s="30" t="n"/>
      <c r="D191" s="324" t="n"/>
      <c r="E191" s="53" t="n"/>
      <c r="F191" s="53" t="n"/>
      <c r="G191" s="55" t="n"/>
      <c r="H191" s="57" t="n"/>
      <c r="I191" s="55" t="n"/>
      <c r="J191" s="56" t="n"/>
      <c r="K191" s="56" t="n"/>
      <c r="L191" s="34">
        <f>HYPERLINK(Table65[[#This Row],[Column1]])</f>
        <v/>
      </c>
    </row>
    <row r="192" ht="45" customHeight="1" s="290">
      <c r="A192" s="30" t="n"/>
      <c r="B192" s="30" t="n"/>
      <c r="C192" s="30" t="n"/>
      <c r="D192" s="324" t="n"/>
      <c r="E192" s="53" t="n"/>
      <c r="F192" s="53" t="n"/>
      <c r="G192" s="55" t="n"/>
      <c r="H192" s="57" t="n"/>
      <c r="I192" s="55" t="n"/>
      <c r="J192" s="56" t="n"/>
      <c r="K192" s="56" t="n"/>
      <c r="L192" s="34">
        <f>HYPERLINK(Table65[[#This Row],[Column1]])</f>
        <v/>
      </c>
    </row>
    <row r="193" ht="60" customHeight="1" s="290">
      <c r="A193" s="30" t="n"/>
      <c r="B193" s="30" t="n"/>
      <c r="C193" s="30" t="n"/>
      <c r="D193" s="324" t="n"/>
      <c r="E193" s="53" t="n"/>
      <c r="F193" s="53" t="n"/>
      <c r="G193" s="55" t="n"/>
      <c r="H193" s="57" t="n"/>
      <c r="I193" s="55" t="n"/>
      <c r="J193" s="56" t="n"/>
      <c r="K193" s="56" t="n"/>
      <c r="L193" s="34">
        <f>HYPERLINK(Table65[[#This Row],[Column1]])</f>
        <v/>
      </c>
    </row>
    <row r="194" ht="45" customHeight="1" s="290">
      <c r="A194" s="30" t="n"/>
      <c r="B194" s="30" t="n"/>
      <c r="C194" s="30" t="n"/>
      <c r="D194" s="324" t="n"/>
      <c r="E194" s="53" t="n"/>
      <c r="F194" s="53" t="n"/>
      <c r="G194" s="55" t="n"/>
      <c r="H194" s="57" t="n"/>
      <c r="I194" s="55" t="n"/>
      <c r="J194" s="56" t="n"/>
      <c r="K194" s="56" t="n"/>
      <c r="L194" s="34">
        <f>HYPERLINK(Table65[[#This Row],[Column1]])</f>
        <v/>
      </c>
    </row>
    <row r="195" ht="45" customHeight="1" s="290">
      <c r="A195" s="30" t="n"/>
      <c r="B195" s="30" t="n"/>
      <c r="C195" s="30" t="n"/>
      <c r="D195" s="324" t="n"/>
      <c r="E195" s="53" t="n"/>
      <c r="F195" s="53" t="n"/>
      <c r="G195" s="55" t="n"/>
      <c r="H195" s="57" t="n"/>
      <c r="I195" s="55" t="n"/>
      <c r="J195" s="56" t="n"/>
      <c r="K195" s="56" t="n"/>
      <c r="L195" s="34">
        <f>HYPERLINK(Table65[[#This Row],[Column1]])</f>
        <v/>
      </c>
    </row>
    <row r="196" ht="45" customHeight="1" s="290">
      <c r="A196" s="30" t="n"/>
      <c r="B196" s="30" t="n"/>
      <c r="C196" s="30" t="n"/>
      <c r="D196" s="324" t="n"/>
      <c r="E196" s="53" t="n"/>
      <c r="F196" s="53" t="n"/>
      <c r="G196" s="55" t="n"/>
      <c r="H196" s="57" t="n"/>
      <c r="I196" s="55" t="n"/>
      <c r="J196" s="56" t="n"/>
      <c r="K196" s="56" t="n"/>
      <c r="L196" s="34">
        <f>HYPERLINK(Table65[[#This Row],[Column1]])</f>
        <v/>
      </c>
    </row>
    <row r="197" ht="45" customHeight="1" s="290">
      <c r="A197" s="30" t="n"/>
      <c r="B197" s="30" t="n"/>
      <c r="C197" s="30" t="n"/>
      <c r="D197" s="324" t="n"/>
      <c r="E197" s="53" t="n"/>
      <c r="F197" s="53" t="n"/>
      <c r="G197" s="55" t="n"/>
      <c r="H197" s="57" t="n"/>
      <c r="I197" s="55" t="n"/>
      <c r="J197" s="56" t="n"/>
      <c r="K197" s="56" t="n"/>
      <c r="L197" s="34">
        <f>HYPERLINK(Table65[[#This Row],[Column1]])</f>
        <v/>
      </c>
    </row>
    <row r="198" ht="45" customHeight="1" s="290">
      <c r="A198" s="30" t="n"/>
      <c r="B198" s="30" t="n"/>
      <c r="C198" s="30" t="n"/>
      <c r="D198" s="324" t="n"/>
      <c r="E198" s="53" t="n"/>
      <c r="F198" s="53" t="n"/>
      <c r="G198" s="55" t="n"/>
      <c r="H198" s="57" t="n"/>
      <c r="I198" s="55" t="n"/>
      <c r="J198" s="56" t="n"/>
      <c r="K198" s="56" t="n"/>
      <c r="L198" s="34">
        <f>HYPERLINK(Table65[[#This Row],[Column1]])</f>
        <v/>
      </c>
    </row>
    <row r="199" ht="45" customHeight="1" s="290">
      <c r="A199" s="30" t="n"/>
      <c r="B199" s="30" t="n"/>
      <c r="C199" s="30" t="n"/>
      <c r="D199" s="324" t="n"/>
      <c r="E199" s="53" t="n"/>
      <c r="F199" s="53" t="n"/>
      <c r="G199" s="55" t="n"/>
      <c r="H199" s="57" t="n"/>
      <c r="I199" s="55" t="n"/>
      <c r="J199" s="56" t="n"/>
      <c r="K199" s="56" t="n"/>
      <c r="L199" s="34">
        <f>HYPERLINK(Table65[[#This Row],[Column1]])</f>
        <v/>
      </c>
    </row>
    <row r="200" ht="45" customHeight="1" s="290">
      <c r="A200" s="30" t="n"/>
      <c r="B200" s="30" t="n"/>
      <c r="C200" s="30" t="n"/>
      <c r="D200" s="324" t="n"/>
      <c r="E200" s="53" t="n"/>
      <c r="F200" s="53" t="n"/>
      <c r="G200" s="55" t="n"/>
      <c r="H200" s="57" t="n"/>
      <c r="I200" s="55" t="n"/>
      <c r="J200" s="56" t="n"/>
      <c r="K200" s="56" t="n"/>
      <c r="L200" s="34">
        <f>HYPERLINK(Table65[[#This Row],[Column1]])</f>
        <v/>
      </c>
    </row>
    <row r="201" ht="45" customHeight="1" s="290">
      <c r="A201" s="30" t="n"/>
      <c r="B201" s="30" t="n"/>
      <c r="C201" s="30" t="n"/>
      <c r="D201" s="324" t="n"/>
      <c r="E201" s="53" t="n"/>
      <c r="F201" s="53" t="n"/>
      <c r="G201" s="55" t="n"/>
      <c r="H201" s="57" t="n"/>
      <c r="I201" s="55" t="n"/>
      <c r="J201" s="56" t="n"/>
      <c r="K201" s="56" t="n"/>
      <c r="L201" s="34">
        <f>HYPERLINK(Table65[[#This Row],[Column1]])</f>
        <v/>
      </c>
    </row>
    <row r="202" ht="45" customHeight="1" s="290">
      <c r="A202" s="30" t="n"/>
      <c r="B202" s="30" t="n"/>
      <c r="C202" s="30" t="n"/>
      <c r="D202" s="324" t="n"/>
      <c r="E202" s="53" t="n"/>
      <c r="F202" s="53" t="n"/>
      <c r="G202" s="55" t="n"/>
      <c r="H202" s="57" t="n"/>
      <c r="I202" s="55" t="n"/>
      <c r="J202" s="56" t="n"/>
      <c r="K202" s="56" t="n"/>
      <c r="L202" s="34">
        <f>HYPERLINK(Table65[[#This Row],[Column1]])</f>
        <v/>
      </c>
    </row>
    <row r="203" ht="45" customHeight="1" s="290">
      <c r="A203" s="30" t="n"/>
      <c r="B203" s="30" t="n"/>
      <c r="C203" s="30" t="n"/>
      <c r="D203" s="324" t="n"/>
      <c r="E203" s="53" t="n"/>
      <c r="F203" s="53" t="n"/>
      <c r="G203" s="55" t="n"/>
      <c r="H203" s="57" t="n"/>
      <c r="I203" s="55" t="n"/>
      <c r="J203" s="56" t="n"/>
      <c r="K203" s="56" t="n"/>
      <c r="L203" s="34">
        <f>HYPERLINK(Table65[[#This Row],[Column1]])</f>
        <v/>
      </c>
    </row>
    <row r="204" ht="17" customHeight="1" s="290">
      <c r="A204" s="30" t="n"/>
      <c r="B204" s="30" t="n"/>
      <c r="C204" s="30" t="n"/>
      <c r="D204" s="324" t="n"/>
      <c r="E204" s="53" t="n"/>
      <c r="F204" s="53" t="n"/>
      <c r="G204" s="55" t="n"/>
      <c r="H204" s="57" t="n"/>
      <c r="I204" s="55" t="n"/>
      <c r="J204" s="56" t="n"/>
      <c r="K204" s="56" t="n"/>
      <c r="L204" s="34">
        <f>HYPERLINK(Table65[[#This Row],[Column1]])</f>
        <v/>
      </c>
    </row>
    <row r="205" ht="30" customHeight="1" s="290">
      <c r="A205" s="30" t="n"/>
      <c r="B205" s="30" t="n"/>
      <c r="C205" s="30" t="n"/>
      <c r="D205" s="324" t="n"/>
      <c r="E205" s="53" t="n"/>
      <c r="F205" s="53" t="n"/>
      <c r="G205" s="55" t="n"/>
      <c r="H205" s="57" t="n"/>
      <c r="I205" s="55" t="n"/>
      <c r="J205" s="56" t="n"/>
      <c r="K205" s="56" t="n"/>
      <c r="L205" s="34">
        <f>HYPERLINK(Table65[[#This Row],[Column1]])</f>
        <v/>
      </c>
    </row>
    <row r="206" ht="45" customHeight="1" s="290">
      <c r="A206" s="30" t="n"/>
      <c r="B206" s="30" t="n"/>
      <c r="C206" s="30" t="n"/>
      <c r="D206" s="324" t="n"/>
      <c r="E206" s="53" t="n"/>
      <c r="F206" s="53" t="n"/>
      <c r="G206" s="55" t="n"/>
      <c r="H206" s="57" t="n"/>
      <c r="I206" s="55" t="n"/>
      <c r="J206" s="56" t="n"/>
      <c r="K206" s="56" t="n"/>
      <c r="L206" s="34">
        <f>HYPERLINK(Table65[[#This Row],[Column1]])</f>
        <v/>
      </c>
    </row>
    <row r="207" ht="45" customHeight="1" s="290">
      <c r="A207" s="30" t="n"/>
      <c r="B207" s="30" t="n"/>
      <c r="C207" s="30" t="n"/>
      <c r="D207" s="324" t="n"/>
      <c r="E207" s="53" t="n"/>
      <c r="F207" s="53" t="n"/>
      <c r="G207" s="55" t="n"/>
      <c r="H207" s="57" t="n"/>
      <c r="I207" s="55" t="n"/>
      <c r="J207" s="56" t="n"/>
      <c r="K207" s="56" t="n"/>
      <c r="L207" s="34">
        <f>HYPERLINK(Table65[[#This Row],[Column1]])</f>
        <v/>
      </c>
    </row>
    <row r="208" ht="17" customHeight="1" s="290">
      <c r="A208" s="33" t="inlineStr">
        <is>
          <t>Total</t>
        </is>
      </c>
      <c r="B208" s="32" t="n"/>
      <c r="C208" s="325" t="n"/>
      <c r="D208" s="59" t="n"/>
      <c r="E208" s="32" t="n"/>
      <c r="F208" s="32" t="n"/>
      <c r="G208" s="36">
        <f>SUM(G133:G207)</f>
        <v/>
      </c>
      <c r="H208" s="36">
        <f>SUM(H133:H207)</f>
        <v/>
      </c>
      <c r="I208" s="36" t="n"/>
      <c r="J208" s="167" t="n"/>
      <c r="K208" s="168" t="n"/>
      <c r="L208" s="32" t="n"/>
    </row>
  </sheetData>
  <mergeCells count="3">
    <mergeCell ref="A1:M5"/>
    <mergeCell ref="A131:L131"/>
    <mergeCell ref="A51:L51"/>
  </mergeCells>
  <pageMargins left="0.7" right="0.7" top="0.75" bottom="0.75" header="0.3" footer="0.3"/>
  <drawing xmlns:r="http://schemas.openxmlformats.org/officeDocument/2006/relationships" r:id="rId1"/>
  <tableParts count="2">
    <tablePart xmlns:r="http://schemas.openxmlformats.org/officeDocument/2006/relationships" r:id="rId2"/>
    <tablePart xmlns:r="http://schemas.openxmlformats.org/officeDocument/2006/relationships" r:id="rId3"/>
  </tableParts>
</worksheet>
</file>

<file path=xl/worksheets/sheet21.xml><?xml version="1.0" encoding="utf-8"?>
<worksheet xmlns="http://schemas.openxmlformats.org/spreadsheetml/2006/main">
  <sheetPr codeName="Sheet6">
    <outlinePr summaryBelow="1" summaryRight="1"/>
    <pageSetUpPr/>
  </sheetPr>
  <dimension ref="A1:Q208"/>
  <sheetViews>
    <sheetView workbookViewId="0">
      <selection activeCell="A1" sqref="A1"/>
    </sheetView>
  </sheetViews>
  <sheetFormatPr baseColWidth="10" defaultColWidth="10.83203125" defaultRowHeight="16"/>
  <cols>
    <col width="50.6640625" customWidth="1" style="284" min="1" max="1"/>
    <col width="12.6640625" customWidth="1" style="284" min="2" max="2"/>
    <col width="12.6640625" customWidth="1" style="320" min="3" max="3"/>
    <col width="11.1640625" customWidth="1" style="296" min="4" max="4"/>
    <col width="24.83203125" bestFit="1" customWidth="1" style="284" min="5" max="5"/>
    <col width="17.6640625" bestFit="1" customWidth="1" style="286" min="6" max="6"/>
    <col width="21.6640625" bestFit="1" customWidth="1" style="286" min="7" max="7"/>
    <col width="19.1640625" bestFit="1" customWidth="1" style="286" min="8" max="8"/>
    <col width="13.5" bestFit="1" customWidth="1" style="287" min="9" max="9"/>
    <col width="13" bestFit="1" customWidth="1" style="284" min="10" max="10"/>
    <col hidden="1" width="29" customWidth="1" style="284" min="11" max="11"/>
    <col width="35.6640625" customWidth="1" style="284" min="12" max="12"/>
    <col width="15.6640625" customWidth="1" style="284" min="13" max="13"/>
    <col width="10.83203125" customWidth="1" style="284" min="14" max="16384"/>
  </cols>
  <sheetData>
    <row r="1">
      <c r="A1" s="282" t="inlineStr">
        <is>
          <t>Innova 1p Monthly Summary</t>
        </is>
      </c>
    </row>
    <row r="2"/>
    <row r="3"/>
    <row r="4"/>
    <row r="5"/>
    <row r="6">
      <c r="A6" s="29" t="n"/>
      <c r="B6" s="29" t="n"/>
      <c r="C6" s="321" t="n"/>
      <c r="D6" s="47" t="n"/>
      <c r="E6" s="48" t="n"/>
      <c r="F6" s="48" t="n"/>
      <c r="G6" s="48" t="n"/>
      <c r="H6" s="48" t="n"/>
      <c r="I6" s="49" t="n"/>
      <c r="J6" s="50" t="n"/>
    </row>
    <row r="7" ht="32" customHeight="1" s="290">
      <c r="A7" s="80" t="n"/>
      <c r="B7" s="81" t="inlineStr">
        <is>
          <t>Avg Price</t>
        </is>
      </c>
      <c r="C7" s="81" t="inlineStr">
        <is>
          <t>Avg Price MoM</t>
        </is>
      </c>
      <c r="D7" s="82" t="inlineStr">
        <is>
          <t>Avg Price YoY</t>
        </is>
      </c>
      <c r="E7" s="81" t="inlineStr">
        <is>
          <t>Quantity/Mo</t>
        </is>
      </c>
      <c r="F7" s="84" t="inlineStr">
        <is>
          <t>Qty by %</t>
        </is>
      </c>
      <c r="G7" s="84" t="inlineStr">
        <is>
          <t>Qty MoM</t>
        </is>
      </c>
      <c r="H7" s="82" t="inlineStr">
        <is>
          <t>Qty YoY</t>
        </is>
      </c>
      <c r="I7" s="309" t="inlineStr">
        <is>
          <t>Revenue/Mo</t>
        </is>
      </c>
      <c r="J7" s="126" t="inlineStr">
        <is>
          <t>Revenue by %</t>
        </is>
      </c>
      <c r="K7" s="173" t="n"/>
      <c r="L7" s="126" t="inlineStr">
        <is>
          <t>Revenue MoM</t>
        </is>
      </c>
      <c r="M7" s="310" t="inlineStr">
        <is>
          <t>Revenue YoY</t>
        </is>
      </c>
      <c r="N7" s="286" t="n"/>
      <c r="O7" s="286" t="n"/>
      <c r="P7" s="49" t="n"/>
      <c r="Q7" s="50" t="n"/>
    </row>
    <row r="8">
      <c r="A8" s="93" t="inlineStr">
        <is>
          <t>Tablet $800+</t>
        </is>
      </c>
      <c r="B8" s="298" t="n"/>
      <c r="C8" s="270" t="n"/>
      <c r="D8" s="271" t="n"/>
      <c r="E8" s="269" t="n">
        <v>0</v>
      </c>
      <c r="F8" s="270" t="n">
        <v>0</v>
      </c>
      <c r="G8" s="270" t="n"/>
      <c r="H8" s="271" t="n"/>
      <c r="I8" s="95" t="n">
        <v>0</v>
      </c>
      <c r="J8" s="128" t="n">
        <v>0</v>
      </c>
      <c r="L8" s="169" t="n"/>
      <c r="M8" s="169" t="n"/>
      <c r="N8" s="286" t="n"/>
      <c r="O8" s="286" t="n"/>
      <c r="P8" s="49" t="n"/>
      <c r="Q8" s="50" t="n"/>
    </row>
    <row r="9">
      <c r="A9" s="93" t="inlineStr">
        <is>
          <t>Tablet $400-$800</t>
        </is>
      </c>
      <c r="B9" s="298" t="n"/>
      <c r="C9" s="270" t="n"/>
      <c r="D9" s="271" t="n"/>
      <c r="E9" s="269" t="n">
        <v>0</v>
      </c>
      <c r="F9" s="270" t="n">
        <v>0</v>
      </c>
      <c r="G9" s="270" t="n"/>
      <c r="H9" s="271" t="n"/>
      <c r="I9" s="95" t="n">
        <v>0</v>
      </c>
      <c r="J9" s="128" t="n">
        <v>0</v>
      </c>
      <c r="L9" s="169" t="n"/>
      <c r="M9" s="169" t="n"/>
      <c r="N9" s="286" t="n"/>
      <c r="O9" s="286" t="n"/>
      <c r="P9" s="49" t="n"/>
      <c r="Q9" s="50" t="n"/>
    </row>
    <row r="10">
      <c r="A10" s="96" t="inlineStr">
        <is>
          <t>Tablet $400-</t>
        </is>
      </c>
      <c r="B10" s="299" t="n"/>
      <c r="C10" s="274" t="n"/>
      <c r="D10" s="275" t="n"/>
      <c r="E10" s="273" t="n">
        <v>0</v>
      </c>
      <c r="F10" s="274" t="n">
        <v>0</v>
      </c>
      <c r="G10" s="274" t="n"/>
      <c r="H10" s="275" t="n"/>
      <c r="I10" s="98" t="n">
        <v>0</v>
      </c>
      <c r="J10" s="127" t="n">
        <v>0</v>
      </c>
      <c r="L10" s="171" t="n"/>
      <c r="M10" s="171" t="n"/>
      <c r="N10" s="286" t="n"/>
      <c r="O10" s="286" t="n"/>
      <c r="P10" s="49" t="n"/>
      <c r="Q10" s="50" t="n"/>
    </row>
    <row r="11">
      <c r="A11" s="101" t="inlineStr">
        <is>
          <t>Total Tablet</t>
        </is>
      </c>
      <c r="B11" s="300" t="n"/>
      <c r="C11" s="112" t="n"/>
      <c r="D11" s="104" t="n"/>
      <c r="E11" s="116" t="n">
        <v>0</v>
      </c>
      <c r="F11" s="112" t="n">
        <v>0</v>
      </c>
      <c r="G11" s="112" t="n"/>
      <c r="H11" s="104" t="n"/>
      <c r="I11" s="103" t="n">
        <v>0</v>
      </c>
      <c r="J11" s="129" t="n">
        <v>0</v>
      </c>
      <c r="L11" s="170" t="n"/>
      <c r="M11" s="170" t="n"/>
      <c r="N11" s="286" t="n"/>
      <c r="O11" s="286" t="n"/>
      <c r="P11" s="49" t="n"/>
      <c r="Q11" s="50" t="n"/>
    </row>
    <row r="12">
      <c r="A12" s="93" t="inlineStr">
        <is>
          <t>Handheld $75+</t>
        </is>
      </c>
      <c r="B12" s="298" t="n">
        <v>163.2812244897959</v>
      </c>
      <c r="C12" s="270" t="n">
        <v>-0.05478737649562193</v>
      </c>
      <c r="D12" s="271" t="n">
        <v>0.2965657412315088</v>
      </c>
      <c r="E12" s="269" t="n">
        <v>147</v>
      </c>
      <c r="F12" s="270" t="n">
        <v>0.03980503655564582</v>
      </c>
      <c r="G12" s="270" t="n">
        <v>-0.1403508771929824</v>
      </c>
      <c r="H12" s="271" t="n">
        <v>-0.4143426294820717</v>
      </c>
      <c r="I12" s="95" t="n">
        <v>24002.34</v>
      </c>
      <c r="J12" s="128" t="n">
        <v>0.1191887138497389</v>
      </c>
      <c r="L12" s="169" t="n">
        <v>-0.1874487973383417</v>
      </c>
      <c r="M12" s="169" t="n">
        <v>-0.240656717286726</v>
      </c>
      <c r="N12" s="286" t="n"/>
      <c r="O12" s="286" t="n"/>
      <c r="P12" s="49" t="n"/>
      <c r="Q12" s="50" t="n"/>
    </row>
    <row r="13">
      <c r="A13" s="96" t="inlineStr">
        <is>
          <t>Handheld $75-</t>
        </is>
      </c>
      <c r="B13" s="299" t="n">
        <v>39.82766475644699</v>
      </c>
      <c r="C13" s="274" t="n"/>
      <c r="D13" s="275" t="n"/>
      <c r="E13" s="273" t="n">
        <v>698</v>
      </c>
      <c r="F13" s="274" t="n">
        <v>0.1890062279989169</v>
      </c>
      <c r="G13" s="274" t="n"/>
      <c r="H13" s="275" t="n"/>
      <c r="I13" s="98" t="n">
        <v>27799.71</v>
      </c>
      <c r="J13" s="127" t="n">
        <v>0.1380453605896644</v>
      </c>
      <c r="L13" s="171" t="n"/>
      <c r="M13" s="171" t="n"/>
      <c r="N13" s="286" t="n"/>
      <c r="O13" s="286" t="n"/>
      <c r="P13" s="49" t="n"/>
      <c r="Q13" s="50" t="n"/>
    </row>
    <row r="14">
      <c r="A14" s="101" t="inlineStr">
        <is>
          <t>Total Handheld</t>
        </is>
      </c>
      <c r="B14" s="300" t="n">
        <v>61.30420118343196</v>
      </c>
      <c r="C14" s="112" t="n">
        <v>-0.6451183838589283</v>
      </c>
      <c r="D14" s="104" t="n">
        <v>-0.5132022846082385</v>
      </c>
      <c r="E14" s="116" t="n">
        <v>845</v>
      </c>
      <c r="F14" s="112" t="n">
        <v>0.2288112645545627</v>
      </c>
      <c r="G14" s="112" t="n">
        <v>3.941520467836257</v>
      </c>
      <c r="H14" s="104" t="n">
        <v>2.366533864541833</v>
      </c>
      <c r="I14" s="103" t="n">
        <v>51802.05</v>
      </c>
      <c r="J14" s="129" t="n">
        <v>0.2572340744394034</v>
      </c>
      <c r="L14" s="170" t="n">
        <v>0.7536547698199156</v>
      </c>
      <c r="M14" s="170" t="n">
        <v>0.6388209940479619</v>
      </c>
      <c r="N14" s="286" t="n"/>
      <c r="O14" s="286" t="n"/>
      <c r="P14" s="49" t="n"/>
      <c r="Q14" s="50" t="n"/>
    </row>
    <row r="15">
      <c r="A15" s="78" t="inlineStr">
        <is>
          <t>Total Dongle</t>
        </is>
      </c>
      <c r="B15" s="301" t="n"/>
      <c r="C15" s="113" t="n"/>
      <c r="D15" s="107" t="n"/>
      <c r="E15" s="99" t="n">
        <v>0</v>
      </c>
      <c r="F15" s="113" t="n">
        <v>0</v>
      </c>
      <c r="G15" s="113" t="n"/>
      <c r="H15" s="107" t="n"/>
      <c r="I15" s="76" t="n">
        <v>0</v>
      </c>
      <c r="J15" s="130" t="n">
        <v>0</v>
      </c>
      <c r="L15" s="174" t="n"/>
      <c r="M15" s="174" t="n"/>
      <c r="N15" s="286" t="n"/>
      <c r="O15" s="286" t="n"/>
      <c r="P15" s="49" t="n"/>
      <c r="Q15" s="50" t="n"/>
    </row>
    <row r="16">
      <c r="A16" s="78" t="inlineStr">
        <is>
          <t>Total Other Tools</t>
        </is>
      </c>
      <c r="B16" s="301" t="n">
        <v>52.52069171348315</v>
      </c>
      <c r="C16" s="113" t="n"/>
      <c r="D16" s="107" t="n"/>
      <c r="E16" s="99" t="n">
        <v>2848</v>
      </c>
      <c r="F16" s="113" t="n">
        <v>0.7711887354454373</v>
      </c>
      <c r="G16" s="113" t="n"/>
      <c r="H16" s="107" t="n"/>
      <c r="I16" s="76" t="n">
        <v>149578.93</v>
      </c>
      <c r="J16" s="130" t="n">
        <v>0.7427659255605966</v>
      </c>
      <c r="L16" s="174" t="n"/>
      <c r="M16" s="174" t="n"/>
      <c r="N16" s="286" t="n"/>
      <c r="O16" s="286" t="n"/>
      <c r="P16" s="49" t="n"/>
      <c r="Q16" s="50" t="n"/>
    </row>
    <row r="17">
      <c r="A17" s="86" t="inlineStr">
        <is>
          <t>Total</t>
        </is>
      </c>
      <c r="B17" s="302" t="n">
        <v>54.53045762252911</v>
      </c>
      <c r="C17" s="109" t="n">
        <v>-0.6843306566854772</v>
      </c>
      <c r="D17" s="108" t="n">
        <v>-0.5669904887841756</v>
      </c>
      <c r="E17" s="100" t="n">
        <v>3693</v>
      </c>
      <c r="F17" s="109" t="n">
        <v>1</v>
      </c>
      <c r="G17" s="109" t="n">
        <v>20.59649122807017</v>
      </c>
      <c r="H17" s="108" t="n">
        <v>13.71314741035857</v>
      </c>
      <c r="I17" s="85" t="n">
        <v>201380.98</v>
      </c>
      <c r="J17" s="109" t="n">
        <v>1</v>
      </c>
      <c r="L17" s="172" t="n">
        <v>5.817350203862763</v>
      </c>
      <c r="M17" s="172" t="n">
        <v>5.370932768605735</v>
      </c>
      <c r="N17" s="286" t="n"/>
      <c r="O17" s="286" t="n"/>
      <c r="P17" s="49" t="n"/>
      <c r="Q17" s="50" t="n"/>
    </row>
    <row r="18">
      <c r="A18" s="29" t="n"/>
      <c r="B18" s="29" t="n"/>
      <c r="C18" s="321" t="n"/>
      <c r="D18" s="47" t="n"/>
      <c r="E18" s="48" t="n"/>
      <c r="F18" s="48" t="n"/>
      <c r="G18" s="48" t="n"/>
      <c r="H18" s="48" t="n"/>
      <c r="I18" s="49" t="n"/>
      <c r="J18" s="50" t="n"/>
    </row>
    <row r="19">
      <c r="A19" s="29" t="n"/>
      <c r="B19" s="29" t="n"/>
      <c r="C19" s="321" t="n"/>
      <c r="D19" s="47" t="n"/>
      <c r="E19" s="48" t="n"/>
      <c r="F19" s="48" t="n"/>
      <c r="G19" s="48" t="n"/>
      <c r="H19" s="48" t="n"/>
      <c r="I19" s="49" t="n"/>
      <c r="J19" s="50" t="n"/>
    </row>
    <row r="20">
      <c r="A20" s="29" t="n"/>
      <c r="B20" s="29" t="n"/>
      <c r="C20" s="321" t="n"/>
      <c r="D20" s="47" t="n"/>
      <c r="E20" s="48" t="n"/>
      <c r="F20" s="48" t="n"/>
      <c r="G20" s="48" t="n"/>
      <c r="H20" s="48" t="n"/>
      <c r="I20" s="49" t="n"/>
      <c r="J20" s="50" t="n"/>
    </row>
    <row r="21">
      <c r="A21" s="29" t="n"/>
      <c r="B21" s="29" t="n"/>
      <c r="C21" s="321" t="n"/>
      <c r="D21" s="47" t="n"/>
      <c r="E21" s="48" t="n"/>
      <c r="F21" s="48" t="n"/>
      <c r="G21" s="48" t="n"/>
      <c r="H21" s="48" t="n"/>
      <c r="I21" s="49" t="n"/>
      <c r="J21" s="50" t="n"/>
    </row>
    <row r="22">
      <c r="A22" s="29" t="n"/>
      <c r="B22" s="29" t="n"/>
      <c r="C22" s="321" t="n"/>
      <c r="D22" s="47" t="n"/>
      <c r="E22" s="48" t="n"/>
      <c r="F22" s="48" t="n"/>
      <c r="G22" s="48" t="n"/>
      <c r="H22" s="48" t="n"/>
      <c r="I22" s="49" t="n"/>
      <c r="J22" s="50" t="n"/>
    </row>
    <row r="23">
      <c r="A23" s="29" t="n"/>
      <c r="B23" s="29" t="n"/>
      <c r="C23" s="321" t="n"/>
      <c r="D23" s="47" t="n"/>
      <c r="E23" s="48" t="n"/>
      <c r="F23" s="48" t="n"/>
      <c r="G23" s="48" t="n"/>
      <c r="H23" s="48" t="n"/>
      <c r="I23" s="49" t="n"/>
      <c r="J23" s="50" t="n"/>
    </row>
    <row r="24">
      <c r="A24" s="29" t="n"/>
      <c r="B24" s="29" t="n"/>
      <c r="C24" s="321" t="n"/>
      <c r="D24" s="47" t="n"/>
      <c r="E24" s="48" t="n"/>
      <c r="F24" s="48" t="n"/>
      <c r="G24" s="48" t="n"/>
      <c r="H24" s="48" t="n"/>
      <c r="I24" s="49" t="n"/>
      <c r="J24" s="50" t="n"/>
    </row>
    <row r="25">
      <c r="A25" s="29" t="n"/>
      <c r="B25" s="29" t="n"/>
      <c r="C25" s="321" t="n"/>
      <c r="D25" s="47" t="n"/>
      <c r="E25" s="48" t="n"/>
      <c r="F25" s="48" t="n"/>
      <c r="G25" s="48" t="n"/>
      <c r="H25" s="48" t="n"/>
      <c r="I25" s="49" t="n"/>
      <c r="J25" s="50" t="n"/>
    </row>
    <row r="26">
      <c r="A26" s="29" t="n"/>
      <c r="B26" s="29" t="n"/>
      <c r="C26" s="321" t="n"/>
      <c r="D26" s="47" t="n"/>
      <c r="E26" s="48" t="n"/>
      <c r="F26" s="48" t="n"/>
      <c r="G26" s="48" t="n"/>
      <c r="H26" s="48" t="n"/>
      <c r="I26" s="49" t="n"/>
      <c r="J26" s="50" t="n"/>
    </row>
    <row r="27">
      <c r="A27" s="29" t="n"/>
      <c r="B27" s="29" t="n"/>
      <c r="C27" s="321" t="n"/>
      <c r="D27" s="47" t="n"/>
      <c r="E27" s="48" t="n"/>
      <c r="F27" s="48" t="n"/>
      <c r="G27" s="48" t="n"/>
      <c r="H27" s="48" t="n"/>
      <c r="I27" s="49" t="n"/>
      <c r="J27" s="50" t="n"/>
    </row>
    <row r="28">
      <c r="A28" s="29" t="n"/>
      <c r="B28" s="29" t="n"/>
      <c r="C28" s="321" t="n"/>
      <c r="D28" s="47" t="n"/>
      <c r="E28" s="48" t="n"/>
      <c r="F28" s="48" t="n"/>
      <c r="G28" s="48" t="n"/>
      <c r="H28" s="48" t="n"/>
      <c r="I28" s="49" t="n"/>
      <c r="J28" s="50" t="n"/>
    </row>
    <row r="29">
      <c r="A29" s="29" t="n"/>
      <c r="B29" s="29" t="n"/>
      <c r="C29" s="321" t="n"/>
      <c r="D29" s="47" t="n"/>
      <c r="E29" s="48" t="n"/>
      <c r="F29" s="48" t="n"/>
      <c r="G29" s="48" t="n"/>
      <c r="H29" s="48" t="n"/>
      <c r="I29" s="49" t="n"/>
      <c r="J29" s="50" t="n"/>
    </row>
    <row r="30">
      <c r="A30" s="29" t="n"/>
      <c r="B30" s="29" t="n"/>
      <c r="C30" s="321" t="n"/>
      <c r="D30" s="47" t="n"/>
      <c r="E30" s="48" t="n"/>
      <c r="F30" s="48" t="n"/>
      <c r="G30" s="48" t="n"/>
      <c r="H30" s="48" t="n"/>
      <c r="I30" s="49" t="n"/>
      <c r="J30" s="50" t="n"/>
    </row>
    <row r="31">
      <c r="A31" s="29" t="n"/>
      <c r="B31" s="29" t="n"/>
      <c r="C31" s="321" t="n"/>
      <c r="D31" s="47" t="n"/>
      <c r="E31" s="48" t="n"/>
      <c r="F31" s="48" t="n"/>
      <c r="G31" s="48" t="n"/>
      <c r="H31" s="48" t="n"/>
      <c r="I31" s="49" t="n"/>
      <c r="J31" s="50" t="n"/>
    </row>
    <row r="32">
      <c r="A32" s="29" t="n"/>
      <c r="B32" s="29" t="n"/>
      <c r="C32" s="321" t="n"/>
      <c r="D32" s="47" t="n"/>
      <c r="E32" s="48" t="n"/>
      <c r="F32" s="48" t="n"/>
      <c r="G32" s="48" t="n"/>
      <c r="H32" s="48" t="n"/>
      <c r="I32" s="49" t="n"/>
      <c r="J32" s="50" t="n"/>
    </row>
    <row r="33">
      <c r="A33" s="29" t="n"/>
      <c r="B33" s="29" t="n"/>
      <c r="C33" s="321" t="n"/>
      <c r="D33" s="47" t="n"/>
      <c r="E33" s="48" t="n"/>
      <c r="F33" s="48" t="n"/>
      <c r="G33" s="48" t="n"/>
      <c r="H33" s="48" t="n"/>
      <c r="I33" s="49" t="n"/>
      <c r="J33" s="50" t="n"/>
    </row>
    <row r="49" ht="16" customHeight="1" s="290">
      <c r="C49" s="284" t="n"/>
      <c r="D49" s="284" t="n"/>
      <c r="F49" s="284" t="n"/>
      <c r="G49" s="284" t="n"/>
      <c r="H49" s="284" t="n"/>
      <c r="I49" s="284" t="n"/>
    </row>
    <row r="50">
      <c r="C50" s="284" t="n"/>
      <c r="D50" s="284" t="n"/>
      <c r="F50" s="284" t="n"/>
      <c r="G50" s="284" t="n"/>
      <c r="H50" s="284" t="n"/>
      <c r="I50" s="284" t="n"/>
    </row>
    <row r="51">
      <c r="A51" s="283" t="inlineStr">
        <is>
          <t xml:space="preserve">Rank by Revenue </t>
        </is>
      </c>
    </row>
    <row r="52" ht="17" customHeight="1" s="290">
      <c r="A52" s="38" t="inlineStr">
        <is>
          <t>Product Name</t>
        </is>
      </c>
      <c r="B52" s="39" t="inlineStr">
        <is>
          <t>ASIN</t>
        </is>
      </c>
      <c r="C52" s="39" t="inlineStr">
        <is>
          <t>Type</t>
        </is>
      </c>
      <c r="D52" s="322" t="inlineStr">
        <is>
          <t>Avg Price</t>
        </is>
      </c>
      <c r="E52" s="41" t="inlineStr">
        <is>
          <t>Estimated 12mo Revenue</t>
        </is>
      </c>
      <c r="F52" s="39" t="inlineStr">
        <is>
          <t>Monthly Rev</t>
        </is>
      </c>
      <c r="G52" s="42" t="inlineStr">
        <is>
          <t>Estimated 12mo Units</t>
        </is>
      </c>
      <c r="H52" s="45" t="inlineStr">
        <is>
          <t>Monthly Units</t>
        </is>
      </c>
      <c r="I52" s="42" t="inlineStr">
        <is>
          <t># of Reviews</t>
        </is>
      </c>
      <c r="J52" s="43" t="inlineStr">
        <is>
          <t xml:space="preserve">Tool Rating </t>
        </is>
      </c>
      <c r="K52" s="43" t="inlineStr">
        <is>
          <t>Column1</t>
        </is>
      </c>
      <c r="L52" s="323" t="inlineStr">
        <is>
          <t>Link</t>
        </is>
      </c>
    </row>
    <row r="53" ht="45" customHeight="1" s="290">
      <c r="A53" s="30" t="inlineStr">
        <is>
          <t>Innova 3568 Digital Timing Light</t>
        </is>
      </c>
      <c r="B53" s="30" t="inlineStr">
        <is>
          <t>B000EVYGV4</t>
        </is>
      </c>
      <c r="C53" s="30" t="inlineStr">
        <is>
          <t>Other</t>
        </is>
      </c>
      <c r="D53" s="324" t="n">
        <v>79.89569668246446</v>
      </c>
      <c r="E53" s="53" t="n">
        <v>1017963.363076923</v>
      </c>
      <c r="F53" s="54" t="n">
        <v>84289.96000000001</v>
      </c>
      <c r="G53" s="55" t="n">
        <v>1055</v>
      </c>
      <c r="H53" s="55" t="n">
        <v>1055</v>
      </c>
      <c r="I53" s="55" t="n"/>
      <c r="J53" s="56" t="n"/>
      <c r="K53" s="56" t="inlineStr">
        <is>
          <t>https://www.amazon.com/dp/B000EVYGV4</t>
        </is>
      </c>
      <c r="L53" s="34">
        <f>HYPERLINK(Innova1p_2[[#This Row],[Column1]])</f>
        <v/>
      </c>
    </row>
    <row r="54" ht="45" customHeight="1" s="290">
      <c r="A54" s="30" t="inlineStr">
        <is>
          <t>INNOVA 3145 Ford Digital OBD1 Code Reader</t>
        </is>
      </c>
      <c r="B54" s="30" t="inlineStr">
        <is>
          <t>B000EW0KHW</t>
        </is>
      </c>
      <c r="C54" s="30" t="inlineStr">
        <is>
          <t>Handheld</t>
        </is>
      </c>
      <c r="D54" s="324" t="n">
        <v>39.82766475644699</v>
      </c>
      <c r="E54" s="53" t="n">
        <v>335734.9592307693</v>
      </c>
      <c r="F54" s="54" t="n">
        <v>27799.71</v>
      </c>
      <c r="G54" s="55" t="n">
        <v>698</v>
      </c>
      <c r="H54" s="55" t="n">
        <v>698</v>
      </c>
      <c r="I54" s="55" t="n">
        <v>6858</v>
      </c>
      <c r="J54" s="56" t="n">
        <v>4.4</v>
      </c>
      <c r="K54" s="56" t="inlineStr">
        <is>
          <t>https://amazon.com/dp/B000EW0KHW</t>
        </is>
      </c>
      <c r="L54" s="34">
        <f>HYPERLINK(Innova1p_2[[#This Row],[Column1]])</f>
        <v/>
      </c>
    </row>
    <row r="55" ht="45" customHeight="1" s="290">
      <c r="A55" s="30" t="inlineStr">
        <is>
          <t>Innova 3555 Advance Timing Light</t>
        </is>
      </c>
      <c r="B55" s="30" t="inlineStr">
        <is>
          <t>B000EVYH7W</t>
        </is>
      </c>
      <c r="C55" s="30" t="inlineStr">
        <is>
          <t>Other</t>
        </is>
      </c>
      <c r="D55" s="324" t="n">
        <v>55.06609756097561</v>
      </c>
      <c r="E55" s="53" t="n">
        <v>136330.95</v>
      </c>
      <c r="F55" s="54" t="n">
        <v>11288.55</v>
      </c>
      <c r="G55" s="55" t="n">
        <v>205</v>
      </c>
      <c r="H55" s="55" t="n">
        <v>205</v>
      </c>
      <c r="I55" s="55" t="n"/>
      <c r="J55" s="56" t="n"/>
      <c r="K55" s="56" t="inlineStr">
        <is>
          <t>https://www.amazon.com/dp/B000EVYH7W</t>
        </is>
      </c>
      <c r="L55" s="34">
        <f>HYPERLINK(Innova1p_2[[#This Row],[Column1]])</f>
        <v/>
      </c>
    </row>
    <row r="56" ht="60" customHeight="1" s="290">
      <c r="A56" s="30" t="inlineStr">
        <is>
          <t>INNOVA 3320 Auto-Ranging Digital Multimeter, Red &amp; Black</t>
        </is>
      </c>
      <c r="B56" s="30" t="inlineStr">
        <is>
          <t>B000EVYGZA</t>
        </is>
      </c>
      <c r="C56" s="30" t="inlineStr">
        <is>
          <t>Other</t>
        </is>
      </c>
      <c r="D56" s="324" t="n">
        <v>35.65082758620689</v>
      </c>
      <c r="E56" s="53" t="n">
        <v>132466.4553846154</v>
      </c>
      <c r="F56" s="54" t="n">
        <v>10338.74</v>
      </c>
      <c r="G56" s="55" t="n">
        <v>308</v>
      </c>
      <c r="H56" s="55" t="n">
        <v>290</v>
      </c>
      <c r="I56" s="55" t="n"/>
      <c r="J56" s="56" t="n"/>
      <c r="K56" s="56" t="inlineStr">
        <is>
          <t>https://www.amazon.com/dp/B000EVYGZA</t>
        </is>
      </c>
      <c r="L56" s="34">
        <f>HYPERLINK(Innova1p_2[[#This Row],[Column1]])</f>
        <v/>
      </c>
    </row>
    <row r="57" ht="45" customHeight="1" s="290">
      <c r="A57" s="30" t="inlineStr">
        <is>
          <t>INNOVA 5160RS, OBD2 Bidirectional Scan Tool, OE-Level All System Diagnostics, Reset Oil Light/Battery/EPB/SAS/DPF, Mechanic Recommended Fixes &amp; Parts, TSBs, 1yr Warranty, Free Updates</t>
        </is>
      </c>
      <c r="B57" s="30" t="inlineStr">
        <is>
          <t>B071VYLP32</t>
        </is>
      </c>
      <c r="C57" s="30" t="inlineStr">
        <is>
          <t>Handheld</t>
        </is>
      </c>
      <c r="D57" s="324" t="n">
        <v>317.482962962963</v>
      </c>
      <c r="E57" s="53" t="n">
        <v>137375.98</v>
      </c>
      <c r="F57" s="54" t="n">
        <v>8572.040000000001</v>
      </c>
      <c r="G57" s="55" t="n">
        <v>434</v>
      </c>
      <c r="H57" s="55" t="n">
        <v>27</v>
      </c>
      <c r="I57" s="55" t="n">
        <v>300</v>
      </c>
      <c r="J57" s="56" t="n">
        <v>4.2</v>
      </c>
      <c r="K57" s="56" t="inlineStr">
        <is>
          <t>https://amazon.com/dp/B071VYLP32</t>
        </is>
      </c>
      <c r="L57" s="34">
        <f>HYPERLINK(Innova1p_2[[#This Row],[Column1]])</f>
        <v/>
      </c>
    </row>
    <row r="58" ht="45" customHeight="1" s="290">
      <c r="A58" s="30" t="inlineStr">
        <is>
          <t>Innova 3551 Inductive Timing Light</t>
        </is>
      </c>
      <c r="B58" s="30" t="inlineStr">
        <is>
          <t>B000EVYH72</t>
        </is>
      </c>
      <c r="C58" s="30" t="inlineStr">
        <is>
          <t>Other</t>
        </is>
      </c>
      <c r="D58" s="324" t="n">
        <v>38.83009661835749</v>
      </c>
      <c r="E58" s="53" t="n">
        <v>97072.25461538462</v>
      </c>
      <c r="F58" s="54" t="n">
        <v>8037.83</v>
      </c>
      <c r="G58" s="55" t="n">
        <v>207</v>
      </c>
      <c r="H58" s="55" t="n">
        <v>207</v>
      </c>
      <c r="I58" s="55" t="n"/>
      <c r="J58" s="56" t="n"/>
      <c r="K58" s="56" t="inlineStr">
        <is>
          <t>https://www.amazon.com/dp/B000EVYH72</t>
        </is>
      </c>
      <c r="L58" s="34">
        <f>HYPERLINK(Innova1p_2[[#This Row],[Column1]])</f>
        <v/>
      </c>
    </row>
    <row r="59" ht="45" customHeight="1" s="290">
      <c r="A59" s="30" t="inlineStr">
        <is>
          <t>INNOVA 3123 GM OBD1 Code Reader, Windows XP</t>
        </is>
      </c>
      <c r="B59" s="30" t="inlineStr">
        <is>
          <t>B000EVU8C0</t>
        </is>
      </c>
      <c r="C59" s="30" t="inlineStr">
        <is>
          <t>OBD1</t>
        </is>
      </c>
      <c r="D59" s="324" t="n">
        <v>14.99135559921415</v>
      </c>
      <c r="E59" s="53" t="n">
        <v>92154.16923076924</v>
      </c>
      <c r="F59" s="54" t="n">
        <v>7630.6</v>
      </c>
      <c r="G59" s="55" t="n">
        <v>509</v>
      </c>
      <c r="H59" s="55" t="n">
        <v>509</v>
      </c>
      <c r="I59" s="55" t="n">
        <v>6860</v>
      </c>
      <c r="J59" s="56" t="n">
        <v>4.4</v>
      </c>
      <c r="K59" s="56" t="inlineStr">
        <is>
          <t>https://amazon.com/dp/B000EVU8C0</t>
        </is>
      </c>
      <c r="L59" s="34">
        <f>HYPERLINK(Innova1p_2[[#This Row],[Column1]])</f>
        <v/>
      </c>
    </row>
    <row r="60" ht="45" customHeight="1" s="290">
      <c r="A60" s="30" t="inlineStr">
        <is>
          <t>Innova 3340 Professional Automotive Digital Multimeter, Black</t>
        </is>
      </c>
      <c r="B60" s="30" t="inlineStr">
        <is>
          <t>B000KIMHRQ</t>
        </is>
      </c>
      <c r="C60" s="30" t="inlineStr">
        <is>
          <t>Other</t>
        </is>
      </c>
      <c r="D60" s="324" t="n">
        <v>90.27909090909091</v>
      </c>
      <c r="E60" s="53" t="n">
        <v>87575.32461538461</v>
      </c>
      <c r="F60" s="54" t="n">
        <v>6951.49</v>
      </c>
      <c r="G60" s="55" t="n">
        <v>80</v>
      </c>
      <c r="H60" s="55" t="n">
        <v>77</v>
      </c>
      <c r="I60" s="55" t="n"/>
      <c r="J60" s="56" t="n"/>
      <c r="K60" s="56" t="inlineStr">
        <is>
          <t>https://www.amazon.com/dp/B000KIMHRQ</t>
        </is>
      </c>
      <c r="L60" s="34">
        <f>HYPERLINK(Innova1p_2[[#This Row],[Column1]])</f>
        <v/>
      </c>
    </row>
    <row r="61" ht="45" customHeight="1" s="290">
      <c r="A61" s="30" t="inlineStr">
        <is>
          <t>INNOVA 3100RS, OBD2 Scanner, ABS SRS Airbag Scan Tool with Airbag Light &amp; Oil Light Reset, Stream Graph &amp; Record Live Data, Get Suggested Repair &amp; Parts on iPhone or Android</t>
        </is>
      </c>
      <c r="B61" s="30" t="inlineStr">
        <is>
          <t>B084SW4K8J</t>
        </is>
      </c>
      <c r="C61" s="30" t="inlineStr">
        <is>
          <t>Handheld</t>
        </is>
      </c>
      <c r="D61" s="324" t="n">
        <v>139.99</v>
      </c>
      <c r="E61" s="53" t="n">
        <v>88653.43999999999</v>
      </c>
      <c r="F61" s="54" t="n">
        <v>6859.51</v>
      </c>
      <c r="G61" s="55" t="n">
        <v>640</v>
      </c>
      <c r="H61" s="55" t="n">
        <v>49</v>
      </c>
      <c r="I61" s="55" t="n">
        <v>533</v>
      </c>
      <c r="J61" s="56" t="n">
        <v>4.4</v>
      </c>
      <c r="K61" s="56" t="inlineStr">
        <is>
          <t>https://amazon.com/dp/B084SW4K8J</t>
        </is>
      </c>
      <c r="L61" s="34">
        <f>HYPERLINK(Innova1p_2[[#This Row],[Column1]])</f>
        <v/>
      </c>
    </row>
    <row r="62" ht="45" customHeight="1" s="290">
      <c r="A62" s="30" t="inlineStr">
        <is>
          <t>INNOVA 3040RS, OBD2 Scanner, Live Data Streamer, Battery/Alt Tester, Reset Check Engine Light/Brake Light/Oil Light, Free Mechanic Recommended Fix &amp; Parts &amp; Est Repair Cost, Free Updates</t>
        </is>
      </c>
      <c r="B62" s="30" t="inlineStr">
        <is>
          <t>B084SVS383</t>
        </is>
      </c>
      <c r="C62" s="30" t="inlineStr">
        <is>
          <t>Handheld</t>
        </is>
      </c>
      <c r="D62" s="324" t="n">
        <v>104.99</v>
      </c>
      <c r="E62" s="53" t="n">
        <v>117640.11</v>
      </c>
      <c r="F62" s="54" t="n">
        <v>6824.35</v>
      </c>
      <c r="G62" s="55" t="n">
        <v>1185</v>
      </c>
      <c r="H62" s="55" t="n">
        <v>65</v>
      </c>
      <c r="I62" s="55" t="n">
        <v>606</v>
      </c>
      <c r="J62" s="56" t="n">
        <v>4.4</v>
      </c>
      <c r="K62" s="56" t="inlineStr">
        <is>
          <t>https://amazon.com/dp/B084SVS383</t>
        </is>
      </c>
      <c r="L62" s="34">
        <f>HYPERLINK(Innova1p_2[[#This Row],[Column1]])</f>
        <v/>
      </c>
    </row>
    <row r="63" ht="45" customHeight="1" s="290">
      <c r="A63" s="30" t="inlineStr">
        <is>
          <t>Innova 3129 OBD-1 Kit (Includes OBD1 Adapters &amp; Pouch) , Black</t>
        </is>
      </c>
      <c r="B63" s="30" t="inlineStr">
        <is>
          <t>B078BHTCK1</t>
        </is>
      </c>
      <c r="C63" s="30" t="inlineStr">
        <is>
          <t>Cable/Adapter</t>
        </is>
      </c>
      <c r="D63" s="324" t="n">
        <v>107.4973214285714</v>
      </c>
      <c r="E63" s="53" t="n">
        <v>107047.6723076923</v>
      </c>
      <c r="F63" s="54" t="n">
        <v>6019.85</v>
      </c>
      <c r="G63" s="55" t="n">
        <v>83</v>
      </c>
      <c r="H63" s="55" t="n">
        <v>56</v>
      </c>
      <c r="I63" s="55" t="n">
        <v>200</v>
      </c>
      <c r="J63" s="56" t="n">
        <v>4.3</v>
      </c>
      <c r="K63" s="56" t="inlineStr">
        <is>
          <t>https://amazon.com/dp/B078BHTCK1</t>
        </is>
      </c>
      <c r="L63" s="34">
        <f>HYPERLINK(Innova1p_2[[#This Row],[Column1]])</f>
        <v/>
      </c>
    </row>
    <row r="64" ht="45" customHeight="1" s="290">
      <c r="A64" s="30" t="inlineStr">
        <is>
          <t>Innova 3149 Extension Cable for Ford Code Reader (Item 3145)</t>
        </is>
      </c>
      <c r="B64" s="30" t="inlineStr">
        <is>
          <t>B000EVYH36</t>
        </is>
      </c>
      <c r="C64" s="30" t="inlineStr">
        <is>
          <t>Cable/Adapter</t>
        </is>
      </c>
      <c r="D64" s="324" t="n">
        <v>39.75924999999999</v>
      </c>
      <c r="E64" s="53" t="n">
        <v>38413.55230769231</v>
      </c>
      <c r="F64" s="54" t="n">
        <v>3180.74</v>
      </c>
      <c r="G64" s="55" t="n">
        <v>80</v>
      </c>
      <c r="H64" s="55" t="n">
        <v>80</v>
      </c>
      <c r="I64" s="55" t="n">
        <v>1355</v>
      </c>
      <c r="J64" s="56" t="n">
        <v>4.7</v>
      </c>
      <c r="K64" s="56" t="inlineStr">
        <is>
          <t>https://amazon.com/dp/B000EVYH36</t>
        </is>
      </c>
      <c r="L64" s="34">
        <f>HYPERLINK(Innova1p_2[[#This Row],[Column1]])</f>
        <v/>
      </c>
    </row>
    <row r="65" ht="45" customHeight="1" s="290">
      <c r="A65" s="30" t="inlineStr">
        <is>
          <t>Innova 3721 Battery and Charging System Monitor</t>
        </is>
      </c>
      <c r="B65" s="30" t="inlineStr">
        <is>
          <t>B000EVWDU0</t>
        </is>
      </c>
      <c r="C65" s="30" t="inlineStr">
        <is>
          <t>Other</t>
        </is>
      </c>
      <c r="D65" s="324" t="n">
        <v>23.34055555555556</v>
      </c>
      <c r="E65" s="53" t="n">
        <v>25369.38846153846</v>
      </c>
      <c r="F65" s="54" t="n">
        <v>2100.65</v>
      </c>
      <c r="G65" s="55" t="n">
        <v>90</v>
      </c>
      <c r="H65" s="55" t="n">
        <v>90</v>
      </c>
      <c r="I65" s="55" t="n"/>
      <c r="J65" s="56" t="n"/>
      <c r="K65" s="56" t="inlineStr">
        <is>
          <t>https://www.amazon.com/dp/B000EVWDU0</t>
        </is>
      </c>
      <c r="L65" s="34">
        <f>HYPERLINK(Innova1p_2[[#This Row],[Column1]])</f>
        <v/>
      </c>
    </row>
    <row r="66" ht="45" customHeight="1" s="290">
      <c r="A66" s="30" t="inlineStr">
        <is>
          <t>Innova 3595 Replacement Metal Inductive Pickup Lead Set</t>
        </is>
      </c>
      <c r="B66" s="30" t="inlineStr">
        <is>
          <t>B001QUB8KE</t>
        </is>
      </c>
      <c r="C66" s="30" t="inlineStr">
        <is>
          <t>Other</t>
        </is>
      </c>
      <c r="D66" s="324" t="n">
        <v>26.55512820512821</v>
      </c>
      <c r="E66" s="53" t="n">
        <v>25014.93076923077</v>
      </c>
      <c r="F66" s="54" t="n">
        <v>2071.3</v>
      </c>
      <c r="G66" s="55" t="n">
        <v>78</v>
      </c>
      <c r="H66" s="55" t="n">
        <v>78</v>
      </c>
      <c r="I66" s="55" t="n"/>
      <c r="J66" s="56" t="n"/>
      <c r="K66" s="56" t="inlineStr">
        <is>
          <t>https://www.amazon.com/dp/B001QUB8KE</t>
        </is>
      </c>
      <c r="L66" s="34">
        <f>HYPERLINK(Innova1p_2[[#This Row],[Column1]])</f>
        <v/>
      </c>
    </row>
    <row r="67" ht="45" customHeight="1" s="290">
      <c r="A67" s="30" t="inlineStr">
        <is>
          <t>Innova 3612 Compression Tester - 4 Piece Kit</t>
        </is>
      </c>
      <c r="B67" s="30" t="inlineStr">
        <is>
          <t>B000EVU89I</t>
        </is>
      </c>
      <c r="C67" s="30" t="inlineStr">
        <is>
          <t>Other</t>
        </is>
      </c>
      <c r="D67" s="324" t="n">
        <v>32.96580645161291</v>
      </c>
      <c r="E67" s="53" t="n">
        <v>24683.78153846153</v>
      </c>
      <c r="F67" s="54" t="n">
        <v>2043.88</v>
      </c>
      <c r="G67" s="55" t="n">
        <v>62</v>
      </c>
      <c r="H67" s="55" t="n">
        <v>62</v>
      </c>
      <c r="I67" s="55" t="n"/>
      <c r="J67" s="56" t="n"/>
      <c r="K67" s="56" t="inlineStr">
        <is>
          <t>https://www.amazon.com/dp/B000EVU89I</t>
        </is>
      </c>
      <c r="L67" s="34">
        <f>HYPERLINK(Innova1p_2[[#This Row],[Column1]])</f>
        <v/>
      </c>
    </row>
    <row r="68" ht="45" customHeight="1" s="290">
      <c r="A68" s="30" t="inlineStr">
        <is>
          <t>Innova 3614 Compression Tester Plus - 6 Piece Kit</t>
        </is>
      </c>
      <c r="B68" s="30" t="inlineStr">
        <is>
          <t>B000EVU8JS</t>
        </is>
      </c>
      <c r="C68" s="30" t="inlineStr">
        <is>
          <t>Other</t>
        </is>
      </c>
      <c r="D68" s="324" t="n">
        <v>36.51596153846154</v>
      </c>
      <c r="E68" s="53" t="n">
        <v>22932.02384615385</v>
      </c>
      <c r="F68" s="54" t="n">
        <v>1898.83</v>
      </c>
      <c r="G68" s="55" t="n">
        <v>52</v>
      </c>
      <c r="H68" s="55" t="n">
        <v>52</v>
      </c>
      <c r="I68" s="55" t="n"/>
      <c r="J68" s="56" t="n"/>
      <c r="K68" s="56" t="inlineStr">
        <is>
          <t>https://www.amazon.com/dp/B000EVU8JS</t>
        </is>
      </c>
      <c r="L68" s="34">
        <f>HYPERLINK(Innova1p_2[[#This Row],[Column1]])</f>
        <v/>
      </c>
    </row>
    <row r="69" ht="60" customHeight="1" s="290">
      <c r="A69" s="30" t="inlineStr">
        <is>
          <t>INNOVA 3160RS OBD2 Scanner, ABS Brake Bleeder, ABS SRS Engine Transmission Diagnoses, Airbag Light Reset, Car Battery Tester &amp; Alternator Tester, Battery Reset, Fix &amp; Parts Recommendations</t>
        </is>
      </c>
      <c r="B69" s="30" t="inlineStr">
        <is>
          <t>B084SVSFZY</t>
        </is>
      </c>
      <c r="C69" s="30" t="inlineStr">
        <is>
          <t>Handheld</t>
        </is>
      </c>
      <c r="D69" s="324" t="n">
        <v>262.295</v>
      </c>
      <c r="E69" s="53" t="n">
        <v>35742.58</v>
      </c>
      <c r="F69" s="54" t="n">
        <v>1573.77</v>
      </c>
      <c r="G69" s="55" t="n">
        <v>169</v>
      </c>
      <c r="H69" s="55" t="n">
        <v>6</v>
      </c>
      <c r="I69" s="55" t="n">
        <v>288</v>
      </c>
      <c r="J69" s="56" t="n">
        <v>4.1</v>
      </c>
      <c r="K69" s="56" t="inlineStr">
        <is>
          <t>https://amazon.com/dp/B084SVSFZY</t>
        </is>
      </c>
      <c r="L69" s="34">
        <f>HYPERLINK(Innova1p_2[[#This Row],[Column1]])</f>
        <v/>
      </c>
    </row>
    <row r="70" ht="45" customHeight="1" s="290">
      <c r="A70" s="30" t="inlineStr">
        <is>
          <t>Innova 5568 Pro Digital Timing Light Tool with Digital Advance, LED Display, Ignition Timing for 2 and 4 Cycle Engines, Automotive Diagnostic Tool for Cars and Trucks</t>
        </is>
      </c>
      <c r="B70" s="30" t="inlineStr">
        <is>
          <t>B000EVU8J8</t>
        </is>
      </c>
      <c r="C70" s="30" t="inlineStr">
        <is>
          <t>Other</t>
        </is>
      </c>
      <c r="D70" s="324" t="n">
        <v>131.6177777777778</v>
      </c>
      <c r="E70" s="53" t="n">
        <v>14305.84</v>
      </c>
      <c r="F70" s="54" t="n">
        <v>1184.56</v>
      </c>
      <c r="G70" s="55" t="n">
        <v>9</v>
      </c>
      <c r="H70" s="55" t="n">
        <v>9</v>
      </c>
      <c r="I70" s="55" t="n"/>
      <c r="J70" s="56" t="n"/>
      <c r="K70" s="56" t="inlineStr">
        <is>
          <t>https://www.amazon.com/dp/B000EVU8J8</t>
        </is>
      </c>
      <c r="L70" s="34">
        <f>HYPERLINK(Innova1p_2[[#This Row],[Column1]])</f>
        <v/>
      </c>
    </row>
    <row r="71" ht="45" customHeight="1" s="290">
      <c r="A71" s="30" t="inlineStr">
        <is>
          <t>Innova 3640 Professional Fuel Injection Pressure Tester</t>
        </is>
      </c>
      <c r="B71" s="30" t="inlineStr">
        <is>
          <t>B000EVU8NY</t>
        </is>
      </c>
      <c r="C71" s="30" t="inlineStr">
        <is>
          <t>Other</t>
        </is>
      </c>
      <c r="D71" s="324" t="n">
        <v>28.26666666666667</v>
      </c>
      <c r="E71" s="53" t="n">
        <v>11265.35384615384</v>
      </c>
      <c r="F71" s="54" t="n">
        <v>932.8</v>
      </c>
      <c r="G71" s="55" t="n">
        <v>33</v>
      </c>
      <c r="H71" s="55" t="n">
        <v>33</v>
      </c>
      <c r="I71" s="55" t="n"/>
      <c r="J71" s="56" t="n"/>
      <c r="K71" s="56" t="inlineStr">
        <is>
          <t>https://www.amazon.com/dp/B000EVU8NY</t>
        </is>
      </c>
      <c r="L71" s="34">
        <f>HYPERLINK(Innova1p_2[[#This Row],[Column1]])</f>
        <v/>
      </c>
    </row>
    <row r="72" ht="45" customHeight="1" s="290">
      <c r="A72" s="30" t="inlineStr">
        <is>
          <t>Innova 3347 Digital Multimeter AMP Probe Red</t>
        </is>
      </c>
      <c r="B72" s="30" t="inlineStr">
        <is>
          <t>B0015S9SWW</t>
        </is>
      </c>
      <c r="C72" s="30" t="inlineStr">
        <is>
          <t>Other</t>
        </is>
      </c>
      <c r="D72" s="324" t="n">
        <v>82.026</v>
      </c>
      <c r="E72" s="53" t="n">
        <v>9906.21692307692</v>
      </c>
      <c r="F72" s="54" t="n">
        <v>820.26</v>
      </c>
      <c r="G72" s="55" t="n">
        <v>10</v>
      </c>
      <c r="H72" s="55" t="n">
        <v>10</v>
      </c>
      <c r="I72" s="55" t="n"/>
      <c r="J72" s="56" t="n"/>
      <c r="K72" s="56" t="inlineStr">
        <is>
          <t>https://www.amazon.com/dp/B0015S9SWW</t>
        </is>
      </c>
      <c r="L72" s="34">
        <f>HYPERLINK(Innova1p_2[[#This Row],[Column1]])</f>
        <v/>
      </c>
    </row>
    <row r="73" ht="45" customHeight="1" s="290">
      <c r="A73" s="30" t="inlineStr">
        <is>
          <t>Innova 3620 Vacuum/Carburetor Fuel Pressure Tester</t>
        </is>
      </c>
      <c r="B73" s="30" t="inlineStr">
        <is>
          <t>B000EW0KPY</t>
        </is>
      </c>
      <c r="C73" s="30" t="inlineStr">
        <is>
          <t>Other</t>
        </is>
      </c>
      <c r="D73" s="324" t="n">
        <v>32.99</v>
      </c>
      <c r="E73" s="53" t="n">
        <v>7171.518461538461</v>
      </c>
      <c r="F73" s="54" t="n">
        <v>593.8200000000001</v>
      </c>
      <c r="G73" s="55" t="n">
        <v>18</v>
      </c>
      <c r="H73" s="55" t="n">
        <v>18</v>
      </c>
      <c r="I73" s="55" t="n"/>
      <c r="J73" s="56" t="n"/>
      <c r="K73" s="56" t="inlineStr">
        <is>
          <t>https://www.amazon.com/dp/B000EW0KPY</t>
        </is>
      </c>
      <c r="L73" s="34">
        <f>HYPERLINK(Innova1p_2[[#This Row],[Column1]])</f>
        <v/>
      </c>
    </row>
    <row r="74" ht="45" customHeight="1" s="290">
      <c r="A74" s="30" t="inlineStr">
        <is>
          <t>Innova 3160g Pro OBD2 Scanner / Car Code Reader with Live data, ABS, SRS, Battery Reset, Service Light Reset, and Bluetooth</t>
        </is>
      </c>
      <c r="B74" s="30" t="inlineStr">
        <is>
          <t>B06XKX2KDJ</t>
        </is>
      </c>
      <c r="C74" s="30" t="inlineStr">
        <is>
          <t>Handheld</t>
        </is>
      </c>
      <c r="D74" s="324" t="n">
        <v>254.6</v>
      </c>
      <c r="E74" s="53" t="n">
        <v>2692.292307692307</v>
      </c>
      <c r="F74" s="54" t="n">
        <v>254.6</v>
      </c>
      <c r="G74" s="55" t="n">
        <v>5</v>
      </c>
      <c r="H74" s="55" t="n">
        <v>1</v>
      </c>
      <c r="I74" s="55" t="n">
        <v>289</v>
      </c>
      <c r="J74" s="56" t="n">
        <v>4.3</v>
      </c>
      <c r="K74" s="56" t="inlineStr">
        <is>
          <t>https://amazon.com/dp/B06XKX2KDJ</t>
        </is>
      </c>
      <c r="L74" s="34">
        <f>HYPERLINK(Innova1p_2[[#This Row],[Column1]])</f>
        <v/>
      </c>
    </row>
    <row r="75" ht="45" customHeight="1" s="290">
      <c r="A75" s="30" t="inlineStr">
        <is>
          <t>Innova 3410 Test Light/Circuit Tester</t>
        </is>
      </c>
      <c r="B75" s="30" t="inlineStr">
        <is>
          <t>B0014DINF6</t>
        </is>
      </c>
      <c r="C75" s="30" t="inlineStr">
        <is>
          <t>Other</t>
        </is>
      </c>
      <c r="D75" s="324" t="n">
        <v>11.47470588235294</v>
      </c>
      <c r="E75" s="53" t="n">
        <v>2355.845384615384</v>
      </c>
      <c r="F75" s="54" t="n">
        <v>195.07</v>
      </c>
      <c r="G75" s="55" t="n">
        <v>17</v>
      </c>
      <c r="H75" s="55" t="n">
        <v>17</v>
      </c>
      <c r="I75" s="55" t="n"/>
      <c r="J75" s="56" t="n"/>
      <c r="K75" s="56" t="inlineStr">
        <is>
          <t>https://www.amazon.com/dp/B0014DINF6</t>
        </is>
      </c>
      <c r="L75" s="34">
        <f>HYPERLINK(Innova1p_2[[#This Row],[Column1]])</f>
        <v/>
      </c>
    </row>
    <row r="76" ht="45" customHeight="1" s="290">
      <c r="A76" s="30" t="inlineStr">
        <is>
          <t>Diagnostic Scan Tool Code Reader with ABS and Battery Backup for OBD2 Vehicles</t>
        </is>
      </c>
      <c r="B76" s="30" t="inlineStr">
        <is>
          <t>B000EVWDAK</t>
        </is>
      </c>
      <c r="C76" s="30" t="inlineStr">
        <is>
          <t>Handheld</t>
        </is>
      </c>
      <c r="D76" s="324" t="n">
        <v>189.63</v>
      </c>
      <c r="E76" s="53" t="n">
        <v>562.05</v>
      </c>
      <c r="F76" s="54" t="n">
        <v>0</v>
      </c>
      <c r="G76" s="55" t="n">
        <v>3</v>
      </c>
      <c r="H76" s="55" t="n">
        <v>0</v>
      </c>
      <c r="I76" s="55" t="n">
        <v>1123</v>
      </c>
      <c r="J76" s="56" t="n">
        <v>4.5</v>
      </c>
      <c r="K76" s="56" t="inlineStr">
        <is>
          <t>https://amazon.com/dp/B000EVWDAK</t>
        </is>
      </c>
      <c r="L76" s="34">
        <f>HYPERLINK(Innova1p_2[[#This Row],[Column1]])</f>
        <v/>
      </c>
    </row>
    <row r="77" ht="60" customHeight="1" s="290">
      <c r="A77" s="30" t="inlineStr">
        <is>
          <t>Innova 5023 Pro CarScan Code Scanner - Professional OBD2 Scanner - Smog Test Scan Tool - Multilingual Code Reader</t>
        </is>
      </c>
      <c r="B77" s="30" t="inlineStr">
        <is>
          <t>B076N5V6SN</t>
        </is>
      </c>
      <c r="C77" s="30" t="inlineStr">
        <is>
          <t>Handheld</t>
        </is>
      </c>
      <c r="D77" s="324" t="n">
        <v>77.63</v>
      </c>
      <c r="E77" s="53" t="n">
        <v>-686.9515384615386</v>
      </c>
      <c r="F77" s="54" t="n">
        <v>-81.93000000000001</v>
      </c>
      <c r="G77" s="55" t="n">
        <v>-1</v>
      </c>
      <c r="H77" s="55" t="n">
        <v>-1</v>
      </c>
      <c r="I77" s="55" t="n">
        <v>48</v>
      </c>
      <c r="J77" s="56" t="n">
        <v>3.6</v>
      </c>
      <c r="K77" s="56" t="inlineStr">
        <is>
          <t>https://amazon.com/dp/B076N5V6SN</t>
        </is>
      </c>
      <c r="L77" s="34">
        <f>HYPERLINK(Innova1p_2[[#This Row],[Column1]])</f>
        <v/>
      </c>
    </row>
    <row r="78" ht="45" customHeight="1" s="290">
      <c r="A78" s="30" t="n"/>
      <c r="B78" s="30" t="n"/>
      <c r="C78" s="30" t="n"/>
      <c r="D78" s="324" t="n"/>
      <c r="E78" s="53" t="n"/>
      <c r="F78" s="54" t="n"/>
      <c r="G78" s="55" t="n"/>
      <c r="H78" s="55" t="n"/>
      <c r="I78" s="55" t="n"/>
      <c r="J78" s="56" t="n"/>
      <c r="K78" s="56" t="n"/>
      <c r="L78" s="34">
        <f>HYPERLINK(Table544[[#This Row],[Column1]])</f>
        <v/>
      </c>
    </row>
    <row r="79" ht="45" customHeight="1" s="290">
      <c r="A79" s="30" t="n"/>
      <c r="B79" s="30" t="n"/>
      <c r="C79" s="30" t="n"/>
      <c r="D79" s="324" t="n"/>
      <c r="E79" s="53" t="n"/>
      <c r="F79" s="54" t="n"/>
      <c r="G79" s="55" t="n"/>
      <c r="H79" s="55" t="n"/>
      <c r="I79" s="55" t="n"/>
      <c r="J79" s="56" t="n"/>
      <c r="K79" s="56" t="n"/>
      <c r="L79" s="34">
        <f>HYPERLINK(Table544[[#This Row],[Column1]])</f>
        <v/>
      </c>
    </row>
    <row r="80" ht="45" customHeight="1" s="290">
      <c r="A80" s="30" t="n"/>
      <c r="B80" s="30" t="n"/>
      <c r="C80" s="30" t="n"/>
      <c r="D80" s="324" t="n"/>
      <c r="E80" s="53" t="n"/>
      <c r="F80" s="54" t="n"/>
      <c r="G80" s="55" t="n"/>
      <c r="H80" s="55" t="n"/>
      <c r="I80" s="55" t="n"/>
      <c r="J80" s="56" t="n"/>
      <c r="K80" s="56" t="n"/>
      <c r="L80" s="34">
        <f>HYPERLINK(Table544[[#This Row],[Column1]])</f>
        <v/>
      </c>
    </row>
    <row r="81" ht="45" customHeight="1" s="290">
      <c r="A81" s="30" t="n"/>
      <c r="B81" s="30" t="n"/>
      <c r="C81" s="30" t="n"/>
      <c r="D81" s="324" t="n"/>
      <c r="E81" s="53" t="n"/>
      <c r="F81" s="54" t="n"/>
      <c r="G81" s="55" t="n"/>
      <c r="H81" s="55" t="n"/>
      <c r="I81" s="55" t="n"/>
      <c r="J81" s="56" t="n"/>
      <c r="K81" s="56" t="n"/>
      <c r="L81" s="34">
        <f>HYPERLINK(Table544[[#This Row],[Column1]])</f>
        <v/>
      </c>
    </row>
    <row r="82" ht="45" customHeight="1" s="290">
      <c r="A82" s="30" t="n"/>
      <c r="B82" s="30" t="n"/>
      <c r="C82" s="30" t="n"/>
      <c r="D82" s="324" t="n"/>
      <c r="E82" s="53" t="n"/>
      <c r="F82" s="54" t="n"/>
      <c r="G82" s="55" t="n"/>
      <c r="H82" s="55" t="n"/>
      <c r="I82" s="55" t="n"/>
      <c r="J82" s="56" t="n"/>
      <c r="K82" s="56" t="n"/>
      <c r="L82" s="34">
        <f>HYPERLINK(Table544[[#This Row],[Column1]])</f>
        <v/>
      </c>
    </row>
    <row r="83" ht="30" customHeight="1" s="290">
      <c r="A83" s="30" t="n"/>
      <c r="B83" s="30" t="n"/>
      <c r="C83" s="30" t="n"/>
      <c r="D83" s="324" t="n"/>
      <c r="E83" s="53" t="n"/>
      <c r="F83" s="54" t="n"/>
      <c r="G83" s="55" t="n"/>
      <c r="H83" s="55" t="n"/>
      <c r="I83" s="55" t="n"/>
      <c r="J83" s="56" t="n"/>
      <c r="K83" s="56" t="n"/>
      <c r="L83" s="34">
        <f>HYPERLINK(Table544[[#This Row],[Column1]])</f>
        <v/>
      </c>
    </row>
    <row r="84" ht="45" customHeight="1" s="290">
      <c r="A84" s="30" t="n"/>
      <c r="B84" s="30" t="n"/>
      <c r="C84" s="30" t="n"/>
      <c r="D84" s="324" t="n"/>
      <c r="E84" s="53" t="n"/>
      <c r="F84" s="54" t="n"/>
      <c r="G84" s="55" t="n"/>
      <c r="H84" s="55" t="n"/>
      <c r="I84" s="55" t="n"/>
      <c r="J84" s="56" t="n"/>
      <c r="K84" s="56" t="n"/>
      <c r="L84" s="34">
        <f>HYPERLINK(Table544[[#This Row],[Column1]])</f>
        <v/>
      </c>
    </row>
    <row r="85" ht="45" customHeight="1" s="290">
      <c r="A85" s="30" t="n"/>
      <c r="B85" s="30" t="n"/>
      <c r="C85" s="30" t="n"/>
      <c r="D85" s="324" t="n"/>
      <c r="E85" s="53" t="n"/>
      <c r="F85" s="54" t="n"/>
      <c r="G85" s="55" t="n"/>
      <c r="H85" s="55" t="n"/>
      <c r="I85" s="55" t="n"/>
      <c r="J85" s="56" t="n"/>
      <c r="K85" s="56" t="n"/>
      <c r="L85" s="34">
        <f>HYPERLINK(Table544[[#This Row],[Column1]])</f>
        <v/>
      </c>
    </row>
    <row r="86" ht="45" customHeight="1" s="290">
      <c r="A86" s="30" t="n"/>
      <c r="B86" s="30" t="n"/>
      <c r="C86" s="30" t="n"/>
      <c r="D86" s="324" t="n"/>
      <c r="E86" s="53" t="n"/>
      <c r="F86" s="54" t="n"/>
      <c r="G86" s="55" t="n"/>
      <c r="H86" s="55" t="n"/>
      <c r="I86" s="55" t="n"/>
      <c r="J86" s="56" t="n"/>
      <c r="K86" s="56" t="n"/>
      <c r="L86" s="34">
        <f>HYPERLINK(Table544[[#This Row],[Column1]])</f>
        <v/>
      </c>
    </row>
    <row r="87" ht="45" customHeight="1" s="290">
      <c r="A87" s="30" t="n"/>
      <c r="B87" s="30" t="n"/>
      <c r="C87" s="30" t="n"/>
      <c r="D87" s="324" t="n"/>
      <c r="E87" s="53" t="n"/>
      <c r="F87" s="54" t="n"/>
      <c r="G87" s="55" t="n"/>
      <c r="H87" s="55" t="n"/>
      <c r="I87" s="55" t="n"/>
      <c r="J87" s="56" t="n"/>
      <c r="K87" s="56" t="n"/>
      <c r="L87" s="34">
        <f>HYPERLINK(Table544[[#This Row],[Column1]])</f>
        <v/>
      </c>
    </row>
    <row r="88" ht="45" customHeight="1" s="290">
      <c r="A88" s="30" t="n"/>
      <c r="B88" s="30" t="n"/>
      <c r="C88" s="30" t="n"/>
      <c r="D88" s="324" t="n"/>
      <c r="E88" s="53" t="n"/>
      <c r="F88" s="54" t="n"/>
      <c r="G88" s="55" t="n"/>
      <c r="H88" s="55" t="n"/>
      <c r="I88" s="55" t="n"/>
      <c r="J88" s="56" t="n"/>
      <c r="K88" s="56" t="n"/>
      <c r="L88" s="34">
        <f>HYPERLINK(Table544[[#This Row],[Column1]])</f>
        <v/>
      </c>
    </row>
    <row r="89" ht="45" customHeight="1" s="290">
      <c r="A89" s="30" t="n"/>
      <c r="B89" s="30" t="n"/>
      <c r="C89" s="30" t="n"/>
      <c r="D89" s="324" t="n"/>
      <c r="E89" s="53" t="n"/>
      <c r="F89" s="54" t="n"/>
      <c r="G89" s="55" t="n"/>
      <c r="H89" s="55" t="n"/>
      <c r="I89" s="55" t="n"/>
      <c r="J89" s="56" t="n"/>
      <c r="K89" s="56" t="n"/>
      <c r="L89" s="34">
        <f>HYPERLINK(Table544[[#This Row],[Column1]])</f>
        <v/>
      </c>
    </row>
    <row r="90" ht="45" customHeight="1" s="290">
      <c r="A90" s="30" t="n"/>
      <c r="B90" s="30" t="n"/>
      <c r="C90" s="30" t="n"/>
      <c r="D90" s="324" t="n"/>
      <c r="E90" s="53" t="n"/>
      <c r="F90" s="54" t="n"/>
      <c r="G90" s="55" t="n"/>
      <c r="H90" s="55" t="n"/>
      <c r="I90" s="55" t="n"/>
      <c r="J90" s="56" t="n"/>
      <c r="K90" s="56" t="n"/>
      <c r="L90" s="34">
        <f>HYPERLINK(Table544[[#This Row],[Column1]])</f>
        <v/>
      </c>
    </row>
    <row r="91" ht="45" customHeight="1" s="290">
      <c r="A91" s="30" t="n"/>
      <c r="B91" s="30" t="n"/>
      <c r="C91" s="30" t="n"/>
      <c r="D91" s="324" t="n"/>
      <c r="E91" s="53" t="n"/>
      <c r="F91" s="54" t="n"/>
      <c r="G91" s="55" t="n"/>
      <c r="H91" s="55" t="n"/>
      <c r="I91" s="55" t="n"/>
      <c r="J91" s="56" t="n"/>
      <c r="K91" s="56" t="n"/>
      <c r="L91" s="34">
        <f>HYPERLINK(Table544[[#This Row],[Column1]])</f>
        <v/>
      </c>
    </row>
    <row r="92" ht="45" customHeight="1" s="290">
      <c r="A92" s="30" t="n"/>
      <c r="B92" s="30" t="n"/>
      <c r="C92" s="30" t="n"/>
      <c r="D92" s="324" t="n"/>
      <c r="E92" s="53" t="n"/>
      <c r="F92" s="54" t="n"/>
      <c r="G92" s="55" t="n"/>
      <c r="H92" s="55" t="n"/>
      <c r="I92" s="55" t="n"/>
      <c r="J92" s="56" t="n"/>
      <c r="K92" s="56" t="n"/>
      <c r="L92" s="34">
        <f>HYPERLINK(Table544[[#This Row],[Column1]])</f>
        <v/>
      </c>
    </row>
    <row r="93" ht="45" customHeight="1" s="290">
      <c r="A93" s="30" t="n"/>
      <c r="B93" s="30" t="n"/>
      <c r="C93" s="30" t="n"/>
      <c r="D93" s="324" t="n"/>
      <c r="E93" s="53" t="n"/>
      <c r="F93" s="54" t="n"/>
      <c r="G93" s="55" t="n"/>
      <c r="H93" s="55" t="n"/>
      <c r="I93" s="55" t="n"/>
      <c r="J93" s="56" t="n"/>
      <c r="K93" s="56" t="n"/>
      <c r="L93" s="34">
        <f>HYPERLINK(Table544[[#This Row],[Column1]])</f>
        <v/>
      </c>
    </row>
    <row r="94" ht="60" customHeight="1" s="290">
      <c r="A94" s="30" t="n"/>
      <c r="B94" s="30" t="n"/>
      <c r="C94" s="30" t="n"/>
      <c r="D94" s="324" t="n"/>
      <c r="E94" s="53" t="n"/>
      <c r="F94" s="54" t="n"/>
      <c r="G94" s="55" t="n"/>
      <c r="H94" s="55" t="n"/>
      <c r="I94" s="55" t="n"/>
      <c r="J94" s="56" t="n"/>
      <c r="K94" s="56" t="n"/>
      <c r="L94" s="34">
        <f>HYPERLINK(Table544[[#This Row],[Column1]])</f>
        <v/>
      </c>
    </row>
    <row r="95" ht="45" customHeight="1" s="290">
      <c r="A95" s="30" t="n"/>
      <c r="B95" s="30" t="n"/>
      <c r="C95" s="30" t="n"/>
      <c r="D95" s="324" t="n"/>
      <c r="E95" s="53" t="n"/>
      <c r="F95" s="54" t="n"/>
      <c r="G95" s="55" t="n"/>
      <c r="H95" s="55" t="n"/>
      <c r="I95" s="55" t="n"/>
      <c r="J95" s="56" t="n"/>
      <c r="K95" s="56" t="n"/>
      <c r="L95" s="34">
        <f>HYPERLINK(Table544[[#This Row],[Column1]])</f>
        <v/>
      </c>
    </row>
    <row r="96" ht="45" customHeight="1" s="290">
      <c r="A96" s="30" t="n"/>
      <c r="B96" s="30" t="n"/>
      <c r="C96" s="30" t="n"/>
      <c r="D96" s="324" t="n"/>
      <c r="E96" s="53" t="n"/>
      <c r="F96" s="54" t="n"/>
      <c r="G96" s="55" t="n"/>
      <c r="H96" s="55" t="n"/>
      <c r="I96" s="55" t="n"/>
      <c r="J96" s="56" t="n"/>
      <c r="K96" s="56" t="n"/>
      <c r="L96" s="34">
        <f>HYPERLINK(Table544[[#This Row],[Column1]])</f>
        <v/>
      </c>
    </row>
    <row r="97" ht="45" customHeight="1" s="290">
      <c r="A97" s="30" t="n"/>
      <c r="B97" s="30" t="n"/>
      <c r="C97" s="30" t="n"/>
      <c r="D97" s="324" t="n"/>
      <c r="E97" s="53" t="n"/>
      <c r="F97" s="54" t="n"/>
      <c r="G97" s="55" t="n"/>
      <c r="H97" s="55" t="n"/>
      <c r="I97" s="55" t="n"/>
      <c r="J97" s="56" t="n"/>
      <c r="K97" s="56" t="n"/>
      <c r="L97" s="34">
        <f>HYPERLINK(Table544[[#This Row],[Column1]])</f>
        <v/>
      </c>
    </row>
    <row r="98" ht="60" customHeight="1" s="290">
      <c r="A98" s="30" t="n"/>
      <c r="B98" s="30" t="n"/>
      <c r="C98" s="30" t="n"/>
      <c r="D98" s="324" t="n"/>
      <c r="E98" s="53" t="n"/>
      <c r="F98" s="54" t="n"/>
      <c r="G98" s="55" t="n"/>
      <c r="H98" s="55" t="n"/>
      <c r="I98" s="55" t="n"/>
      <c r="J98" s="56" t="n"/>
      <c r="K98" s="56" t="n"/>
      <c r="L98" s="34">
        <f>HYPERLINK(Table544[[#This Row],[Column1]])</f>
        <v/>
      </c>
    </row>
    <row r="99" ht="45" customHeight="1" s="290">
      <c r="A99" s="30" t="n"/>
      <c r="B99" s="30" t="n"/>
      <c r="C99" s="30" t="n"/>
      <c r="D99" s="324" t="n"/>
      <c r="E99" s="53" t="n"/>
      <c r="F99" s="54" t="n"/>
      <c r="G99" s="55" t="n"/>
      <c r="H99" s="55" t="n"/>
      <c r="I99" s="55" t="n"/>
      <c r="J99" s="56" t="n"/>
      <c r="K99" s="56" t="n"/>
      <c r="L99" s="34">
        <f>HYPERLINK(Table544[[#This Row],[Column1]])</f>
        <v/>
      </c>
    </row>
    <row r="100" ht="45" customHeight="1" s="290">
      <c r="A100" s="30" t="n"/>
      <c r="B100" s="30" t="n"/>
      <c r="C100" s="30" t="n"/>
      <c r="D100" s="324" t="n"/>
      <c r="E100" s="53" t="n"/>
      <c r="F100" s="54" t="n"/>
      <c r="G100" s="55" t="n"/>
      <c r="H100" s="55" t="n"/>
      <c r="I100" s="55" t="n"/>
      <c r="J100" s="56" t="n"/>
      <c r="K100" s="56" t="n"/>
      <c r="L100" s="34">
        <f>HYPERLINK(Table544[[#This Row],[Column1]])</f>
        <v/>
      </c>
    </row>
    <row r="101" ht="45" customHeight="1" s="290">
      <c r="A101" s="30" t="n"/>
      <c r="B101" s="30" t="n"/>
      <c r="C101" s="30" t="n"/>
      <c r="D101" s="324" t="n"/>
      <c r="E101" s="53" t="n"/>
      <c r="F101" s="54" t="n"/>
      <c r="G101" s="55" t="n"/>
      <c r="H101" s="55" t="n"/>
      <c r="I101" s="55" t="n"/>
      <c r="J101" s="56" t="n"/>
      <c r="K101" s="56" t="n"/>
      <c r="L101" s="34">
        <f>HYPERLINK(Table544[[#This Row],[Column1]])</f>
        <v/>
      </c>
    </row>
    <row r="102" ht="45" customHeight="1" s="290">
      <c r="A102" s="30" t="n"/>
      <c r="B102" s="30" t="n"/>
      <c r="C102" s="30" t="n"/>
      <c r="D102" s="324" t="n"/>
      <c r="E102" s="53" t="n"/>
      <c r="F102" s="54" t="n"/>
      <c r="G102" s="55" t="n"/>
      <c r="H102" s="55" t="n"/>
      <c r="I102" s="55" t="n"/>
      <c r="J102" s="56" t="n"/>
      <c r="K102" s="56" t="n"/>
      <c r="L102" s="34">
        <f>HYPERLINK(Table544[[#This Row],[Column1]])</f>
        <v/>
      </c>
    </row>
    <row r="103" ht="45" customHeight="1" s="290">
      <c r="A103" s="30" t="n"/>
      <c r="B103" s="30" t="n"/>
      <c r="C103" s="30" t="n"/>
      <c r="D103" s="324" t="n"/>
      <c r="E103" s="53" t="n"/>
      <c r="F103" s="54" t="n"/>
      <c r="G103" s="55" t="n"/>
      <c r="H103" s="55" t="n"/>
      <c r="I103" s="55" t="n"/>
      <c r="J103" s="56" t="n"/>
      <c r="K103" s="56" t="n"/>
      <c r="L103" s="34">
        <f>HYPERLINK(Table544[[#This Row],[Column1]])</f>
        <v/>
      </c>
    </row>
    <row r="104" ht="45" customHeight="1" s="290">
      <c r="A104" s="30" t="n"/>
      <c r="B104" s="30" t="n"/>
      <c r="C104" s="30" t="n"/>
      <c r="D104" s="324" t="n"/>
      <c r="E104" s="53" t="n"/>
      <c r="F104" s="54" t="n"/>
      <c r="G104" s="55" t="n"/>
      <c r="H104" s="55" t="n"/>
      <c r="I104" s="55" t="n"/>
      <c r="J104" s="56" t="n"/>
      <c r="K104" s="56" t="n"/>
      <c r="L104" s="34">
        <f>HYPERLINK(Table544[[#This Row],[Column1]])</f>
        <v/>
      </c>
    </row>
    <row r="105" ht="45" customHeight="1" s="290">
      <c r="A105" s="30" t="n"/>
      <c r="B105" s="30" t="n"/>
      <c r="C105" s="30" t="n"/>
      <c r="D105" s="324" t="n"/>
      <c r="E105" s="53" t="n"/>
      <c r="F105" s="54" t="n"/>
      <c r="G105" s="55" t="n"/>
      <c r="H105" s="55" t="n"/>
      <c r="I105" s="55" t="n"/>
      <c r="J105" s="56" t="n"/>
      <c r="K105" s="56" t="n"/>
      <c r="L105" s="34">
        <f>HYPERLINK(Table544[[#This Row],[Column1]])</f>
        <v/>
      </c>
    </row>
    <row r="106" ht="45" customHeight="1" s="290">
      <c r="A106" s="30" t="n"/>
      <c r="B106" s="30" t="n"/>
      <c r="C106" s="30" t="n"/>
      <c r="D106" s="324" t="n"/>
      <c r="E106" s="53" t="n"/>
      <c r="F106" s="54" t="n"/>
      <c r="G106" s="55" t="n"/>
      <c r="H106" s="55" t="n"/>
      <c r="I106" s="55" t="n"/>
      <c r="J106" s="56" t="n"/>
      <c r="K106" s="56" t="n"/>
      <c r="L106" s="34">
        <f>HYPERLINK(Table544[[#This Row],[Column1]])</f>
        <v/>
      </c>
    </row>
    <row r="107" ht="60" customHeight="1" s="290">
      <c r="A107" s="30" t="n"/>
      <c r="B107" s="30" t="n"/>
      <c r="C107" s="30" t="n"/>
      <c r="D107" s="324" t="n"/>
      <c r="E107" s="53" t="n"/>
      <c r="F107" s="54" t="n"/>
      <c r="G107" s="55" t="n"/>
      <c r="H107" s="55" t="n"/>
      <c r="I107" s="55" t="n"/>
      <c r="J107" s="56" t="n"/>
      <c r="K107" s="56" t="n"/>
      <c r="L107" s="34">
        <f>HYPERLINK(Table544[[#This Row],[Column1]])</f>
        <v/>
      </c>
    </row>
    <row r="108" ht="45" customHeight="1" s="290">
      <c r="A108" s="30" t="n"/>
      <c r="B108" s="30" t="n"/>
      <c r="C108" s="30" t="n"/>
      <c r="D108" s="324" t="n"/>
      <c r="E108" s="53" t="n"/>
      <c r="F108" s="54" t="n"/>
      <c r="G108" s="55" t="n"/>
      <c r="H108" s="55" t="n"/>
      <c r="I108" s="55" t="n"/>
      <c r="J108" s="56" t="n"/>
      <c r="K108" s="56" t="n"/>
      <c r="L108" s="34">
        <f>HYPERLINK(Table544[[#This Row],[Column1]])</f>
        <v/>
      </c>
    </row>
    <row r="109" ht="45" customHeight="1" s="290">
      <c r="A109" s="30" t="n"/>
      <c r="B109" s="30" t="n"/>
      <c r="C109" s="30" t="n"/>
      <c r="D109" s="324" t="n"/>
      <c r="E109" s="53" t="n"/>
      <c r="F109" s="54" t="n"/>
      <c r="G109" s="55" t="n"/>
      <c r="H109" s="55" t="n"/>
      <c r="I109" s="55" t="n"/>
      <c r="J109" s="56" t="n"/>
      <c r="K109" s="56" t="n"/>
      <c r="L109" s="34">
        <f>HYPERLINK(Table544[[#This Row],[Column1]])</f>
        <v/>
      </c>
    </row>
    <row r="110" ht="45" customHeight="1" s="290">
      <c r="A110" s="30" t="n"/>
      <c r="B110" s="30" t="n"/>
      <c r="C110" s="30" t="n"/>
      <c r="D110" s="324" t="n"/>
      <c r="E110" s="53" t="n"/>
      <c r="F110" s="54" t="n"/>
      <c r="G110" s="55" t="n"/>
      <c r="H110" s="55" t="n"/>
      <c r="I110" s="55" t="n"/>
      <c r="J110" s="56" t="n"/>
      <c r="K110" s="56" t="n"/>
      <c r="L110" s="34">
        <f>HYPERLINK(Table544[[#This Row],[Column1]])</f>
        <v/>
      </c>
    </row>
    <row r="111" ht="45" customHeight="1" s="290">
      <c r="A111" s="30" t="n"/>
      <c r="B111" s="30" t="n"/>
      <c r="C111" s="30" t="n"/>
      <c r="D111" s="324" t="n"/>
      <c r="E111" s="53" t="n"/>
      <c r="F111" s="54" t="n"/>
      <c r="G111" s="55" t="n"/>
      <c r="H111" s="55" t="n"/>
      <c r="I111" s="55" t="n"/>
      <c r="J111" s="56" t="n"/>
      <c r="K111" s="56" t="n"/>
      <c r="L111" s="34">
        <f>HYPERLINK(Table544[[#This Row],[Column1]])</f>
        <v/>
      </c>
    </row>
    <row r="112" ht="45" customHeight="1" s="290">
      <c r="A112" s="30" t="n"/>
      <c r="B112" s="30" t="n"/>
      <c r="C112" s="30" t="n"/>
      <c r="D112" s="324" t="n"/>
      <c r="E112" s="53" t="n"/>
      <c r="F112" s="54" t="n"/>
      <c r="G112" s="55" t="n"/>
      <c r="H112" s="55" t="n"/>
      <c r="I112" s="55" t="n"/>
      <c r="J112" s="56" t="n"/>
      <c r="K112" s="56" t="n"/>
      <c r="L112" s="34">
        <f>HYPERLINK(Table544[[#This Row],[Column1]])</f>
        <v/>
      </c>
    </row>
    <row r="113" ht="45" customHeight="1" s="290">
      <c r="A113" s="30" t="n"/>
      <c r="B113" s="30" t="n"/>
      <c r="C113" s="30" t="n"/>
      <c r="D113" s="324" t="n"/>
      <c r="E113" s="53" t="n"/>
      <c r="F113" s="54" t="n"/>
      <c r="G113" s="55" t="n"/>
      <c r="H113" s="55" t="n"/>
      <c r="I113" s="55" t="n"/>
      <c r="J113" s="56" t="n"/>
      <c r="K113" s="56" t="n"/>
      <c r="L113" s="34">
        <f>HYPERLINK(Table544[[#This Row],[Column1]])</f>
        <v/>
      </c>
    </row>
    <row r="114" ht="45" customHeight="1" s="290">
      <c r="A114" s="30" t="n"/>
      <c r="B114" s="30" t="n"/>
      <c r="C114" s="30" t="n"/>
      <c r="D114" s="324" t="n"/>
      <c r="E114" s="53" t="n"/>
      <c r="F114" s="54" t="n"/>
      <c r="G114" s="55" t="n"/>
      <c r="H114" s="55" t="n"/>
      <c r="I114" s="55" t="n"/>
      <c r="J114" s="56" t="n"/>
      <c r="K114" s="56" t="n"/>
      <c r="L114" s="34">
        <f>HYPERLINK(Table544[[#This Row],[Column1]])</f>
        <v/>
      </c>
    </row>
    <row r="115" ht="45" customHeight="1" s="290">
      <c r="A115" s="30" t="n"/>
      <c r="B115" s="30" t="n"/>
      <c r="C115" s="30" t="n"/>
      <c r="D115" s="324" t="n"/>
      <c r="E115" s="53" t="n"/>
      <c r="F115" s="54" t="n"/>
      <c r="G115" s="55" t="n"/>
      <c r="H115" s="55" t="n"/>
      <c r="I115" s="55" t="n"/>
      <c r="J115" s="56" t="n"/>
      <c r="K115" s="56" t="n"/>
      <c r="L115" s="34">
        <f>HYPERLINK(Table544[[#This Row],[Column1]])</f>
        <v/>
      </c>
    </row>
    <row r="116" ht="30" customHeight="1" s="290">
      <c r="A116" s="30" t="n"/>
      <c r="B116" s="30" t="n"/>
      <c r="C116" s="30" t="n"/>
      <c r="D116" s="324" t="n"/>
      <c r="E116" s="53" t="n"/>
      <c r="F116" s="54" t="n"/>
      <c r="G116" s="55" t="n"/>
      <c r="H116" s="55" t="n"/>
      <c r="I116" s="55" t="n"/>
      <c r="J116" s="56" t="n"/>
      <c r="K116" s="56" t="n"/>
      <c r="L116" s="34">
        <f>HYPERLINK(Table544[[#This Row],[Column1]])</f>
        <v/>
      </c>
    </row>
    <row r="117" ht="30" customHeight="1" s="290">
      <c r="A117" s="30" t="n"/>
      <c r="B117" s="30" t="n"/>
      <c r="C117" s="30" t="n"/>
      <c r="D117" s="324" t="n"/>
      <c r="E117" s="53" t="n"/>
      <c r="F117" s="54" t="n"/>
      <c r="G117" s="55" t="n"/>
      <c r="H117" s="55" t="n"/>
      <c r="I117" s="55" t="n"/>
      <c r="J117" s="56" t="n"/>
      <c r="K117" s="56" t="n"/>
      <c r="L117" s="34">
        <f>HYPERLINK(Table544[[#This Row],[Column1]])</f>
        <v/>
      </c>
    </row>
    <row r="118" ht="45" customHeight="1" s="290">
      <c r="A118" s="30" t="n"/>
      <c r="B118" s="30" t="n"/>
      <c r="C118" s="30" t="n"/>
      <c r="D118" s="324" t="n"/>
      <c r="E118" s="53" t="n"/>
      <c r="F118" s="54" t="n"/>
      <c r="G118" s="55" t="n"/>
      <c r="H118" s="55" t="n"/>
      <c r="I118" s="55" t="n"/>
      <c r="J118" s="56" t="n"/>
      <c r="K118" s="56" t="n"/>
      <c r="L118" s="34">
        <f>HYPERLINK(Table544[[#This Row],[Column1]])</f>
        <v/>
      </c>
    </row>
    <row r="119" ht="45" customHeight="1" s="290">
      <c r="A119" s="30" t="n"/>
      <c r="B119" s="30" t="n"/>
      <c r="C119" s="30" t="n"/>
      <c r="D119" s="324" t="n"/>
      <c r="E119" s="53" t="n"/>
      <c r="F119" s="54" t="n"/>
      <c r="G119" s="55" t="n"/>
      <c r="H119" s="55" t="n"/>
      <c r="I119" s="55" t="n"/>
      <c r="J119" s="56" t="n"/>
      <c r="K119" s="56" t="n"/>
      <c r="L119" s="34">
        <f>HYPERLINK(Table544[[#This Row],[Column1]])</f>
        <v/>
      </c>
    </row>
    <row r="120" ht="60" customHeight="1" s="290">
      <c r="A120" s="30" t="n"/>
      <c r="B120" s="30" t="n"/>
      <c r="C120" s="30" t="n"/>
      <c r="D120" s="324" t="n"/>
      <c r="E120" s="53" t="n"/>
      <c r="F120" s="54" t="n"/>
      <c r="G120" s="55" t="n"/>
      <c r="H120" s="55" t="n"/>
      <c r="I120" s="55" t="n"/>
      <c r="J120" s="56" t="n"/>
      <c r="K120" s="56" t="n"/>
      <c r="L120" s="34">
        <f>HYPERLINK(Table544[[#This Row],[Column1]])</f>
        <v/>
      </c>
    </row>
    <row r="121" ht="45" customHeight="1" s="290">
      <c r="A121" s="30" t="n"/>
      <c r="B121" s="30" t="n"/>
      <c r="C121" s="30" t="n"/>
      <c r="D121" s="324" t="n"/>
      <c r="E121" s="53" t="n"/>
      <c r="F121" s="54" t="n"/>
      <c r="G121" s="55" t="n"/>
      <c r="H121" s="55" t="n"/>
      <c r="I121" s="55" t="n"/>
      <c r="J121" s="56" t="n"/>
      <c r="K121" s="56" t="n"/>
      <c r="L121" s="34">
        <f>HYPERLINK(Table544[[#This Row],[Column1]])</f>
        <v/>
      </c>
    </row>
    <row r="122" ht="45" customHeight="1" s="290">
      <c r="A122" s="30" t="n"/>
      <c r="B122" s="30" t="n"/>
      <c r="C122" s="30" t="n"/>
      <c r="D122" s="324" t="n"/>
      <c r="E122" s="53" t="n"/>
      <c r="F122" s="54" t="n"/>
      <c r="G122" s="55" t="n"/>
      <c r="H122" s="55" t="n"/>
      <c r="I122" s="55" t="n"/>
      <c r="J122" s="56" t="n"/>
      <c r="K122" s="56" t="n"/>
      <c r="L122" s="34">
        <f>HYPERLINK(Table544[[#This Row],[Column1]])</f>
        <v/>
      </c>
    </row>
    <row r="123" ht="45" customHeight="1" s="290">
      <c r="A123" s="30" t="n"/>
      <c r="B123" s="30" t="n"/>
      <c r="C123" s="30" t="n"/>
      <c r="D123" s="324" t="n"/>
      <c r="E123" s="53" t="n"/>
      <c r="F123" s="54" t="n"/>
      <c r="G123" s="55" t="n"/>
      <c r="H123" s="55" t="n"/>
      <c r="I123" s="55" t="n"/>
      <c r="J123" s="56" t="n"/>
      <c r="K123" s="56" t="n"/>
      <c r="L123" s="34">
        <f>HYPERLINK(Table544[[#This Row],[Column1]])</f>
        <v/>
      </c>
    </row>
    <row r="124" ht="17" customHeight="1" s="290">
      <c r="A124" s="30" t="n"/>
      <c r="B124" s="30" t="n"/>
      <c r="C124" s="30" t="n"/>
      <c r="D124" s="324" t="n"/>
      <c r="E124" s="53" t="n"/>
      <c r="F124" s="54" t="n"/>
      <c r="G124" s="55" t="n"/>
      <c r="H124" s="55" t="n"/>
      <c r="I124" s="55" t="n"/>
      <c r="J124" s="56" t="n"/>
      <c r="K124" s="56" t="n"/>
      <c r="L124" s="34">
        <f>HYPERLINK(Table544[[#This Row],[Column1]])</f>
        <v/>
      </c>
    </row>
    <row r="125" ht="30" customHeight="1" s="290">
      <c r="A125" s="30" t="n"/>
      <c r="B125" s="30" t="n"/>
      <c r="C125" s="30" t="n"/>
      <c r="D125" s="324" t="n"/>
      <c r="E125" s="53" t="n"/>
      <c r="F125" s="54" t="n"/>
      <c r="G125" s="55" t="n"/>
      <c r="H125" s="55" t="n"/>
      <c r="I125" s="55" t="n"/>
      <c r="J125" s="56" t="n"/>
      <c r="K125" s="56" t="n"/>
      <c r="L125" s="34">
        <f>HYPERLINK(Table544[[#This Row],[Column1]])</f>
        <v/>
      </c>
    </row>
    <row r="126" ht="45" customHeight="1" s="290">
      <c r="A126" s="30" t="n"/>
      <c r="B126" s="30" t="n"/>
      <c r="C126" s="30" t="n"/>
      <c r="D126" s="324" t="n"/>
      <c r="E126" s="53" t="n"/>
      <c r="F126" s="54" t="n"/>
      <c r="G126" s="55" t="n"/>
      <c r="H126" s="55" t="n"/>
      <c r="I126" s="55" t="n"/>
      <c r="J126" s="56" t="n"/>
      <c r="K126" s="56" t="n"/>
      <c r="L126" s="34">
        <f>HYPERLINK(Table544[[#This Row],[Column1]])</f>
        <v/>
      </c>
    </row>
    <row r="127" ht="45" customHeight="1" s="290">
      <c r="A127" s="30" t="n"/>
      <c r="B127" s="30" t="n"/>
      <c r="C127" s="30" t="n"/>
      <c r="D127" s="324" t="n"/>
      <c r="E127" s="53" t="n"/>
      <c r="F127" s="54" t="n"/>
      <c r="G127" s="55" t="n"/>
      <c r="H127" s="55" t="n"/>
      <c r="I127" s="55" t="n"/>
      <c r="J127" s="56" t="n"/>
      <c r="K127" s="56" t="n"/>
      <c r="L127" s="34">
        <f>HYPERLINK(Table544[[#This Row],[Column1]])</f>
        <v/>
      </c>
    </row>
    <row r="128" ht="17" customHeight="1" s="290">
      <c r="A128" s="33" t="inlineStr">
        <is>
          <t>Total</t>
        </is>
      </c>
      <c r="B128" s="32" t="n"/>
      <c r="C128" s="325" t="n"/>
      <c r="D128" s="325" t="n"/>
      <c r="E128" s="59">
        <f>SUM(Table544[Estimated 12mo Revenue])</f>
        <v/>
      </c>
      <c r="F128" s="59">
        <f>SUM(Table544[Monthly Rev])</f>
        <v/>
      </c>
      <c r="I128" s="286" t="n"/>
      <c r="J128" s="287" t="n"/>
    </row>
    <row r="131">
      <c r="A131" s="283" t="inlineStr">
        <is>
          <t>Rank by Units</t>
        </is>
      </c>
    </row>
    <row r="132" ht="17" customHeight="1" s="290">
      <c r="A132" s="38" t="inlineStr">
        <is>
          <t>Product Name</t>
        </is>
      </c>
      <c r="B132" s="39" t="inlineStr">
        <is>
          <t>ASIN</t>
        </is>
      </c>
      <c r="C132" s="39" t="inlineStr">
        <is>
          <t>Type</t>
        </is>
      </c>
      <c r="D132" s="322" t="inlineStr">
        <is>
          <t>Avg Price</t>
        </is>
      </c>
      <c r="E132" s="41" t="inlineStr">
        <is>
          <t>Estimated 12mo Revenue</t>
        </is>
      </c>
      <c r="F132" s="39" t="inlineStr">
        <is>
          <t>Monthly Rev</t>
        </is>
      </c>
      <c r="G132" s="42" t="inlineStr">
        <is>
          <t>Estimated 12mo Units</t>
        </is>
      </c>
      <c r="H132" s="45" t="inlineStr">
        <is>
          <t>Monthly Units</t>
        </is>
      </c>
      <c r="I132" s="42" t="inlineStr">
        <is>
          <t># of Reviews</t>
        </is>
      </c>
      <c r="J132" s="43" t="inlineStr">
        <is>
          <t xml:space="preserve">Tool Rating </t>
        </is>
      </c>
      <c r="K132" s="43" t="inlineStr">
        <is>
          <t>Column1</t>
        </is>
      </c>
      <c r="L132" s="323" t="inlineStr">
        <is>
          <t>Link</t>
        </is>
      </c>
    </row>
    <row r="133" ht="45" customHeight="1" s="290">
      <c r="A133" s="30" t="inlineStr">
        <is>
          <t>Innova 3568 Digital Timing Light</t>
        </is>
      </c>
      <c r="B133" s="30" t="inlineStr">
        <is>
          <t>B000EVYGV4</t>
        </is>
      </c>
      <c r="C133" s="30" t="inlineStr">
        <is>
          <t>Other</t>
        </is>
      </c>
      <c r="D133" s="324" t="n">
        <v>79.89569668246446</v>
      </c>
      <c r="E133" s="53" t="n">
        <v>1017963.363076923</v>
      </c>
      <c r="F133" s="53" t="n">
        <v>84289.96000000001</v>
      </c>
      <c r="G133" s="55" t="n">
        <v>1055</v>
      </c>
      <c r="H133" s="57" t="n">
        <v>1055</v>
      </c>
      <c r="I133" s="55" t="n"/>
      <c r="J133" s="56" t="n"/>
      <c r="K133" s="56" t="inlineStr">
        <is>
          <t>https://www.amazon.com/dp/B000EVYGV4</t>
        </is>
      </c>
      <c r="L133" s="34">
        <f>HYPERLINK(Innova1p_1[[#This Row],[Column1]])</f>
        <v/>
      </c>
    </row>
    <row r="134" ht="45" customHeight="1" s="290">
      <c r="A134" s="30" t="inlineStr">
        <is>
          <t>INNOVA 3145 Ford Digital OBD1 Code Reader</t>
        </is>
      </c>
      <c r="B134" s="30" t="inlineStr">
        <is>
          <t>B000EW0KHW</t>
        </is>
      </c>
      <c r="C134" s="30" t="inlineStr">
        <is>
          <t>Handheld</t>
        </is>
      </c>
      <c r="D134" s="324" t="n">
        <v>39.82766475644699</v>
      </c>
      <c r="E134" s="53" t="n">
        <v>335734.9592307693</v>
      </c>
      <c r="F134" s="53" t="n">
        <v>27799.71</v>
      </c>
      <c r="G134" s="55" t="n">
        <v>698</v>
      </c>
      <c r="H134" s="57" t="n">
        <v>698</v>
      </c>
      <c r="I134" s="55" t="n">
        <v>6858</v>
      </c>
      <c r="J134" s="56" t="n">
        <v>4.4</v>
      </c>
      <c r="K134" s="56" t="inlineStr">
        <is>
          <t>https://amazon.com/dp/B000EW0KHW</t>
        </is>
      </c>
      <c r="L134" s="34">
        <f>HYPERLINK(Innova1p_1[[#This Row],[Column1]])</f>
        <v/>
      </c>
    </row>
    <row r="135" ht="45" customHeight="1" s="290">
      <c r="A135" s="30" t="inlineStr">
        <is>
          <t>INNOVA 3123 GM OBD1 Code Reader, Windows XP</t>
        </is>
      </c>
      <c r="B135" s="30" t="inlineStr">
        <is>
          <t>B000EVU8C0</t>
        </is>
      </c>
      <c r="C135" s="30" t="inlineStr">
        <is>
          <t>OBD1</t>
        </is>
      </c>
      <c r="D135" s="324" t="n">
        <v>14.99135559921415</v>
      </c>
      <c r="E135" s="53" t="n">
        <v>92154.16923076924</v>
      </c>
      <c r="F135" s="53" t="n">
        <v>7630.6</v>
      </c>
      <c r="G135" s="55" t="n">
        <v>509</v>
      </c>
      <c r="H135" s="57" t="n">
        <v>509</v>
      </c>
      <c r="I135" s="55" t="n">
        <v>6860</v>
      </c>
      <c r="J135" s="56" t="n">
        <v>4.4</v>
      </c>
      <c r="K135" s="56" t="inlineStr">
        <is>
          <t>https://amazon.com/dp/B000EVU8C0</t>
        </is>
      </c>
      <c r="L135" s="34">
        <f>HYPERLINK(Innova1p_1[[#This Row],[Column1]])</f>
        <v/>
      </c>
    </row>
    <row r="136" ht="45" customHeight="1" s="290">
      <c r="A136" s="30" t="inlineStr">
        <is>
          <t>INNOVA 3320 Auto-Ranging Digital Multimeter, Red &amp; Black</t>
        </is>
      </c>
      <c r="B136" s="30" t="inlineStr">
        <is>
          <t>B000EVYGZA</t>
        </is>
      </c>
      <c r="C136" s="30" t="inlineStr">
        <is>
          <t>Other</t>
        </is>
      </c>
      <c r="D136" s="324" t="n">
        <v>35.65082758620689</v>
      </c>
      <c r="E136" s="53" t="n">
        <v>132466.4553846154</v>
      </c>
      <c r="F136" s="53" t="n">
        <v>10338.74</v>
      </c>
      <c r="G136" s="55" t="n">
        <v>308</v>
      </c>
      <c r="H136" s="57" t="n">
        <v>290</v>
      </c>
      <c r="I136" s="55" t="n"/>
      <c r="J136" s="56" t="n"/>
      <c r="K136" s="56" t="inlineStr">
        <is>
          <t>https://www.amazon.com/dp/B000EVYGZA</t>
        </is>
      </c>
      <c r="L136" s="34">
        <f>HYPERLINK(Innova1p_1[[#This Row],[Column1]])</f>
        <v/>
      </c>
    </row>
    <row r="137" ht="45" customHeight="1" s="290">
      <c r="A137" s="30" t="inlineStr">
        <is>
          <t>Innova 3551 Inductive Timing Light</t>
        </is>
      </c>
      <c r="B137" s="30" t="inlineStr">
        <is>
          <t>B000EVYH72</t>
        </is>
      </c>
      <c r="C137" s="30" t="inlineStr">
        <is>
          <t>Other</t>
        </is>
      </c>
      <c r="D137" s="324" t="n">
        <v>38.83009661835749</v>
      </c>
      <c r="E137" s="53" t="n">
        <v>97072.25461538462</v>
      </c>
      <c r="F137" s="53" t="n">
        <v>8037.83</v>
      </c>
      <c r="G137" s="55" t="n">
        <v>207</v>
      </c>
      <c r="H137" s="57" t="n">
        <v>207</v>
      </c>
      <c r="I137" s="55" t="n"/>
      <c r="J137" s="56" t="n"/>
      <c r="K137" s="56" t="inlineStr">
        <is>
          <t>https://www.amazon.com/dp/B000EVYH72</t>
        </is>
      </c>
      <c r="L137" s="34">
        <f>HYPERLINK(Innova1p_1[[#This Row],[Column1]])</f>
        <v/>
      </c>
    </row>
    <row r="138" ht="45" customHeight="1" s="290">
      <c r="A138" s="30" t="inlineStr">
        <is>
          <t>Innova 3555 Advance Timing Light</t>
        </is>
      </c>
      <c r="B138" s="30" t="inlineStr">
        <is>
          <t>B000EVYH7W</t>
        </is>
      </c>
      <c r="C138" s="30" t="inlineStr">
        <is>
          <t>Other</t>
        </is>
      </c>
      <c r="D138" s="324" t="n">
        <v>55.06609756097561</v>
      </c>
      <c r="E138" s="53" t="n">
        <v>136330.95</v>
      </c>
      <c r="F138" s="53" t="n">
        <v>11288.55</v>
      </c>
      <c r="G138" s="55" t="n">
        <v>205</v>
      </c>
      <c r="H138" s="57" t="n">
        <v>205</v>
      </c>
      <c r="I138" s="55" t="n"/>
      <c r="J138" s="56" t="n"/>
      <c r="K138" s="56" t="inlineStr">
        <is>
          <t>https://www.amazon.com/dp/B000EVYH7W</t>
        </is>
      </c>
      <c r="L138" s="34">
        <f>HYPERLINK(Innova1p_1[[#This Row],[Column1]])</f>
        <v/>
      </c>
    </row>
    <row r="139" ht="45" customHeight="1" s="290">
      <c r="A139" s="30" t="inlineStr">
        <is>
          <t>Innova 3721 Battery and Charging System Monitor</t>
        </is>
      </c>
      <c r="B139" s="30" t="inlineStr">
        <is>
          <t>B000EVWDU0</t>
        </is>
      </c>
      <c r="C139" s="30" t="inlineStr">
        <is>
          <t>Other</t>
        </is>
      </c>
      <c r="D139" s="324" t="n">
        <v>23.34055555555556</v>
      </c>
      <c r="E139" s="53" t="n">
        <v>25369.38846153846</v>
      </c>
      <c r="F139" s="53" t="n">
        <v>2100.65</v>
      </c>
      <c r="G139" s="55" t="n">
        <v>90</v>
      </c>
      <c r="H139" s="57" t="n">
        <v>90</v>
      </c>
      <c r="I139" s="55" t="n"/>
      <c r="J139" s="56" t="n"/>
      <c r="K139" s="56" t="inlineStr">
        <is>
          <t>https://www.amazon.com/dp/B000EVWDU0</t>
        </is>
      </c>
      <c r="L139" s="34">
        <f>HYPERLINK(Innova1p_1[[#This Row],[Column1]])</f>
        <v/>
      </c>
    </row>
    <row r="140" ht="45" customHeight="1" s="290">
      <c r="A140" s="30" t="inlineStr">
        <is>
          <t>Innova 3149 Extension Cable for Ford Code Reader (Item 3145)</t>
        </is>
      </c>
      <c r="B140" s="30" t="inlineStr">
        <is>
          <t>B000EVYH36</t>
        </is>
      </c>
      <c r="C140" s="30" t="inlineStr">
        <is>
          <t>Cable/Adapter</t>
        </is>
      </c>
      <c r="D140" s="324" t="n">
        <v>39.75924999999999</v>
      </c>
      <c r="E140" s="53" t="n">
        <v>38413.55230769231</v>
      </c>
      <c r="F140" s="53" t="n">
        <v>3180.74</v>
      </c>
      <c r="G140" s="55" t="n">
        <v>80</v>
      </c>
      <c r="H140" s="57" t="n">
        <v>80</v>
      </c>
      <c r="I140" s="55" t="n">
        <v>1355</v>
      </c>
      <c r="J140" s="56" t="n">
        <v>4.7</v>
      </c>
      <c r="K140" s="56" t="inlineStr">
        <is>
          <t>https://amazon.com/dp/B000EVYH36</t>
        </is>
      </c>
      <c r="L140" s="34">
        <f>HYPERLINK(Innova1p_1[[#This Row],[Column1]])</f>
        <v/>
      </c>
    </row>
    <row r="141" ht="30" customHeight="1" s="290">
      <c r="A141" s="30" t="inlineStr">
        <is>
          <t>Innova 3595 Replacement Metal Inductive Pickup Lead Set</t>
        </is>
      </c>
      <c r="B141" s="30" t="inlineStr">
        <is>
          <t>B001QUB8KE</t>
        </is>
      </c>
      <c r="C141" s="30" t="inlineStr">
        <is>
          <t>Other</t>
        </is>
      </c>
      <c r="D141" s="324" t="n">
        <v>26.55512820512821</v>
      </c>
      <c r="E141" s="53" t="n">
        <v>25014.93076923077</v>
      </c>
      <c r="F141" s="53" t="n">
        <v>2071.3</v>
      </c>
      <c r="G141" s="55" t="n">
        <v>78</v>
      </c>
      <c r="H141" s="57" t="n">
        <v>78</v>
      </c>
      <c r="I141" s="55" t="n"/>
      <c r="J141" s="56" t="n"/>
      <c r="K141" s="56" t="inlineStr">
        <is>
          <t>https://www.amazon.com/dp/B001QUB8KE</t>
        </is>
      </c>
      <c r="L141" s="34">
        <f>HYPERLINK(Innova1p_1[[#This Row],[Column1]])</f>
        <v/>
      </c>
    </row>
    <row r="142" ht="45" customHeight="1" s="290">
      <c r="A142" s="30" t="inlineStr">
        <is>
          <t>Innova 3340 Professional Automotive Digital Multimeter, Black</t>
        </is>
      </c>
      <c r="B142" s="30" t="inlineStr">
        <is>
          <t>B000KIMHRQ</t>
        </is>
      </c>
      <c r="C142" s="30" t="inlineStr">
        <is>
          <t>Other</t>
        </is>
      </c>
      <c r="D142" s="324" t="n">
        <v>90.27909090909091</v>
      </c>
      <c r="E142" s="53" t="n">
        <v>87575.32461538461</v>
      </c>
      <c r="F142" s="53" t="n">
        <v>6951.49</v>
      </c>
      <c r="G142" s="55" t="n">
        <v>80</v>
      </c>
      <c r="H142" s="57" t="n">
        <v>77</v>
      </c>
      <c r="I142" s="55" t="n"/>
      <c r="J142" s="56" t="n"/>
      <c r="K142" s="56" t="inlineStr">
        <is>
          <t>https://www.amazon.com/dp/B000KIMHRQ</t>
        </is>
      </c>
      <c r="L142" s="34">
        <f>HYPERLINK(Innova1p_1[[#This Row],[Column1]])</f>
        <v/>
      </c>
    </row>
    <row r="143" ht="45" customHeight="1" s="290">
      <c r="A143" s="30" t="inlineStr">
        <is>
          <t>INNOVA 3040RS, OBD2 Scanner, Live Data Streamer, Battery/Alt Tester, Reset Check Engine Light/Brake Light/Oil Light, Free Mechanic Recommended Fix &amp; Parts &amp; Est Repair Cost, Free Updates</t>
        </is>
      </c>
      <c r="B143" s="30" t="inlineStr">
        <is>
          <t>B084SVS383</t>
        </is>
      </c>
      <c r="C143" s="30" t="inlineStr">
        <is>
          <t>Handheld</t>
        </is>
      </c>
      <c r="D143" s="324" t="n">
        <v>104.99</v>
      </c>
      <c r="E143" s="53" t="n">
        <v>117640.11</v>
      </c>
      <c r="F143" s="53" t="n">
        <v>6824.35</v>
      </c>
      <c r="G143" s="55" t="n">
        <v>1185</v>
      </c>
      <c r="H143" s="57" t="n">
        <v>65</v>
      </c>
      <c r="I143" s="55" t="n">
        <v>606</v>
      </c>
      <c r="J143" s="56" t="n">
        <v>4.4</v>
      </c>
      <c r="K143" s="56" t="inlineStr">
        <is>
          <t>https://amazon.com/dp/B084SVS383</t>
        </is>
      </c>
      <c r="L143" s="34">
        <f>HYPERLINK(Innova1p_1[[#This Row],[Column1]])</f>
        <v/>
      </c>
    </row>
    <row r="144" ht="45" customHeight="1" s="290">
      <c r="A144" s="30" t="inlineStr">
        <is>
          <t>Innova 3612 Compression Tester - 4 Piece Kit</t>
        </is>
      </c>
      <c r="B144" s="30" t="inlineStr">
        <is>
          <t>B000EVU89I</t>
        </is>
      </c>
      <c r="C144" s="30" t="inlineStr">
        <is>
          <t>Other</t>
        </is>
      </c>
      <c r="D144" s="324" t="n">
        <v>32.96580645161291</v>
      </c>
      <c r="E144" s="53" t="n">
        <v>24683.78153846153</v>
      </c>
      <c r="F144" s="53" t="n">
        <v>2043.88</v>
      </c>
      <c r="G144" s="55" t="n">
        <v>62</v>
      </c>
      <c r="H144" s="57" t="n">
        <v>62</v>
      </c>
      <c r="I144" s="55" t="n"/>
      <c r="J144" s="56" t="n"/>
      <c r="K144" s="56" t="inlineStr">
        <is>
          <t>https://www.amazon.com/dp/B000EVU89I</t>
        </is>
      </c>
      <c r="L144" s="34">
        <f>HYPERLINK(Innova1p_1[[#This Row],[Column1]])</f>
        <v/>
      </c>
    </row>
    <row r="145" ht="45" customHeight="1" s="290">
      <c r="A145" s="30" t="inlineStr">
        <is>
          <t>Innova 3129 OBD-1 Kit (Includes OBD1 Adapters &amp; Pouch) , Black</t>
        </is>
      </c>
      <c r="B145" s="30" t="inlineStr">
        <is>
          <t>B078BHTCK1</t>
        </is>
      </c>
      <c r="C145" s="30" t="inlineStr">
        <is>
          <t>Cable/Adapter</t>
        </is>
      </c>
      <c r="D145" s="324" t="n">
        <v>107.4973214285714</v>
      </c>
      <c r="E145" s="53" t="n">
        <v>107047.6723076923</v>
      </c>
      <c r="F145" s="53" t="n">
        <v>6019.85</v>
      </c>
      <c r="G145" s="55" t="n">
        <v>83</v>
      </c>
      <c r="H145" s="57" t="n">
        <v>56</v>
      </c>
      <c r="I145" s="55" t="n">
        <v>200</v>
      </c>
      <c r="J145" s="56" t="n">
        <v>4.3</v>
      </c>
      <c r="K145" s="56" t="inlineStr">
        <is>
          <t>https://amazon.com/dp/B078BHTCK1</t>
        </is>
      </c>
      <c r="L145" s="34">
        <f>HYPERLINK(Innova1p_1[[#This Row],[Column1]])</f>
        <v/>
      </c>
    </row>
    <row r="146" ht="60" customHeight="1" s="290">
      <c r="A146" s="30" t="inlineStr">
        <is>
          <t>Innova 3614 Compression Tester Plus - 6 Piece Kit</t>
        </is>
      </c>
      <c r="B146" s="30" t="inlineStr">
        <is>
          <t>B000EVU8JS</t>
        </is>
      </c>
      <c r="C146" s="30" t="inlineStr">
        <is>
          <t>Other</t>
        </is>
      </c>
      <c r="D146" s="324" t="n">
        <v>36.51596153846154</v>
      </c>
      <c r="E146" s="53" t="n">
        <v>22932.02384615385</v>
      </c>
      <c r="F146" s="53" t="n">
        <v>1898.83</v>
      </c>
      <c r="G146" s="55" t="n">
        <v>52</v>
      </c>
      <c r="H146" s="57" t="n">
        <v>52</v>
      </c>
      <c r="I146" s="55" t="n"/>
      <c r="J146" s="56" t="n"/>
      <c r="K146" s="56" t="inlineStr">
        <is>
          <t>https://www.amazon.com/dp/B000EVU8JS</t>
        </is>
      </c>
      <c r="L146" s="34">
        <f>HYPERLINK(Innova1p_1[[#This Row],[Column1]])</f>
        <v/>
      </c>
    </row>
    <row r="147" ht="45" customHeight="1" s="290">
      <c r="A147" s="30" t="inlineStr">
        <is>
          <t>INNOVA 3100RS, OBD2 Scanner, ABS SRS Airbag Scan Tool with Airbag Light &amp; Oil Light Reset, Stream Graph &amp; Record Live Data, Get Suggested Repair &amp; Parts on iPhone or Android</t>
        </is>
      </c>
      <c r="B147" s="30" t="inlineStr">
        <is>
          <t>B084SW4K8J</t>
        </is>
      </c>
      <c r="C147" s="30" t="inlineStr">
        <is>
          <t>Handheld</t>
        </is>
      </c>
      <c r="D147" s="324" t="n">
        <v>139.99</v>
      </c>
      <c r="E147" s="53" t="n">
        <v>88653.43999999999</v>
      </c>
      <c r="F147" s="53" t="n">
        <v>6859.51</v>
      </c>
      <c r="G147" s="55" t="n">
        <v>640</v>
      </c>
      <c r="H147" s="57" t="n">
        <v>49</v>
      </c>
      <c r="I147" s="55" t="n">
        <v>533</v>
      </c>
      <c r="J147" s="56" t="n">
        <v>4.4</v>
      </c>
      <c r="K147" s="56" t="inlineStr">
        <is>
          <t>https://amazon.com/dp/B084SW4K8J</t>
        </is>
      </c>
      <c r="L147" s="34">
        <f>HYPERLINK(Innova1p_1[[#This Row],[Column1]])</f>
        <v/>
      </c>
    </row>
    <row r="148" ht="45" customHeight="1" s="290">
      <c r="A148" s="30" t="inlineStr">
        <is>
          <t>Innova 3640 Professional Fuel Injection Pressure Tester</t>
        </is>
      </c>
      <c r="B148" s="30" t="inlineStr">
        <is>
          <t>B000EVU8NY</t>
        </is>
      </c>
      <c r="C148" s="30" t="inlineStr">
        <is>
          <t>Other</t>
        </is>
      </c>
      <c r="D148" s="324" t="n">
        <v>28.26666666666667</v>
      </c>
      <c r="E148" s="53" t="n">
        <v>11265.35384615384</v>
      </c>
      <c r="F148" s="53" t="n">
        <v>932.8</v>
      </c>
      <c r="G148" s="55" t="n">
        <v>33</v>
      </c>
      <c r="H148" s="57" t="n">
        <v>33</v>
      </c>
      <c r="I148" s="55" t="n"/>
      <c r="J148" s="56" t="n"/>
      <c r="K148" s="56" t="inlineStr">
        <is>
          <t>https://www.amazon.com/dp/B000EVU8NY</t>
        </is>
      </c>
      <c r="L148" s="34">
        <f>HYPERLINK(Innova1p_1[[#This Row],[Column1]])</f>
        <v/>
      </c>
    </row>
    <row r="149" ht="45" customHeight="1" s="290">
      <c r="A149" s="30" t="inlineStr">
        <is>
          <t>INNOVA 5160RS, OBD2 Bidirectional Scan Tool, OE-Level All System Diagnostics, Reset Oil Light/Battery/EPB/SAS/DPF, Mechanic Recommended Fixes &amp; Parts, TSBs, 1yr Warranty, Free Updates</t>
        </is>
      </c>
      <c r="B149" s="30" t="inlineStr">
        <is>
          <t>B071VYLP32</t>
        </is>
      </c>
      <c r="C149" s="30" t="inlineStr">
        <is>
          <t>Handheld</t>
        </is>
      </c>
      <c r="D149" s="324" t="n">
        <v>317.482962962963</v>
      </c>
      <c r="E149" s="53" t="n">
        <v>137375.98</v>
      </c>
      <c r="F149" s="53" t="n">
        <v>8572.040000000001</v>
      </c>
      <c r="G149" s="55" t="n">
        <v>434</v>
      </c>
      <c r="H149" s="57" t="n">
        <v>27</v>
      </c>
      <c r="I149" s="55" t="n">
        <v>300</v>
      </c>
      <c r="J149" s="56" t="n">
        <v>4.2</v>
      </c>
      <c r="K149" s="56" t="inlineStr">
        <is>
          <t>https://amazon.com/dp/B071VYLP32</t>
        </is>
      </c>
      <c r="L149" s="34">
        <f>HYPERLINK(Innova1p_1[[#This Row],[Column1]])</f>
        <v/>
      </c>
    </row>
    <row r="150" ht="45" customHeight="1" s="290">
      <c r="A150" s="30" t="inlineStr">
        <is>
          <t>Innova 3620 Vacuum/Carburetor Fuel Pressure Tester</t>
        </is>
      </c>
      <c r="B150" s="30" t="inlineStr">
        <is>
          <t>B000EW0KPY</t>
        </is>
      </c>
      <c r="C150" s="30" t="inlineStr">
        <is>
          <t>Other</t>
        </is>
      </c>
      <c r="D150" s="324" t="n">
        <v>32.99</v>
      </c>
      <c r="E150" s="53" t="n">
        <v>7171.518461538461</v>
      </c>
      <c r="F150" s="53" t="n">
        <v>593.8200000000001</v>
      </c>
      <c r="G150" s="55" t="n">
        <v>18</v>
      </c>
      <c r="H150" s="57" t="n">
        <v>18</v>
      </c>
      <c r="I150" s="55" t="n"/>
      <c r="J150" s="56" t="n"/>
      <c r="K150" s="56" t="inlineStr">
        <is>
          <t>https://www.amazon.com/dp/B000EW0KPY</t>
        </is>
      </c>
      <c r="L150" s="34">
        <f>HYPERLINK(Innova1p_1[[#This Row],[Column1]])</f>
        <v/>
      </c>
    </row>
    <row r="151" ht="45" customHeight="1" s="290">
      <c r="A151" s="30" t="inlineStr">
        <is>
          <t>Innova 3410 Test Light/Circuit Tester</t>
        </is>
      </c>
      <c r="B151" s="30" t="inlineStr">
        <is>
          <t>B0014DINF6</t>
        </is>
      </c>
      <c r="C151" s="30" t="inlineStr">
        <is>
          <t>Other</t>
        </is>
      </c>
      <c r="D151" s="324" t="n">
        <v>11.47470588235294</v>
      </c>
      <c r="E151" s="53" t="n">
        <v>2355.845384615384</v>
      </c>
      <c r="F151" s="53" t="n">
        <v>195.07</v>
      </c>
      <c r="G151" s="55" t="n">
        <v>17</v>
      </c>
      <c r="H151" s="57" t="n">
        <v>17</v>
      </c>
      <c r="I151" s="55" t="n"/>
      <c r="J151" s="56" t="n"/>
      <c r="K151" s="56" t="inlineStr">
        <is>
          <t>https://www.amazon.com/dp/B0014DINF6</t>
        </is>
      </c>
      <c r="L151" s="34">
        <f>HYPERLINK(Innova1p_1[[#This Row],[Column1]])</f>
        <v/>
      </c>
    </row>
    <row r="152" ht="45" customHeight="1" s="290">
      <c r="A152" s="30" t="inlineStr">
        <is>
          <t>Innova 3347 Digital Multimeter AMP Probe Red</t>
        </is>
      </c>
      <c r="B152" s="30" t="inlineStr">
        <is>
          <t>B0015S9SWW</t>
        </is>
      </c>
      <c r="C152" s="30" t="inlineStr">
        <is>
          <t>Other</t>
        </is>
      </c>
      <c r="D152" s="324" t="n">
        <v>82.026</v>
      </c>
      <c r="E152" s="53" t="n">
        <v>9906.21692307692</v>
      </c>
      <c r="F152" s="53" t="n">
        <v>820.26</v>
      </c>
      <c r="G152" s="55" t="n">
        <v>10</v>
      </c>
      <c r="H152" s="57" t="n">
        <v>10</v>
      </c>
      <c r="I152" s="55" t="n"/>
      <c r="J152" s="56" t="n"/>
      <c r="K152" s="56" t="inlineStr">
        <is>
          <t>https://www.amazon.com/dp/B0015S9SWW</t>
        </is>
      </c>
      <c r="L152" s="34">
        <f>HYPERLINK(Innova1p_1[[#This Row],[Column1]])</f>
        <v/>
      </c>
    </row>
    <row r="153" ht="60" customHeight="1" s="290">
      <c r="A153" s="30" t="inlineStr">
        <is>
          <t>Innova 5568 Pro Digital Timing Light Tool with Digital Advance, LED Display, Ignition Timing for 2 and 4 Cycle Engines, Automotive Diagnostic Tool for Cars and Trucks</t>
        </is>
      </c>
      <c r="B153" s="30" t="inlineStr">
        <is>
          <t>B000EVU8J8</t>
        </is>
      </c>
      <c r="C153" s="30" t="inlineStr">
        <is>
          <t>Other</t>
        </is>
      </c>
      <c r="D153" s="324" t="n">
        <v>131.6177777777778</v>
      </c>
      <c r="E153" s="53" t="n">
        <v>14305.84</v>
      </c>
      <c r="F153" s="53" t="n">
        <v>1184.56</v>
      </c>
      <c r="G153" s="55" t="n">
        <v>9</v>
      </c>
      <c r="H153" s="57" t="n">
        <v>9</v>
      </c>
      <c r="I153" s="55" t="n"/>
      <c r="J153" s="56" t="n"/>
      <c r="K153" s="56" t="inlineStr">
        <is>
          <t>https://www.amazon.com/dp/B000EVU8J8</t>
        </is>
      </c>
      <c r="L153" s="34">
        <f>HYPERLINK(Innova1p_1[[#This Row],[Column1]])</f>
        <v/>
      </c>
    </row>
    <row r="154" ht="45" customHeight="1" s="290">
      <c r="A154" s="30" t="inlineStr">
        <is>
          <t>INNOVA 3160RS OBD2 Scanner, ABS Brake Bleeder, ABS SRS Engine Transmission Diagnoses, Airbag Light Reset, Car Battery Tester &amp; Alternator Tester, Battery Reset, Fix &amp; Parts Recommendations</t>
        </is>
      </c>
      <c r="B154" s="30" t="inlineStr">
        <is>
          <t>B084SVSFZY</t>
        </is>
      </c>
      <c r="C154" s="30" t="inlineStr">
        <is>
          <t>Handheld</t>
        </is>
      </c>
      <c r="D154" s="324" t="n">
        <v>262.295</v>
      </c>
      <c r="E154" s="53" t="n">
        <v>35742.58</v>
      </c>
      <c r="F154" s="53" t="n">
        <v>1573.77</v>
      </c>
      <c r="G154" s="55" t="n">
        <v>169</v>
      </c>
      <c r="H154" s="57" t="n">
        <v>6</v>
      </c>
      <c r="I154" s="55" t="n">
        <v>288</v>
      </c>
      <c r="J154" s="56" t="n">
        <v>4.1</v>
      </c>
      <c r="K154" s="56" t="inlineStr">
        <is>
          <t>https://amazon.com/dp/B084SVSFZY</t>
        </is>
      </c>
      <c r="L154" s="34">
        <f>HYPERLINK(Innova1p_1[[#This Row],[Column1]])</f>
        <v/>
      </c>
    </row>
    <row r="155" ht="45" customHeight="1" s="290">
      <c r="A155" s="30" t="inlineStr">
        <is>
          <t>Innova 3160g Pro OBD2 Scanner / Car Code Reader with Live data, ABS, SRS, Battery Reset, Service Light Reset, and Bluetooth</t>
        </is>
      </c>
      <c r="B155" s="30" t="inlineStr">
        <is>
          <t>B06XKX2KDJ</t>
        </is>
      </c>
      <c r="C155" s="30" t="inlineStr">
        <is>
          <t>Handheld</t>
        </is>
      </c>
      <c r="D155" s="324" t="n">
        <v>254.6</v>
      </c>
      <c r="E155" s="53" t="n">
        <v>2692.292307692307</v>
      </c>
      <c r="F155" s="53" t="n">
        <v>254.6</v>
      </c>
      <c r="G155" s="55" t="n">
        <v>5</v>
      </c>
      <c r="H155" s="57" t="n">
        <v>1</v>
      </c>
      <c r="I155" s="55" t="n">
        <v>289</v>
      </c>
      <c r="J155" s="56" t="n">
        <v>4.3</v>
      </c>
      <c r="K155" s="56" t="inlineStr">
        <is>
          <t>https://amazon.com/dp/B06XKX2KDJ</t>
        </is>
      </c>
      <c r="L155" s="34">
        <f>HYPERLINK(Innova1p_1[[#This Row],[Column1]])</f>
        <v/>
      </c>
    </row>
    <row r="156" ht="45" customHeight="1" s="290">
      <c r="A156" s="30" t="inlineStr">
        <is>
          <t>Diagnostic Scan Tool Code Reader with ABS and Battery Backup for OBD2 Vehicles</t>
        </is>
      </c>
      <c r="B156" s="30" t="inlineStr">
        <is>
          <t>B000EVWDAK</t>
        </is>
      </c>
      <c r="C156" s="30" t="inlineStr">
        <is>
          <t>Handheld</t>
        </is>
      </c>
      <c r="D156" s="324" t="n">
        <v>189.63</v>
      </c>
      <c r="E156" s="53" t="n">
        <v>562.05</v>
      </c>
      <c r="F156" s="53" t="n">
        <v>0</v>
      </c>
      <c r="G156" s="55" t="n">
        <v>3</v>
      </c>
      <c r="H156" s="57" t="n">
        <v>0</v>
      </c>
      <c r="I156" s="55" t="n">
        <v>1123</v>
      </c>
      <c r="J156" s="56" t="n">
        <v>4.5</v>
      </c>
      <c r="K156" s="56" t="inlineStr">
        <is>
          <t>https://amazon.com/dp/B000EVWDAK</t>
        </is>
      </c>
      <c r="L156" s="34">
        <f>HYPERLINK(Innova1p_1[[#This Row],[Column1]])</f>
        <v/>
      </c>
    </row>
    <row r="157" ht="45" customHeight="1" s="290">
      <c r="A157" s="30" t="inlineStr">
        <is>
          <t>Innova 5023 Pro CarScan Code Scanner - Professional OBD2 Scanner - Smog Test Scan Tool - Multilingual Code Reader</t>
        </is>
      </c>
      <c r="B157" s="30" t="inlineStr">
        <is>
          <t>B076N5V6SN</t>
        </is>
      </c>
      <c r="C157" s="30" t="inlineStr">
        <is>
          <t>Handheld</t>
        </is>
      </c>
      <c r="D157" s="324" t="n">
        <v>77.63</v>
      </c>
      <c r="E157" s="53" t="n">
        <v>-686.9515384615386</v>
      </c>
      <c r="F157" s="53" t="n">
        <v>-81.93000000000001</v>
      </c>
      <c r="G157" s="55" t="n">
        <v>-1</v>
      </c>
      <c r="H157" s="57" t="n">
        <v>-1</v>
      </c>
      <c r="I157" s="55" t="n">
        <v>48</v>
      </c>
      <c r="J157" s="56" t="n">
        <v>3.6</v>
      </c>
      <c r="K157" s="56" t="inlineStr">
        <is>
          <t>https://amazon.com/dp/B076N5V6SN</t>
        </is>
      </c>
      <c r="L157" s="34">
        <f>HYPERLINK(Innova1p_1[[#This Row],[Column1]])</f>
        <v/>
      </c>
    </row>
    <row r="158" ht="45" customHeight="1" s="290">
      <c r="A158" s="30" t="n"/>
      <c r="B158" s="30" t="n"/>
      <c r="C158" s="30" t="n"/>
      <c r="D158" s="324" t="n"/>
      <c r="E158" s="53" t="n"/>
      <c r="F158" s="53" t="n"/>
      <c r="G158" s="55" t="n"/>
      <c r="H158" s="57" t="n"/>
      <c r="I158" s="55" t="n"/>
      <c r="J158" s="56" t="n"/>
      <c r="K158" s="56" t="n"/>
      <c r="L158" s="34">
        <f>HYPERLINK(Table65[[#This Row],[Column1]])</f>
        <v/>
      </c>
    </row>
    <row r="159" ht="45" customHeight="1" s="290">
      <c r="A159" s="30" t="n"/>
      <c r="B159" s="30" t="n"/>
      <c r="C159" s="30" t="n"/>
      <c r="D159" s="324" t="n"/>
      <c r="E159" s="53" t="n"/>
      <c r="F159" s="53" t="n"/>
      <c r="G159" s="55" t="n"/>
      <c r="H159" s="57" t="n"/>
      <c r="I159" s="55" t="n"/>
      <c r="J159" s="56" t="n"/>
      <c r="K159" s="56" t="n"/>
      <c r="L159" s="34">
        <f>HYPERLINK(Table65[[#This Row],[Column1]])</f>
        <v/>
      </c>
    </row>
    <row r="160" ht="45" customHeight="1" s="290">
      <c r="A160" s="30" t="n"/>
      <c r="B160" s="30" t="n"/>
      <c r="C160" s="30" t="n"/>
      <c r="D160" s="324" t="n"/>
      <c r="E160" s="53" t="n"/>
      <c r="F160" s="53" t="n"/>
      <c r="G160" s="55" t="n"/>
      <c r="H160" s="57" t="n"/>
      <c r="I160" s="55" t="n"/>
      <c r="J160" s="56" t="n"/>
      <c r="K160" s="56" t="n"/>
      <c r="L160" s="34">
        <f>HYPERLINK(Table65[[#This Row],[Column1]])</f>
        <v/>
      </c>
    </row>
    <row r="161" ht="60" customHeight="1" s="290">
      <c r="A161" s="30" t="n"/>
      <c r="B161" s="30" t="n"/>
      <c r="C161" s="30" t="n"/>
      <c r="D161" s="324" t="n"/>
      <c r="E161" s="53" t="n"/>
      <c r="F161" s="53" t="n"/>
      <c r="G161" s="55" t="n"/>
      <c r="H161" s="57" t="n"/>
      <c r="I161" s="55" t="n"/>
      <c r="J161" s="56" t="n"/>
      <c r="K161" s="56" t="n"/>
      <c r="L161" s="34">
        <f>HYPERLINK(Table65[[#This Row],[Column1]])</f>
        <v/>
      </c>
    </row>
    <row r="162" ht="45" customHeight="1" s="290">
      <c r="A162" s="30" t="n"/>
      <c r="B162" s="30" t="n"/>
      <c r="C162" s="30" t="n"/>
      <c r="D162" s="324" t="n"/>
      <c r="E162" s="53" t="n"/>
      <c r="F162" s="53" t="n"/>
      <c r="G162" s="55" t="n"/>
      <c r="H162" s="57" t="n"/>
      <c r="I162" s="55" t="n"/>
      <c r="J162" s="56" t="n"/>
      <c r="K162" s="56" t="n"/>
      <c r="L162" s="34">
        <f>HYPERLINK(Table65[[#This Row],[Column1]])</f>
        <v/>
      </c>
    </row>
    <row r="163" ht="45" customHeight="1" s="290">
      <c r="A163" s="30" t="n"/>
      <c r="B163" s="30" t="n"/>
      <c r="C163" s="30" t="n"/>
      <c r="D163" s="324" t="n"/>
      <c r="E163" s="53" t="n"/>
      <c r="F163" s="53" t="n"/>
      <c r="G163" s="55" t="n"/>
      <c r="H163" s="57" t="n"/>
      <c r="I163" s="55" t="n"/>
      <c r="J163" s="56" t="n"/>
      <c r="K163" s="56" t="n"/>
      <c r="L163" s="34">
        <f>HYPERLINK(Table65[[#This Row],[Column1]])</f>
        <v/>
      </c>
    </row>
    <row r="164" ht="45" customHeight="1" s="290">
      <c r="A164" s="30" t="n"/>
      <c r="B164" s="30" t="n"/>
      <c r="C164" s="30" t="n"/>
      <c r="D164" s="324" t="n"/>
      <c r="E164" s="53" t="n"/>
      <c r="F164" s="53" t="n"/>
      <c r="G164" s="55" t="n"/>
      <c r="H164" s="57" t="n"/>
      <c r="I164" s="55" t="n"/>
      <c r="J164" s="56" t="n"/>
      <c r="K164" s="56" t="n"/>
      <c r="L164" s="34">
        <f>HYPERLINK(Table65[[#This Row],[Column1]])</f>
        <v/>
      </c>
    </row>
    <row r="165" ht="45" customHeight="1" s="290">
      <c r="A165" s="30" t="n"/>
      <c r="B165" s="30" t="n"/>
      <c r="C165" s="30" t="n"/>
      <c r="D165" s="324" t="n"/>
      <c r="E165" s="53" t="n"/>
      <c r="F165" s="53" t="n"/>
      <c r="G165" s="55" t="n"/>
      <c r="H165" s="57" t="n"/>
      <c r="I165" s="55" t="n"/>
      <c r="J165" s="56" t="n"/>
      <c r="K165" s="56" t="n"/>
      <c r="L165" s="34">
        <f>HYPERLINK(Table65[[#This Row],[Column1]])</f>
        <v/>
      </c>
    </row>
    <row r="166" ht="45" customHeight="1" s="290">
      <c r="A166" s="30" t="n"/>
      <c r="B166" s="30" t="n"/>
      <c r="C166" s="30" t="n"/>
      <c r="D166" s="324" t="n"/>
      <c r="E166" s="53" t="n"/>
      <c r="F166" s="53" t="n"/>
      <c r="G166" s="55" t="n"/>
      <c r="H166" s="57" t="n"/>
      <c r="I166" s="55" t="n"/>
      <c r="J166" s="56" t="n"/>
      <c r="K166" s="56" t="n"/>
      <c r="L166" s="34">
        <f>HYPERLINK(Table65[[#This Row],[Column1]])</f>
        <v/>
      </c>
    </row>
    <row r="167" ht="45" customHeight="1" s="290">
      <c r="A167" s="30" t="n"/>
      <c r="B167" s="30" t="n"/>
      <c r="C167" s="30" t="n"/>
      <c r="D167" s="324" t="n"/>
      <c r="E167" s="53" t="n"/>
      <c r="F167" s="53" t="n"/>
      <c r="G167" s="55" t="n"/>
      <c r="H167" s="57" t="n"/>
      <c r="I167" s="55" t="n"/>
      <c r="J167" s="56" t="n"/>
      <c r="K167" s="56" t="n"/>
      <c r="L167" s="34">
        <f>HYPERLINK(Table65[[#This Row],[Column1]])</f>
        <v/>
      </c>
    </row>
    <row r="168" ht="45" customHeight="1" s="290">
      <c r="A168" s="30" t="n"/>
      <c r="B168" s="30" t="n"/>
      <c r="C168" s="30" t="n"/>
      <c r="D168" s="324" t="n"/>
      <c r="E168" s="53" t="n"/>
      <c r="F168" s="53" t="n"/>
      <c r="G168" s="55" t="n"/>
      <c r="H168" s="57" t="n"/>
      <c r="I168" s="55" t="n"/>
      <c r="J168" s="56" t="n"/>
      <c r="K168" s="56" t="n"/>
      <c r="L168" s="34">
        <f>HYPERLINK(Table65[[#This Row],[Column1]])</f>
        <v/>
      </c>
    </row>
    <row r="169" ht="45" customHeight="1" s="290">
      <c r="A169" s="30" t="n"/>
      <c r="B169" s="30" t="n"/>
      <c r="C169" s="30" t="n"/>
      <c r="D169" s="324" t="n"/>
      <c r="E169" s="53" t="n"/>
      <c r="F169" s="53" t="n"/>
      <c r="G169" s="55" t="n"/>
      <c r="H169" s="57" t="n"/>
      <c r="I169" s="55" t="n"/>
      <c r="J169" s="56" t="n"/>
      <c r="K169" s="56" t="n"/>
      <c r="L169" s="34">
        <f>HYPERLINK(Table65[[#This Row],[Column1]])</f>
        <v/>
      </c>
    </row>
    <row r="170" ht="30" customHeight="1" s="290">
      <c r="A170" s="30" t="n"/>
      <c r="B170" s="30" t="n"/>
      <c r="C170" s="30" t="n"/>
      <c r="D170" s="324" t="n"/>
      <c r="E170" s="53" t="n"/>
      <c r="F170" s="53" t="n"/>
      <c r="G170" s="55" t="n"/>
      <c r="H170" s="57" t="n"/>
      <c r="I170" s="55" t="n"/>
      <c r="J170" s="56" t="n"/>
      <c r="K170" s="56" t="n"/>
      <c r="L170" s="34">
        <f>HYPERLINK(Table65[[#This Row],[Column1]])</f>
        <v/>
      </c>
    </row>
    <row r="171" ht="45" customHeight="1" s="290">
      <c r="A171" s="30" t="n"/>
      <c r="B171" s="30" t="n"/>
      <c r="C171" s="30" t="n"/>
      <c r="D171" s="324" t="n"/>
      <c r="E171" s="53" t="n"/>
      <c r="F171" s="53" t="n"/>
      <c r="G171" s="55" t="n"/>
      <c r="H171" s="57" t="n"/>
      <c r="I171" s="55" t="n"/>
      <c r="J171" s="56" t="n"/>
      <c r="K171" s="56" t="n"/>
      <c r="L171" s="34">
        <f>HYPERLINK(Table65[[#This Row],[Column1]])</f>
        <v/>
      </c>
    </row>
    <row r="172" ht="45" customHeight="1" s="290">
      <c r="A172" s="30" t="n"/>
      <c r="B172" s="30" t="n"/>
      <c r="C172" s="30" t="n"/>
      <c r="D172" s="324" t="n"/>
      <c r="E172" s="53" t="n"/>
      <c r="F172" s="53" t="n"/>
      <c r="G172" s="55" t="n"/>
      <c r="H172" s="57" t="n"/>
      <c r="I172" s="55" t="n"/>
      <c r="J172" s="56" t="n"/>
      <c r="K172" s="56" t="n"/>
      <c r="L172" s="34">
        <f>HYPERLINK(Table65[[#This Row],[Column1]])</f>
        <v/>
      </c>
    </row>
    <row r="173" ht="45" customHeight="1" s="290">
      <c r="A173" s="30" t="n"/>
      <c r="B173" s="30" t="n"/>
      <c r="C173" s="30" t="n"/>
      <c r="D173" s="324" t="n"/>
      <c r="E173" s="53" t="n"/>
      <c r="F173" s="53" t="n"/>
      <c r="G173" s="55" t="n"/>
      <c r="H173" s="57" t="n"/>
      <c r="I173" s="55" t="n"/>
      <c r="J173" s="56" t="n"/>
      <c r="K173" s="56" t="n"/>
      <c r="L173" s="34">
        <f>HYPERLINK(Table65[[#This Row],[Column1]])</f>
        <v/>
      </c>
    </row>
    <row r="174" ht="45" customHeight="1" s="290">
      <c r="A174" s="30" t="n"/>
      <c r="B174" s="30" t="n"/>
      <c r="C174" s="30" t="n"/>
      <c r="D174" s="324" t="n"/>
      <c r="E174" s="53" t="n"/>
      <c r="F174" s="53" t="n"/>
      <c r="G174" s="55" t="n"/>
      <c r="H174" s="57" t="n"/>
      <c r="I174" s="55" t="n"/>
      <c r="J174" s="56" t="n"/>
      <c r="K174" s="56" t="n"/>
      <c r="L174" s="34">
        <f>HYPERLINK(Table65[[#This Row],[Column1]])</f>
        <v/>
      </c>
    </row>
    <row r="175" ht="45" customHeight="1" s="290">
      <c r="A175" s="30" t="n"/>
      <c r="B175" s="30" t="n"/>
      <c r="C175" s="30" t="n"/>
      <c r="D175" s="324" t="n"/>
      <c r="E175" s="53" t="n"/>
      <c r="F175" s="53" t="n"/>
      <c r="G175" s="55" t="n"/>
      <c r="H175" s="57" t="n"/>
      <c r="I175" s="55" t="n"/>
      <c r="J175" s="56" t="n"/>
      <c r="K175" s="56" t="n"/>
      <c r="L175" s="34">
        <f>HYPERLINK(Table65[[#This Row],[Column1]])</f>
        <v/>
      </c>
    </row>
    <row r="176" ht="60" customHeight="1" s="290">
      <c r="A176" s="30" t="n"/>
      <c r="B176" s="30" t="n"/>
      <c r="C176" s="30" t="n"/>
      <c r="D176" s="324" t="n"/>
      <c r="E176" s="53" t="n"/>
      <c r="F176" s="53" t="n"/>
      <c r="G176" s="55" t="n"/>
      <c r="H176" s="57" t="n"/>
      <c r="I176" s="55" t="n"/>
      <c r="J176" s="56" t="n"/>
      <c r="K176" s="56" t="n"/>
      <c r="L176" s="34">
        <f>HYPERLINK(Table65[[#This Row],[Column1]])</f>
        <v/>
      </c>
    </row>
    <row r="177" ht="45" customHeight="1" s="290">
      <c r="A177" s="30" t="n"/>
      <c r="B177" s="30" t="n"/>
      <c r="C177" s="30" t="n"/>
      <c r="D177" s="324" t="n"/>
      <c r="E177" s="53" t="n"/>
      <c r="F177" s="53" t="n"/>
      <c r="G177" s="55" t="n"/>
      <c r="H177" s="57" t="n"/>
      <c r="I177" s="55" t="n"/>
      <c r="J177" s="56" t="n"/>
      <c r="K177" s="56" t="n"/>
      <c r="L177" s="34">
        <f>HYPERLINK(Table65[[#This Row],[Column1]])</f>
        <v/>
      </c>
    </row>
    <row r="178" ht="45" customHeight="1" s="290">
      <c r="A178" s="30" t="n"/>
      <c r="B178" s="30" t="n"/>
      <c r="C178" s="30" t="n"/>
      <c r="D178" s="324" t="n"/>
      <c r="E178" s="53" t="n"/>
      <c r="F178" s="53" t="n"/>
      <c r="G178" s="55" t="n"/>
      <c r="H178" s="57" t="n"/>
      <c r="I178" s="55" t="n"/>
      <c r="J178" s="56" t="n"/>
      <c r="K178" s="56" t="n"/>
      <c r="L178" s="34">
        <f>HYPERLINK(Table65[[#This Row],[Column1]])</f>
        <v/>
      </c>
    </row>
    <row r="179" ht="30" customHeight="1" s="290">
      <c r="A179" s="30" t="n"/>
      <c r="B179" s="30" t="n"/>
      <c r="C179" s="30" t="n"/>
      <c r="D179" s="324" t="n"/>
      <c r="E179" s="53" t="n"/>
      <c r="F179" s="53" t="n"/>
      <c r="G179" s="55" t="n"/>
      <c r="H179" s="57" t="n"/>
      <c r="I179" s="55" t="n"/>
      <c r="J179" s="56" t="n"/>
      <c r="K179" s="56" t="n"/>
      <c r="L179" s="34">
        <f>HYPERLINK(Table65[[#This Row],[Column1]])</f>
        <v/>
      </c>
    </row>
    <row r="180" ht="45" customHeight="1" s="290">
      <c r="A180" s="30" t="n"/>
      <c r="B180" s="30" t="n"/>
      <c r="C180" s="30" t="n"/>
      <c r="D180" s="324" t="n"/>
      <c r="E180" s="53" t="n"/>
      <c r="F180" s="53" t="n"/>
      <c r="G180" s="55" t="n"/>
      <c r="H180" s="57" t="n"/>
      <c r="I180" s="55" t="n"/>
      <c r="J180" s="56" t="n"/>
      <c r="K180" s="56" t="n"/>
      <c r="L180" s="34">
        <f>HYPERLINK(Table65[[#This Row],[Column1]])</f>
        <v/>
      </c>
    </row>
    <row r="181" ht="45" customHeight="1" s="290">
      <c r="A181" s="30" t="n"/>
      <c r="B181" s="30" t="n"/>
      <c r="C181" s="30" t="n"/>
      <c r="D181" s="324" t="n"/>
      <c r="E181" s="53" t="n"/>
      <c r="F181" s="53" t="n"/>
      <c r="G181" s="55" t="n"/>
      <c r="H181" s="57" t="n"/>
      <c r="I181" s="55" t="n"/>
      <c r="J181" s="56" t="n"/>
      <c r="K181" s="56" t="n"/>
      <c r="L181" s="34">
        <f>HYPERLINK(Table65[[#This Row],[Column1]])</f>
        <v/>
      </c>
    </row>
    <row r="182" ht="45" customHeight="1" s="290">
      <c r="A182" s="30" t="n"/>
      <c r="B182" s="30" t="n"/>
      <c r="C182" s="30" t="n"/>
      <c r="D182" s="324" t="n"/>
      <c r="E182" s="53" t="n"/>
      <c r="F182" s="53" t="n"/>
      <c r="G182" s="55" t="n"/>
      <c r="H182" s="57" t="n"/>
      <c r="I182" s="55" t="n"/>
      <c r="J182" s="56" t="n"/>
      <c r="K182" s="56" t="n"/>
      <c r="L182" s="34">
        <f>HYPERLINK(Table65[[#This Row],[Column1]])</f>
        <v/>
      </c>
    </row>
    <row r="183" ht="45" customHeight="1" s="290">
      <c r="A183" s="30" t="n"/>
      <c r="B183" s="30" t="n"/>
      <c r="C183" s="30" t="n"/>
      <c r="D183" s="324" t="n"/>
      <c r="E183" s="53" t="n"/>
      <c r="F183" s="53" t="n"/>
      <c r="G183" s="55" t="n"/>
      <c r="H183" s="57" t="n"/>
      <c r="I183" s="55" t="n"/>
      <c r="J183" s="56" t="n"/>
      <c r="K183" s="56" t="n"/>
      <c r="L183" s="34">
        <f>HYPERLINK(Table65[[#This Row],[Column1]])</f>
        <v/>
      </c>
    </row>
    <row r="184" ht="45" customHeight="1" s="290">
      <c r="A184" s="30" t="n"/>
      <c r="B184" s="30" t="n"/>
      <c r="C184" s="30" t="n"/>
      <c r="D184" s="324" t="n"/>
      <c r="E184" s="53" t="n"/>
      <c r="F184" s="53" t="n"/>
      <c r="G184" s="55" t="n"/>
      <c r="H184" s="57" t="n"/>
      <c r="I184" s="55" t="n"/>
      <c r="J184" s="56" t="n"/>
      <c r="K184" s="56" t="n"/>
      <c r="L184" s="34">
        <f>HYPERLINK(Table65[[#This Row],[Column1]])</f>
        <v/>
      </c>
    </row>
    <row r="185" ht="45" customHeight="1" s="290">
      <c r="A185" s="30" t="n"/>
      <c r="B185" s="30" t="n"/>
      <c r="C185" s="30" t="n"/>
      <c r="D185" s="324" t="n"/>
      <c r="E185" s="53" t="n"/>
      <c r="F185" s="53" t="n"/>
      <c r="G185" s="55" t="n"/>
      <c r="H185" s="57" t="n"/>
      <c r="I185" s="55" t="n"/>
      <c r="J185" s="56" t="n"/>
      <c r="K185" s="56" t="n"/>
      <c r="L185" s="34">
        <f>HYPERLINK(Table65[[#This Row],[Column1]])</f>
        <v/>
      </c>
    </row>
    <row r="186" ht="60" customHeight="1" s="290">
      <c r="A186" s="30" t="n"/>
      <c r="B186" s="30" t="n"/>
      <c r="C186" s="30" t="n"/>
      <c r="D186" s="324" t="n"/>
      <c r="E186" s="53" t="n"/>
      <c r="F186" s="53" t="n"/>
      <c r="G186" s="55" t="n"/>
      <c r="H186" s="57" t="n"/>
      <c r="I186" s="55" t="n"/>
      <c r="J186" s="56" t="n"/>
      <c r="K186" s="56" t="n"/>
      <c r="L186" s="34">
        <f>HYPERLINK(Table65[[#This Row],[Column1]])</f>
        <v/>
      </c>
    </row>
    <row r="187" ht="45" customHeight="1" s="290">
      <c r="A187" s="30" t="n"/>
      <c r="B187" s="30" t="n"/>
      <c r="C187" s="30" t="n"/>
      <c r="D187" s="324" t="n"/>
      <c r="E187" s="53" t="n"/>
      <c r="F187" s="53" t="n"/>
      <c r="G187" s="55" t="n"/>
      <c r="H187" s="57" t="n"/>
      <c r="I187" s="55" t="n"/>
      <c r="J187" s="56" t="n"/>
      <c r="K187" s="56" t="n"/>
      <c r="L187" s="34">
        <f>HYPERLINK(Table65[[#This Row],[Column1]])</f>
        <v/>
      </c>
    </row>
    <row r="188" ht="45" customHeight="1" s="290">
      <c r="A188" s="30" t="n"/>
      <c r="B188" s="30" t="n"/>
      <c r="C188" s="30" t="n"/>
      <c r="D188" s="324" t="n"/>
      <c r="E188" s="53" t="n"/>
      <c r="F188" s="53" t="n"/>
      <c r="G188" s="55" t="n"/>
      <c r="H188" s="57" t="n"/>
      <c r="I188" s="55" t="n"/>
      <c r="J188" s="56" t="n"/>
      <c r="K188" s="56" t="n"/>
      <c r="L188" s="34">
        <f>HYPERLINK(Table65[[#This Row],[Column1]])</f>
        <v/>
      </c>
    </row>
    <row r="189" ht="45" customHeight="1" s="290">
      <c r="A189" s="30" t="n"/>
      <c r="B189" s="30" t="n"/>
      <c r="C189" s="30" t="n"/>
      <c r="D189" s="324" t="n"/>
      <c r="E189" s="53" t="n"/>
      <c r="F189" s="53" t="n"/>
      <c r="G189" s="55" t="n"/>
      <c r="H189" s="57" t="n"/>
      <c r="I189" s="55" t="n"/>
      <c r="J189" s="56" t="n"/>
      <c r="K189" s="56" t="n"/>
      <c r="L189" s="34">
        <f>HYPERLINK(Table65[[#This Row],[Column1]])</f>
        <v/>
      </c>
    </row>
    <row r="190" ht="60" customHeight="1" s="290">
      <c r="A190" s="30" t="n"/>
      <c r="B190" s="30" t="n"/>
      <c r="C190" s="30" t="n"/>
      <c r="D190" s="324" t="n"/>
      <c r="E190" s="53" t="n"/>
      <c r="F190" s="53" t="n"/>
      <c r="G190" s="55" t="n"/>
      <c r="H190" s="57" t="n"/>
      <c r="I190" s="55" t="n"/>
      <c r="J190" s="56" t="n"/>
      <c r="K190" s="56" t="n"/>
      <c r="L190" s="34">
        <f>HYPERLINK(Table65[[#This Row],[Column1]])</f>
        <v/>
      </c>
    </row>
    <row r="191" ht="45" customHeight="1" s="290">
      <c r="A191" s="30" t="n"/>
      <c r="B191" s="30" t="n"/>
      <c r="C191" s="30" t="n"/>
      <c r="D191" s="324" t="n"/>
      <c r="E191" s="53" t="n"/>
      <c r="F191" s="53" t="n"/>
      <c r="G191" s="55" t="n"/>
      <c r="H191" s="57" t="n"/>
      <c r="I191" s="55" t="n"/>
      <c r="J191" s="56" t="n"/>
      <c r="K191" s="56" t="n"/>
      <c r="L191" s="34">
        <f>HYPERLINK(Table65[[#This Row],[Column1]])</f>
        <v/>
      </c>
    </row>
    <row r="192" ht="45" customHeight="1" s="290">
      <c r="A192" s="30" t="n"/>
      <c r="B192" s="30" t="n"/>
      <c r="C192" s="30" t="n"/>
      <c r="D192" s="324" t="n"/>
      <c r="E192" s="53" t="n"/>
      <c r="F192" s="53" t="n"/>
      <c r="G192" s="55" t="n"/>
      <c r="H192" s="57" t="n"/>
      <c r="I192" s="55" t="n"/>
      <c r="J192" s="56" t="n"/>
      <c r="K192" s="56" t="n"/>
      <c r="L192" s="34">
        <f>HYPERLINK(Table65[[#This Row],[Column1]])</f>
        <v/>
      </c>
    </row>
    <row r="193" ht="60" customHeight="1" s="290">
      <c r="A193" s="30" t="n"/>
      <c r="B193" s="30" t="n"/>
      <c r="C193" s="30" t="n"/>
      <c r="D193" s="324" t="n"/>
      <c r="E193" s="53" t="n"/>
      <c r="F193" s="53" t="n"/>
      <c r="G193" s="55" t="n"/>
      <c r="H193" s="57" t="n"/>
      <c r="I193" s="55" t="n"/>
      <c r="J193" s="56" t="n"/>
      <c r="K193" s="56" t="n"/>
      <c r="L193" s="34">
        <f>HYPERLINK(Table65[[#This Row],[Column1]])</f>
        <v/>
      </c>
    </row>
    <row r="194" ht="45" customHeight="1" s="290">
      <c r="A194" s="30" t="n"/>
      <c r="B194" s="30" t="n"/>
      <c r="C194" s="30" t="n"/>
      <c r="D194" s="324" t="n"/>
      <c r="E194" s="53" t="n"/>
      <c r="F194" s="53" t="n"/>
      <c r="G194" s="55" t="n"/>
      <c r="H194" s="57" t="n"/>
      <c r="I194" s="55" t="n"/>
      <c r="J194" s="56" t="n"/>
      <c r="K194" s="56" t="n"/>
      <c r="L194" s="34">
        <f>HYPERLINK(Table65[[#This Row],[Column1]])</f>
        <v/>
      </c>
    </row>
    <row r="195" ht="45" customHeight="1" s="290">
      <c r="A195" s="30" t="n"/>
      <c r="B195" s="30" t="n"/>
      <c r="C195" s="30" t="n"/>
      <c r="D195" s="324" t="n"/>
      <c r="E195" s="53" t="n"/>
      <c r="F195" s="53" t="n"/>
      <c r="G195" s="55" t="n"/>
      <c r="H195" s="57" t="n"/>
      <c r="I195" s="55" t="n"/>
      <c r="J195" s="56" t="n"/>
      <c r="K195" s="56" t="n"/>
      <c r="L195" s="34">
        <f>HYPERLINK(Table65[[#This Row],[Column1]])</f>
        <v/>
      </c>
    </row>
    <row r="196" ht="45" customHeight="1" s="290">
      <c r="A196" s="30" t="n"/>
      <c r="B196" s="30" t="n"/>
      <c r="C196" s="30" t="n"/>
      <c r="D196" s="324" t="n"/>
      <c r="E196" s="53" t="n"/>
      <c r="F196" s="53" t="n"/>
      <c r="G196" s="55" t="n"/>
      <c r="H196" s="57" t="n"/>
      <c r="I196" s="55" t="n"/>
      <c r="J196" s="56" t="n"/>
      <c r="K196" s="56" t="n"/>
      <c r="L196" s="34">
        <f>HYPERLINK(Table65[[#This Row],[Column1]])</f>
        <v/>
      </c>
    </row>
    <row r="197" ht="45" customHeight="1" s="290">
      <c r="A197" s="30" t="n"/>
      <c r="B197" s="30" t="n"/>
      <c r="C197" s="30" t="n"/>
      <c r="D197" s="324" t="n"/>
      <c r="E197" s="53" t="n"/>
      <c r="F197" s="53" t="n"/>
      <c r="G197" s="55" t="n"/>
      <c r="H197" s="57" t="n"/>
      <c r="I197" s="55" t="n"/>
      <c r="J197" s="56" t="n"/>
      <c r="K197" s="56" t="n"/>
      <c r="L197" s="34">
        <f>HYPERLINK(Table65[[#This Row],[Column1]])</f>
        <v/>
      </c>
    </row>
    <row r="198" ht="45" customHeight="1" s="290">
      <c r="A198" s="30" t="n"/>
      <c r="B198" s="30" t="n"/>
      <c r="C198" s="30" t="n"/>
      <c r="D198" s="324" t="n"/>
      <c r="E198" s="53" t="n"/>
      <c r="F198" s="53" t="n"/>
      <c r="G198" s="55" t="n"/>
      <c r="H198" s="57" t="n"/>
      <c r="I198" s="55" t="n"/>
      <c r="J198" s="56" t="n"/>
      <c r="K198" s="56" t="n"/>
      <c r="L198" s="34">
        <f>HYPERLINK(Table65[[#This Row],[Column1]])</f>
        <v/>
      </c>
    </row>
    <row r="199" ht="45" customHeight="1" s="290">
      <c r="A199" s="30" t="n"/>
      <c r="B199" s="30" t="n"/>
      <c r="C199" s="30" t="n"/>
      <c r="D199" s="324" t="n"/>
      <c r="E199" s="53" t="n"/>
      <c r="F199" s="53" t="n"/>
      <c r="G199" s="55" t="n"/>
      <c r="H199" s="57" t="n"/>
      <c r="I199" s="55" t="n"/>
      <c r="J199" s="56" t="n"/>
      <c r="K199" s="56" t="n"/>
      <c r="L199" s="34">
        <f>HYPERLINK(Table65[[#This Row],[Column1]])</f>
        <v/>
      </c>
    </row>
    <row r="200" ht="45" customHeight="1" s="290">
      <c r="A200" s="30" t="n"/>
      <c r="B200" s="30" t="n"/>
      <c r="C200" s="30" t="n"/>
      <c r="D200" s="324" t="n"/>
      <c r="E200" s="53" t="n"/>
      <c r="F200" s="53" t="n"/>
      <c r="G200" s="55" t="n"/>
      <c r="H200" s="57" t="n"/>
      <c r="I200" s="55" t="n"/>
      <c r="J200" s="56" t="n"/>
      <c r="K200" s="56" t="n"/>
      <c r="L200" s="34">
        <f>HYPERLINK(Table65[[#This Row],[Column1]])</f>
        <v/>
      </c>
    </row>
    <row r="201" ht="45" customHeight="1" s="290">
      <c r="A201" s="30" t="n"/>
      <c r="B201" s="30" t="n"/>
      <c r="C201" s="30" t="n"/>
      <c r="D201" s="324" t="n"/>
      <c r="E201" s="53" t="n"/>
      <c r="F201" s="53" t="n"/>
      <c r="G201" s="55" t="n"/>
      <c r="H201" s="57" t="n"/>
      <c r="I201" s="55" t="n"/>
      <c r="J201" s="56" t="n"/>
      <c r="K201" s="56" t="n"/>
      <c r="L201" s="34">
        <f>HYPERLINK(Table65[[#This Row],[Column1]])</f>
        <v/>
      </c>
    </row>
    <row r="202" ht="45" customHeight="1" s="290">
      <c r="A202" s="30" t="n"/>
      <c r="B202" s="30" t="n"/>
      <c r="C202" s="30" t="n"/>
      <c r="D202" s="324" t="n"/>
      <c r="E202" s="53" t="n"/>
      <c r="F202" s="53" t="n"/>
      <c r="G202" s="55" t="n"/>
      <c r="H202" s="57" t="n"/>
      <c r="I202" s="55" t="n"/>
      <c r="J202" s="56" t="n"/>
      <c r="K202" s="56" t="n"/>
      <c r="L202" s="34">
        <f>HYPERLINK(Table65[[#This Row],[Column1]])</f>
        <v/>
      </c>
    </row>
    <row r="203" ht="45" customHeight="1" s="290">
      <c r="A203" s="30" t="n"/>
      <c r="B203" s="30" t="n"/>
      <c r="C203" s="30" t="n"/>
      <c r="D203" s="324" t="n"/>
      <c r="E203" s="53" t="n"/>
      <c r="F203" s="53" t="n"/>
      <c r="G203" s="55" t="n"/>
      <c r="H203" s="57" t="n"/>
      <c r="I203" s="55" t="n"/>
      <c r="J203" s="56" t="n"/>
      <c r="K203" s="56" t="n"/>
      <c r="L203" s="34">
        <f>HYPERLINK(Table65[[#This Row],[Column1]])</f>
        <v/>
      </c>
    </row>
    <row r="204" ht="17" customHeight="1" s="290">
      <c r="A204" s="30" t="n"/>
      <c r="B204" s="30" t="n"/>
      <c r="C204" s="30" t="n"/>
      <c r="D204" s="324" t="n"/>
      <c r="E204" s="53" t="n"/>
      <c r="F204" s="53" t="n"/>
      <c r="G204" s="55" t="n"/>
      <c r="H204" s="57" t="n"/>
      <c r="I204" s="55" t="n"/>
      <c r="J204" s="56" t="n"/>
      <c r="K204" s="56" t="n"/>
      <c r="L204" s="34">
        <f>HYPERLINK(Table65[[#This Row],[Column1]])</f>
        <v/>
      </c>
    </row>
    <row r="205" ht="30" customHeight="1" s="290">
      <c r="A205" s="30" t="n"/>
      <c r="B205" s="30" t="n"/>
      <c r="C205" s="30" t="n"/>
      <c r="D205" s="324" t="n"/>
      <c r="E205" s="53" t="n"/>
      <c r="F205" s="53" t="n"/>
      <c r="G205" s="55" t="n"/>
      <c r="H205" s="57" t="n"/>
      <c r="I205" s="55" t="n"/>
      <c r="J205" s="56" t="n"/>
      <c r="K205" s="56" t="n"/>
      <c r="L205" s="34">
        <f>HYPERLINK(Table65[[#This Row],[Column1]])</f>
        <v/>
      </c>
    </row>
    <row r="206" ht="45" customHeight="1" s="290">
      <c r="A206" s="30" t="n"/>
      <c r="B206" s="30" t="n"/>
      <c r="C206" s="30" t="n"/>
      <c r="D206" s="324" t="n"/>
      <c r="E206" s="53" t="n"/>
      <c r="F206" s="53" t="n"/>
      <c r="G206" s="55" t="n"/>
      <c r="H206" s="57" t="n"/>
      <c r="I206" s="55" t="n"/>
      <c r="J206" s="56" t="n"/>
      <c r="K206" s="56" t="n"/>
      <c r="L206" s="34">
        <f>HYPERLINK(Table65[[#This Row],[Column1]])</f>
        <v/>
      </c>
    </row>
    <row r="207" ht="45" customHeight="1" s="290">
      <c r="A207" s="30" t="n"/>
      <c r="B207" s="30" t="n"/>
      <c r="C207" s="30" t="n"/>
      <c r="D207" s="324" t="n"/>
      <c r="E207" s="53" t="n"/>
      <c r="F207" s="53" t="n"/>
      <c r="G207" s="55" t="n"/>
      <c r="H207" s="57" t="n"/>
      <c r="I207" s="55" t="n"/>
      <c r="J207" s="56" t="n"/>
      <c r="K207" s="56" t="n"/>
      <c r="L207" s="34">
        <f>HYPERLINK(Table65[[#This Row],[Column1]])</f>
        <v/>
      </c>
    </row>
    <row r="208" ht="17" customHeight="1" s="290">
      <c r="A208" s="33" t="inlineStr">
        <is>
          <t>Total</t>
        </is>
      </c>
      <c r="B208" s="32" t="n"/>
      <c r="C208" s="325" t="n"/>
      <c r="D208" s="59" t="n"/>
      <c r="E208" s="32" t="n"/>
      <c r="F208" s="32" t="n"/>
      <c r="G208" s="36">
        <f>SUM(G133:G207)</f>
        <v/>
      </c>
      <c r="H208" s="36">
        <f>SUM(H133:H207)</f>
        <v/>
      </c>
      <c r="I208" s="36" t="n"/>
      <c r="J208" s="167" t="n"/>
      <c r="K208" s="168" t="n"/>
      <c r="L208" s="32" t="n"/>
    </row>
  </sheetData>
  <mergeCells count="3">
    <mergeCell ref="A1:M5"/>
    <mergeCell ref="A131:L131"/>
    <mergeCell ref="A51:L51"/>
  </mergeCells>
  <pageMargins left="0.7" right="0.7" top="0.75" bottom="0.75" header="0.3" footer="0.3"/>
  <drawing xmlns:r="http://schemas.openxmlformats.org/officeDocument/2006/relationships" r:id="rId1"/>
  <tableParts count="2">
    <tablePart xmlns:r="http://schemas.openxmlformats.org/officeDocument/2006/relationships" r:id="rId2"/>
    <tablePart xmlns:r="http://schemas.openxmlformats.org/officeDocument/2006/relationships" r:id="rId3"/>
  </tableParts>
</worksheet>
</file>

<file path=xl/worksheets/sheet22.xml><?xml version="1.0" encoding="utf-8"?>
<worksheet xmlns="http://schemas.openxmlformats.org/spreadsheetml/2006/main">
  <sheetPr codeName="Sheet6">
    <outlinePr summaryBelow="1" summaryRight="1"/>
    <pageSetUpPr/>
  </sheetPr>
  <dimension ref="A1:Q208"/>
  <sheetViews>
    <sheetView workbookViewId="0">
      <selection activeCell="A1" sqref="A1"/>
    </sheetView>
  </sheetViews>
  <sheetFormatPr baseColWidth="10" defaultColWidth="10.83203125" defaultRowHeight="16"/>
  <cols>
    <col width="50.6640625" customWidth="1" style="284" min="1" max="1"/>
    <col width="12.6640625" customWidth="1" style="284" min="2" max="2"/>
    <col width="12.6640625" customWidth="1" style="320" min="3" max="3"/>
    <col width="11.1640625" customWidth="1" style="296" min="4" max="4"/>
    <col width="24.83203125" bestFit="1" customWidth="1" style="284" min="5" max="5"/>
    <col width="17.6640625" bestFit="1" customWidth="1" style="286" min="6" max="6"/>
    <col width="21.6640625" bestFit="1" customWidth="1" style="286" min="7" max="7"/>
    <col width="19.1640625" bestFit="1" customWidth="1" style="286" min="8" max="8"/>
    <col width="13.5" bestFit="1" customWidth="1" style="287" min="9" max="9"/>
    <col width="13" bestFit="1" customWidth="1" style="284" min="10" max="10"/>
    <col hidden="1" width="29" customWidth="1" style="284" min="11" max="11"/>
    <col width="35.6640625" customWidth="1" style="284" min="12" max="12"/>
    <col width="15.6640625" customWidth="1" style="284" min="13" max="13"/>
    <col width="10.83203125" customWidth="1" style="284" min="14" max="16384"/>
  </cols>
  <sheetData>
    <row r="1">
      <c r="A1" s="282" t="inlineStr">
        <is>
          <t>Innova 3p Monthly Summary</t>
        </is>
      </c>
    </row>
    <row r="2"/>
    <row r="3"/>
    <row r="4"/>
    <row r="5"/>
    <row r="6">
      <c r="A6" s="29" t="n"/>
      <c r="B6" s="29" t="n"/>
      <c r="C6" s="321" t="n"/>
      <c r="D6" s="47" t="n"/>
      <c r="E6" s="48" t="n"/>
      <c r="F6" s="48" t="n"/>
      <c r="G6" s="48" t="n"/>
      <c r="H6" s="48" t="n"/>
      <c r="I6" s="49" t="n"/>
      <c r="J6" s="50" t="n"/>
    </row>
    <row r="7" ht="32" customHeight="1" s="290">
      <c r="A7" s="80" t="n"/>
      <c r="B7" s="81" t="inlineStr">
        <is>
          <t>Avg Price</t>
        </is>
      </c>
      <c r="C7" s="81" t="inlineStr">
        <is>
          <t>Avg Price MoM</t>
        </is>
      </c>
      <c r="D7" s="82" t="inlineStr">
        <is>
          <t>Avg Price YoY</t>
        </is>
      </c>
      <c r="E7" s="81" t="inlineStr">
        <is>
          <t>Quantity/Mo</t>
        </is>
      </c>
      <c r="F7" s="84" t="inlineStr">
        <is>
          <t>Qty by %</t>
        </is>
      </c>
      <c r="G7" s="84" t="inlineStr">
        <is>
          <t>Qty MoM</t>
        </is>
      </c>
      <c r="H7" s="82" t="inlineStr">
        <is>
          <t>Qty YoY</t>
        </is>
      </c>
      <c r="I7" s="309" t="inlineStr">
        <is>
          <t>Revenue/Mo</t>
        </is>
      </c>
      <c r="J7" s="126" t="inlineStr">
        <is>
          <t>Revenue by %</t>
        </is>
      </c>
      <c r="K7" s="173" t="n"/>
      <c r="L7" s="126" t="inlineStr">
        <is>
          <t>Revenue MoM</t>
        </is>
      </c>
      <c r="M7" s="310" t="inlineStr">
        <is>
          <t>Revenue YoY</t>
        </is>
      </c>
      <c r="N7" s="286" t="n"/>
      <c r="O7" s="286" t="n"/>
      <c r="P7" s="49" t="n"/>
      <c r="Q7" s="50" t="n"/>
    </row>
    <row r="8">
      <c r="A8" s="93" t="inlineStr">
        <is>
          <t>Tablet $800+</t>
        </is>
      </c>
      <c r="B8" s="298" t="n"/>
      <c r="C8" s="270" t="n"/>
      <c r="D8" s="271" t="n"/>
      <c r="E8" s="269" t="n">
        <v>0</v>
      </c>
      <c r="F8" s="270" t="n">
        <v>0</v>
      </c>
      <c r="G8" s="270" t="n"/>
      <c r="H8" s="271" t="n"/>
      <c r="I8" s="95" t="n">
        <v>0</v>
      </c>
      <c r="J8" s="128" t="n">
        <v>0</v>
      </c>
      <c r="L8" s="169" t="n"/>
      <c r="M8" s="169" t="n"/>
      <c r="N8" s="286" t="n"/>
      <c r="O8" s="286" t="n"/>
      <c r="P8" s="49" t="n"/>
      <c r="Q8" s="50" t="n"/>
    </row>
    <row r="9">
      <c r="A9" s="93" t="inlineStr">
        <is>
          <t>Tablet $400-$800</t>
        </is>
      </c>
      <c r="B9" s="298" t="n"/>
      <c r="C9" s="270" t="n"/>
      <c r="D9" s="271" t="n"/>
      <c r="E9" s="269" t="n">
        <v>0</v>
      </c>
      <c r="F9" s="270" t="n">
        <v>0</v>
      </c>
      <c r="G9" s="270" t="n"/>
      <c r="H9" s="271" t="n"/>
      <c r="I9" s="95" t="n">
        <v>0</v>
      </c>
      <c r="J9" s="128" t="n">
        <v>0</v>
      </c>
      <c r="L9" s="169" t="n"/>
      <c r="M9" s="169" t="n"/>
      <c r="N9" s="286" t="n"/>
      <c r="O9" s="286" t="n"/>
      <c r="P9" s="49" t="n"/>
      <c r="Q9" s="50" t="n"/>
    </row>
    <row r="10">
      <c r="A10" s="96" t="inlineStr">
        <is>
          <t>Tablet $400-</t>
        </is>
      </c>
      <c r="B10" s="299" t="n">
        <v>163.9359672131148</v>
      </c>
      <c r="C10" s="274" t="n">
        <v>0.07465106468302607</v>
      </c>
      <c r="D10" s="275" t="n"/>
      <c r="E10" s="273" t="n">
        <v>305</v>
      </c>
      <c r="F10" s="274" t="n">
        <v>0.03356073943661972</v>
      </c>
      <c r="G10" s="274" t="n">
        <v>-0.6573033707865168</v>
      </c>
      <c r="H10" s="275" t="n">
        <v>6.261904761904762</v>
      </c>
      <c r="I10" s="98" t="n">
        <v>50000.47</v>
      </c>
      <c r="J10" s="127" t="n">
        <v>0.02940104691439795</v>
      </c>
      <c r="L10" s="171" t="n">
        <v>-0.6317207025524461</v>
      </c>
      <c r="M10" s="171" t="n"/>
      <c r="N10" s="286" t="n"/>
      <c r="O10" s="286" t="n"/>
      <c r="P10" s="49" t="n"/>
      <c r="Q10" s="50" t="n"/>
    </row>
    <row r="11">
      <c r="A11" s="101" t="inlineStr">
        <is>
          <t>Total Tablet</t>
        </is>
      </c>
      <c r="B11" s="300" t="n">
        <v>163.9359672131148</v>
      </c>
      <c r="C11" s="112" t="n">
        <v>0.07465106468302607</v>
      </c>
      <c r="D11" s="104" t="n"/>
      <c r="E11" s="116" t="n">
        <v>305</v>
      </c>
      <c r="F11" s="112" t="n">
        <v>0.03356073943661972</v>
      </c>
      <c r="G11" s="112" t="n">
        <v>-0.6573033707865168</v>
      </c>
      <c r="H11" s="104" t="n">
        <v>6.261904761904762</v>
      </c>
      <c r="I11" s="103" t="n">
        <v>50000.47</v>
      </c>
      <c r="J11" s="129" t="n">
        <v>0.02940104691439795</v>
      </c>
      <c r="L11" s="170" t="n">
        <v>-0.6317207025524461</v>
      </c>
      <c r="M11" s="170" t="n"/>
      <c r="N11" s="286" t="n"/>
      <c r="O11" s="286" t="n"/>
      <c r="P11" s="49" t="n"/>
      <c r="Q11" s="50" t="n"/>
    </row>
    <row r="12">
      <c r="A12" s="93" t="inlineStr">
        <is>
          <t>Handheld $75+</t>
        </is>
      </c>
      <c r="B12" s="298" t="n">
        <v>204.4019555035129</v>
      </c>
      <c r="C12" s="270" t="n">
        <v>-0.03568202890284411</v>
      </c>
      <c r="D12" s="271" t="n">
        <v>-0.114150777277919</v>
      </c>
      <c r="E12" s="269" t="n">
        <v>7686</v>
      </c>
      <c r="F12" s="270" t="n">
        <v>0.8457306338028169</v>
      </c>
      <c r="G12" s="270" t="n">
        <v>-0.03259911894273126</v>
      </c>
      <c r="H12" s="271" t="n">
        <v>1.531620553359684</v>
      </c>
      <c r="I12" s="95" t="n">
        <v>1571033.43</v>
      </c>
      <c r="J12" s="128" t="n">
        <v>0.9237918679467919</v>
      </c>
      <c r="L12" s="169" t="n">
        <v>-0.06711794514125369</v>
      </c>
      <c r="M12" s="169" t="n">
        <v>1.24263409942092</v>
      </c>
      <c r="N12" s="286" t="n"/>
      <c r="O12" s="286" t="n"/>
      <c r="P12" s="49" t="n"/>
      <c r="Q12" s="50" t="n"/>
    </row>
    <row r="13">
      <c r="A13" s="96" t="inlineStr">
        <is>
          <t>Handheld $75-</t>
        </is>
      </c>
      <c r="B13" s="299" t="n">
        <v>65.6375</v>
      </c>
      <c r="C13" s="274" t="n">
        <v>-0.006669901097629327</v>
      </c>
      <c r="D13" s="275" t="n">
        <v>0.001871054271208594</v>
      </c>
      <c r="E13" s="273" t="n">
        <v>84</v>
      </c>
      <c r="F13" s="274" t="n">
        <v>0.009242957746478873</v>
      </c>
      <c r="G13" s="274" t="n">
        <v>-0.5058823529411764</v>
      </c>
      <c r="H13" s="275" t="n">
        <v>-0.540983606557377</v>
      </c>
      <c r="I13" s="98" t="n">
        <v>5513.55</v>
      </c>
      <c r="J13" s="127" t="n">
        <v>0.003242052369005308</v>
      </c>
      <c r="L13" s="171" t="n">
        <v>-0.5091780687776521</v>
      </c>
      <c r="M13" s="171" t="n">
        <v>-0.5401247619738715</v>
      </c>
      <c r="N13" s="286" t="n"/>
      <c r="O13" s="286" t="n"/>
      <c r="P13" s="49" t="n"/>
      <c r="Q13" s="50" t="n"/>
    </row>
    <row r="14">
      <c r="A14" s="101" t="inlineStr">
        <is>
          <t>Total Handheld</t>
        </is>
      </c>
      <c r="B14" s="300" t="n">
        <v>202.9017992277992</v>
      </c>
      <c r="C14" s="112" t="n">
        <v>-0.02875575784069195</v>
      </c>
      <c r="D14" s="104" t="n">
        <v>-0.08333632265769952</v>
      </c>
      <c r="E14" s="116" t="n">
        <v>7770</v>
      </c>
      <c r="F14" s="112" t="n">
        <v>0.8549735915492958</v>
      </c>
      <c r="G14" s="112" t="n">
        <v>-0.04251386321626616</v>
      </c>
      <c r="H14" s="104" t="n">
        <v>1.413793103448276</v>
      </c>
      <c r="I14" s="103" t="n">
        <v>1576546.98</v>
      </c>
      <c r="J14" s="129" t="n">
        <v>0.9270339203157972</v>
      </c>
      <c r="L14" s="170" t="n">
        <v>-0.07004710270143888</v>
      </c>
      <c r="M14" s="170" t="n">
        <v>1.21263646255038</v>
      </c>
      <c r="N14" s="286" t="n"/>
      <c r="O14" s="286" t="n"/>
      <c r="P14" s="49" t="n"/>
      <c r="Q14" s="50" t="n"/>
    </row>
    <row r="15">
      <c r="A15" s="78" t="inlineStr">
        <is>
          <t>Total Dongle</t>
        </is>
      </c>
      <c r="B15" s="301" t="n">
        <v>89.44265232974911</v>
      </c>
      <c r="C15" s="113" t="n">
        <v>0.02345285981556033</v>
      </c>
      <c r="D15" s="107" t="n">
        <v>-0.1055928317551246</v>
      </c>
      <c r="E15" s="99" t="n">
        <v>279</v>
      </c>
      <c r="F15" s="113" t="n">
        <v>0.03069982394366197</v>
      </c>
      <c r="G15" s="113" t="n">
        <v>-0.003571428571428559</v>
      </c>
      <c r="H15" s="107" t="n">
        <v>-0.3644646924829157</v>
      </c>
      <c r="I15" s="76" t="n">
        <v>24954.5</v>
      </c>
      <c r="J15" s="130" t="n">
        <v>0.01467363057237949</v>
      </c>
      <c r="L15" s="174" t="n">
        <v>0.01979767103050456</v>
      </c>
      <c r="M15" s="174" t="n">
        <v>-0.4315726652840086</v>
      </c>
      <c r="N15" s="286" t="n"/>
      <c r="O15" s="286" t="n"/>
      <c r="P15" s="49" t="n"/>
      <c r="Q15" s="50" t="n"/>
    </row>
    <row r="16">
      <c r="A16" s="78" t="inlineStr">
        <is>
          <t>Total Other Tools</t>
        </is>
      </c>
      <c r="B16" s="301" t="n">
        <v>66.93971389645776</v>
      </c>
      <c r="C16" s="113" t="n">
        <v>-0.3214615915974229</v>
      </c>
      <c r="D16" s="107" t="n"/>
      <c r="E16" s="99" t="n">
        <v>734</v>
      </c>
      <c r="F16" s="113" t="n">
        <v>0.08076584507042253</v>
      </c>
      <c r="G16" s="113" t="n">
        <v>28.36</v>
      </c>
      <c r="H16" s="107" t="n"/>
      <c r="I16" s="76" t="n">
        <v>49133.75</v>
      </c>
      <c r="J16" s="130" t="n">
        <v>0.02889140219742535</v>
      </c>
      <c r="L16" s="174" t="n">
        <v>18.92188767069966</v>
      </c>
      <c r="M16" s="174" t="n"/>
      <c r="N16" s="286" t="n"/>
      <c r="O16" s="286" t="n"/>
      <c r="P16" s="49" t="n"/>
      <c r="Q16" s="50" t="n"/>
    </row>
    <row r="17">
      <c r="A17" s="86" t="inlineStr">
        <is>
          <t>Total</t>
        </is>
      </c>
      <c r="B17" s="302" t="n">
        <v>187.1298085387324</v>
      </c>
      <c r="C17" s="109" t="n">
        <v>-0.0623375714764639</v>
      </c>
      <c r="D17" s="108" t="n">
        <v>-0.08466231295137527</v>
      </c>
      <c r="E17" s="100" t="n">
        <v>9088</v>
      </c>
      <c r="F17" s="109" t="n">
        <v>1</v>
      </c>
      <c r="G17" s="109" t="n">
        <v>-0.02384532760472613</v>
      </c>
      <c r="H17" s="108" t="n">
        <v>1.456216216216216</v>
      </c>
      <c r="I17" s="85" t="n">
        <v>1700635.7</v>
      </c>
      <c r="J17" s="109" t="n">
        <v>1</v>
      </c>
      <c r="L17" s="172" t="n">
        <v>-0.08469643926725068</v>
      </c>
      <c r="M17" s="172" t="n">
        <v>1.248267270242676</v>
      </c>
      <c r="N17" s="286" t="n"/>
      <c r="O17" s="286" t="n"/>
      <c r="P17" s="49" t="n"/>
      <c r="Q17" s="50" t="n"/>
    </row>
    <row r="18">
      <c r="A18" s="29" t="n"/>
      <c r="B18" s="29" t="n"/>
      <c r="C18" s="321" t="n"/>
      <c r="D18" s="47" t="n"/>
      <c r="E18" s="48" t="n"/>
      <c r="F18" s="48" t="n"/>
      <c r="G18" s="48" t="n"/>
      <c r="H18" s="48" t="n"/>
      <c r="I18" s="49" t="n"/>
      <c r="J18" s="50" t="n"/>
    </row>
    <row r="19">
      <c r="A19" s="29" t="n"/>
      <c r="B19" s="29" t="n"/>
      <c r="C19" s="321" t="n"/>
      <c r="D19" s="47" t="n"/>
      <c r="E19" s="48" t="n"/>
      <c r="F19" s="48" t="n"/>
      <c r="G19" s="48" t="n"/>
      <c r="H19" s="48" t="n"/>
      <c r="I19" s="49" t="n"/>
      <c r="J19" s="50" t="n"/>
    </row>
    <row r="20">
      <c r="A20" s="29" t="n"/>
      <c r="B20" s="29" t="n"/>
      <c r="C20" s="321" t="n"/>
      <c r="D20" s="47" t="n"/>
      <c r="E20" s="48" t="n"/>
      <c r="F20" s="48" t="n"/>
      <c r="G20" s="48" t="n"/>
      <c r="H20" s="48" t="n"/>
      <c r="I20" s="49" t="n"/>
      <c r="J20" s="50" t="n"/>
    </row>
    <row r="21">
      <c r="A21" s="29" t="n"/>
      <c r="B21" s="29" t="n"/>
      <c r="C21" s="321" t="n"/>
      <c r="D21" s="47" t="n"/>
      <c r="E21" s="48" t="n"/>
      <c r="F21" s="48" t="n"/>
      <c r="G21" s="48" t="n"/>
      <c r="H21" s="48" t="n"/>
      <c r="I21" s="49" t="n"/>
      <c r="J21" s="50" t="n"/>
    </row>
    <row r="22">
      <c r="A22" s="29" t="n"/>
      <c r="B22" s="29" t="n"/>
      <c r="C22" s="321" t="n"/>
      <c r="D22" s="47" t="n"/>
      <c r="E22" s="48" t="n"/>
      <c r="F22" s="48" t="n"/>
      <c r="G22" s="48" t="n"/>
      <c r="H22" s="48" t="n"/>
      <c r="I22" s="49" t="n"/>
      <c r="J22" s="50" t="n"/>
    </row>
    <row r="23">
      <c r="A23" s="29" t="n"/>
      <c r="B23" s="29" t="n"/>
      <c r="C23" s="321" t="n"/>
      <c r="D23" s="47" t="n"/>
      <c r="E23" s="48" t="n"/>
      <c r="F23" s="48" t="n"/>
      <c r="G23" s="48" t="n"/>
      <c r="H23" s="48" t="n"/>
      <c r="I23" s="49" t="n"/>
      <c r="J23" s="50" t="n"/>
    </row>
    <row r="24">
      <c r="A24" s="29" t="n"/>
      <c r="B24" s="29" t="n"/>
      <c r="C24" s="321" t="n"/>
      <c r="D24" s="47" t="n"/>
      <c r="E24" s="48" t="n"/>
      <c r="F24" s="48" t="n"/>
      <c r="G24" s="48" t="n"/>
      <c r="H24" s="48" t="n"/>
      <c r="I24" s="49" t="n"/>
      <c r="J24" s="50" t="n"/>
    </row>
    <row r="25">
      <c r="A25" s="29" t="n"/>
      <c r="B25" s="29" t="n"/>
      <c r="C25" s="321" t="n"/>
      <c r="D25" s="47" t="n"/>
      <c r="E25" s="48" t="n"/>
      <c r="F25" s="48" t="n"/>
      <c r="G25" s="48" t="n"/>
      <c r="H25" s="48" t="n"/>
      <c r="I25" s="49" t="n"/>
      <c r="J25" s="50" t="n"/>
    </row>
    <row r="26">
      <c r="A26" s="29" t="n"/>
      <c r="B26" s="29" t="n"/>
      <c r="C26" s="321" t="n"/>
      <c r="D26" s="47" t="n"/>
      <c r="E26" s="48" t="n"/>
      <c r="F26" s="48" t="n"/>
      <c r="G26" s="48" t="n"/>
      <c r="H26" s="48" t="n"/>
      <c r="I26" s="49" t="n"/>
      <c r="J26" s="50" t="n"/>
    </row>
    <row r="27">
      <c r="A27" s="29" t="n"/>
      <c r="B27" s="29" t="n"/>
      <c r="C27" s="321" t="n"/>
      <c r="D27" s="47" t="n"/>
      <c r="E27" s="48" t="n"/>
      <c r="F27" s="48" t="n"/>
      <c r="G27" s="48" t="n"/>
      <c r="H27" s="48" t="n"/>
      <c r="I27" s="49" t="n"/>
      <c r="J27" s="50" t="n"/>
    </row>
    <row r="28">
      <c r="A28" s="29" t="n"/>
      <c r="B28" s="29" t="n"/>
      <c r="C28" s="321" t="n"/>
      <c r="D28" s="47" t="n"/>
      <c r="E28" s="48" t="n"/>
      <c r="F28" s="48" t="n"/>
      <c r="G28" s="48" t="n"/>
      <c r="H28" s="48" t="n"/>
      <c r="I28" s="49" t="n"/>
      <c r="J28" s="50" t="n"/>
    </row>
    <row r="29">
      <c r="A29" s="29" t="n"/>
      <c r="B29" s="29" t="n"/>
      <c r="C29" s="321" t="n"/>
      <c r="D29" s="47" t="n"/>
      <c r="E29" s="48" t="n"/>
      <c r="F29" s="48" t="n"/>
      <c r="G29" s="48" t="n"/>
      <c r="H29" s="48" t="n"/>
      <c r="I29" s="49" t="n"/>
      <c r="J29" s="50" t="n"/>
    </row>
    <row r="30">
      <c r="A30" s="29" t="n"/>
      <c r="B30" s="29" t="n"/>
      <c r="C30" s="321" t="n"/>
      <c r="D30" s="47" t="n"/>
      <c r="E30" s="48" t="n"/>
      <c r="F30" s="48" t="n"/>
      <c r="G30" s="48" t="n"/>
      <c r="H30" s="48" t="n"/>
      <c r="I30" s="49" t="n"/>
      <c r="J30" s="50" t="n"/>
    </row>
    <row r="31">
      <c r="A31" s="29" t="n"/>
      <c r="B31" s="29" t="n"/>
      <c r="C31" s="321" t="n"/>
      <c r="D31" s="47" t="n"/>
      <c r="E31" s="48" t="n"/>
      <c r="F31" s="48" t="n"/>
      <c r="G31" s="48" t="n"/>
      <c r="H31" s="48" t="n"/>
      <c r="I31" s="49" t="n"/>
      <c r="J31" s="50" t="n"/>
    </row>
    <row r="32">
      <c r="A32" s="29" t="n"/>
      <c r="B32" s="29" t="n"/>
      <c r="C32" s="321" t="n"/>
      <c r="D32" s="47" t="n"/>
      <c r="E32" s="48" t="n"/>
      <c r="F32" s="48" t="n"/>
      <c r="G32" s="48" t="n"/>
      <c r="H32" s="48" t="n"/>
      <c r="I32" s="49" t="n"/>
      <c r="J32" s="50" t="n"/>
    </row>
    <row r="33">
      <c r="A33" s="29" t="n"/>
      <c r="B33" s="29" t="n"/>
      <c r="C33" s="321" t="n"/>
      <c r="D33" s="47" t="n"/>
      <c r="E33" s="48" t="n"/>
      <c r="F33" s="48" t="n"/>
      <c r="G33" s="48" t="n"/>
      <c r="H33" s="48" t="n"/>
      <c r="I33" s="49" t="n"/>
      <c r="J33" s="50" t="n"/>
    </row>
    <row r="49" ht="16" customHeight="1" s="290">
      <c r="C49" s="284" t="n"/>
      <c r="D49" s="284" t="n"/>
      <c r="F49" s="284" t="n"/>
      <c r="G49" s="284" t="n"/>
      <c r="H49" s="284" t="n"/>
      <c r="I49" s="284" t="n"/>
    </row>
    <row r="50">
      <c r="C50" s="284" t="n"/>
      <c r="D50" s="284" t="n"/>
      <c r="F50" s="284" t="n"/>
      <c r="G50" s="284" t="n"/>
      <c r="H50" s="284" t="n"/>
      <c r="I50" s="284" t="n"/>
    </row>
    <row r="51">
      <c r="A51" s="283" t="inlineStr">
        <is>
          <t xml:space="preserve">Rank by Revenue </t>
        </is>
      </c>
    </row>
    <row r="52" ht="17" customHeight="1" s="290">
      <c r="A52" s="38" t="inlineStr">
        <is>
          <t>Product Name</t>
        </is>
      </c>
      <c r="B52" s="39" t="inlineStr">
        <is>
          <t>ASIN</t>
        </is>
      </c>
      <c r="C52" s="39" t="inlineStr">
        <is>
          <t>Type</t>
        </is>
      </c>
      <c r="D52" s="322" t="inlineStr">
        <is>
          <t>Avg Price</t>
        </is>
      </c>
      <c r="E52" s="41" t="inlineStr">
        <is>
          <t>Estimated 12mo Revenue</t>
        </is>
      </c>
      <c r="F52" s="39" t="inlineStr">
        <is>
          <t>Monthly Rev</t>
        </is>
      </c>
      <c r="G52" s="42" t="inlineStr">
        <is>
          <t>Estimated 12mo Units</t>
        </is>
      </c>
      <c r="H52" s="45" t="inlineStr">
        <is>
          <t>Monthly Units</t>
        </is>
      </c>
      <c r="I52" s="42" t="inlineStr">
        <is>
          <t># of Reviews</t>
        </is>
      </c>
      <c r="J52" s="43" t="inlineStr">
        <is>
          <t xml:space="preserve">Tool Rating </t>
        </is>
      </c>
      <c r="K52" s="43" t="inlineStr">
        <is>
          <t>Column1</t>
        </is>
      </c>
      <c r="L52" s="323" t="inlineStr">
        <is>
          <t>Link</t>
        </is>
      </c>
    </row>
    <row r="53" ht="45" customHeight="1" s="290">
      <c r="A53" s="30" t="inlineStr">
        <is>
          <t>Innova 5610 OBD2 Bidirectional Scan Tool - Understand Your Vehicle, Pinpoint What's Wrong, and Complete Your Repairs with Less Headache, Updates Included, US-Based Technical Support</t>
        </is>
      </c>
      <c r="B53" s="30" t="inlineStr">
        <is>
          <t>B07Z481NJM</t>
        </is>
      </c>
      <c r="C53" s="30" t="inlineStr">
        <is>
          <t>Handheld</t>
        </is>
      </c>
      <c r="D53" s="324" t="n">
        <v>292.6118611449452</v>
      </c>
      <c r="E53" s="53" t="n">
        <v>11645944.12</v>
      </c>
      <c r="F53" s="54" t="n">
        <v>1201171.69</v>
      </c>
      <c r="G53" s="55" t="n">
        <v>39046</v>
      </c>
      <c r="H53" s="55" t="n">
        <v>4105</v>
      </c>
      <c r="I53" s="55" t="n">
        <v>3435</v>
      </c>
      <c r="J53" s="56" t="n">
        <v>4.4</v>
      </c>
      <c r="K53" s="56" t="inlineStr">
        <is>
          <t>https://amazon.com/dp/B07Z481NJM</t>
        </is>
      </c>
      <c r="L53" s="34">
        <f>HYPERLINK(Innova3p_2[[#This Row],[Column1]])</f>
        <v/>
      </c>
    </row>
    <row r="54" ht="45" customHeight="1" s="290">
      <c r="A54" s="30" t="inlineStr">
        <is>
          <t>Innova 5210 OBD2 Scanner &amp; Engine Code Reader, Battery Tester, Live Data, Oil Reset, Car Diagnostic Tool for Most Vehicles, Bluetooth Compatible with America's Top Car Repair App</t>
        </is>
      </c>
      <c r="B54" s="30" t="inlineStr">
        <is>
          <t>B07Z46L5FG</t>
        </is>
      </c>
      <c r="C54" s="30" t="inlineStr">
        <is>
          <t>Handheld</t>
        </is>
      </c>
      <c r="D54" s="324" t="n">
        <v>87.48796262367168</v>
      </c>
      <c r="E54" s="53" t="n">
        <v>2540961.49</v>
      </c>
      <c r="F54" s="54" t="n">
        <v>238754.65</v>
      </c>
      <c r="G54" s="55" t="n">
        <v>28360</v>
      </c>
      <c r="H54" s="55" t="n">
        <v>2729</v>
      </c>
      <c r="I54" s="55" t="n">
        <v>3977</v>
      </c>
      <c r="J54" s="56" t="n">
        <v>4.5</v>
      </c>
      <c r="K54" s="56" t="inlineStr">
        <is>
          <t>https://amazon.com/dp/B07Z46L5FG</t>
        </is>
      </c>
      <c r="L54" s="34">
        <f>HYPERLINK(Innova3p_2[[#This Row],[Column1]])</f>
        <v/>
      </c>
    </row>
    <row r="55" ht="45" customHeight="1" s="290">
      <c r="A55" s="30" t="inlineStr">
        <is>
          <t>Innova 5410 All-System OBD2 Scanner Diagnostic Tool for Cars &amp; Trucks – Automotive Scan Tools for Engine, ABS, SRS &amp; Transmission, Bluetooth Compatible with America's Top Car Repair App</t>
        </is>
      </c>
      <c r="B55" s="30" t="inlineStr">
        <is>
          <t>B07ZL7CLYR</t>
        </is>
      </c>
      <c r="C55" s="30" t="inlineStr">
        <is>
          <t>Handheld</t>
        </is>
      </c>
      <c r="D55" s="324" t="n">
        <v>153.9972163120567</v>
      </c>
      <c r="E55" s="53" t="n">
        <v>1014363.7</v>
      </c>
      <c r="F55" s="54" t="n">
        <v>86854.42999999999</v>
      </c>
      <c r="G55" s="55" t="n">
        <v>6150</v>
      </c>
      <c r="H55" s="55" t="n">
        <v>564</v>
      </c>
      <c r="I55" s="55" t="n">
        <v>680</v>
      </c>
      <c r="J55" s="56" t="n">
        <v>4.4</v>
      </c>
      <c r="K55" s="56" t="inlineStr">
        <is>
          <t>https://amazon.com/dp/B07ZL7CLYR</t>
        </is>
      </c>
      <c r="L55" s="34">
        <f>HYPERLINK(Innova3p_2[[#This Row],[Column1]])</f>
        <v/>
      </c>
    </row>
    <row r="56" ht="60" customHeight="1" s="290">
      <c r="A56" s="30" t="inlineStr">
        <is>
          <t>Innova SD35 OBD2 Scanner – ABS, SRS, TPMS &amp; Check Engine Code Reader, Live Data, All System Diagnostics, Compatible with Most Vehicles</t>
        </is>
      </c>
      <c r="B56" s="30" t="inlineStr">
        <is>
          <t>B0F254MVB5</t>
        </is>
      </c>
      <c r="C56" s="30" t="inlineStr">
        <is>
          <t>Tablet</t>
        </is>
      </c>
      <c r="D56" s="324" t="n">
        <v>142.2215175097276</v>
      </c>
      <c r="E56" s="53" t="n">
        <v>1070841.26</v>
      </c>
      <c r="F56" s="54" t="n">
        <v>36550.93</v>
      </c>
      <c r="G56" s="55" t="n">
        <v>7985</v>
      </c>
      <c r="H56" s="55" t="n">
        <v>257</v>
      </c>
      <c r="I56" s="55" t="n">
        <v>336</v>
      </c>
      <c r="J56" s="56" t="n">
        <v>4.5</v>
      </c>
      <c r="K56" s="56" t="inlineStr">
        <is>
          <t>https://amazon.com/dp/B0F254MVB5</t>
        </is>
      </c>
      <c r="L56" s="34">
        <f>HYPERLINK(Innova3p_2[[#This Row],[Column1]])</f>
        <v/>
      </c>
    </row>
    <row r="57" ht="45" customHeight="1" s="290">
      <c r="A57" s="30" t="inlineStr">
        <is>
          <t>Innova 3380 Automotive Borescope with Light, 2.7" Inspection Camera, 39" Extension, IP67 Waterproof Digital Scope</t>
        </is>
      </c>
      <c r="B57" s="30" t="inlineStr">
        <is>
          <t>B082JCSB4Z</t>
        </is>
      </c>
      <c r="C57" s="30" t="inlineStr">
        <is>
          <t>Other</t>
        </is>
      </c>
      <c r="D57" s="324" t="n">
        <v>82.5832541567696</v>
      </c>
      <c r="E57" s="53" t="n">
        <v>419885.0269230769</v>
      </c>
      <c r="F57" s="54" t="n">
        <v>34767.55</v>
      </c>
      <c r="G57" s="55" t="n">
        <v>421</v>
      </c>
      <c r="H57" s="55" t="n">
        <v>421</v>
      </c>
      <c r="I57" s="55" t="n"/>
      <c r="J57" s="56" t="n"/>
      <c r="K57" s="56" t="inlineStr">
        <is>
          <t>https://www.amazon.com/dp/B082JCSB4Z</t>
        </is>
      </c>
      <c r="L57" s="34">
        <f>HYPERLINK(Innova3p_2[[#This Row],[Column1]])</f>
        <v/>
      </c>
    </row>
    <row r="58" ht="45" customHeight="1" s="290">
      <c r="A58" s="30" t="inlineStr">
        <is>
          <t>INNOVA 5310 OBD2 Scanner – ABS &amp; SRS Code Reader, Check Engine Light Diagnostic Tool with Battery Test, Oil Reset, Live Data – Works with Most OBDII Vehicles 1996 &amp; Newer</t>
        </is>
      </c>
      <c r="B58" s="30" t="inlineStr">
        <is>
          <t>B07ZL746BR</t>
        </is>
      </c>
      <c r="C58" s="30" t="inlineStr">
        <is>
          <t>Handheld</t>
        </is>
      </c>
      <c r="D58" s="324" t="n">
        <v>127.4812053571429</v>
      </c>
      <c r="E58" s="53" t="n">
        <v>326612.54</v>
      </c>
      <c r="F58" s="54" t="n">
        <v>28555.79</v>
      </c>
      <c r="G58" s="55" t="n">
        <v>2661</v>
      </c>
      <c r="H58" s="55" t="n">
        <v>224</v>
      </c>
      <c r="I58" s="55" t="n">
        <v>830</v>
      </c>
      <c r="J58" s="56" t="n">
        <v>4.5</v>
      </c>
      <c r="K58" s="56" t="inlineStr">
        <is>
          <t>https://amazon.com/dp/B07ZL746BR</t>
        </is>
      </c>
      <c r="L58" s="34">
        <f>HYPERLINK(Innova3p_2[[#This Row],[Column1]])</f>
        <v/>
      </c>
    </row>
    <row r="59" ht="45" customHeight="1" s="290">
      <c r="A59" s="30" t="inlineStr">
        <is>
          <t>Innova 1000 Bluetooth OBD2 Scanner for iPhone &amp; Android - Predict Car Problems Before They Happen - No Subscriptions - Detect Check Engine, ABS, SRS Issues for Cars 1996+</t>
        </is>
      </c>
      <c r="B59" s="30" t="inlineStr">
        <is>
          <t>B0D32BNNQ9</t>
        </is>
      </c>
      <c r="C59" s="30" t="inlineStr">
        <is>
          <t>Dongle</t>
        </is>
      </c>
      <c r="D59" s="324" t="n">
        <v>89.44265232974911</v>
      </c>
      <c r="E59" s="53" t="n">
        <v>506840.65</v>
      </c>
      <c r="F59" s="54" t="n">
        <v>24954.5</v>
      </c>
      <c r="G59" s="55" t="n">
        <v>5510</v>
      </c>
      <c r="H59" s="55" t="n">
        <v>279</v>
      </c>
      <c r="I59" s="55" t="n">
        <v>407</v>
      </c>
      <c r="J59" s="56" t="n">
        <v>4.3</v>
      </c>
      <c r="K59" s="56" t="inlineStr">
        <is>
          <t>https://amazon.com/dp/B0D32BNNQ9</t>
        </is>
      </c>
      <c r="L59" s="34">
        <f>HYPERLINK(Innova3p_2[[#This Row],[Column1]])</f>
        <v/>
      </c>
    </row>
    <row r="60" ht="45" customHeight="1" s="290">
      <c r="A60" s="30" t="inlineStr">
        <is>
          <t>Innova SDS43 OBD2 Scanner Diagnostic Tool - Bidirectional Tablet Scanner for Engine, ABS, SRS, Transmission - Compatible with Most Vehicles</t>
        </is>
      </c>
      <c r="B60" s="30" t="inlineStr">
        <is>
          <t>B0F4M2MZYN</t>
        </is>
      </c>
      <c r="C60" s="30" t="inlineStr">
        <is>
          <t>Tablet</t>
        </is>
      </c>
      <c r="D60" s="324" t="n">
        <v>280.19875</v>
      </c>
      <c r="E60" s="53" t="n">
        <v>171634.31</v>
      </c>
      <c r="F60" s="54" t="n">
        <v>13449.54</v>
      </c>
      <c r="G60" s="55" t="n">
        <v>651</v>
      </c>
      <c r="H60" s="55" t="n">
        <v>48</v>
      </c>
      <c r="I60" s="55" t="n">
        <v>62</v>
      </c>
      <c r="J60" s="56" t="n">
        <v>4</v>
      </c>
      <c r="K60" s="56" t="inlineStr">
        <is>
          <t>https://amazon.com/dp/B0F4M2MZYN</t>
        </is>
      </c>
      <c r="L60" s="34">
        <f>HYPERLINK(Innova3p_2[[#This Row],[Column1]])</f>
        <v/>
      </c>
    </row>
    <row r="61" ht="45" customHeight="1" s="290">
      <c r="A61" s="30" t="inlineStr">
        <is>
          <t>INNOVA 5510 OBD2 Scanner, Scan Tool for ABS, All System Scanner, Caliper Service, Brake Pad Life, Read/Erase ABS/SRS Codes, Reset Oil Light, Live Data, Updates Included</t>
        </is>
      </c>
      <c r="B61" s="30" t="inlineStr">
        <is>
          <t>B07Z48NKF1</t>
        </is>
      </c>
      <c r="C61" s="30" t="inlineStr">
        <is>
          <t>Handheld</t>
        </is>
      </c>
      <c r="D61" s="324" t="n">
        <v>224.99</v>
      </c>
      <c r="E61" s="53" t="n">
        <v>79422.56</v>
      </c>
      <c r="F61" s="54" t="n">
        <v>9899.559999999999</v>
      </c>
      <c r="G61" s="55" t="n">
        <v>358</v>
      </c>
      <c r="H61" s="55" t="n">
        <v>44</v>
      </c>
      <c r="I61" s="55" t="n">
        <v>292</v>
      </c>
      <c r="J61" s="56" t="n">
        <v>4.1</v>
      </c>
      <c r="K61" s="56" t="inlineStr">
        <is>
          <t>https://amazon.com/dp/B07Z48NKF1</t>
        </is>
      </c>
      <c r="L61" s="34">
        <f>HYPERLINK(Innova3p_2[[#This Row],[Column1]])</f>
        <v/>
      </c>
    </row>
    <row r="62" ht="45" customHeight="1" s="290">
      <c r="A62" s="30" t="inlineStr">
        <is>
          <t>INNOVA 5110 Check Engine Code Reader - Super Simple Car Scanner for All Levels - Works on Most 1996 &amp; Newer OBDII Cars</t>
        </is>
      </c>
      <c r="B62" s="30" t="inlineStr">
        <is>
          <t>B07Z46KNLR</t>
        </is>
      </c>
      <c r="C62" s="30" t="inlineStr">
        <is>
          <t>Handheld</t>
        </is>
      </c>
      <c r="D62" s="324" t="n">
        <v>65.72888888888889</v>
      </c>
      <c r="E62" s="53" t="n">
        <v>76589.42999999999</v>
      </c>
      <c r="F62" s="54" t="n">
        <v>4140.92</v>
      </c>
      <c r="G62" s="55" t="n">
        <v>1160</v>
      </c>
      <c r="H62" s="55" t="n">
        <v>63</v>
      </c>
      <c r="I62" s="55" t="n">
        <v>1029</v>
      </c>
      <c r="J62" s="56" t="n">
        <v>4.3</v>
      </c>
      <c r="K62" s="56" t="inlineStr">
        <is>
          <t>https://amazon.com/dp/B07Z46KNLR</t>
        </is>
      </c>
      <c r="L62" s="34">
        <f>HYPERLINK(Innova3p_2[[#This Row],[Column1]])</f>
        <v/>
      </c>
    </row>
    <row r="63" ht="45" customHeight="1" s="290">
      <c r="A63" s="30" t="inlineStr">
        <is>
          <t>INNOVA 3170RS OBD1 &amp; OBD2 Scanner, ABS Bleeder Scan Tool, OBD2 Diagnostic, Caliper Service, Brake Pad Life, Read/Erase ABS/SRS Codes, Reset Oil Light, Live Data, Updates Included</t>
        </is>
      </c>
      <c r="B63" s="30" t="inlineStr">
        <is>
          <t>B08FZ46X2M</t>
        </is>
      </c>
      <c r="C63" s="30" t="inlineStr">
        <is>
          <t>Handheld</t>
        </is>
      </c>
      <c r="D63" s="324" t="n">
        <v>296.5284615384616</v>
      </c>
      <c r="E63" s="53" t="n">
        <v>67811.843334</v>
      </c>
      <c r="F63" s="54" t="n">
        <v>3854.87</v>
      </c>
      <c r="G63" s="55" t="n">
        <v>228</v>
      </c>
      <c r="H63" s="55" t="n">
        <v>13</v>
      </c>
      <c r="I63" s="55" t="n">
        <v>157</v>
      </c>
      <c r="J63" s="56" t="n">
        <v>3.9</v>
      </c>
      <c r="K63" s="56" t="inlineStr">
        <is>
          <t>https://amazon.com/dp/B08FZ46X2M</t>
        </is>
      </c>
      <c r="L63" s="34">
        <f>HYPERLINK(Innova3p_2[[#This Row],[Column1]])</f>
        <v/>
      </c>
    </row>
    <row r="64" ht="45" customHeight="1" s="290">
      <c r="A64" s="30" t="inlineStr">
        <is>
          <t>Innova 3994 Soft Pouch</t>
        </is>
      </c>
      <c r="B64" s="30" t="inlineStr">
        <is>
          <t>B0D4R8Y6SY</t>
        </is>
      </c>
      <c r="C64" s="30" t="inlineStr">
        <is>
          <t>Other</t>
        </is>
      </c>
      <c r="D64" s="324" t="n">
        <v>19.22457894736842</v>
      </c>
      <c r="E64" s="53" t="n">
        <v>44113.01461538461</v>
      </c>
      <c r="F64" s="54" t="n">
        <v>3652.67</v>
      </c>
      <c r="G64" s="55" t="n">
        <v>190</v>
      </c>
      <c r="H64" s="55" t="n">
        <v>190</v>
      </c>
      <c r="I64" s="55" t="n"/>
      <c r="J64" s="56" t="n"/>
      <c r="K64" s="56" t="inlineStr">
        <is>
          <t>https://www.amazon.com/dp/B0D4R8Y6SY</t>
        </is>
      </c>
      <c r="L64" s="34">
        <f>HYPERLINK(Innova3p_2[[#This Row],[Column1]])</f>
        <v/>
      </c>
    </row>
    <row r="65" ht="45" customHeight="1" s="290">
      <c r="A65" s="30" t="inlineStr">
        <is>
          <t>Innova 3128 HD Adapter Kit - Made for Heavy-Duty Trucks - Compatible with Innova 5610 - Includes 4 Heavy-Duty OBD Adapters with a Pouch Bag</t>
        </is>
      </c>
      <c r="B65" s="30" t="inlineStr">
        <is>
          <t>B0FD49XQTG</t>
        </is>
      </c>
      <c r="C65" s="30" t="inlineStr">
        <is>
          <t>Cable/Adapter</t>
        </is>
      </c>
      <c r="D65" s="324" t="n">
        <v>93.93181818181819</v>
      </c>
      <c r="E65" s="53" t="n">
        <v>26628.22846153846</v>
      </c>
      <c r="F65" s="54" t="n">
        <v>3099.75</v>
      </c>
      <c r="G65" s="55" t="n">
        <v>125</v>
      </c>
      <c r="H65" s="55" t="n">
        <v>33</v>
      </c>
      <c r="I65" s="55" t="n">
        <v>3</v>
      </c>
      <c r="J65" s="56" t="n">
        <v>5</v>
      </c>
      <c r="K65" s="56" t="inlineStr">
        <is>
          <t>https://amazon.com/dp/B0FD49XQTG</t>
        </is>
      </c>
      <c r="L65" s="34">
        <f>HYPERLINK(Innova3p_2[[#This Row],[Column1]])</f>
        <v/>
      </c>
    </row>
    <row r="66" ht="45" customHeight="1" s="290">
      <c r="A66" s="30" t="inlineStr">
        <is>
          <t>Innova 5420 Power Circuit Tester for Automotive | 45° Swivel Head | Fuse, Relay, Battery, and Circuit Diagnostics | Voltage Tester, Multimeter, Relay Tester, Short Circuit Finder, 12V/24V</t>
        </is>
      </c>
      <c r="B66" s="30" t="inlineStr">
        <is>
          <t>B09ZQ3ZQV2</t>
        </is>
      </c>
      <c r="C66" s="30" t="inlineStr">
        <is>
          <t>Other</t>
        </is>
      </c>
      <c r="D66" s="324" t="n">
        <v>90.3060606060606</v>
      </c>
      <c r="E66" s="53" t="n">
        <v>35990.43846153846</v>
      </c>
      <c r="F66" s="54" t="n">
        <v>2980.1</v>
      </c>
      <c r="G66" s="55" t="n">
        <v>33</v>
      </c>
      <c r="H66" s="55" t="n">
        <v>33</v>
      </c>
      <c r="I66" s="55" t="n"/>
      <c r="J66" s="56" t="n"/>
      <c r="K66" s="56" t="inlineStr">
        <is>
          <t>https://www.amazon.com/dp/B09ZQ3ZQV2</t>
        </is>
      </c>
      <c r="L66" s="34">
        <f>HYPERLINK(Innova3p_2[[#This Row],[Column1]])</f>
        <v/>
      </c>
    </row>
    <row r="67" ht="45" customHeight="1" s="290">
      <c r="A67" s="30" t="inlineStr">
        <is>
          <t>Innova 3129 OBD-1 Kit (Includes OBD1 Adapters &amp; Pouch) , Black</t>
        </is>
      </c>
      <c r="B67" s="30" t="inlineStr">
        <is>
          <t>B078BHTCK1</t>
        </is>
      </c>
      <c r="C67" s="30" t="inlineStr">
        <is>
          <t>Cable/Adapter</t>
        </is>
      </c>
      <c r="D67" s="324" t="n">
        <v>105.3322222222222</v>
      </c>
      <c r="E67" s="53" t="n">
        <v>107047.6723076923</v>
      </c>
      <c r="F67" s="54" t="n">
        <v>2843.97</v>
      </c>
      <c r="G67" s="55" t="n">
        <v>83</v>
      </c>
      <c r="H67" s="55" t="n">
        <v>27</v>
      </c>
      <c r="I67" s="55" t="n">
        <v>200</v>
      </c>
      <c r="J67" s="56" t="n">
        <v>4.3</v>
      </c>
      <c r="K67" s="56" t="inlineStr">
        <is>
          <t>https://amazon.com/dp/B078BHTCK1</t>
        </is>
      </c>
      <c r="L67" s="34">
        <f>HYPERLINK(Innova3p_2[[#This Row],[Column1]])</f>
        <v/>
      </c>
    </row>
    <row r="68" ht="45" customHeight="1" s="290">
      <c r="A68" s="30" t="inlineStr">
        <is>
          <t>Innova 5512 OBD2 Scanner, ABS Brake Bleeding, Transmission Temp, TPMS, OBD1 Adapters Included, Repair App</t>
        </is>
      </c>
      <c r="B68" s="30" t="inlineStr">
        <is>
          <t>B09WPW4WQ4</t>
        </is>
      </c>
      <c r="C68" s="30" t="inlineStr">
        <is>
          <t>Handheld</t>
        </is>
      </c>
      <c r="D68" s="324" t="n">
        <v>299.99</v>
      </c>
      <c r="E68" s="53" t="n">
        <v>21691.06307692307</v>
      </c>
      <c r="F68" s="54" t="n">
        <v>1799.94</v>
      </c>
      <c r="G68" s="55" t="n">
        <v>66</v>
      </c>
      <c r="H68" s="55" t="n">
        <v>6</v>
      </c>
      <c r="I68" s="55" t="n">
        <v>32</v>
      </c>
      <c r="J68" s="56" t="n">
        <v>3.8</v>
      </c>
      <c r="K68" s="56" t="inlineStr">
        <is>
          <t>https://amazon.com/dp/B09WPW4WQ4</t>
        </is>
      </c>
      <c r="L68" s="34">
        <f>HYPERLINK(Innova3p_2[[#This Row],[Column1]])</f>
        <v/>
      </c>
    </row>
    <row r="69" ht="60" customHeight="1" s="290">
      <c r="A69" s="30" t="inlineStr">
        <is>
          <t>INNOVA 3020RS Fast &amp; Easy-to-Use Check Engine Code Reader, OBD2 Scan tool for ABS Clear with Fix &amp; Part Recommendations, Maintenance Schedules, &amp; Free TSBs on iPhone &amp; Android</t>
        </is>
      </c>
      <c r="B69" s="30" t="inlineStr">
        <is>
          <t>B084SWJL4J</t>
        </is>
      </c>
      <c r="C69" s="30" t="inlineStr">
        <is>
          <t>Handheld</t>
        </is>
      </c>
      <c r="D69" s="324" t="n">
        <v>65.36333333333334</v>
      </c>
      <c r="E69" s="53" t="n">
        <v>78600.73999999999</v>
      </c>
      <c r="F69" s="54" t="n">
        <v>1372.63</v>
      </c>
      <c r="G69" s="55" t="n">
        <v>1191</v>
      </c>
      <c r="H69" s="55" t="n">
        <v>21</v>
      </c>
      <c r="I69" s="55" t="n">
        <v>2485</v>
      </c>
      <c r="J69" s="56" t="n">
        <v>4.3</v>
      </c>
      <c r="K69" s="56" t="inlineStr">
        <is>
          <t>https://amazon.com/dp/B084SWJL4J</t>
        </is>
      </c>
      <c r="L69" s="34">
        <f>HYPERLINK(Innova3p_2[[#This Row],[Column1]])</f>
        <v/>
      </c>
    </row>
    <row r="70" ht="45" customHeight="1" s="290">
      <c r="A70" s="30" t="inlineStr">
        <is>
          <t>Innova 3360 Thermal Camera - Infrared Camera with Heat Vision - Identify Hot/Cold Spots -4° ~ 1112°F - Easy to Use Thermal Imager</t>
        </is>
      </c>
      <c r="B70" s="30" t="inlineStr">
        <is>
          <t>B0FDLVW4G8</t>
        </is>
      </c>
      <c r="C70" s="30" t="inlineStr">
        <is>
          <t>Other</t>
        </is>
      </c>
      <c r="D70" s="324" t="n">
        <v>95.54666666666667</v>
      </c>
      <c r="E70" s="53" t="n">
        <v>10385.18769230769</v>
      </c>
      <c r="F70" s="54" t="n">
        <v>859.92</v>
      </c>
      <c r="G70" s="55" t="n">
        <v>9</v>
      </c>
      <c r="H70" s="55" t="n">
        <v>9</v>
      </c>
      <c r="I70" s="55" t="n"/>
      <c r="J70" s="56" t="n"/>
      <c r="K70" s="56" t="inlineStr">
        <is>
          <t>https://www.amazon.com/dp/B0FDLVW4G8</t>
        </is>
      </c>
      <c r="L70" s="34">
        <f>HYPERLINK(Innova3p_2[[#This Row],[Column1]])</f>
        <v/>
      </c>
    </row>
    <row r="71" ht="45" customHeight="1" s="290">
      <c r="A71" s="30" t="inlineStr">
        <is>
          <t>INNOVA 3320 Auto-Ranging Digital Multimeter, Red &amp; Black</t>
        </is>
      </c>
      <c r="B71" s="30" t="inlineStr">
        <is>
          <t>B000EVYGZA</t>
        </is>
      </c>
      <c r="C71" s="30" t="inlineStr">
        <is>
          <t>Other</t>
        </is>
      </c>
      <c r="D71" s="324" t="n">
        <v>34.99</v>
      </c>
      <c r="E71" s="53" t="n">
        <v>132466.4553846154</v>
      </c>
      <c r="F71" s="54" t="n">
        <v>629.8200000000001</v>
      </c>
      <c r="G71" s="55" t="n">
        <v>308</v>
      </c>
      <c r="H71" s="55" t="n">
        <v>18</v>
      </c>
      <c r="I71" s="55" t="n"/>
      <c r="J71" s="56" t="n"/>
      <c r="K71" s="56" t="inlineStr">
        <is>
          <t>https://www.amazon.com/dp/B000EVYGZA</t>
        </is>
      </c>
      <c r="L71" s="34">
        <f>HYPERLINK(Innova3p_2[[#This Row],[Column1]])</f>
        <v/>
      </c>
    </row>
    <row r="72" ht="45" customHeight="1" s="290">
      <c r="A72" s="30" t="inlineStr">
        <is>
          <t>Innova 3340 Professional Automotive Digital Multimeter, Black</t>
        </is>
      </c>
      <c r="B72" s="30" t="inlineStr">
        <is>
          <t>B000KIMHRQ</t>
        </is>
      </c>
      <c r="C72" s="30" t="inlineStr">
        <is>
          <t>Other</t>
        </is>
      </c>
      <c r="D72" s="324" t="n">
        <v>99.99000000000001</v>
      </c>
      <c r="E72" s="53" t="n">
        <v>87575.32461538461</v>
      </c>
      <c r="F72" s="54" t="n">
        <v>299.97</v>
      </c>
      <c r="G72" s="55" t="n">
        <v>80</v>
      </c>
      <c r="H72" s="55" t="n">
        <v>3</v>
      </c>
      <c r="I72" s="55" t="n"/>
      <c r="J72" s="56" t="n"/>
      <c r="K72" s="56" t="inlineStr">
        <is>
          <t>https://www.amazon.com/dp/B000KIMHRQ</t>
        </is>
      </c>
      <c r="L72" s="34">
        <f>HYPERLINK(Innova3p_2[[#This Row],[Column1]])</f>
        <v/>
      </c>
    </row>
    <row r="73" ht="45" customHeight="1" s="290">
      <c r="A73" s="30" t="inlineStr">
        <is>
          <t>INNOVA 3100RS, OBD2 Scanner, ABS SRS Airbag Scan Tool with Airbag Light &amp; Oil Light Reset, Stream Graph &amp; Record Live Data, Get Suggested Repair &amp; Parts on iPhone or Android</t>
        </is>
      </c>
      <c r="B73" s="30" t="inlineStr">
        <is>
          <t>B084SW4K8J</t>
        </is>
      </c>
      <c r="C73" s="30" t="inlineStr">
        <is>
          <t>Handheld</t>
        </is>
      </c>
      <c r="D73" s="324" t="n">
        <v>142.5</v>
      </c>
      <c r="E73" s="53" t="n">
        <v>88653.43999999999</v>
      </c>
      <c r="F73" s="54" t="n">
        <v>142.5</v>
      </c>
      <c r="G73" s="55" t="n">
        <v>640</v>
      </c>
      <c r="H73" s="55" t="n">
        <v>1</v>
      </c>
      <c r="I73" s="55" t="n">
        <v>533</v>
      </c>
      <c r="J73" s="56" t="n">
        <v>4.4</v>
      </c>
      <c r="K73" s="56" t="inlineStr">
        <is>
          <t>https://amazon.com/dp/B084SW4K8J</t>
        </is>
      </c>
      <c r="L73" s="34">
        <f>HYPERLINK(Innova3p_2[[#This Row],[Column1]])</f>
        <v/>
      </c>
    </row>
    <row r="74" ht="45" customHeight="1" s="290">
      <c r="A74" s="30" t="n"/>
      <c r="B74" s="30" t="n"/>
      <c r="C74" s="30" t="n"/>
      <c r="D74" s="324" t="n"/>
      <c r="E74" s="53" t="n"/>
      <c r="F74" s="54" t="n"/>
      <c r="G74" s="55" t="n"/>
      <c r="H74" s="55" t="n"/>
      <c r="I74" s="55" t="n"/>
      <c r="J74" s="56" t="n"/>
      <c r="K74" s="56" t="n"/>
      <c r="L74" s="34">
        <f>HYPERLINK(Table544[[#This Row],[Column1]])</f>
        <v/>
      </c>
    </row>
    <row r="75" ht="45" customHeight="1" s="290">
      <c r="A75" s="30" t="n"/>
      <c r="B75" s="30" t="n"/>
      <c r="C75" s="30" t="n"/>
      <c r="D75" s="324" t="n"/>
      <c r="E75" s="53" t="n"/>
      <c r="F75" s="54" t="n"/>
      <c r="G75" s="55" t="n"/>
      <c r="H75" s="55" t="n"/>
      <c r="I75" s="55" t="n"/>
      <c r="J75" s="56" t="n"/>
      <c r="K75" s="56" t="n"/>
      <c r="L75" s="34">
        <f>HYPERLINK(Table544[[#This Row],[Column1]])</f>
        <v/>
      </c>
    </row>
    <row r="76" ht="45" customHeight="1" s="290">
      <c r="A76" s="30" t="n"/>
      <c r="B76" s="30" t="n"/>
      <c r="C76" s="30" t="n"/>
      <c r="D76" s="324" t="n"/>
      <c r="E76" s="53" t="n"/>
      <c r="F76" s="54" t="n"/>
      <c r="G76" s="55" t="n"/>
      <c r="H76" s="55" t="n"/>
      <c r="I76" s="55" t="n"/>
      <c r="J76" s="56" t="n"/>
      <c r="K76" s="56" t="n"/>
      <c r="L76" s="34">
        <f>HYPERLINK(Table544[[#This Row],[Column1]])</f>
        <v/>
      </c>
    </row>
    <row r="77" ht="60" customHeight="1" s="290">
      <c r="A77" s="30" t="n"/>
      <c r="B77" s="30" t="n"/>
      <c r="C77" s="30" t="n"/>
      <c r="D77" s="324" t="n"/>
      <c r="E77" s="53" t="n"/>
      <c r="F77" s="54" t="n"/>
      <c r="G77" s="55" t="n"/>
      <c r="H77" s="55" t="n"/>
      <c r="I77" s="55" t="n"/>
      <c r="J77" s="56" t="n"/>
      <c r="K77" s="56" t="n"/>
      <c r="L77" s="34">
        <f>HYPERLINK(Table544[[#This Row],[Column1]])</f>
        <v/>
      </c>
    </row>
    <row r="78" ht="45" customHeight="1" s="290">
      <c r="A78" s="30" t="n"/>
      <c r="B78" s="30" t="n"/>
      <c r="C78" s="30" t="n"/>
      <c r="D78" s="324" t="n"/>
      <c r="E78" s="53" t="n"/>
      <c r="F78" s="54" t="n"/>
      <c r="G78" s="55" t="n"/>
      <c r="H78" s="55" t="n"/>
      <c r="I78" s="55" t="n"/>
      <c r="J78" s="56" t="n"/>
      <c r="K78" s="56" t="n"/>
      <c r="L78" s="34">
        <f>HYPERLINK(Table544[[#This Row],[Column1]])</f>
        <v/>
      </c>
    </row>
    <row r="79" ht="45" customHeight="1" s="290">
      <c r="A79" s="30" t="n"/>
      <c r="B79" s="30" t="n"/>
      <c r="C79" s="30" t="n"/>
      <c r="D79" s="324" t="n"/>
      <c r="E79" s="53" t="n"/>
      <c r="F79" s="54" t="n"/>
      <c r="G79" s="55" t="n"/>
      <c r="H79" s="55" t="n"/>
      <c r="I79" s="55" t="n"/>
      <c r="J79" s="56" t="n"/>
      <c r="K79" s="56" t="n"/>
      <c r="L79" s="34">
        <f>HYPERLINK(Table544[[#This Row],[Column1]])</f>
        <v/>
      </c>
    </row>
    <row r="80" ht="45" customHeight="1" s="290">
      <c r="A80" s="30" t="n"/>
      <c r="B80" s="30" t="n"/>
      <c r="C80" s="30" t="n"/>
      <c r="D80" s="324" t="n"/>
      <c r="E80" s="53" t="n"/>
      <c r="F80" s="54" t="n"/>
      <c r="G80" s="55" t="n"/>
      <c r="H80" s="55" t="n"/>
      <c r="I80" s="55" t="n"/>
      <c r="J80" s="56" t="n"/>
      <c r="K80" s="56" t="n"/>
      <c r="L80" s="34">
        <f>HYPERLINK(Table544[[#This Row],[Column1]])</f>
        <v/>
      </c>
    </row>
    <row r="81" ht="45" customHeight="1" s="290">
      <c r="A81" s="30" t="n"/>
      <c r="B81" s="30" t="n"/>
      <c r="C81" s="30" t="n"/>
      <c r="D81" s="324" t="n"/>
      <c r="E81" s="53" t="n"/>
      <c r="F81" s="54" t="n"/>
      <c r="G81" s="55" t="n"/>
      <c r="H81" s="55" t="n"/>
      <c r="I81" s="55" t="n"/>
      <c r="J81" s="56" t="n"/>
      <c r="K81" s="56" t="n"/>
      <c r="L81" s="34">
        <f>HYPERLINK(Table544[[#This Row],[Column1]])</f>
        <v/>
      </c>
    </row>
    <row r="82" ht="45" customHeight="1" s="290">
      <c r="A82" s="30" t="n"/>
      <c r="B82" s="30" t="n"/>
      <c r="C82" s="30" t="n"/>
      <c r="D82" s="324" t="n"/>
      <c r="E82" s="53" t="n"/>
      <c r="F82" s="54" t="n"/>
      <c r="G82" s="55" t="n"/>
      <c r="H82" s="55" t="n"/>
      <c r="I82" s="55" t="n"/>
      <c r="J82" s="56" t="n"/>
      <c r="K82" s="56" t="n"/>
      <c r="L82" s="34">
        <f>HYPERLINK(Table544[[#This Row],[Column1]])</f>
        <v/>
      </c>
    </row>
    <row r="83" ht="30" customHeight="1" s="290">
      <c r="A83" s="30" t="n"/>
      <c r="B83" s="30" t="n"/>
      <c r="C83" s="30" t="n"/>
      <c r="D83" s="324" t="n"/>
      <c r="E83" s="53" t="n"/>
      <c r="F83" s="54" t="n"/>
      <c r="G83" s="55" t="n"/>
      <c r="H83" s="55" t="n"/>
      <c r="I83" s="55" t="n"/>
      <c r="J83" s="56" t="n"/>
      <c r="K83" s="56" t="n"/>
      <c r="L83" s="34">
        <f>HYPERLINK(Table544[[#This Row],[Column1]])</f>
        <v/>
      </c>
    </row>
    <row r="84" ht="45" customHeight="1" s="290">
      <c r="A84" s="30" t="n"/>
      <c r="B84" s="30" t="n"/>
      <c r="C84" s="30" t="n"/>
      <c r="D84" s="324" t="n"/>
      <c r="E84" s="53" t="n"/>
      <c r="F84" s="54" t="n"/>
      <c r="G84" s="55" t="n"/>
      <c r="H84" s="55" t="n"/>
      <c r="I84" s="55" t="n"/>
      <c r="J84" s="56" t="n"/>
      <c r="K84" s="56" t="n"/>
      <c r="L84" s="34">
        <f>HYPERLINK(Table544[[#This Row],[Column1]])</f>
        <v/>
      </c>
    </row>
    <row r="85" ht="45" customHeight="1" s="290">
      <c r="A85" s="30" t="n"/>
      <c r="B85" s="30" t="n"/>
      <c r="C85" s="30" t="n"/>
      <c r="D85" s="324" t="n"/>
      <c r="E85" s="53" t="n"/>
      <c r="F85" s="54" t="n"/>
      <c r="G85" s="55" t="n"/>
      <c r="H85" s="55" t="n"/>
      <c r="I85" s="55" t="n"/>
      <c r="J85" s="56" t="n"/>
      <c r="K85" s="56" t="n"/>
      <c r="L85" s="34">
        <f>HYPERLINK(Table544[[#This Row],[Column1]])</f>
        <v/>
      </c>
    </row>
    <row r="86" ht="45" customHeight="1" s="290">
      <c r="A86" s="30" t="n"/>
      <c r="B86" s="30" t="n"/>
      <c r="C86" s="30" t="n"/>
      <c r="D86" s="324" t="n"/>
      <c r="E86" s="53" t="n"/>
      <c r="F86" s="54" t="n"/>
      <c r="G86" s="55" t="n"/>
      <c r="H86" s="55" t="n"/>
      <c r="I86" s="55" t="n"/>
      <c r="J86" s="56" t="n"/>
      <c r="K86" s="56" t="n"/>
      <c r="L86" s="34">
        <f>HYPERLINK(Table544[[#This Row],[Column1]])</f>
        <v/>
      </c>
    </row>
    <row r="87" ht="45" customHeight="1" s="290">
      <c r="A87" s="30" t="n"/>
      <c r="B87" s="30" t="n"/>
      <c r="C87" s="30" t="n"/>
      <c r="D87" s="324" t="n"/>
      <c r="E87" s="53" t="n"/>
      <c r="F87" s="54" t="n"/>
      <c r="G87" s="55" t="n"/>
      <c r="H87" s="55" t="n"/>
      <c r="I87" s="55" t="n"/>
      <c r="J87" s="56" t="n"/>
      <c r="K87" s="56" t="n"/>
      <c r="L87" s="34">
        <f>HYPERLINK(Table544[[#This Row],[Column1]])</f>
        <v/>
      </c>
    </row>
    <row r="88" ht="45" customHeight="1" s="290">
      <c r="A88" s="30" t="n"/>
      <c r="B88" s="30" t="n"/>
      <c r="C88" s="30" t="n"/>
      <c r="D88" s="324" t="n"/>
      <c r="E88" s="53" t="n"/>
      <c r="F88" s="54" t="n"/>
      <c r="G88" s="55" t="n"/>
      <c r="H88" s="55" t="n"/>
      <c r="I88" s="55" t="n"/>
      <c r="J88" s="56" t="n"/>
      <c r="K88" s="56" t="n"/>
      <c r="L88" s="34">
        <f>HYPERLINK(Table544[[#This Row],[Column1]])</f>
        <v/>
      </c>
    </row>
    <row r="89" ht="45" customHeight="1" s="290">
      <c r="A89" s="30" t="n"/>
      <c r="B89" s="30" t="n"/>
      <c r="C89" s="30" t="n"/>
      <c r="D89" s="324" t="n"/>
      <c r="E89" s="53" t="n"/>
      <c r="F89" s="54" t="n"/>
      <c r="G89" s="55" t="n"/>
      <c r="H89" s="55" t="n"/>
      <c r="I89" s="55" t="n"/>
      <c r="J89" s="56" t="n"/>
      <c r="K89" s="56" t="n"/>
      <c r="L89" s="34">
        <f>HYPERLINK(Table544[[#This Row],[Column1]])</f>
        <v/>
      </c>
    </row>
    <row r="90" ht="45" customHeight="1" s="290">
      <c r="A90" s="30" t="n"/>
      <c r="B90" s="30" t="n"/>
      <c r="C90" s="30" t="n"/>
      <c r="D90" s="324" t="n"/>
      <c r="E90" s="53" t="n"/>
      <c r="F90" s="54" t="n"/>
      <c r="G90" s="55" t="n"/>
      <c r="H90" s="55" t="n"/>
      <c r="I90" s="55" t="n"/>
      <c r="J90" s="56" t="n"/>
      <c r="K90" s="56" t="n"/>
      <c r="L90" s="34">
        <f>HYPERLINK(Table544[[#This Row],[Column1]])</f>
        <v/>
      </c>
    </row>
    <row r="91" ht="45" customHeight="1" s="290">
      <c r="A91" s="30" t="n"/>
      <c r="B91" s="30" t="n"/>
      <c r="C91" s="30" t="n"/>
      <c r="D91" s="324" t="n"/>
      <c r="E91" s="53" t="n"/>
      <c r="F91" s="54" t="n"/>
      <c r="G91" s="55" t="n"/>
      <c r="H91" s="55" t="n"/>
      <c r="I91" s="55" t="n"/>
      <c r="J91" s="56" t="n"/>
      <c r="K91" s="56" t="n"/>
      <c r="L91" s="34">
        <f>HYPERLINK(Table544[[#This Row],[Column1]])</f>
        <v/>
      </c>
    </row>
    <row r="92" ht="45" customHeight="1" s="290">
      <c r="A92" s="30" t="n"/>
      <c r="B92" s="30" t="n"/>
      <c r="C92" s="30" t="n"/>
      <c r="D92" s="324" t="n"/>
      <c r="E92" s="53" t="n"/>
      <c r="F92" s="54" t="n"/>
      <c r="G92" s="55" t="n"/>
      <c r="H92" s="55" t="n"/>
      <c r="I92" s="55" t="n"/>
      <c r="J92" s="56" t="n"/>
      <c r="K92" s="56" t="n"/>
      <c r="L92" s="34">
        <f>HYPERLINK(Table544[[#This Row],[Column1]])</f>
        <v/>
      </c>
    </row>
    <row r="93" ht="45" customHeight="1" s="290">
      <c r="A93" s="30" t="n"/>
      <c r="B93" s="30" t="n"/>
      <c r="C93" s="30" t="n"/>
      <c r="D93" s="324" t="n"/>
      <c r="E93" s="53" t="n"/>
      <c r="F93" s="54" t="n"/>
      <c r="G93" s="55" t="n"/>
      <c r="H93" s="55" t="n"/>
      <c r="I93" s="55" t="n"/>
      <c r="J93" s="56" t="n"/>
      <c r="K93" s="56" t="n"/>
      <c r="L93" s="34">
        <f>HYPERLINK(Table544[[#This Row],[Column1]])</f>
        <v/>
      </c>
    </row>
    <row r="94" ht="60" customHeight="1" s="290">
      <c r="A94" s="30" t="n"/>
      <c r="B94" s="30" t="n"/>
      <c r="C94" s="30" t="n"/>
      <c r="D94" s="324" t="n"/>
      <c r="E94" s="53" t="n"/>
      <c r="F94" s="54" t="n"/>
      <c r="G94" s="55" t="n"/>
      <c r="H94" s="55" t="n"/>
      <c r="I94" s="55" t="n"/>
      <c r="J94" s="56" t="n"/>
      <c r="K94" s="56" t="n"/>
      <c r="L94" s="34">
        <f>HYPERLINK(Table544[[#This Row],[Column1]])</f>
        <v/>
      </c>
    </row>
    <row r="95" ht="45" customHeight="1" s="290">
      <c r="A95" s="30" t="n"/>
      <c r="B95" s="30" t="n"/>
      <c r="C95" s="30" t="n"/>
      <c r="D95" s="324" t="n"/>
      <c r="E95" s="53" t="n"/>
      <c r="F95" s="54" t="n"/>
      <c r="G95" s="55" t="n"/>
      <c r="H95" s="55" t="n"/>
      <c r="I95" s="55" t="n"/>
      <c r="J95" s="56" t="n"/>
      <c r="K95" s="56" t="n"/>
      <c r="L95" s="34">
        <f>HYPERLINK(Table544[[#This Row],[Column1]])</f>
        <v/>
      </c>
    </row>
    <row r="96" ht="45" customHeight="1" s="290">
      <c r="A96" s="30" t="n"/>
      <c r="B96" s="30" t="n"/>
      <c r="C96" s="30" t="n"/>
      <c r="D96" s="324" t="n"/>
      <c r="E96" s="53" t="n"/>
      <c r="F96" s="54" t="n"/>
      <c r="G96" s="55" t="n"/>
      <c r="H96" s="55" t="n"/>
      <c r="I96" s="55" t="n"/>
      <c r="J96" s="56" t="n"/>
      <c r="K96" s="56" t="n"/>
      <c r="L96" s="34">
        <f>HYPERLINK(Table544[[#This Row],[Column1]])</f>
        <v/>
      </c>
    </row>
    <row r="97" ht="45" customHeight="1" s="290">
      <c r="A97" s="30" t="n"/>
      <c r="B97" s="30" t="n"/>
      <c r="C97" s="30" t="n"/>
      <c r="D97" s="324" t="n"/>
      <c r="E97" s="53" t="n"/>
      <c r="F97" s="54" t="n"/>
      <c r="G97" s="55" t="n"/>
      <c r="H97" s="55" t="n"/>
      <c r="I97" s="55" t="n"/>
      <c r="J97" s="56" t="n"/>
      <c r="K97" s="56" t="n"/>
      <c r="L97" s="34">
        <f>HYPERLINK(Table544[[#This Row],[Column1]])</f>
        <v/>
      </c>
    </row>
    <row r="98" ht="60" customHeight="1" s="290">
      <c r="A98" s="30" t="n"/>
      <c r="B98" s="30" t="n"/>
      <c r="C98" s="30" t="n"/>
      <c r="D98" s="324" t="n"/>
      <c r="E98" s="53" t="n"/>
      <c r="F98" s="54" t="n"/>
      <c r="G98" s="55" t="n"/>
      <c r="H98" s="55" t="n"/>
      <c r="I98" s="55" t="n"/>
      <c r="J98" s="56" t="n"/>
      <c r="K98" s="56" t="n"/>
      <c r="L98" s="34">
        <f>HYPERLINK(Table544[[#This Row],[Column1]])</f>
        <v/>
      </c>
    </row>
    <row r="99" ht="45" customHeight="1" s="290">
      <c r="A99" s="30" t="n"/>
      <c r="B99" s="30" t="n"/>
      <c r="C99" s="30" t="n"/>
      <c r="D99" s="324" t="n"/>
      <c r="E99" s="53" t="n"/>
      <c r="F99" s="54" t="n"/>
      <c r="G99" s="55" t="n"/>
      <c r="H99" s="55" t="n"/>
      <c r="I99" s="55" t="n"/>
      <c r="J99" s="56" t="n"/>
      <c r="K99" s="56" t="n"/>
      <c r="L99" s="34">
        <f>HYPERLINK(Table544[[#This Row],[Column1]])</f>
        <v/>
      </c>
    </row>
    <row r="100" ht="45" customHeight="1" s="290">
      <c r="A100" s="30" t="n"/>
      <c r="B100" s="30" t="n"/>
      <c r="C100" s="30" t="n"/>
      <c r="D100" s="324" t="n"/>
      <c r="E100" s="53" t="n"/>
      <c r="F100" s="54" t="n"/>
      <c r="G100" s="55" t="n"/>
      <c r="H100" s="55" t="n"/>
      <c r="I100" s="55" t="n"/>
      <c r="J100" s="56" t="n"/>
      <c r="K100" s="56" t="n"/>
      <c r="L100" s="34">
        <f>HYPERLINK(Table544[[#This Row],[Column1]])</f>
        <v/>
      </c>
    </row>
    <row r="101" ht="45" customHeight="1" s="290">
      <c r="A101" s="30" t="n"/>
      <c r="B101" s="30" t="n"/>
      <c r="C101" s="30" t="n"/>
      <c r="D101" s="324" t="n"/>
      <c r="E101" s="53" t="n"/>
      <c r="F101" s="54" t="n"/>
      <c r="G101" s="55" t="n"/>
      <c r="H101" s="55" t="n"/>
      <c r="I101" s="55" t="n"/>
      <c r="J101" s="56" t="n"/>
      <c r="K101" s="56" t="n"/>
      <c r="L101" s="34">
        <f>HYPERLINK(Table544[[#This Row],[Column1]])</f>
        <v/>
      </c>
    </row>
    <row r="102" ht="45" customHeight="1" s="290">
      <c r="A102" s="30" t="n"/>
      <c r="B102" s="30" t="n"/>
      <c r="C102" s="30" t="n"/>
      <c r="D102" s="324" t="n"/>
      <c r="E102" s="53" t="n"/>
      <c r="F102" s="54" t="n"/>
      <c r="G102" s="55" t="n"/>
      <c r="H102" s="55" t="n"/>
      <c r="I102" s="55" t="n"/>
      <c r="J102" s="56" t="n"/>
      <c r="K102" s="56" t="n"/>
      <c r="L102" s="34">
        <f>HYPERLINK(Table544[[#This Row],[Column1]])</f>
        <v/>
      </c>
    </row>
    <row r="103" ht="45" customHeight="1" s="290">
      <c r="A103" s="30" t="n"/>
      <c r="B103" s="30" t="n"/>
      <c r="C103" s="30" t="n"/>
      <c r="D103" s="324" t="n"/>
      <c r="E103" s="53" t="n"/>
      <c r="F103" s="54" t="n"/>
      <c r="G103" s="55" t="n"/>
      <c r="H103" s="55" t="n"/>
      <c r="I103" s="55" t="n"/>
      <c r="J103" s="56" t="n"/>
      <c r="K103" s="56" t="n"/>
      <c r="L103" s="34">
        <f>HYPERLINK(Table544[[#This Row],[Column1]])</f>
        <v/>
      </c>
    </row>
    <row r="104" ht="45" customHeight="1" s="290">
      <c r="A104" s="30" t="n"/>
      <c r="B104" s="30" t="n"/>
      <c r="C104" s="30" t="n"/>
      <c r="D104" s="324" t="n"/>
      <c r="E104" s="53" t="n"/>
      <c r="F104" s="54" t="n"/>
      <c r="G104" s="55" t="n"/>
      <c r="H104" s="55" t="n"/>
      <c r="I104" s="55" t="n"/>
      <c r="J104" s="56" t="n"/>
      <c r="K104" s="56" t="n"/>
      <c r="L104" s="34">
        <f>HYPERLINK(Table544[[#This Row],[Column1]])</f>
        <v/>
      </c>
    </row>
    <row r="105" ht="45" customHeight="1" s="290">
      <c r="A105" s="30" t="n"/>
      <c r="B105" s="30" t="n"/>
      <c r="C105" s="30" t="n"/>
      <c r="D105" s="324" t="n"/>
      <c r="E105" s="53" t="n"/>
      <c r="F105" s="54" t="n"/>
      <c r="G105" s="55" t="n"/>
      <c r="H105" s="55" t="n"/>
      <c r="I105" s="55" t="n"/>
      <c r="J105" s="56" t="n"/>
      <c r="K105" s="56" t="n"/>
      <c r="L105" s="34">
        <f>HYPERLINK(Table544[[#This Row],[Column1]])</f>
        <v/>
      </c>
    </row>
    <row r="106" ht="45" customHeight="1" s="290">
      <c r="A106" s="30" t="n"/>
      <c r="B106" s="30" t="n"/>
      <c r="C106" s="30" t="n"/>
      <c r="D106" s="324" t="n"/>
      <c r="E106" s="53" t="n"/>
      <c r="F106" s="54" t="n"/>
      <c r="G106" s="55" t="n"/>
      <c r="H106" s="55" t="n"/>
      <c r="I106" s="55" t="n"/>
      <c r="J106" s="56" t="n"/>
      <c r="K106" s="56" t="n"/>
      <c r="L106" s="34">
        <f>HYPERLINK(Table544[[#This Row],[Column1]])</f>
        <v/>
      </c>
    </row>
    <row r="107" ht="60" customHeight="1" s="290">
      <c r="A107" s="30" t="n"/>
      <c r="B107" s="30" t="n"/>
      <c r="C107" s="30" t="n"/>
      <c r="D107" s="324" t="n"/>
      <c r="E107" s="53" t="n"/>
      <c r="F107" s="54" t="n"/>
      <c r="G107" s="55" t="n"/>
      <c r="H107" s="55" t="n"/>
      <c r="I107" s="55" t="n"/>
      <c r="J107" s="56" t="n"/>
      <c r="K107" s="56" t="n"/>
      <c r="L107" s="34">
        <f>HYPERLINK(Table544[[#This Row],[Column1]])</f>
        <v/>
      </c>
    </row>
    <row r="108" ht="45" customHeight="1" s="290">
      <c r="A108" s="30" t="n"/>
      <c r="B108" s="30" t="n"/>
      <c r="C108" s="30" t="n"/>
      <c r="D108" s="324" t="n"/>
      <c r="E108" s="53" t="n"/>
      <c r="F108" s="54" t="n"/>
      <c r="G108" s="55" t="n"/>
      <c r="H108" s="55" t="n"/>
      <c r="I108" s="55" t="n"/>
      <c r="J108" s="56" t="n"/>
      <c r="K108" s="56" t="n"/>
      <c r="L108" s="34">
        <f>HYPERLINK(Table544[[#This Row],[Column1]])</f>
        <v/>
      </c>
    </row>
    <row r="109" ht="45" customHeight="1" s="290">
      <c r="A109" s="30" t="n"/>
      <c r="B109" s="30" t="n"/>
      <c r="C109" s="30" t="n"/>
      <c r="D109" s="324" t="n"/>
      <c r="E109" s="53" t="n"/>
      <c r="F109" s="54" t="n"/>
      <c r="G109" s="55" t="n"/>
      <c r="H109" s="55" t="n"/>
      <c r="I109" s="55" t="n"/>
      <c r="J109" s="56" t="n"/>
      <c r="K109" s="56" t="n"/>
      <c r="L109" s="34">
        <f>HYPERLINK(Table544[[#This Row],[Column1]])</f>
        <v/>
      </c>
    </row>
    <row r="110" ht="45" customHeight="1" s="290">
      <c r="A110" s="30" t="n"/>
      <c r="B110" s="30" t="n"/>
      <c r="C110" s="30" t="n"/>
      <c r="D110" s="324" t="n"/>
      <c r="E110" s="53" t="n"/>
      <c r="F110" s="54" t="n"/>
      <c r="G110" s="55" t="n"/>
      <c r="H110" s="55" t="n"/>
      <c r="I110" s="55" t="n"/>
      <c r="J110" s="56" t="n"/>
      <c r="K110" s="56" t="n"/>
      <c r="L110" s="34">
        <f>HYPERLINK(Table544[[#This Row],[Column1]])</f>
        <v/>
      </c>
    </row>
    <row r="111" ht="45" customHeight="1" s="290">
      <c r="A111" s="30" t="n"/>
      <c r="B111" s="30" t="n"/>
      <c r="C111" s="30" t="n"/>
      <c r="D111" s="324" t="n"/>
      <c r="E111" s="53" t="n"/>
      <c r="F111" s="54" t="n"/>
      <c r="G111" s="55" t="n"/>
      <c r="H111" s="55" t="n"/>
      <c r="I111" s="55" t="n"/>
      <c r="J111" s="56" t="n"/>
      <c r="K111" s="56" t="n"/>
      <c r="L111" s="34">
        <f>HYPERLINK(Table544[[#This Row],[Column1]])</f>
        <v/>
      </c>
    </row>
    <row r="112" ht="45" customHeight="1" s="290">
      <c r="A112" s="30" t="n"/>
      <c r="B112" s="30" t="n"/>
      <c r="C112" s="30" t="n"/>
      <c r="D112" s="324" t="n"/>
      <c r="E112" s="53" t="n"/>
      <c r="F112" s="54" t="n"/>
      <c r="G112" s="55" t="n"/>
      <c r="H112" s="55" t="n"/>
      <c r="I112" s="55" t="n"/>
      <c r="J112" s="56" t="n"/>
      <c r="K112" s="56" t="n"/>
      <c r="L112" s="34">
        <f>HYPERLINK(Table544[[#This Row],[Column1]])</f>
        <v/>
      </c>
    </row>
    <row r="113" ht="45" customHeight="1" s="290">
      <c r="A113" s="30" t="n"/>
      <c r="B113" s="30" t="n"/>
      <c r="C113" s="30" t="n"/>
      <c r="D113" s="324" t="n"/>
      <c r="E113" s="53" t="n"/>
      <c r="F113" s="54" t="n"/>
      <c r="G113" s="55" t="n"/>
      <c r="H113" s="55" t="n"/>
      <c r="I113" s="55" t="n"/>
      <c r="J113" s="56" t="n"/>
      <c r="K113" s="56" t="n"/>
      <c r="L113" s="34">
        <f>HYPERLINK(Table544[[#This Row],[Column1]])</f>
        <v/>
      </c>
    </row>
    <row r="114" ht="45" customHeight="1" s="290">
      <c r="A114" s="30" t="n"/>
      <c r="B114" s="30" t="n"/>
      <c r="C114" s="30" t="n"/>
      <c r="D114" s="324" t="n"/>
      <c r="E114" s="53" t="n"/>
      <c r="F114" s="54" t="n"/>
      <c r="G114" s="55" t="n"/>
      <c r="H114" s="55" t="n"/>
      <c r="I114" s="55" t="n"/>
      <c r="J114" s="56" t="n"/>
      <c r="K114" s="56" t="n"/>
      <c r="L114" s="34">
        <f>HYPERLINK(Table544[[#This Row],[Column1]])</f>
        <v/>
      </c>
    </row>
    <row r="115" ht="45" customHeight="1" s="290">
      <c r="A115" s="30" t="n"/>
      <c r="B115" s="30" t="n"/>
      <c r="C115" s="30" t="n"/>
      <c r="D115" s="324" t="n"/>
      <c r="E115" s="53" t="n"/>
      <c r="F115" s="54" t="n"/>
      <c r="G115" s="55" t="n"/>
      <c r="H115" s="55" t="n"/>
      <c r="I115" s="55" t="n"/>
      <c r="J115" s="56" t="n"/>
      <c r="K115" s="56" t="n"/>
      <c r="L115" s="34">
        <f>HYPERLINK(Table544[[#This Row],[Column1]])</f>
        <v/>
      </c>
    </row>
    <row r="116" ht="30" customHeight="1" s="290">
      <c r="A116" s="30" t="n"/>
      <c r="B116" s="30" t="n"/>
      <c r="C116" s="30" t="n"/>
      <c r="D116" s="324" t="n"/>
      <c r="E116" s="53" t="n"/>
      <c r="F116" s="54" t="n"/>
      <c r="G116" s="55" t="n"/>
      <c r="H116" s="55" t="n"/>
      <c r="I116" s="55" t="n"/>
      <c r="J116" s="56" t="n"/>
      <c r="K116" s="56" t="n"/>
      <c r="L116" s="34">
        <f>HYPERLINK(Table544[[#This Row],[Column1]])</f>
        <v/>
      </c>
    </row>
    <row r="117" ht="30" customHeight="1" s="290">
      <c r="A117" s="30" t="n"/>
      <c r="B117" s="30" t="n"/>
      <c r="C117" s="30" t="n"/>
      <c r="D117" s="324" t="n"/>
      <c r="E117" s="53" t="n"/>
      <c r="F117" s="54" t="n"/>
      <c r="G117" s="55" t="n"/>
      <c r="H117" s="55" t="n"/>
      <c r="I117" s="55" t="n"/>
      <c r="J117" s="56" t="n"/>
      <c r="K117" s="56" t="n"/>
      <c r="L117" s="34">
        <f>HYPERLINK(Table544[[#This Row],[Column1]])</f>
        <v/>
      </c>
    </row>
    <row r="118" ht="45" customHeight="1" s="290">
      <c r="A118" s="30" t="n"/>
      <c r="B118" s="30" t="n"/>
      <c r="C118" s="30" t="n"/>
      <c r="D118" s="324" t="n"/>
      <c r="E118" s="53" t="n"/>
      <c r="F118" s="54" t="n"/>
      <c r="G118" s="55" t="n"/>
      <c r="H118" s="55" t="n"/>
      <c r="I118" s="55" t="n"/>
      <c r="J118" s="56" t="n"/>
      <c r="K118" s="56" t="n"/>
      <c r="L118" s="34">
        <f>HYPERLINK(Table544[[#This Row],[Column1]])</f>
        <v/>
      </c>
    </row>
    <row r="119" ht="45" customHeight="1" s="290">
      <c r="A119" s="30" t="n"/>
      <c r="B119" s="30" t="n"/>
      <c r="C119" s="30" t="n"/>
      <c r="D119" s="324" t="n"/>
      <c r="E119" s="53" t="n"/>
      <c r="F119" s="54" t="n"/>
      <c r="G119" s="55" t="n"/>
      <c r="H119" s="55" t="n"/>
      <c r="I119" s="55" t="n"/>
      <c r="J119" s="56" t="n"/>
      <c r="K119" s="56" t="n"/>
      <c r="L119" s="34">
        <f>HYPERLINK(Table544[[#This Row],[Column1]])</f>
        <v/>
      </c>
    </row>
    <row r="120" ht="60" customHeight="1" s="290">
      <c r="A120" s="30" t="n"/>
      <c r="B120" s="30" t="n"/>
      <c r="C120" s="30" t="n"/>
      <c r="D120" s="324" t="n"/>
      <c r="E120" s="53" t="n"/>
      <c r="F120" s="54" t="n"/>
      <c r="G120" s="55" t="n"/>
      <c r="H120" s="55" t="n"/>
      <c r="I120" s="55" t="n"/>
      <c r="J120" s="56" t="n"/>
      <c r="K120" s="56" t="n"/>
      <c r="L120" s="34">
        <f>HYPERLINK(Table544[[#This Row],[Column1]])</f>
        <v/>
      </c>
    </row>
    <row r="121" ht="45" customHeight="1" s="290">
      <c r="A121" s="30" t="n"/>
      <c r="B121" s="30" t="n"/>
      <c r="C121" s="30" t="n"/>
      <c r="D121" s="324" t="n"/>
      <c r="E121" s="53" t="n"/>
      <c r="F121" s="54" t="n"/>
      <c r="G121" s="55" t="n"/>
      <c r="H121" s="55" t="n"/>
      <c r="I121" s="55" t="n"/>
      <c r="J121" s="56" t="n"/>
      <c r="K121" s="56" t="n"/>
      <c r="L121" s="34">
        <f>HYPERLINK(Table544[[#This Row],[Column1]])</f>
        <v/>
      </c>
    </row>
    <row r="122" ht="45" customHeight="1" s="290">
      <c r="A122" s="30" t="n"/>
      <c r="B122" s="30" t="n"/>
      <c r="C122" s="30" t="n"/>
      <c r="D122" s="324" t="n"/>
      <c r="E122" s="53" t="n"/>
      <c r="F122" s="54" t="n"/>
      <c r="G122" s="55" t="n"/>
      <c r="H122" s="55" t="n"/>
      <c r="I122" s="55" t="n"/>
      <c r="J122" s="56" t="n"/>
      <c r="K122" s="56" t="n"/>
      <c r="L122" s="34">
        <f>HYPERLINK(Table544[[#This Row],[Column1]])</f>
        <v/>
      </c>
    </row>
    <row r="123" ht="45" customHeight="1" s="290">
      <c r="A123" s="30" t="n"/>
      <c r="B123" s="30" t="n"/>
      <c r="C123" s="30" t="n"/>
      <c r="D123" s="324" t="n"/>
      <c r="E123" s="53" t="n"/>
      <c r="F123" s="54" t="n"/>
      <c r="G123" s="55" t="n"/>
      <c r="H123" s="55" t="n"/>
      <c r="I123" s="55" t="n"/>
      <c r="J123" s="56" t="n"/>
      <c r="K123" s="56" t="n"/>
      <c r="L123" s="34">
        <f>HYPERLINK(Table544[[#This Row],[Column1]])</f>
        <v/>
      </c>
    </row>
    <row r="124" ht="17" customHeight="1" s="290">
      <c r="A124" s="30" t="n"/>
      <c r="B124" s="30" t="n"/>
      <c r="C124" s="30" t="n"/>
      <c r="D124" s="324" t="n"/>
      <c r="E124" s="53" t="n"/>
      <c r="F124" s="54" t="n"/>
      <c r="G124" s="55" t="n"/>
      <c r="H124" s="55" t="n"/>
      <c r="I124" s="55" t="n"/>
      <c r="J124" s="56" t="n"/>
      <c r="K124" s="56" t="n"/>
      <c r="L124" s="34">
        <f>HYPERLINK(Table544[[#This Row],[Column1]])</f>
        <v/>
      </c>
    </row>
    <row r="125" ht="30" customHeight="1" s="290">
      <c r="A125" s="30" t="n"/>
      <c r="B125" s="30" t="n"/>
      <c r="C125" s="30" t="n"/>
      <c r="D125" s="324" t="n"/>
      <c r="E125" s="53" t="n"/>
      <c r="F125" s="54" t="n"/>
      <c r="G125" s="55" t="n"/>
      <c r="H125" s="55" t="n"/>
      <c r="I125" s="55" t="n"/>
      <c r="J125" s="56" t="n"/>
      <c r="K125" s="56" t="n"/>
      <c r="L125" s="34">
        <f>HYPERLINK(Table544[[#This Row],[Column1]])</f>
        <v/>
      </c>
    </row>
    <row r="126" ht="45" customHeight="1" s="290">
      <c r="A126" s="30" t="n"/>
      <c r="B126" s="30" t="n"/>
      <c r="C126" s="30" t="n"/>
      <c r="D126" s="324" t="n"/>
      <c r="E126" s="53" t="n"/>
      <c r="F126" s="54" t="n"/>
      <c r="G126" s="55" t="n"/>
      <c r="H126" s="55" t="n"/>
      <c r="I126" s="55" t="n"/>
      <c r="J126" s="56" t="n"/>
      <c r="K126" s="56" t="n"/>
      <c r="L126" s="34">
        <f>HYPERLINK(Table544[[#This Row],[Column1]])</f>
        <v/>
      </c>
    </row>
    <row r="127" ht="45" customHeight="1" s="290">
      <c r="A127" s="30" t="n"/>
      <c r="B127" s="30" t="n"/>
      <c r="C127" s="30" t="n"/>
      <c r="D127" s="324" t="n"/>
      <c r="E127" s="53" t="n"/>
      <c r="F127" s="54" t="n"/>
      <c r="G127" s="55" t="n"/>
      <c r="H127" s="55" t="n"/>
      <c r="I127" s="55" t="n"/>
      <c r="J127" s="56" t="n"/>
      <c r="K127" s="56" t="n"/>
      <c r="L127" s="34">
        <f>HYPERLINK(Table544[[#This Row],[Column1]])</f>
        <v/>
      </c>
    </row>
    <row r="128" ht="17" customHeight="1" s="290">
      <c r="A128" s="33" t="inlineStr">
        <is>
          <t>Total</t>
        </is>
      </c>
      <c r="B128" s="32" t="n"/>
      <c r="C128" s="325" t="n"/>
      <c r="D128" s="325" t="n"/>
      <c r="E128" s="59">
        <f>SUM(Table544[Estimated 12mo Revenue])</f>
        <v/>
      </c>
      <c r="F128" s="59">
        <f>SUM(Table544[Monthly Rev])</f>
        <v/>
      </c>
      <c r="I128" s="286" t="n"/>
      <c r="J128" s="287" t="n"/>
    </row>
    <row r="131">
      <c r="A131" s="283" t="inlineStr">
        <is>
          <t>Rank by Units</t>
        </is>
      </c>
    </row>
    <row r="132" ht="17" customHeight="1" s="290">
      <c r="A132" s="38" t="inlineStr">
        <is>
          <t>Product Name</t>
        </is>
      </c>
      <c r="B132" s="39" t="inlineStr">
        <is>
          <t>ASIN</t>
        </is>
      </c>
      <c r="C132" s="39" t="inlineStr">
        <is>
          <t>Type</t>
        </is>
      </c>
      <c r="D132" s="322" t="inlineStr">
        <is>
          <t>Avg Price</t>
        </is>
      </c>
      <c r="E132" s="41" t="inlineStr">
        <is>
          <t>Estimated 12mo Revenue</t>
        </is>
      </c>
      <c r="F132" s="39" t="inlineStr">
        <is>
          <t>Monthly Rev</t>
        </is>
      </c>
      <c r="G132" s="42" t="inlineStr">
        <is>
          <t>Estimated 12mo Units</t>
        </is>
      </c>
      <c r="H132" s="45" t="inlineStr">
        <is>
          <t>Monthly Units</t>
        </is>
      </c>
      <c r="I132" s="42" t="inlineStr">
        <is>
          <t># of Reviews</t>
        </is>
      </c>
      <c r="J132" s="43" t="inlineStr">
        <is>
          <t xml:space="preserve">Tool Rating </t>
        </is>
      </c>
      <c r="K132" s="43" t="inlineStr">
        <is>
          <t>Column1</t>
        </is>
      </c>
      <c r="L132" s="323" t="inlineStr">
        <is>
          <t>Link</t>
        </is>
      </c>
    </row>
    <row r="133" ht="45" customHeight="1" s="290">
      <c r="A133" s="30" t="inlineStr">
        <is>
          <t>Innova 5610 OBD2 Bidirectional Scan Tool - Understand Your Vehicle, Pinpoint What's Wrong, and Complete Your Repairs with Less Headache, Updates Included, US-Based Technical Support</t>
        </is>
      </c>
      <c r="B133" s="30" t="inlineStr">
        <is>
          <t>B07Z481NJM</t>
        </is>
      </c>
      <c r="C133" s="30" t="inlineStr">
        <is>
          <t>Handheld</t>
        </is>
      </c>
      <c r="D133" s="324" t="n">
        <v>292.6118611449452</v>
      </c>
      <c r="E133" s="53" t="n">
        <v>11645944.12</v>
      </c>
      <c r="F133" s="53" t="n">
        <v>1201171.69</v>
      </c>
      <c r="G133" s="55" t="n">
        <v>39046</v>
      </c>
      <c r="H133" s="57" t="n">
        <v>4105</v>
      </c>
      <c r="I133" s="55" t="n">
        <v>3435</v>
      </c>
      <c r="J133" s="56" t="n">
        <v>4.4</v>
      </c>
      <c r="K133" s="56" t="inlineStr">
        <is>
          <t>https://amazon.com/dp/B07Z481NJM</t>
        </is>
      </c>
      <c r="L133" s="34">
        <f>HYPERLINK(Innova3p_1[[#This Row],[Column1]])</f>
        <v/>
      </c>
    </row>
    <row r="134" ht="45" customHeight="1" s="290">
      <c r="A134" s="30" t="inlineStr">
        <is>
          <t>Innova 5210 OBD2 Scanner &amp; Engine Code Reader, Battery Tester, Live Data, Oil Reset, Car Diagnostic Tool for Most Vehicles, Bluetooth Compatible with America's Top Car Repair App</t>
        </is>
      </c>
      <c r="B134" s="30" t="inlineStr">
        <is>
          <t>B07Z46L5FG</t>
        </is>
      </c>
      <c r="C134" s="30" t="inlineStr">
        <is>
          <t>Handheld</t>
        </is>
      </c>
      <c r="D134" s="324" t="n">
        <v>87.48796262367168</v>
      </c>
      <c r="E134" s="53" t="n">
        <v>2540961.49</v>
      </c>
      <c r="F134" s="53" t="n">
        <v>238754.65</v>
      </c>
      <c r="G134" s="55" t="n">
        <v>28360</v>
      </c>
      <c r="H134" s="57" t="n">
        <v>2729</v>
      </c>
      <c r="I134" s="55" t="n">
        <v>3977</v>
      </c>
      <c r="J134" s="56" t="n">
        <v>4.5</v>
      </c>
      <c r="K134" s="56" t="inlineStr">
        <is>
          <t>https://amazon.com/dp/B07Z46L5FG</t>
        </is>
      </c>
      <c r="L134" s="34">
        <f>HYPERLINK(Innova3p_1[[#This Row],[Column1]])</f>
        <v/>
      </c>
    </row>
    <row r="135" ht="45" customHeight="1" s="290">
      <c r="A135" s="30" t="inlineStr">
        <is>
          <t>Innova 5410 All-System OBD2 Scanner Diagnostic Tool for Cars &amp; Trucks – Automotive Scan Tools for Engine, ABS, SRS &amp; Transmission, Bluetooth Compatible with America's Top Car Repair App</t>
        </is>
      </c>
      <c r="B135" s="30" t="inlineStr">
        <is>
          <t>B07ZL7CLYR</t>
        </is>
      </c>
      <c r="C135" s="30" t="inlineStr">
        <is>
          <t>Handheld</t>
        </is>
      </c>
      <c r="D135" s="324" t="n">
        <v>153.9972163120567</v>
      </c>
      <c r="E135" s="53" t="n">
        <v>1014363.7</v>
      </c>
      <c r="F135" s="53" t="n">
        <v>86854.42999999999</v>
      </c>
      <c r="G135" s="55" t="n">
        <v>6150</v>
      </c>
      <c r="H135" s="57" t="n">
        <v>564</v>
      </c>
      <c r="I135" s="55" t="n">
        <v>680</v>
      </c>
      <c r="J135" s="56" t="n">
        <v>4.4</v>
      </c>
      <c r="K135" s="56" t="inlineStr">
        <is>
          <t>https://amazon.com/dp/B07ZL7CLYR</t>
        </is>
      </c>
      <c r="L135" s="34">
        <f>HYPERLINK(Innova3p_1[[#This Row],[Column1]])</f>
        <v/>
      </c>
    </row>
    <row r="136" ht="45" customHeight="1" s="290">
      <c r="A136" s="30" t="inlineStr">
        <is>
          <t>Innova 3380 Automotive Borescope with Light, 2.7" Inspection Camera, 39" Extension, IP67 Waterproof Digital Scope</t>
        </is>
      </c>
      <c r="B136" s="30" t="inlineStr">
        <is>
          <t>B082JCSB4Z</t>
        </is>
      </c>
      <c r="C136" s="30" t="inlineStr">
        <is>
          <t>Other</t>
        </is>
      </c>
      <c r="D136" s="324" t="n">
        <v>82.5832541567696</v>
      </c>
      <c r="E136" s="53" t="n">
        <v>419885.0269230769</v>
      </c>
      <c r="F136" s="53" t="n">
        <v>34767.55</v>
      </c>
      <c r="G136" s="55" t="n">
        <v>421</v>
      </c>
      <c r="H136" s="57" t="n">
        <v>421</v>
      </c>
      <c r="I136" s="55" t="n"/>
      <c r="J136" s="56" t="n"/>
      <c r="K136" s="56" t="inlineStr">
        <is>
          <t>https://www.amazon.com/dp/B082JCSB4Z</t>
        </is>
      </c>
      <c r="L136" s="34">
        <f>HYPERLINK(Innova3p_1[[#This Row],[Column1]])</f>
        <v/>
      </c>
    </row>
    <row r="137" ht="45" customHeight="1" s="290">
      <c r="A137" s="30" t="inlineStr">
        <is>
          <t>Innova 1000 Bluetooth OBD2 Scanner for iPhone &amp; Android - Predict Car Problems Before They Happen - No Subscriptions - Detect Check Engine, ABS, SRS Issues for Cars 1996+</t>
        </is>
      </c>
      <c r="B137" s="30" t="inlineStr">
        <is>
          <t>B0D32BNNQ9</t>
        </is>
      </c>
      <c r="C137" s="30" t="inlineStr">
        <is>
          <t>Dongle</t>
        </is>
      </c>
      <c r="D137" s="324" t="n">
        <v>89.44265232974911</v>
      </c>
      <c r="E137" s="53" t="n">
        <v>506840.65</v>
      </c>
      <c r="F137" s="53" t="n">
        <v>24954.5</v>
      </c>
      <c r="G137" s="55" t="n">
        <v>5510</v>
      </c>
      <c r="H137" s="57" t="n">
        <v>279</v>
      </c>
      <c r="I137" s="55" t="n">
        <v>407</v>
      </c>
      <c r="J137" s="56" t="n">
        <v>4.3</v>
      </c>
      <c r="K137" s="56" t="inlineStr">
        <is>
          <t>https://amazon.com/dp/B0D32BNNQ9</t>
        </is>
      </c>
      <c r="L137" s="34">
        <f>HYPERLINK(Innova3p_1[[#This Row],[Column1]])</f>
        <v/>
      </c>
    </row>
    <row r="138" ht="45" customHeight="1" s="290">
      <c r="A138" s="30" t="inlineStr">
        <is>
          <t>Innova SD35 OBD2 Scanner – ABS, SRS, TPMS &amp; Check Engine Code Reader, Live Data, All System Diagnostics, Compatible with Most Vehicles</t>
        </is>
      </c>
      <c r="B138" s="30" t="inlineStr">
        <is>
          <t>B0F254MVB5</t>
        </is>
      </c>
      <c r="C138" s="30" t="inlineStr">
        <is>
          <t>Tablet</t>
        </is>
      </c>
      <c r="D138" s="324" t="n">
        <v>142.2215175097276</v>
      </c>
      <c r="E138" s="53" t="n">
        <v>1070841.26</v>
      </c>
      <c r="F138" s="53" t="n">
        <v>36550.93</v>
      </c>
      <c r="G138" s="55" t="n">
        <v>7985</v>
      </c>
      <c r="H138" s="57" t="n">
        <v>257</v>
      </c>
      <c r="I138" s="55" t="n">
        <v>336</v>
      </c>
      <c r="J138" s="56" t="n">
        <v>4.5</v>
      </c>
      <c r="K138" s="56" t="inlineStr">
        <is>
          <t>https://amazon.com/dp/B0F254MVB5</t>
        </is>
      </c>
      <c r="L138" s="34">
        <f>HYPERLINK(Innova3p_1[[#This Row],[Column1]])</f>
        <v/>
      </c>
    </row>
    <row r="139" ht="45" customHeight="1" s="290">
      <c r="A139" s="30" t="inlineStr">
        <is>
          <t>INNOVA 5310 OBD2 Scanner – ABS &amp; SRS Code Reader, Check Engine Light Diagnostic Tool with Battery Test, Oil Reset, Live Data – Works with Most OBDII Vehicles 1996 &amp; Newer</t>
        </is>
      </c>
      <c r="B139" s="30" t="inlineStr">
        <is>
          <t>B07ZL746BR</t>
        </is>
      </c>
      <c r="C139" s="30" t="inlineStr">
        <is>
          <t>Handheld</t>
        </is>
      </c>
      <c r="D139" s="324" t="n">
        <v>127.4812053571429</v>
      </c>
      <c r="E139" s="53" t="n">
        <v>326612.54</v>
      </c>
      <c r="F139" s="53" t="n">
        <v>28555.79</v>
      </c>
      <c r="G139" s="55" t="n">
        <v>2661</v>
      </c>
      <c r="H139" s="57" t="n">
        <v>224</v>
      </c>
      <c r="I139" s="55" t="n">
        <v>830</v>
      </c>
      <c r="J139" s="56" t="n">
        <v>4.5</v>
      </c>
      <c r="K139" s="56" t="inlineStr">
        <is>
          <t>https://amazon.com/dp/B07ZL746BR</t>
        </is>
      </c>
      <c r="L139" s="34">
        <f>HYPERLINK(Innova3p_1[[#This Row],[Column1]])</f>
        <v/>
      </c>
    </row>
    <row r="140" ht="45" customHeight="1" s="290">
      <c r="A140" s="30" t="inlineStr">
        <is>
          <t>Innova 3994 Soft Pouch</t>
        </is>
      </c>
      <c r="B140" s="30" t="inlineStr">
        <is>
          <t>B0D4R8Y6SY</t>
        </is>
      </c>
      <c r="C140" s="30" t="inlineStr">
        <is>
          <t>Other</t>
        </is>
      </c>
      <c r="D140" s="324" t="n">
        <v>19.22457894736842</v>
      </c>
      <c r="E140" s="53" t="n">
        <v>44113.01461538461</v>
      </c>
      <c r="F140" s="53" t="n">
        <v>3652.67</v>
      </c>
      <c r="G140" s="55" t="n">
        <v>190</v>
      </c>
      <c r="H140" s="57" t="n">
        <v>190</v>
      </c>
      <c r="I140" s="55" t="n"/>
      <c r="J140" s="56" t="n"/>
      <c r="K140" s="56" t="inlineStr">
        <is>
          <t>https://www.amazon.com/dp/B0D4R8Y6SY</t>
        </is>
      </c>
      <c r="L140" s="34">
        <f>HYPERLINK(Innova3p_1[[#This Row],[Column1]])</f>
        <v/>
      </c>
    </row>
    <row r="141" ht="30" customHeight="1" s="290">
      <c r="A141" s="30" t="inlineStr">
        <is>
          <t>INNOVA 5110 Check Engine Code Reader - Super Simple Car Scanner for All Levels - Works on Most 1996 &amp; Newer OBDII Cars</t>
        </is>
      </c>
      <c r="B141" s="30" t="inlineStr">
        <is>
          <t>B07Z46KNLR</t>
        </is>
      </c>
      <c r="C141" s="30" t="inlineStr">
        <is>
          <t>Handheld</t>
        </is>
      </c>
      <c r="D141" s="324" t="n">
        <v>65.72888888888889</v>
      </c>
      <c r="E141" s="53" t="n">
        <v>76589.42999999999</v>
      </c>
      <c r="F141" s="53" t="n">
        <v>4140.92</v>
      </c>
      <c r="G141" s="55" t="n">
        <v>1160</v>
      </c>
      <c r="H141" s="57" t="n">
        <v>63</v>
      </c>
      <c r="I141" s="55" t="n">
        <v>1029</v>
      </c>
      <c r="J141" s="56" t="n">
        <v>4.3</v>
      </c>
      <c r="K141" s="56" t="inlineStr">
        <is>
          <t>https://amazon.com/dp/B07Z46KNLR</t>
        </is>
      </c>
      <c r="L141" s="34">
        <f>HYPERLINK(Innova3p_1[[#This Row],[Column1]])</f>
        <v/>
      </c>
    </row>
    <row r="142" ht="45" customHeight="1" s="290">
      <c r="A142" s="30" t="inlineStr">
        <is>
          <t>Innova SDS43 OBD2 Scanner Diagnostic Tool - Bidirectional Tablet Scanner for Engine, ABS, SRS, Transmission - Compatible with Most Vehicles</t>
        </is>
      </c>
      <c r="B142" s="30" t="inlineStr">
        <is>
          <t>B0F4M2MZYN</t>
        </is>
      </c>
      <c r="C142" s="30" t="inlineStr">
        <is>
          <t>Tablet</t>
        </is>
      </c>
      <c r="D142" s="324" t="n">
        <v>280.19875</v>
      </c>
      <c r="E142" s="53" t="n">
        <v>171634.31</v>
      </c>
      <c r="F142" s="53" t="n">
        <v>13449.54</v>
      </c>
      <c r="G142" s="55" t="n">
        <v>651</v>
      </c>
      <c r="H142" s="57" t="n">
        <v>48</v>
      </c>
      <c r="I142" s="55" t="n">
        <v>62</v>
      </c>
      <c r="J142" s="56" t="n">
        <v>4</v>
      </c>
      <c r="K142" s="56" t="inlineStr">
        <is>
          <t>https://amazon.com/dp/B0F4M2MZYN</t>
        </is>
      </c>
      <c r="L142" s="34">
        <f>HYPERLINK(Innova3p_1[[#This Row],[Column1]])</f>
        <v/>
      </c>
    </row>
    <row r="143" ht="45" customHeight="1" s="290">
      <c r="A143" s="30" t="inlineStr">
        <is>
          <t>INNOVA 5510 OBD2 Scanner, Scan Tool for ABS, All System Scanner, Caliper Service, Brake Pad Life, Read/Erase ABS/SRS Codes, Reset Oil Light, Live Data, Updates Included</t>
        </is>
      </c>
      <c r="B143" s="30" t="inlineStr">
        <is>
          <t>B07Z48NKF1</t>
        </is>
      </c>
      <c r="C143" s="30" t="inlineStr">
        <is>
          <t>Handheld</t>
        </is>
      </c>
      <c r="D143" s="324" t="n">
        <v>224.99</v>
      </c>
      <c r="E143" s="53" t="n">
        <v>79422.56</v>
      </c>
      <c r="F143" s="53" t="n">
        <v>9899.559999999999</v>
      </c>
      <c r="G143" s="55" t="n">
        <v>358</v>
      </c>
      <c r="H143" s="57" t="n">
        <v>44</v>
      </c>
      <c r="I143" s="55" t="n">
        <v>292</v>
      </c>
      <c r="J143" s="56" t="n">
        <v>4.1</v>
      </c>
      <c r="K143" s="56" t="inlineStr">
        <is>
          <t>https://amazon.com/dp/B07Z48NKF1</t>
        </is>
      </c>
      <c r="L143" s="34">
        <f>HYPERLINK(Innova3p_1[[#This Row],[Column1]])</f>
        <v/>
      </c>
    </row>
    <row r="144" ht="45" customHeight="1" s="290">
      <c r="A144" s="30" t="inlineStr">
        <is>
          <t>Innova 3128 HD Adapter Kit - Made for Heavy-Duty Trucks - Compatible with Innova 5610 - Includes 4 Heavy-Duty OBD Adapters with a Pouch Bag</t>
        </is>
      </c>
      <c r="B144" s="30" t="inlineStr">
        <is>
          <t>B0FD49XQTG</t>
        </is>
      </c>
      <c r="C144" s="30" t="inlineStr">
        <is>
          <t>Cable/Adapter</t>
        </is>
      </c>
      <c r="D144" s="324" t="n">
        <v>93.93181818181819</v>
      </c>
      <c r="E144" s="53" t="n">
        <v>26628.22846153846</v>
      </c>
      <c r="F144" s="53" t="n">
        <v>3099.75</v>
      </c>
      <c r="G144" s="55" t="n">
        <v>125</v>
      </c>
      <c r="H144" s="57" t="n">
        <v>33</v>
      </c>
      <c r="I144" s="55" t="n">
        <v>3</v>
      </c>
      <c r="J144" s="56" t="n">
        <v>5</v>
      </c>
      <c r="K144" s="56" t="inlineStr">
        <is>
          <t>https://amazon.com/dp/B0FD49XQTG</t>
        </is>
      </c>
      <c r="L144" s="34">
        <f>HYPERLINK(Innova3p_1[[#This Row],[Column1]])</f>
        <v/>
      </c>
    </row>
    <row r="145" ht="45" customHeight="1" s="290">
      <c r="A145" s="30" t="inlineStr">
        <is>
          <t>Innova 5420 Power Circuit Tester for Automotive | 45° Swivel Head | Fuse, Relay, Battery, and Circuit Diagnostics | Voltage Tester, Multimeter, Relay Tester, Short Circuit Finder, 12V/24V</t>
        </is>
      </c>
      <c r="B145" s="30" t="inlineStr">
        <is>
          <t>B09ZQ3ZQV2</t>
        </is>
      </c>
      <c r="C145" s="30" t="inlineStr">
        <is>
          <t>Other</t>
        </is>
      </c>
      <c r="D145" s="324" t="n">
        <v>90.3060606060606</v>
      </c>
      <c r="E145" s="53" t="n">
        <v>35990.43846153846</v>
      </c>
      <c r="F145" s="53" t="n">
        <v>2980.1</v>
      </c>
      <c r="G145" s="55" t="n">
        <v>33</v>
      </c>
      <c r="H145" s="57" t="n">
        <v>33</v>
      </c>
      <c r="I145" s="55" t="n"/>
      <c r="J145" s="56" t="n"/>
      <c r="K145" s="56" t="inlineStr">
        <is>
          <t>https://www.amazon.com/dp/B09ZQ3ZQV2</t>
        </is>
      </c>
      <c r="L145" s="34">
        <f>HYPERLINK(Innova3p_1[[#This Row],[Column1]])</f>
        <v/>
      </c>
    </row>
    <row r="146" ht="60" customHeight="1" s="290">
      <c r="A146" s="30" t="inlineStr">
        <is>
          <t>Innova 3129 OBD-1 Kit (Includes OBD1 Adapters &amp; Pouch) , Black</t>
        </is>
      </c>
      <c r="B146" s="30" t="inlineStr">
        <is>
          <t>B078BHTCK1</t>
        </is>
      </c>
      <c r="C146" s="30" t="inlineStr">
        <is>
          <t>Cable/Adapter</t>
        </is>
      </c>
      <c r="D146" s="324" t="n">
        <v>105.3322222222222</v>
      </c>
      <c r="E146" s="53" t="n">
        <v>107047.6723076923</v>
      </c>
      <c r="F146" s="53" t="n">
        <v>2843.97</v>
      </c>
      <c r="G146" s="55" t="n">
        <v>83</v>
      </c>
      <c r="H146" s="57" t="n">
        <v>27</v>
      </c>
      <c r="I146" s="55" t="n">
        <v>200</v>
      </c>
      <c r="J146" s="56" t="n">
        <v>4.3</v>
      </c>
      <c r="K146" s="56" t="inlineStr">
        <is>
          <t>https://amazon.com/dp/B078BHTCK1</t>
        </is>
      </c>
      <c r="L146" s="34">
        <f>HYPERLINK(Innova3p_1[[#This Row],[Column1]])</f>
        <v/>
      </c>
    </row>
    <row r="147" ht="45" customHeight="1" s="290">
      <c r="A147" s="30" t="inlineStr">
        <is>
          <t>INNOVA 3020RS Fast &amp; Easy-to-Use Check Engine Code Reader, OBD2 Scan tool for ABS Clear with Fix &amp; Part Recommendations, Maintenance Schedules, &amp; Free TSBs on iPhone &amp; Android</t>
        </is>
      </c>
      <c r="B147" s="30" t="inlineStr">
        <is>
          <t>B084SWJL4J</t>
        </is>
      </c>
      <c r="C147" s="30" t="inlineStr">
        <is>
          <t>Handheld</t>
        </is>
      </c>
      <c r="D147" s="324" t="n">
        <v>65.36333333333334</v>
      </c>
      <c r="E147" s="53" t="n">
        <v>78600.73999999999</v>
      </c>
      <c r="F147" s="53" t="n">
        <v>1372.63</v>
      </c>
      <c r="G147" s="55" t="n">
        <v>1191</v>
      </c>
      <c r="H147" s="57" t="n">
        <v>21</v>
      </c>
      <c r="I147" s="55" t="n">
        <v>2485</v>
      </c>
      <c r="J147" s="56" t="n">
        <v>4.3</v>
      </c>
      <c r="K147" s="56" t="inlineStr">
        <is>
          <t>https://amazon.com/dp/B084SWJL4J</t>
        </is>
      </c>
      <c r="L147" s="34">
        <f>HYPERLINK(Innova3p_1[[#This Row],[Column1]])</f>
        <v/>
      </c>
    </row>
    <row r="148" ht="45" customHeight="1" s="290">
      <c r="A148" s="30" t="inlineStr">
        <is>
          <t>INNOVA 3320 Auto-Ranging Digital Multimeter, Red &amp; Black</t>
        </is>
      </c>
      <c r="B148" s="30" t="inlineStr">
        <is>
          <t>B000EVYGZA</t>
        </is>
      </c>
      <c r="C148" s="30" t="inlineStr">
        <is>
          <t>Other</t>
        </is>
      </c>
      <c r="D148" s="324" t="n">
        <v>34.99</v>
      </c>
      <c r="E148" s="53" t="n">
        <v>132466.4553846154</v>
      </c>
      <c r="F148" s="53" t="n">
        <v>629.8200000000001</v>
      </c>
      <c r="G148" s="55" t="n">
        <v>308</v>
      </c>
      <c r="H148" s="57" t="n">
        <v>18</v>
      </c>
      <c r="I148" s="55" t="n"/>
      <c r="J148" s="56" t="n"/>
      <c r="K148" s="56" t="inlineStr">
        <is>
          <t>https://www.amazon.com/dp/B000EVYGZA</t>
        </is>
      </c>
      <c r="L148" s="34">
        <f>HYPERLINK(Innova3p_1[[#This Row],[Column1]])</f>
        <v/>
      </c>
    </row>
    <row r="149" ht="45" customHeight="1" s="290">
      <c r="A149" s="30" t="inlineStr">
        <is>
          <t>INNOVA 3170RS OBD1 &amp; OBD2 Scanner, ABS Bleeder Scan Tool, OBD2 Diagnostic, Caliper Service, Brake Pad Life, Read/Erase ABS/SRS Codes, Reset Oil Light, Live Data, Updates Included</t>
        </is>
      </c>
      <c r="B149" s="30" t="inlineStr">
        <is>
          <t>B08FZ46X2M</t>
        </is>
      </c>
      <c r="C149" s="30" t="inlineStr">
        <is>
          <t>Handheld</t>
        </is>
      </c>
      <c r="D149" s="324" t="n">
        <v>296.5284615384616</v>
      </c>
      <c r="E149" s="53" t="n">
        <v>67811.843334</v>
      </c>
      <c r="F149" s="53" t="n">
        <v>3854.87</v>
      </c>
      <c r="G149" s="55" t="n">
        <v>228</v>
      </c>
      <c r="H149" s="57" t="n">
        <v>13</v>
      </c>
      <c r="I149" s="55" t="n">
        <v>157</v>
      </c>
      <c r="J149" s="56" t="n">
        <v>3.9</v>
      </c>
      <c r="K149" s="56" t="inlineStr">
        <is>
          <t>https://amazon.com/dp/B08FZ46X2M</t>
        </is>
      </c>
      <c r="L149" s="34">
        <f>HYPERLINK(Innova3p_1[[#This Row],[Column1]])</f>
        <v/>
      </c>
    </row>
    <row r="150" ht="45" customHeight="1" s="290">
      <c r="A150" s="30" t="inlineStr">
        <is>
          <t>Innova 3360 Thermal Camera - Infrared Camera with Heat Vision - Identify Hot/Cold Spots -4° ~ 1112°F - Easy to Use Thermal Imager</t>
        </is>
      </c>
      <c r="B150" s="30" t="inlineStr">
        <is>
          <t>B0FDLVW4G8</t>
        </is>
      </c>
      <c r="C150" s="30" t="inlineStr">
        <is>
          <t>Other</t>
        </is>
      </c>
      <c r="D150" s="324" t="n">
        <v>95.54666666666667</v>
      </c>
      <c r="E150" s="53" t="n">
        <v>10385.18769230769</v>
      </c>
      <c r="F150" s="53" t="n">
        <v>859.92</v>
      </c>
      <c r="G150" s="55" t="n">
        <v>9</v>
      </c>
      <c r="H150" s="57" t="n">
        <v>9</v>
      </c>
      <c r="I150" s="55" t="n"/>
      <c r="J150" s="56" t="n"/>
      <c r="K150" s="56" t="inlineStr">
        <is>
          <t>https://www.amazon.com/dp/B0FDLVW4G8</t>
        </is>
      </c>
      <c r="L150" s="34">
        <f>HYPERLINK(Innova3p_1[[#This Row],[Column1]])</f>
        <v/>
      </c>
    </row>
    <row r="151" ht="45" customHeight="1" s="290">
      <c r="A151" s="30" t="inlineStr">
        <is>
          <t>Innova 5512 OBD2 Scanner, ABS Brake Bleeding, Transmission Temp, TPMS, OBD1 Adapters Included, Repair App</t>
        </is>
      </c>
      <c r="B151" s="30" t="inlineStr">
        <is>
          <t>B09WPW4WQ4</t>
        </is>
      </c>
      <c r="C151" s="30" t="inlineStr">
        <is>
          <t>Handheld</t>
        </is>
      </c>
      <c r="D151" s="324" t="n">
        <v>299.99</v>
      </c>
      <c r="E151" s="53" t="n">
        <v>21691.06307692307</v>
      </c>
      <c r="F151" s="53" t="n">
        <v>1799.94</v>
      </c>
      <c r="G151" s="55" t="n">
        <v>66</v>
      </c>
      <c r="H151" s="57" t="n">
        <v>6</v>
      </c>
      <c r="I151" s="55" t="n">
        <v>32</v>
      </c>
      <c r="J151" s="56" t="n">
        <v>3.8</v>
      </c>
      <c r="K151" s="56" t="inlineStr">
        <is>
          <t>https://amazon.com/dp/B09WPW4WQ4</t>
        </is>
      </c>
      <c r="L151" s="34">
        <f>HYPERLINK(Innova3p_1[[#This Row],[Column1]])</f>
        <v/>
      </c>
    </row>
    <row r="152" ht="45" customHeight="1" s="290">
      <c r="A152" s="30" t="inlineStr">
        <is>
          <t>Innova 3340 Professional Automotive Digital Multimeter, Black</t>
        </is>
      </c>
      <c r="B152" s="30" t="inlineStr">
        <is>
          <t>B000KIMHRQ</t>
        </is>
      </c>
      <c r="C152" s="30" t="inlineStr">
        <is>
          <t>Other</t>
        </is>
      </c>
      <c r="D152" s="324" t="n">
        <v>99.99000000000001</v>
      </c>
      <c r="E152" s="53" t="n">
        <v>87575.32461538461</v>
      </c>
      <c r="F152" s="53" t="n">
        <v>299.97</v>
      </c>
      <c r="G152" s="55" t="n">
        <v>80</v>
      </c>
      <c r="H152" s="57" t="n">
        <v>3</v>
      </c>
      <c r="I152" s="55" t="n"/>
      <c r="J152" s="56" t="n"/>
      <c r="K152" s="56" t="inlineStr">
        <is>
          <t>https://www.amazon.com/dp/B000KIMHRQ</t>
        </is>
      </c>
      <c r="L152" s="34">
        <f>HYPERLINK(Innova3p_1[[#This Row],[Column1]])</f>
        <v/>
      </c>
    </row>
    <row r="153" ht="60" customHeight="1" s="290">
      <c r="A153" s="30" t="inlineStr">
        <is>
          <t>INNOVA 3100RS, OBD2 Scanner, ABS SRS Airbag Scan Tool with Airbag Light &amp; Oil Light Reset, Stream Graph &amp; Record Live Data, Get Suggested Repair &amp; Parts on iPhone or Android</t>
        </is>
      </c>
      <c r="B153" s="30" t="inlineStr">
        <is>
          <t>B084SW4K8J</t>
        </is>
      </c>
      <c r="C153" s="30" t="inlineStr">
        <is>
          <t>Handheld</t>
        </is>
      </c>
      <c r="D153" s="324" t="n">
        <v>142.5</v>
      </c>
      <c r="E153" s="53" t="n">
        <v>88653.43999999999</v>
      </c>
      <c r="F153" s="53" t="n">
        <v>142.5</v>
      </c>
      <c r="G153" s="55" t="n">
        <v>640</v>
      </c>
      <c r="H153" s="57" t="n">
        <v>1</v>
      </c>
      <c r="I153" s="55" t="n">
        <v>533</v>
      </c>
      <c r="J153" s="56" t="n">
        <v>4.4</v>
      </c>
      <c r="K153" s="56" t="inlineStr">
        <is>
          <t>https://amazon.com/dp/B084SW4K8J</t>
        </is>
      </c>
      <c r="L153" s="34">
        <f>HYPERLINK(Innova3p_1[[#This Row],[Column1]])</f>
        <v/>
      </c>
    </row>
    <row r="154" ht="45" customHeight="1" s="290">
      <c r="A154" s="30" t="n"/>
      <c r="B154" s="30" t="n"/>
      <c r="C154" s="30" t="n"/>
      <c r="D154" s="324" t="n"/>
      <c r="E154" s="53" t="n"/>
      <c r="F154" s="53" t="n"/>
      <c r="G154" s="55" t="n"/>
      <c r="H154" s="57" t="n"/>
      <c r="I154" s="55" t="n"/>
      <c r="J154" s="56" t="n"/>
      <c r="K154" s="56" t="n"/>
      <c r="L154" s="34">
        <f>HYPERLINK(Table65[[#This Row],[Column1]])</f>
        <v/>
      </c>
    </row>
    <row r="155" ht="45" customHeight="1" s="290">
      <c r="A155" s="30" t="n"/>
      <c r="B155" s="30" t="n"/>
      <c r="C155" s="30" t="n"/>
      <c r="D155" s="324" t="n"/>
      <c r="E155" s="53" t="n"/>
      <c r="F155" s="53" t="n"/>
      <c r="G155" s="55" t="n"/>
      <c r="H155" s="57" t="n"/>
      <c r="I155" s="55" t="n"/>
      <c r="J155" s="56" t="n"/>
      <c r="K155" s="56" t="n"/>
      <c r="L155" s="34">
        <f>HYPERLINK(Table65[[#This Row],[Column1]])</f>
        <v/>
      </c>
    </row>
    <row r="156" ht="45" customHeight="1" s="290">
      <c r="A156" s="30" t="n"/>
      <c r="B156" s="30" t="n"/>
      <c r="C156" s="30" t="n"/>
      <c r="D156" s="324" t="n"/>
      <c r="E156" s="53" t="n"/>
      <c r="F156" s="53" t="n"/>
      <c r="G156" s="55" t="n"/>
      <c r="H156" s="57" t="n"/>
      <c r="I156" s="55" t="n"/>
      <c r="J156" s="56" t="n"/>
      <c r="K156" s="56" t="n"/>
      <c r="L156" s="34">
        <f>HYPERLINK(Table65[[#This Row],[Column1]])</f>
        <v/>
      </c>
    </row>
    <row r="157" ht="45" customHeight="1" s="290">
      <c r="A157" s="30" t="n"/>
      <c r="B157" s="30" t="n"/>
      <c r="C157" s="30" t="n"/>
      <c r="D157" s="324" t="n"/>
      <c r="E157" s="53" t="n"/>
      <c r="F157" s="53" t="n"/>
      <c r="G157" s="55" t="n"/>
      <c r="H157" s="57" t="n"/>
      <c r="I157" s="55" t="n"/>
      <c r="J157" s="56" t="n"/>
      <c r="K157" s="56" t="n"/>
      <c r="L157" s="34">
        <f>HYPERLINK(Table65[[#This Row],[Column1]])</f>
        <v/>
      </c>
    </row>
    <row r="158" ht="45" customHeight="1" s="290">
      <c r="A158" s="30" t="n"/>
      <c r="B158" s="30" t="n"/>
      <c r="C158" s="30" t="n"/>
      <c r="D158" s="324" t="n"/>
      <c r="E158" s="53" t="n"/>
      <c r="F158" s="53" t="n"/>
      <c r="G158" s="55" t="n"/>
      <c r="H158" s="57" t="n"/>
      <c r="I158" s="55" t="n"/>
      <c r="J158" s="56" t="n"/>
      <c r="K158" s="56" t="n"/>
      <c r="L158" s="34">
        <f>HYPERLINK(Table65[[#This Row],[Column1]])</f>
        <v/>
      </c>
    </row>
    <row r="159" ht="45" customHeight="1" s="290">
      <c r="A159" s="30" t="n"/>
      <c r="B159" s="30" t="n"/>
      <c r="C159" s="30" t="n"/>
      <c r="D159" s="324" t="n"/>
      <c r="E159" s="53" t="n"/>
      <c r="F159" s="53" t="n"/>
      <c r="G159" s="55" t="n"/>
      <c r="H159" s="57" t="n"/>
      <c r="I159" s="55" t="n"/>
      <c r="J159" s="56" t="n"/>
      <c r="K159" s="56" t="n"/>
      <c r="L159" s="34">
        <f>HYPERLINK(Table65[[#This Row],[Column1]])</f>
        <v/>
      </c>
    </row>
    <row r="160" ht="45" customHeight="1" s="290">
      <c r="A160" s="30" t="n"/>
      <c r="B160" s="30" t="n"/>
      <c r="C160" s="30" t="n"/>
      <c r="D160" s="324" t="n"/>
      <c r="E160" s="53" t="n"/>
      <c r="F160" s="53" t="n"/>
      <c r="G160" s="55" t="n"/>
      <c r="H160" s="57" t="n"/>
      <c r="I160" s="55" t="n"/>
      <c r="J160" s="56" t="n"/>
      <c r="K160" s="56" t="n"/>
      <c r="L160" s="34">
        <f>HYPERLINK(Table65[[#This Row],[Column1]])</f>
        <v/>
      </c>
    </row>
    <row r="161" ht="60" customHeight="1" s="290">
      <c r="A161" s="30" t="n"/>
      <c r="B161" s="30" t="n"/>
      <c r="C161" s="30" t="n"/>
      <c r="D161" s="324" t="n"/>
      <c r="E161" s="53" t="n"/>
      <c r="F161" s="53" t="n"/>
      <c r="G161" s="55" t="n"/>
      <c r="H161" s="57" t="n"/>
      <c r="I161" s="55" t="n"/>
      <c r="J161" s="56" t="n"/>
      <c r="K161" s="56" t="n"/>
      <c r="L161" s="34">
        <f>HYPERLINK(Table65[[#This Row],[Column1]])</f>
        <v/>
      </c>
    </row>
    <row r="162" ht="45" customHeight="1" s="290">
      <c r="A162" s="30" t="n"/>
      <c r="B162" s="30" t="n"/>
      <c r="C162" s="30" t="n"/>
      <c r="D162" s="324" t="n"/>
      <c r="E162" s="53" t="n"/>
      <c r="F162" s="53" t="n"/>
      <c r="G162" s="55" t="n"/>
      <c r="H162" s="57" t="n"/>
      <c r="I162" s="55" t="n"/>
      <c r="J162" s="56" t="n"/>
      <c r="K162" s="56" t="n"/>
      <c r="L162" s="34">
        <f>HYPERLINK(Table65[[#This Row],[Column1]])</f>
        <v/>
      </c>
    </row>
    <row r="163" ht="45" customHeight="1" s="290">
      <c r="A163" s="30" t="n"/>
      <c r="B163" s="30" t="n"/>
      <c r="C163" s="30" t="n"/>
      <c r="D163" s="324" t="n"/>
      <c r="E163" s="53" t="n"/>
      <c r="F163" s="53" t="n"/>
      <c r="G163" s="55" t="n"/>
      <c r="H163" s="57" t="n"/>
      <c r="I163" s="55" t="n"/>
      <c r="J163" s="56" t="n"/>
      <c r="K163" s="56" t="n"/>
      <c r="L163" s="34">
        <f>HYPERLINK(Table65[[#This Row],[Column1]])</f>
        <v/>
      </c>
    </row>
    <row r="164" ht="45" customHeight="1" s="290">
      <c r="A164" s="30" t="n"/>
      <c r="B164" s="30" t="n"/>
      <c r="C164" s="30" t="n"/>
      <c r="D164" s="324" t="n"/>
      <c r="E164" s="53" t="n"/>
      <c r="F164" s="53" t="n"/>
      <c r="G164" s="55" t="n"/>
      <c r="H164" s="57" t="n"/>
      <c r="I164" s="55" t="n"/>
      <c r="J164" s="56" t="n"/>
      <c r="K164" s="56" t="n"/>
      <c r="L164" s="34">
        <f>HYPERLINK(Table65[[#This Row],[Column1]])</f>
        <v/>
      </c>
    </row>
    <row r="165" ht="45" customHeight="1" s="290">
      <c r="A165" s="30" t="n"/>
      <c r="B165" s="30" t="n"/>
      <c r="C165" s="30" t="n"/>
      <c r="D165" s="324" t="n"/>
      <c r="E165" s="53" t="n"/>
      <c r="F165" s="53" t="n"/>
      <c r="G165" s="55" t="n"/>
      <c r="H165" s="57" t="n"/>
      <c r="I165" s="55" t="n"/>
      <c r="J165" s="56" t="n"/>
      <c r="K165" s="56" t="n"/>
      <c r="L165" s="34">
        <f>HYPERLINK(Table65[[#This Row],[Column1]])</f>
        <v/>
      </c>
    </row>
    <row r="166" ht="45" customHeight="1" s="290">
      <c r="A166" s="30" t="n"/>
      <c r="B166" s="30" t="n"/>
      <c r="C166" s="30" t="n"/>
      <c r="D166" s="324" t="n"/>
      <c r="E166" s="53" t="n"/>
      <c r="F166" s="53" t="n"/>
      <c r="G166" s="55" t="n"/>
      <c r="H166" s="57" t="n"/>
      <c r="I166" s="55" t="n"/>
      <c r="J166" s="56" t="n"/>
      <c r="K166" s="56" t="n"/>
      <c r="L166" s="34">
        <f>HYPERLINK(Table65[[#This Row],[Column1]])</f>
        <v/>
      </c>
    </row>
    <row r="167" ht="45" customHeight="1" s="290">
      <c r="A167" s="30" t="n"/>
      <c r="B167" s="30" t="n"/>
      <c r="C167" s="30" t="n"/>
      <c r="D167" s="324" t="n"/>
      <c r="E167" s="53" t="n"/>
      <c r="F167" s="53" t="n"/>
      <c r="G167" s="55" t="n"/>
      <c r="H167" s="57" t="n"/>
      <c r="I167" s="55" t="n"/>
      <c r="J167" s="56" t="n"/>
      <c r="K167" s="56" t="n"/>
      <c r="L167" s="34">
        <f>HYPERLINK(Table65[[#This Row],[Column1]])</f>
        <v/>
      </c>
    </row>
    <row r="168" ht="45" customHeight="1" s="290">
      <c r="A168" s="30" t="n"/>
      <c r="B168" s="30" t="n"/>
      <c r="C168" s="30" t="n"/>
      <c r="D168" s="324" t="n"/>
      <c r="E168" s="53" t="n"/>
      <c r="F168" s="53" t="n"/>
      <c r="G168" s="55" t="n"/>
      <c r="H168" s="57" t="n"/>
      <c r="I168" s="55" t="n"/>
      <c r="J168" s="56" t="n"/>
      <c r="K168" s="56" t="n"/>
      <c r="L168" s="34">
        <f>HYPERLINK(Table65[[#This Row],[Column1]])</f>
        <v/>
      </c>
    </row>
    <row r="169" ht="45" customHeight="1" s="290">
      <c r="A169" s="30" t="n"/>
      <c r="B169" s="30" t="n"/>
      <c r="C169" s="30" t="n"/>
      <c r="D169" s="324" t="n"/>
      <c r="E169" s="53" t="n"/>
      <c r="F169" s="53" t="n"/>
      <c r="G169" s="55" t="n"/>
      <c r="H169" s="57" t="n"/>
      <c r="I169" s="55" t="n"/>
      <c r="J169" s="56" t="n"/>
      <c r="K169" s="56" t="n"/>
      <c r="L169" s="34">
        <f>HYPERLINK(Table65[[#This Row],[Column1]])</f>
        <v/>
      </c>
    </row>
    <row r="170" ht="30" customHeight="1" s="290">
      <c r="A170" s="30" t="n"/>
      <c r="B170" s="30" t="n"/>
      <c r="C170" s="30" t="n"/>
      <c r="D170" s="324" t="n"/>
      <c r="E170" s="53" t="n"/>
      <c r="F170" s="53" t="n"/>
      <c r="G170" s="55" t="n"/>
      <c r="H170" s="57" t="n"/>
      <c r="I170" s="55" t="n"/>
      <c r="J170" s="56" t="n"/>
      <c r="K170" s="56" t="n"/>
      <c r="L170" s="34">
        <f>HYPERLINK(Table65[[#This Row],[Column1]])</f>
        <v/>
      </c>
    </row>
    <row r="171" ht="45" customHeight="1" s="290">
      <c r="A171" s="30" t="n"/>
      <c r="B171" s="30" t="n"/>
      <c r="C171" s="30" t="n"/>
      <c r="D171" s="324" t="n"/>
      <c r="E171" s="53" t="n"/>
      <c r="F171" s="53" t="n"/>
      <c r="G171" s="55" t="n"/>
      <c r="H171" s="57" t="n"/>
      <c r="I171" s="55" t="n"/>
      <c r="J171" s="56" t="n"/>
      <c r="K171" s="56" t="n"/>
      <c r="L171" s="34">
        <f>HYPERLINK(Table65[[#This Row],[Column1]])</f>
        <v/>
      </c>
    </row>
    <row r="172" ht="45" customHeight="1" s="290">
      <c r="A172" s="30" t="n"/>
      <c r="B172" s="30" t="n"/>
      <c r="C172" s="30" t="n"/>
      <c r="D172" s="324" t="n"/>
      <c r="E172" s="53" t="n"/>
      <c r="F172" s="53" t="n"/>
      <c r="G172" s="55" t="n"/>
      <c r="H172" s="57" t="n"/>
      <c r="I172" s="55" t="n"/>
      <c r="J172" s="56" t="n"/>
      <c r="K172" s="56" t="n"/>
      <c r="L172" s="34">
        <f>HYPERLINK(Table65[[#This Row],[Column1]])</f>
        <v/>
      </c>
    </row>
    <row r="173" ht="45" customHeight="1" s="290">
      <c r="A173" s="30" t="n"/>
      <c r="B173" s="30" t="n"/>
      <c r="C173" s="30" t="n"/>
      <c r="D173" s="324" t="n"/>
      <c r="E173" s="53" t="n"/>
      <c r="F173" s="53" t="n"/>
      <c r="G173" s="55" t="n"/>
      <c r="H173" s="57" t="n"/>
      <c r="I173" s="55" t="n"/>
      <c r="J173" s="56" t="n"/>
      <c r="K173" s="56" t="n"/>
      <c r="L173" s="34">
        <f>HYPERLINK(Table65[[#This Row],[Column1]])</f>
        <v/>
      </c>
    </row>
    <row r="174" ht="45" customHeight="1" s="290">
      <c r="A174" s="30" t="n"/>
      <c r="B174" s="30" t="n"/>
      <c r="C174" s="30" t="n"/>
      <c r="D174" s="324" t="n"/>
      <c r="E174" s="53" t="n"/>
      <c r="F174" s="53" t="n"/>
      <c r="G174" s="55" t="n"/>
      <c r="H174" s="57" t="n"/>
      <c r="I174" s="55" t="n"/>
      <c r="J174" s="56" t="n"/>
      <c r="K174" s="56" t="n"/>
      <c r="L174" s="34">
        <f>HYPERLINK(Table65[[#This Row],[Column1]])</f>
        <v/>
      </c>
    </row>
    <row r="175" ht="45" customHeight="1" s="290">
      <c r="A175" s="30" t="n"/>
      <c r="B175" s="30" t="n"/>
      <c r="C175" s="30" t="n"/>
      <c r="D175" s="324" t="n"/>
      <c r="E175" s="53" t="n"/>
      <c r="F175" s="53" t="n"/>
      <c r="G175" s="55" t="n"/>
      <c r="H175" s="57" t="n"/>
      <c r="I175" s="55" t="n"/>
      <c r="J175" s="56" t="n"/>
      <c r="K175" s="56" t="n"/>
      <c r="L175" s="34">
        <f>HYPERLINK(Table65[[#This Row],[Column1]])</f>
        <v/>
      </c>
    </row>
    <row r="176" ht="60" customHeight="1" s="290">
      <c r="A176" s="30" t="n"/>
      <c r="B176" s="30" t="n"/>
      <c r="C176" s="30" t="n"/>
      <c r="D176" s="324" t="n"/>
      <c r="E176" s="53" t="n"/>
      <c r="F176" s="53" t="n"/>
      <c r="G176" s="55" t="n"/>
      <c r="H176" s="57" t="n"/>
      <c r="I176" s="55" t="n"/>
      <c r="J176" s="56" t="n"/>
      <c r="K176" s="56" t="n"/>
      <c r="L176" s="34">
        <f>HYPERLINK(Table65[[#This Row],[Column1]])</f>
        <v/>
      </c>
    </row>
    <row r="177" ht="45" customHeight="1" s="290">
      <c r="A177" s="30" t="n"/>
      <c r="B177" s="30" t="n"/>
      <c r="C177" s="30" t="n"/>
      <c r="D177" s="324" t="n"/>
      <c r="E177" s="53" t="n"/>
      <c r="F177" s="53" t="n"/>
      <c r="G177" s="55" t="n"/>
      <c r="H177" s="57" t="n"/>
      <c r="I177" s="55" t="n"/>
      <c r="J177" s="56" t="n"/>
      <c r="K177" s="56" t="n"/>
      <c r="L177" s="34">
        <f>HYPERLINK(Table65[[#This Row],[Column1]])</f>
        <v/>
      </c>
    </row>
    <row r="178" ht="45" customHeight="1" s="290">
      <c r="A178" s="30" t="n"/>
      <c r="B178" s="30" t="n"/>
      <c r="C178" s="30" t="n"/>
      <c r="D178" s="324" t="n"/>
      <c r="E178" s="53" t="n"/>
      <c r="F178" s="53" t="n"/>
      <c r="G178" s="55" t="n"/>
      <c r="H178" s="57" t="n"/>
      <c r="I178" s="55" t="n"/>
      <c r="J178" s="56" t="n"/>
      <c r="K178" s="56" t="n"/>
      <c r="L178" s="34">
        <f>HYPERLINK(Table65[[#This Row],[Column1]])</f>
        <v/>
      </c>
    </row>
    <row r="179" ht="30" customHeight="1" s="290">
      <c r="A179" s="30" t="n"/>
      <c r="B179" s="30" t="n"/>
      <c r="C179" s="30" t="n"/>
      <c r="D179" s="324" t="n"/>
      <c r="E179" s="53" t="n"/>
      <c r="F179" s="53" t="n"/>
      <c r="G179" s="55" t="n"/>
      <c r="H179" s="57" t="n"/>
      <c r="I179" s="55" t="n"/>
      <c r="J179" s="56" t="n"/>
      <c r="K179" s="56" t="n"/>
      <c r="L179" s="34">
        <f>HYPERLINK(Table65[[#This Row],[Column1]])</f>
        <v/>
      </c>
    </row>
    <row r="180" ht="45" customHeight="1" s="290">
      <c r="A180" s="30" t="n"/>
      <c r="B180" s="30" t="n"/>
      <c r="C180" s="30" t="n"/>
      <c r="D180" s="324" t="n"/>
      <c r="E180" s="53" t="n"/>
      <c r="F180" s="53" t="n"/>
      <c r="G180" s="55" t="n"/>
      <c r="H180" s="57" t="n"/>
      <c r="I180" s="55" t="n"/>
      <c r="J180" s="56" t="n"/>
      <c r="K180" s="56" t="n"/>
      <c r="L180" s="34">
        <f>HYPERLINK(Table65[[#This Row],[Column1]])</f>
        <v/>
      </c>
    </row>
    <row r="181" ht="45" customHeight="1" s="290">
      <c r="A181" s="30" t="n"/>
      <c r="B181" s="30" t="n"/>
      <c r="C181" s="30" t="n"/>
      <c r="D181" s="324" t="n"/>
      <c r="E181" s="53" t="n"/>
      <c r="F181" s="53" t="n"/>
      <c r="G181" s="55" t="n"/>
      <c r="H181" s="57" t="n"/>
      <c r="I181" s="55" t="n"/>
      <c r="J181" s="56" t="n"/>
      <c r="K181" s="56" t="n"/>
      <c r="L181" s="34">
        <f>HYPERLINK(Table65[[#This Row],[Column1]])</f>
        <v/>
      </c>
    </row>
    <row r="182" ht="45" customHeight="1" s="290">
      <c r="A182" s="30" t="n"/>
      <c r="B182" s="30" t="n"/>
      <c r="C182" s="30" t="n"/>
      <c r="D182" s="324" t="n"/>
      <c r="E182" s="53" t="n"/>
      <c r="F182" s="53" t="n"/>
      <c r="G182" s="55" t="n"/>
      <c r="H182" s="57" t="n"/>
      <c r="I182" s="55" t="n"/>
      <c r="J182" s="56" t="n"/>
      <c r="K182" s="56" t="n"/>
      <c r="L182" s="34">
        <f>HYPERLINK(Table65[[#This Row],[Column1]])</f>
        <v/>
      </c>
    </row>
    <row r="183" ht="45" customHeight="1" s="290">
      <c r="A183" s="30" t="n"/>
      <c r="B183" s="30" t="n"/>
      <c r="C183" s="30" t="n"/>
      <c r="D183" s="324" t="n"/>
      <c r="E183" s="53" t="n"/>
      <c r="F183" s="53" t="n"/>
      <c r="G183" s="55" t="n"/>
      <c r="H183" s="57" t="n"/>
      <c r="I183" s="55" t="n"/>
      <c r="J183" s="56" t="n"/>
      <c r="K183" s="56" t="n"/>
      <c r="L183" s="34">
        <f>HYPERLINK(Table65[[#This Row],[Column1]])</f>
        <v/>
      </c>
    </row>
    <row r="184" ht="45" customHeight="1" s="290">
      <c r="A184" s="30" t="n"/>
      <c r="B184" s="30" t="n"/>
      <c r="C184" s="30" t="n"/>
      <c r="D184" s="324" t="n"/>
      <c r="E184" s="53" t="n"/>
      <c r="F184" s="53" t="n"/>
      <c r="G184" s="55" t="n"/>
      <c r="H184" s="57" t="n"/>
      <c r="I184" s="55" t="n"/>
      <c r="J184" s="56" t="n"/>
      <c r="K184" s="56" t="n"/>
      <c r="L184" s="34">
        <f>HYPERLINK(Table65[[#This Row],[Column1]])</f>
        <v/>
      </c>
    </row>
    <row r="185" ht="45" customHeight="1" s="290">
      <c r="A185" s="30" t="n"/>
      <c r="B185" s="30" t="n"/>
      <c r="C185" s="30" t="n"/>
      <c r="D185" s="324" t="n"/>
      <c r="E185" s="53" t="n"/>
      <c r="F185" s="53" t="n"/>
      <c r="G185" s="55" t="n"/>
      <c r="H185" s="57" t="n"/>
      <c r="I185" s="55" t="n"/>
      <c r="J185" s="56" t="n"/>
      <c r="K185" s="56" t="n"/>
      <c r="L185" s="34">
        <f>HYPERLINK(Table65[[#This Row],[Column1]])</f>
        <v/>
      </c>
    </row>
    <row r="186" ht="60" customHeight="1" s="290">
      <c r="A186" s="30" t="n"/>
      <c r="B186" s="30" t="n"/>
      <c r="C186" s="30" t="n"/>
      <c r="D186" s="324" t="n"/>
      <c r="E186" s="53" t="n"/>
      <c r="F186" s="53" t="n"/>
      <c r="G186" s="55" t="n"/>
      <c r="H186" s="57" t="n"/>
      <c r="I186" s="55" t="n"/>
      <c r="J186" s="56" t="n"/>
      <c r="K186" s="56" t="n"/>
      <c r="L186" s="34">
        <f>HYPERLINK(Table65[[#This Row],[Column1]])</f>
        <v/>
      </c>
    </row>
    <row r="187" ht="45" customHeight="1" s="290">
      <c r="A187" s="30" t="n"/>
      <c r="B187" s="30" t="n"/>
      <c r="C187" s="30" t="n"/>
      <c r="D187" s="324" t="n"/>
      <c r="E187" s="53" t="n"/>
      <c r="F187" s="53" t="n"/>
      <c r="G187" s="55" t="n"/>
      <c r="H187" s="57" t="n"/>
      <c r="I187" s="55" t="n"/>
      <c r="J187" s="56" t="n"/>
      <c r="K187" s="56" t="n"/>
      <c r="L187" s="34">
        <f>HYPERLINK(Table65[[#This Row],[Column1]])</f>
        <v/>
      </c>
    </row>
    <row r="188" ht="45" customHeight="1" s="290">
      <c r="A188" s="30" t="n"/>
      <c r="B188" s="30" t="n"/>
      <c r="C188" s="30" t="n"/>
      <c r="D188" s="324" t="n"/>
      <c r="E188" s="53" t="n"/>
      <c r="F188" s="53" t="n"/>
      <c r="G188" s="55" t="n"/>
      <c r="H188" s="57" t="n"/>
      <c r="I188" s="55" t="n"/>
      <c r="J188" s="56" t="n"/>
      <c r="K188" s="56" t="n"/>
      <c r="L188" s="34">
        <f>HYPERLINK(Table65[[#This Row],[Column1]])</f>
        <v/>
      </c>
    </row>
    <row r="189" ht="45" customHeight="1" s="290">
      <c r="A189" s="30" t="n"/>
      <c r="B189" s="30" t="n"/>
      <c r="C189" s="30" t="n"/>
      <c r="D189" s="324" t="n"/>
      <c r="E189" s="53" t="n"/>
      <c r="F189" s="53" t="n"/>
      <c r="G189" s="55" t="n"/>
      <c r="H189" s="57" t="n"/>
      <c r="I189" s="55" t="n"/>
      <c r="J189" s="56" t="n"/>
      <c r="K189" s="56" t="n"/>
      <c r="L189" s="34">
        <f>HYPERLINK(Table65[[#This Row],[Column1]])</f>
        <v/>
      </c>
    </row>
    <row r="190" ht="60" customHeight="1" s="290">
      <c r="A190" s="30" t="n"/>
      <c r="B190" s="30" t="n"/>
      <c r="C190" s="30" t="n"/>
      <c r="D190" s="324" t="n"/>
      <c r="E190" s="53" t="n"/>
      <c r="F190" s="53" t="n"/>
      <c r="G190" s="55" t="n"/>
      <c r="H190" s="57" t="n"/>
      <c r="I190" s="55" t="n"/>
      <c r="J190" s="56" t="n"/>
      <c r="K190" s="56" t="n"/>
      <c r="L190" s="34">
        <f>HYPERLINK(Table65[[#This Row],[Column1]])</f>
        <v/>
      </c>
    </row>
    <row r="191" ht="45" customHeight="1" s="290">
      <c r="A191" s="30" t="n"/>
      <c r="B191" s="30" t="n"/>
      <c r="C191" s="30" t="n"/>
      <c r="D191" s="324" t="n"/>
      <c r="E191" s="53" t="n"/>
      <c r="F191" s="53" t="n"/>
      <c r="G191" s="55" t="n"/>
      <c r="H191" s="57" t="n"/>
      <c r="I191" s="55" t="n"/>
      <c r="J191" s="56" t="n"/>
      <c r="K191" s="56" t="n"/>
      <c r="L191" s="34">
        <f>HYPERLINK(Table65[[#This Row],[Column1]])</f>
        <v/>
      </c>
    </row>
    <row r="192" ht="45" customHeight="1" s="290">
      <c r="A192" s="30" t="n"/>
      <c r="B192" s="30" t="n"/>
      <c r="C192" s="30" t="n"/>
      <c r="D192" s="324" t="n"/>
      <c r="E192" s="53" t="n"/>
      <c r="F192" s="53" t="n"/>
      <c r="G192" s="55" t="n"/>
      <c r="H192" s="57" t="n"/>
      <c r="I192" s="55" t="n"/>
      <c r="J192" s="56" t="n"/>
      <c r="K192" s="56" t="n"/>
      <c r="L192" s="34">
        <f>HYPERLINK(Table65[[#This Row],[Column1]])</f>
        <v/>
      </c>
    </row>
    <row r="193" ht="60" customHeight="1" s="290">
      <c r="A193" s="30" t="n"/>
      <c r="B193" s="30" t="n"/>
      <c r="C193" s="30" t="n"/>
      <c r="D193" s="324" t="n"/>
      <c r="E193" s="53" t="n"/>
      <c r="F193" s="53" t="n"/>
      <c r="G193" s="55" t="n"/>
      <c r="H193" s="57" t="n"/>
      <c r="I193" s="55" t="n"/>
      <c r="J193" s="56" t="n"/>
      <c r="K193" s="56" t="n"/>
      <c r="L193" s="34">
        <f>HYPERLINK(Table65[[#This Row],[Column1]])</f>
        <v/>
      </c>
    </row>
    <row r="194" ht="45" customHeight="1" s="290">
      <c r="A194" s="30" t="n"/>
      <c r="B194" s="30" t="n"/>
      <c r="C194" s="30" t="n"/>
      <c r="D194" s="324" t="n"/>
      <c r="E194" s="53" t="n"/>
      <c r="F194" s="53" t="n"/>
      <c r="G194" s="55" t="n"/>
      <c r="H194" s="57" t="n"/>
      <c r="I194" s="55" t="n"/>
      <c r="J194" s="56" t="n"/>
      <c r="K194" s="56" t="n"/>
      <c r="L194" s="34">
        <f>HYPERLINK(Table65[[#This Row],[Column1]])</f>
        <v/>
      </c>
    </row>
    <row r="195" ht="45" customHeight="1" s="290">
      <c r="A195" s="30" t="n"/>
      <c r="B195" s="30" t="n"/>
      <c r="C195" s="30" t="n"/>
      <c r="D195" s="324" t="n"/>
      <c r="E195" s="53" t="n"/>
      <c r="F195" s="53" t="n"/>
      <c r="G195" s="55" t="n"/>
      <c r="H195" s="57" t="n"/>
      <c r="I195" s="55" t="n"/>
      <c r="J195" s="56" t="n"/>
      <c r="K195" s="56" t="n"/>
      <c r="L195" s="34">
        <f>HYPERLINK(Table65[[#This Row],[Column1]])</f>
        <v/>
      </c>
    </row>
    <row r="196" ht="45" customHeight="1" s="290">
      <c r="A196" s="30" t="n"/>
      <c r="B196" s="30" t="n"/>
      <c r="C196" s="30" t="n"/>
      <c r="D196" s="324" t="n"/>
      <c r="E196" s="53" t="n"/>
      <c r="F196" s="53" t="n"/>
      <c r="G196" s="55" t="n"/>
      <c r="H196" s="57" t="n"/>
      <c r="I196" s="55" t="n"/>
      <c r="J196" s="56" t="n"/>
      <c r="K196" s="56" t="n"/>
      <c r="L196" s="34">
        <f>HYPERLINK(Table65[[#This Row],[Column1]])</f>
        <v/>
      </c>
    </row>
    <row r="197" ht="45" customHeight="1" s="290">
      <c r="A197" s="30" t="n"/>
      <c r="B197" s="30" t="n"/>
      <c r="C197" s="30" t="n"/>
      <c r="D197" s="324" t="n"/>
      <c r="E197" s="53" t="n"/>
      <c r="F197" s="53" t="n"/>
      <c r="G197" s="55" t="n"/>
      <c r="H197" s="57" t="n"/>
      <c r="I197" s="55" t="n"/>
      <c r="J197" s="56" t="n"/>
      <c r="K197" s="56" t="n"/>
      <c r="L197" s="34">
        <f>HYPERLINK(Table65[[#This Row],[Column1]])</f>
        <v/>
      </c>
    </row>
    <row r="198" ht="45" customHeight="1" s="290">
      <c r="A198" s="30" t="n"/>
      <c r="B198" s="30" t="n"/>
      <c r="C198" s="30" t="n"/>
      <c r="D198" s="324" t="n"/>
      <c r="E198" s="53" t="n"/>
      <c r="F198" s="53" t="n"/>
      <c r="G198" s="55" t="n"/>
      <c r="H198" s="57" t="n"/>
      <c r="I198" s="55" t="n"/>
      <c r="J198" s="56" t="n"/>
      <c r="K198" s="56" t="n"/>
      <c r="L198" s="34">
        <f>HYPERLINK(Table65[[#This Row],[Column1]])</f>
        <v/>
      </c>
    </row>
    <row r="199" ht="45" customHeight="1" s="290">
      <c r="A199" s="30" t="n"/>
      <c r="B199" s="30" t="n"/>
      <c r="C199" s="30" t="n"/>
      <c r="D199" s="324" t="n"/>
      <c r="E199" s="53" t="n"/>
      <c r="F199" s="53" t="n"/>
      <c r="G199" s="55" t="n"/>
      <c r="H199" s="57" t="n"/>
      <c r="I199" s="55" t="n"/>
      <c r="J199" s="56" t="n"/>
      <c r="K199" s="56" t="n"/>
      <c r="L199" s="34">
        <f>HYPERLINK(Table65[[#This Row],[Column1]])</f>
        <v/>
      </c>
    </row>
    <row r="200" ht="45" customHeight="1" s="290">
      <c r="A200" s="30" t="n"/>
      <c r="B200" s="30" t="n"/>
      <c r="C200" s="30" t="n"/>
      <c r="D200" s="324" t="n"/>
      <c r="E200" s="53" t="n"/>
      <c r="F200" s="53" t="n"/>
      <c r="G200" s="55" t="n"/>
      <c r="H200" s="57" t="n"/>
      <c r="I200" s="55" t="n"/>
      <c r="J200" s="56" t="n"/>
      <c r="K200" s="56" t="n"/>
      <c r="L200" s="34">
        <f>HYPERLINK(Table65[[#This Row],[Column1]])</f>
        <v/>
      </c>
    </row>
    <row r="201" ht="45" customHeight="1" s="290">
      <c r="A201" s="30" t="n"/>
      <c r="B201" s="30" t="n"/>
      <c r="C201" s="30" t="n"/>
      <c r="D201" s="324" t="n"/>
      <c r="E201" s="53" t="n"/>
      <c r="F201" s="53" t="n"/>
      <c r="G201" s="55" t="n"/>
      <c r="H201" s="57" t="n"/>
      <c r="I201" s="55" t="n"/>
      <c r="J201" s="56" t="n"/>
      <c r="K201" s="56" t="n"/>
      <c r="L201" s="34">
        <f>HYPERLINK(Table65[[#This Row],[Column1]])</f>
        <v/>
      </c>
    </row>
    <row r="202" ht="45" customHeight="1" s="290">
      <c r="A202" s="30" t="n"/>
      <c r="B202" s="30" t="n"/>
      <c r="C202" s="30" t="n"/>
      <c r="D202" s="324" t="n"/>
      <c r="E202" s="53" t="n"/>
      <c r="F202" s="53" t="n"/>
      <c r="G202" s="55" t="n"/>
      <c r="H202" s="57" t="n"/>
      <c r="I202" s="55" t="n"/>
      <c r="J202" s="56" t="n"/>
      <c r="K202" s="56" t="n"/>
      <c r="L202" s="34">
        <f>HYPERLINK(Table65[[#This Row],[Column1]])</f>
        <v/>
      </c>
    </row>
    <row r="203" ht="45" customHeight="1" s="290">
      <c r="A203" s="30" t="n"/>
      <c r="B203" s="30" t="n"/>
      <c r="C203" s="30" t="n"/>
      <c r="D203" s="324" t="n"/>
      <c r="E203" s="53" t="n"/>
      <c r="F203" s="53" t="n"/>
      <c r="G203" s="55" t="n"/>
      <c r="H203" s="57" t="n"/>
      <c r="I203" s="55" t="n"/>
      <c r="J203" s="56" t="n"/>
      <c r="K203" s="56" t="n"/>
      <c r="L203" s="34">
        <f>HYPERLINK(Table65[[#This Row],[Column1]])</f>
        <v/>
      </c>
    </row>
    <row r="204" ht="17" customHeight="1" s="290">
      <c r="A204" s="30" t="n"/>
      <c r="B204" s="30" t="n"/>
      <c r="C204" s="30" t="n"/>
      <c r="D204" s="324" t="n"/>
      <c r="E204" s="53" t="n"/>
      <c r="F204" s="53" t="n"/>
      <c r="G204" s="55" t="n"/>
      <c r="H204" s="57" t="n"/>
      <c r="I204" s="55" t="n"/>
      <c r="J204" s="56" t="n"/>
      <c r="K204" s="56" t="n"/>
      <c r="L204" s="34">
        <f>HYPERLINK(Table65[[#This Row],[Column1]])</f>
        <v/>
      </c>
    </row>
    <row r="205" ht="30" customHeight="1" s="290">
      <c r="A205" s="30" t="n"/>
      <c r="B205" s="30" t="n"/>
      <c r="C205" s="30" t="n"/>
      <c r="D205" s="324" t="n"/>
      <c r="E205" s="53" t="n"/>
      <c r="F205" s="53" t="n"/>
      <c r="G205" s="55" t="n"/>
      <c r="H205" s="57" t="n"/>
      <c r="I205" s="55" t="n"/>
      <c r="J205" s="56" t="n"/>
      <c r="K205" s="56" t="n"/>
      <c r="L205" s="34">
        <f>HYPERLINK(Table65[[#This Row],[Column1]])</f>
        <v/>
      </c>
    </row>
    <row r="206" ht="45" customHeight="1" s="290">
      <c r="A206" s="30" t="n"/>
      <c r="B206" s="30" t="n"/>
      <c r="C206" s="30" t="n"/>
      <c r="D206" s="324" t="n"/>
      <c r="E206" s="53" t="n"/>
      <c r="F206" s="53" t="n"/>
      <c r="G206" s="55" t="n"/>
      <c r="H206" s="57" t="n"/>
      <c r="I206" s="55" t="n"/>
      <c r="J206" s="56" t="n"/>
      <c r="K206" s="56" t="n"/>
      <c r="L206" s="34">
        <f>HYPERLINK(Table65[[#This Row],[Column1]])</f>
        <v/>
      </c>
    </row>
    <row r="207" ht="45" customHeight="1" s="290">
      <c r="A207" s="30" t="n"/>
      <c r="B207" s="30" t="n"/>
      <c r="C207" s="30" t="n"/>
      <c r="D207" s="324" t="n"/>
      <c r="E207" s="53" t="n"/>
      <c r="F207" s="53" t="n"/>
      <c r="G207" s="55" t="n"/>
      <c r="H207" s="57" t="n"/>
      <c r="I207" s="55" t="n"/>
      <c r="J207" s="56" t="n"/>
      <c r="K207" s="56" t="n"/>
      <c r="L207" s="34">
        <f>HYPERLINK(Table65[[#This Row],[Column1]])</f>
        <v/>
      </c>
    </row>
    <row r="208" ht="17" customHeight="1" s="290">
      <c r="A208" s="33" t="inlineStr">
        <is>
          <t>Total</t>
        </is>
      </c>
      <c r="B208" s="32" t="n"/>
      <c r="C208" s="325" t="n"/>
      <c r="D208" s="59" t="n"/>
      <c r="E208" s="32" t="n"/>
      <c r="F208" s="32" t="n"/>
      <c r="G208" s="36">
        <f>SUM(G133:G207)</f>
        <v/>
      </c>
      <c r="H208" s="36">
        <f>SUM(H133:H207)</f>
        <v/>
      </c>
      <c r="I208" s="36" t="n"/>
      <c r="J208" s="167" t="n"/>
      <c r="K208" s="168" t="n"/>
      <c r="L208" s="32" t="n"/>
    </row>
  </sheetData>
  <mergeCells count="3">
    <mergeCell ref="A1:M5"/>
    <mergeCell ref="A131:L131"/>
    <mergeCell ref="A51:L51"/>
  </mergeCells>
  <pageMargins left="0.7" right="0.7" top="0.75" bottom="0.75" header="0.3" footer="0.3"/>
  <drawing xmlns:r="http://schemas.openxmlformats.org/officeDocument/2006/relationships" r:id="rId1"/>
  <tableParts count="2">
    <tablePart xmlns:r="http://schemas.openxmlformats.org/officeDocument/2006/relationships" r:id="rId2"/>
    <tablePart xmlns:r="http://schemas.openxmlformats.org/officeDocument/2006/relationships" r:id="rId3"/>
  </tableParts>
</worksheet>
</file>

<file path=xl/worksheets/sheet23.xml><?xml version="1.0" encoding="utf-8"?>
<worksheet xmlns="http://schemas.openxmlformats.org/spreadsheetml/2006/main">
  <sheetPr codeName="Sheet6">
    <outlinePr summaryBelow="1" summaryRight="1"/>
    <pageSetUpPr/>
  </sheetPr>
  <dimension ref="A1:Q208"/>
  <sheetViews>
    <sheetView workbookViewId="0">
      <selection activeCell="A1" sqref="A1"/>
    </sheetView>
  </sheetViews>
  <sheetFormatPr baseColWidth="10" defaultColWidth="10.83203125" defaultRowHeight="16"/>
  <cols>
    <col width="50.6640625" customWidth="1" style="284" min="1" max="1"/>
    <col width="12.6640625" customWidth="1" style="284" min="2" max="2"/>
    <col width="12.6640625" customWidth="1" style="320" min="3" max="3"/>
    <col width="11.1640625" customWidth="1" style="296" min="4" max="4"/>
    <col width="24.83203125" bestFit="1" customWidth="1" style="284" min="5" max="5"/>
    <col width="17.6640625" bestFit="1" customWidth="1" style="286" min="6" max="6"/>
    <col width="21.6640625" bestFit="1" customWidth="1" style="286" min="7" max="7"/>
    <col width="19.1640625" bestFit="1" customWidth="1" style="286" min="8" max="8"/>
    <col width="13.5" bestFit="1" customWidth="1" style="287" min="9" max="9"/>
    <col width="13" bestFit="1" customWidth="1" style="284" min="10" max="10"/>
    <col hidden="1" width="29" customWidth="1" style="284" min="11" max="11"/>
    <col width="35.6640625" customWidth="1" style="284" min="12" max="12"/>
    <col width="15.6640625" customWidth="1" style="284" min="13" max="13"/>
    <col width="10.83203125" customWidth="1" style="284" min="14" max="16384"/>
  </cols>
  <sheetData>
    <row r="1">
      <c r="A1" s="282" t="inlineStr">
        <is>
          <t>BLCKTEC Monthly Summary</t>
        </is>
      </c>
    </row>
    <row r="2"/>
    <row r="3"/>
    <row r="4"/>
    <row r="5"/>
    <row r="6">
      <c r="A6" s="29" t="n"/>
      <c r="B6" s="29" t="n"/>
      <c r="C6" s="321" t="n"/>
      <c r="D6" s="47" t="n"/>
      <c r="E6" s="48" t="n"/>
      <c r="F6" s="48" t="n"/>
      <c r="G6" s="48" t="n"/>
      <c r="H6" s="48" t="n"/>
      <c r="I6" s="49" t="n"/>
      <c r="J6" s="50" t="n"/>
    </row>
    <row r="7" ht="32" customHeight="1" s="290">
      <c r="A7" s="80" t="n"/>
      <c r="B7" s="81" t="inlineStr">
        <is>
          <t>Avg Price</t>
        </is>
      </c>
      <c r="C7" s="81" t="inlineStr">
        <is>
          <t>Avg Price MoM</t>
        </is>
      </c>
      <c r="D7" s="82" t="inlineStr">
        <is>
          <t>Avg Price YoY</t>
        </is>
      </c>
      <c r="E7" s="81" t="inlineStr">
        <is>
          <t>Quantity/Mo</t>
        </is>
      </c>
      <c r="F7" s="84" t="inlineStr">
        <is>
          <t>Qty by %</t>
        </is>
      </c>
      <c r="G7" s="84" t="inlineStr">
        <is>
          <t>Qty MoM</t>
        </is>
      </c>
      <c r="H7" s="82" t="inlineStr">
        <is>
          <t>Qty YoY</t>
        </is>
      </c>
      <c r="I7" s="309" t="inlineStr">
        <is>
          <t>Revenue/Mo</t>
        </is>
      </c>
      <c r="J7" s="126" t="inlineStr">
        <is>
          <t>Revenue by %</t>
        </is>
      </c>
      <c r="K7" s="173" t="n"/>
      <c r="L7" s="126" t="inlineStr">
        <is>
          <t>Revenue MoM</t>
        </is>
      </c>
      <c r="M7" s="310" t="inlineStr">
        <is>
          <t>Revenue YoY</t>
        </is>
      </c>
      <c r="N7" s="286" t="n"/>
      <c r="O7" s="286" t="n"/>
      <c r="P7" s="49" t="n"/>
      <c r="Q7" s="50" t="n"/>
    </row>
    <row r="8">
      <c r="A8" s="93" t="inlineStr">
        <is>
          <t>Tablet $800+</t>
        </is>
      </c>
      <c r="B8" s="298" t="n"/>
      <c r="C8" s="270" t="n"/>
      <c r="D8" s="271" t="n"/>
      <c r="E8" s="269" t="n">
        <v>0</v>
      </c>
      <c r="F8" s="270" t="n">
        <v>0</v>
      </c>
      <c r="G8" s="270" t="n"/>
      <c r="H8" s="271" t="n"/>
      <c r="I8" s="95" t="n">
        <v>0</v>
      </c>
      <c r="J8" s="128" t="n">
        <v>0</v>
      </c>
      <c r="L8" s="169" t="n"/>
      <c r="M8" s="169" t="n"/>
      <c r="N8" s="286" t="n"/>
      <c r="O8" s="286" t="n"/>
      <c r="P8" s="49" t="n"/>
      <c r="Q8" s="50" t="n"/>
    </row>
    <row r="9">
      <c r="A9" s="93" t="inlineStr">
        <is>
          <t>Tablet $400-$800</t>
        </is>
      </c>
      <c r="B9" s="298" t="n"/>
      <c r="C9" s="270" t="n"/>
      <c r="D9" s="271" t="n"/>
      <c r="E9" s="269" t="n">
        <v>0</v>
      </c>
      <c r="F9" s="270" t="n">
        <v>0</v>
      </c>
      <c r="G9" s="270" t="n"/>
      <c r="H9" s="271" t="n"/>
      <c r="I9" s="95" t="n">
        <v>0</v>
      </c>
      <c r="J9" s="128" t="n">
        <v>0</v>
      </c>
      <c r="L9" s="169" t="n"/>
      <c r="M9" s="169" t="n"/>
      <c r="N9" s="286" t="n"/>
      <c r="O9" s="286" t="n"/>
      <c r="P9" s="49" t="n"/>
      <c r="Q9" s="50" t="n"/>
    </row>
    <row r="10">
      <c r="A10" s="96" t="inlineStr">
        <is>
          <t>Tablet $400-</t>
        </is>
      </c>
      <c r="B10" s="299" t="n">
        <v>189.17418997669</v>
      </c>
      <c r="C10" s="274" t="n">
        <v>-0.003751073686855455</v>
      </c>
      <c r="D10" s="275" t="n">
        <v>0.01219638019674996</v>
      </c>
      <c r="E10" s="273" t="n">
        <v>1716</v>
      </c>
      <c r="F10" s="274" t="n">
        <v>0.4616626311541566</v>
      </c>
      <c r="G10" s="274" t="n">
        <v>0.03249097472924189</v>
      </c>
      <c r="H10" s="275" t="n">
        <v>2.72234273318872</v>
      </c>
      <c r="I10" s="98" t="n">
        <v>324622.91</v>
      </c>
      <c r="J10" s="127" t="n">
        <v>0.7364675917008728</v>
      </c>
      <c r="L10" s="171" t="n">
        <v>0.02861802500201915</v>
      </c>
      <c r="M10" s="171" t="n">
        <v>2.767741840385299</v>
      </c>
      <c r="N10" s="286" t="n"/>
      <c r="O10" s="286" t="n"/>
      <c r="P10" s="49" t="n"/>
      <c r="Q10" s="50" t="n"/>
    </row>
    <row r="11">
      <c r="A11" s="101" t="inlineStr">
        <is>
          <t>Total Tablet</t>
        </is>
      </c>
      <c r="B11" s="300" t="n">
        <v>189.17418997669</v>
      </c>
      <c r="C11" s="112" t="n">
        <v>-0.003751073686855455</v>
      </c>
      <c r="D11" s="104" t="n">
        <v>0.01219638019674996</v>
      </c>
      <c r="E11" s="116" t="n">
        <v>1716</v>
      </c>
      <c r="F11" s="112" t="n">
        <v>0.4616626311541566</v>
      </c>
      <c r="G11" s="112" t="n">
        <v>0.03249097472924189</v>
      </c>
      <c r="H11" s="104" t="n">
        <v>2.72234273318872</v>
      </c>
      <c r="I11" s="103" t="n">
        <v>324622.91</v>
      </c>
      <c r="J11" s="129" t="n">
        <v>0.7364675917008728</v>
      </c>
      <c r="L11" s="170" t="n">
        <v>0.02861802500201915</v>
      </c>
      <c r="M11" s="170" t="n">
        <v>2.767741840385299</v>
      </c>
      <c r="N11" s="286" t="n"/>
      <c r="O11" s="286" t="n"/>
      <c r="P11" s="49" t="n"/>
      <c r="Q11" s="50" t="n"/>
    </row>
    <row r="12">
      <c r="A12" s="93" t="inlineStr">
        <is>
          <t>Handheld $75+</t>
        </is>
      </c>
      <c r="B12" s="298" t="n"/>
      <c r="C12" s="270" t="n"/>
      <c r="D12" s="271" t="n"/>
      <c r="E12" s="269" t="n">
        <v>0</v>
      </c>
      <c r="F12" s="270" t="n">
        <v>0</v>
      </c>
      <c r="G12" s="270" t="n"/>
      <c r="H12" s="271" t="n"/>
      <c r="I12" s="95" t="n">
        <v>0</v>
      </c>
      <c r="J12" s="128" t="n">
        <v>0</v>
      </c>
      <c r="L12" s="169" t="n"/>
      <c r="M12" s="169" t="n"/>
      <c r="N12" s="286" t="n"/>
      <c r="O12" s="286" t="n"/>
      <c r="P12" s="49" t="n"/>
      <c r="Q12" s="50" t="n"/>
    </row>
    <row r="13">
      <c r="A13" s="96" t="inlineStr">
        <is>
          <t>Handheld $75-</t>
        </is>
      </c>
      <c r="B13" s="299" t="n">
        <v>55.83773251345119</v>
      </c>
      <c r="C13" s="274" t="n">
        <v>-0.07218737045338086</v>
      </c>
      <c r="D13" s="275" t="n">
        <v>0.008815003084123862</v>
      </c>
      <c r="E13" s="273" t="n">
        <v>1301</v>
      </c>
      <c r="F13" s="274" t="n">
        <v>0.350013451708367</v>
      </c>
      <c r="G13" s="274" t="n">
        <v>-0.120945945945946</v>
      </c>
      <c r="H13" s="275" t="n">
        <v>-0.4785571142284569</v>
      </c>
      <c r="I13" s="98" t="n">
        <v>72644.89</v>
      </c>
      <c r="J13" s="127" t="n">
        <v>0.1648084763569978</v>
      </c>
      <c r="L13" s="171" t="n">
        <v>-0.1844025465944923</v>
      </c>
      <c r="M13" s="171" t="n">
        <v>-0.4739605935821865</v>
      </c>
      <c r="N13" s="286" t="n"/>
      <c r="O13" s="286" t="n"/>
      <c r="P13" s="49" t="n"/>
      <c r="Q13" s="50" t="n"/>
    </row>
    <row r="14">
      <c r="A14" s="101" t="inlineStr">
        <is>
          <t>Total Handheld</t>
        </is>
      </c>
      <c r="B14" s="300" t="n">
        <v>55.83773251345119</v>
      </c>
      <c r="C14" s="112" t="n">
        <v>-0.07218737045338086</v>
      </c>
      <c r="D14" s="104" t="n">
        <v>0.008815003084123862</v>
      </c>
      <c r="E14" s="116" t="n">
        <v>1301</v>
      </c>
      <c r="F14" s="112" t="n">
        <v>0.350013451708367</v>
      </c>
      <c r="G14" s="112" t="n">
        <v>-0.120945945945946</v>
      </c>
      <c r="H14" s="104" t="n">
        <v>-0.4785571142284569</v>
      </c>
      <c r="I14" s="103" t="n">
        <v>72644.89</v>
      </c>
      <c r="J14" s="129" t="n">
        <v>0.1648084763569978</v>
      </c>
      <c r="L14" s="170" t="n">
        <v>-0.1844025465944923</v>
      </c>
      <c r="M14" s="170" t="n">
        <v>-0.4739605935821865</v>
      </c>
      <c r="N14" s="286" t="n"/>
      <c r="O14" s="286" t="n"/>
      <c r="P14" s="49" t="n"/>
      <c r="Q14" s="50" t="n"/>
    </row>
    <row r="15">
      <c r="A15" s="78" t="inlineStr">
        <is>
          <t>Total Dongle</t>
        </is>
      </c>
      <c r="B15" s="301" t="n">
        <v>62.16557142857143</v>
      </c>
      <c r="C15" s="113" t="n">
        <v>0.01967539125626172</v>
      </c>
      <c r="D15" s="107" t="n">
        <v>-0.02985740979463047</v>
      </c>
      <c r="E15" s="99" t="n">
        <v>700</v>
      </c>
      <c r="F15" s="113" t="n">
        <v>0.1883239171374765</v>
      </c>
      <c r="G15" s="113" t="n">
        <v>-0.2081447963800905</v>
      </c>
      <c r="H15" s="107" t="n">
        <v>-0.2871690427698574</v>
      </c>
      <c r="I15" s="76" t="n">
        <v>43515.9</v>
      </c>
      <c r="J15" s="130" t="n">
        <v>0.09872393194212946</v>
      </c>
      <c r="L15" s="174" t="n">
        <v>-0.192564735430562</v>
      </c>
      <c r="M15" s="174" t="n">
        <v>-0.3084523287741766</v>
      </c>
      <c r="N15" s="286" t="n"/>
      <c r="O15" s="286" t="n"/>
      <c r="P15" s="49" t="n"/>
      <c r="Q15" s="50" t="n"/>
    </row>
    <row r="16">
      <c r="A16" s="78" t="inlineStr">
        <is>
          <t>Total Other Tools</t>
        </is>
      </c>
      <c r="B16" s="301" t="n"/>
      <c r="C16" s="113" t="n"/>
      <c r="D16" s="107" t="n"/>
      <c r="E16" s="99" t="n">
        <v>0</v>
      </c>
      <c r="F16" s="113" t="n">
        <v>0</v>
      </c>
      <c r="G16" s="113" t="n"/>
      <c r="H16" s="107" t="n"/>
      <c r="I16" s="76" t="n">
        <v>0</v>
      </c>
      <c r="J16" s="130" t="n">
        <v>0</v>
      </c>
      <c r="L16" s="174" t="n"/>
      <c r="M16" s="174" t="n"/>
      <c r="N16" s="286" t="n"/>
      <c r="O16" s="286" t="n"/>
      <c r="P16" s="49" t="n"/>
      <c r="Q16" s="50" t="n"/>
    </row>
    <row r="17">
      <c r="A17" s="86" t="inlineStr">
        <is>
          <t>Total</t>
        </is>
      </c>
      <c r="B17" s="302" t="n">
        <v>118.5858757062147</v>
      </c>
      <c r="C17" s="109" t="n">
        <v>0.04115517787310252</v>
      </c>
      <c r="D17" s="108" t="n">
        <v>0.6261176367247723</v>
      </c>
      <c r="E17" s="100" t="n">
        <v>3717</v>
      </c>
      <c r="F17" s="109" t="n">
        <v>1</v>
      </c>
      <c r="G17" s="109" t="n">
        <v>-0.07675111773472432</v>
      </c>
      <c r="H17" s="108" t="n">
        <v>-0.0561198577958355</v>
      </c>
      <c r="I17" s="85" t="n">
        <v>440783.7</v>
      </c>
      <c r="J17" s="109" t="n">
        <v>1</v>
      </c>
      <c r="L17" s="172" t="n">
        <v>-0.03875464576395382</v>
      </c>
      <c r="M17" s="172" t="n">
        <v>0.534860146192478</v>
      </c>
      <c r="N17" s="286" t="n"/>
      <c r="O17" s="286" t="n"/>
      <c r="P17" s="49" t="n"/>
      <c r="Q17" s="50" t="n"/>
    </row>
    <row r="18">
      <c r="A18" s="29" t="n"/>
      <c r="B18" s="29" t="n"/>
      <c r="C18" s="321" t="n"/>
      <c r="D18" s="47" t="n"/>
      <c r="E18" s="48" t="n"/>
      <c r="F18" s="48" t="n"/>
      <c r="G18" s="48" t="n"/>
      <c r="H18" s="48" t="n"/>
      <c r="I18" s="49" t="n"/>
      <c r="J18" s="50" t="n"/>
    </row>
    <row r="19">
      <c r="A19" s="29" t="n"/>
      <c r="B19" s="29" t="n"/>
      <c r="C19" s="321" t="n"/>
      <c r="D19" s="47" t="n"/>
      <c r="E19" s="48" t="n"/>
      <c r="F19" s="48" t="n"/>
      <c r="G19" s="48" t="n"/>
      <c r="H19" s="48" t="n"/>
      <c r="I19" s="49" t="n"/>
      <c r="J19" s="50" t="n"/>
    </row>
    <row r="20">
      <c r="A20" s="29" t="n"/>
      <c r="B20" s="29" t="n"/>
      <c r="C20" s="321" t="n"/>
      <c r="D20" s="47" t="n"/>
      <c r="E20" s="48" t="n"/>
      <c r="F20" s="48" t="n"/>
      <c r="G20" s="48" t="n"/>
      <c r="H20" s="48" t="n"/>
      <c r="I20" s="49" t="n"/>
      <c r="J20" s="50" t="n"/>
    </row>
    <row r="21">
      <c r="A21" s="29" t="n"/>
      <c r="B21" s="29" t="n"/>
      <c r="C21" s="321" t="n"/>
      <c r="D21" s="47" t="n"/>
      <c r="E21" s="48" t="n"/>
      <c r="F21" s="48" t="n"/>
      <c r="G21" s="48" t="n"/>
      <c r="H21" s="48" t="n"/>
      <c r="I21" s="49" t="n"/>
      <c r="J21" s="50" t="n"/>
    </row>
    <row r="22">
      <c r="A22" s="29" t="n"/>
      <c r="B22" s="29" t="n"/>
      <c r="C22" s="321" t="n"/>
      <c r="D22" s="47" t="n"/>
      <c r="E22" s="48" t="n"/>
      <c r="F22" s="48" t="n"/>
      <c r="G22" s="48" t="n"/>
      <c r="H22" s="48" t="n"/>
      <c r="I22" s="49" t="n"/>
      <c r="J22" s="50" t="n"/>
    </row>
    <row r="23">
      <c r="A23" s="29" t="n"/>
      <c r="B23" s="29" t="n"/>
      <c r="C23" s="321" t="n"/>
      <c r="D23" s="47" t="n"/>
      <c r="E23" s="48" t="n"/>
      <c r="F23" s="48" t="n"/>
      <c r="G23" s="48" t="n"/>
      <c r="H23" s="48" t="n"/>
      <c r="I23" s="49" t="n"/>
      <c r="J23" s="50" t="n"/>
    </row>
    <row r="24">
      <c r="A24" s="29" t="n"/>
      <c r="B24" s="29" t="n"/>
      <c r="C24" s="321" t="n"/>
      <c r="D24" s="47" t="n"/>
      <c r="E24" s="48" t="n"/>
      <c r="F24" s="48" t="n"/>
      <c r="G24" s="48" t="n"/>
      <c r="H24" s="48" t="n"/>
      <c r="I24" s="49" t="n"/>
      <c r="J24" s="50" t="n"/>
    </row>
    <row r="25">
      <c r="A25" s="29" t="n"/>
      <c r="B25" s="29" t="n"/>
      <c r="C25" s="321" t="n"/>
      <c r="D25" s="47" t="n"/>
      <c r="E25" s="48" t="n"/>
      <c r="F25" s="48" t="n"/>
      <c r="G25" s="48" t="n"/>
      <c r="H25" s="48" t="n"/>
      <c r="I25" s="49" t="n"/>
      <c r="J25" s="50" t="n"/>
    </row>
    <row r="26">
      <c r="A26" s="29" t="n"/>
      <c r="B26" s="29" t="n"/>
      <c r="C26" s="321" t="n"/>
      <c r="D26" s="47" t="n"/>
      <c r="E26" s="48" t="n"/>
      <c r="F26" s="48" t="n"/>
      <c r="G26" s="48" t="n"/>
      <c r="H26" s="48" t="n"/>
      <c r="I26" s="49" t="n"/>
      <c r="J26" s="50" t="n"/>
    </row>
    <row r="27">
      <c r="A27" s="29" t="n"/>
      <c r="B27" s="29" t="n"/>
      <c r="C27" s="321" t="n"/>
      <c r="D27" s="47" t="n"/>
      <c r="E27" s="48" t="n"/>
      <c r="F27" s="48" t="n"/>
      <c r="G27" s="48" t="n"/>
      <c r="H27" s="48" t="n"/>
      <c r="I27" s="49" t="n"/>
      <c r="J27" s="50" t="n"/>
    </row>
    <row r="28">
      <c r="A28" s="29" t="n"/>
      <c r="B28" s="29" t="n"/>
      <c r="C28" s="321" t="n"/>
      <c r="D28" s="47" t="n"/>
      <c r="E28" s="48" t="n"/>
      <c r="F28" s="48" t="n"/>
      <c r="G28" s="48" t="n"/>
      <c r="H28" s="48" t="n"/>
      <c r="I28" s="49" t="n"/>
      <c r="J28" s="50" t="n"/>
    </row>
    <row r="29">
      <c r="A29" s="29" t="n"/>
      <c r="B29" s="29" t="n"/>
      <c r="C29" s="321" t="n"/>
      <c r="D29" s="47" t="n"/>
      <c r="E29" s="48" t="n"/>
      <c r="F29" s="48" t="n"/>
      <c r="G29" s="48" t="n"/>
      <c r="H29" s="48" t="n"/>
      <c r="I29" s="49" t="n"/>
      <c r="J29" s="50" t="n"/>
    </row>
    <row r="30">
      <c r="A30" s="29" t="n"/>
      <c r="B30" s="29" t="n"/>
      <c r="C30" s="321" t="n"/>
      <c r="D30" s="47" t="n"/>
      <c r="E30" s="48" t="n"/>
      <c r="F30" s="48" t="n"/>
      <c r="G30" s="48" t="n"/>
      <c r="H30" s="48" t="n"/>
      <c r="I30" s="49" t="n"/>
      <c r="J30" s="50" t="n"/>
    </row>
    <row r="31">
      <c r="A31" s="29" t="n"/>
      <c r="B31" s="29" t="n"/>
      <c r="C31" s="321" t="n"/>
      <c r="D31" s="47" t="n"/>
      <c r="E31" s="48" t="n"/>
      <c r="F31" s="48" t="n"/>
      <c r="G31" s="48" t="n"/>
      <c r="H31" s="48" t="n"/>
      <c r="I31" s="49" t="n"/>
      <c r="J31" s="50" t="n"/>
    </row>
    <row r="32">
      <c r="A32" s="29" t="n"/>
      <c r="B32" s="29" t="n"/>
      <c r="C32" s="321" t="n"/>
      <c r="D32" s="47" t="n"/>
      <c r="E32" s="48" t="n"/>
      <c r="F32" s="48" t="n"/>
      <c r="G32" s="48" t="n"/>
      <c r="H32" s="48" t="n"/>
      <c r="I32" s="49" t="n"/>
      <c r="J32" s="50" t="n"/>
    </row>
    <row r="33">
      <c r="A33" s="29" t="n"/>
      <c r="B33" s="29" t="n"/>
      <c r="C33" s="321" t="n"/>
      <c r="D33" s="47" t="n"/>
      <c r="E33" s="48" t="n"/>
      <c r="F33" s="48" t="n"/>
      <c r="G33" s="48" t="n"/>
      <c r="H33" s="48" t="n"/>
      <c r="I33" s="49" t="n"/>
      <c r="J33" s="50" t="n"/>
    </row>
    <row r="49" ht="16" customHeight="1" s="290">
      <c r="C49" s="284" t="n"/>
      <c r="D49" s="284" t="n"/>
      <c r="F49" s="284" t="n"/>
      <c r="G49" s="284" t="n"/>
      <c r="H49" s="284" t="n"/>
      <c r="I49" s="284" t="n"/>
    </row>
    <row r="50">
      <c r="C50" s="284" t="n"/>
      <c r="D50" s="284" t="n"/>
      <c r="F50" s="284" t="n"/>
      <c r="G50" s="284" t="n"/>
      <c r="H50" s="284" t="n"/>
      <c r="I50" s="284" t="n"/>
    </row>
    <row r="51">
      <c r="A51" s="283" t="inlineStr">
        <is>
          <t xml:space="preserve">Rank by Revenue </t>
        </is>
      </c>
    </row>
    <row r="52" ht="17" customHeight="1" s="290">
      <c r="A52" s="38" t="inlineStr">
        <is>
          <t>Product Name</t>
        </is>
      </c>
      <c r="B52" s="39" t="inlineStr">
        <is>
          <t>ASIN</t>
        </is>
      </c>
      <c r="C52" s="39" t="inlineStr">
        <is>
          <t>Type</t>
        </is>
      </c>
      <c r="D52" s="322" t="inlineStr">
        <is>
          <t>Avg Price</t>
        </is>
      </c>
      <c r="E52" s="41" t="inlineStr">
        <is>
          <t>Estimated 12mo Revenue</t>
        </is>
      </c>
      <c r="F52" s="39" t="inlineStr">
        <is>
          <t>Monthly Rev</t>
        </is>
      </c>
      <c r="G52" s="42" t="inlineStr">
        <is>
          <t>Estimated 12mo Units</t>
        </is>
      </c>
      <c r="H52" s="45" t="inlineStr">
        <is>
          <t>Monthly Units</t>
        </is>
      </c>
      <c r="I52" s="42" t="inlineStr">
        <is>
          <t># of Reviews</t>
        </is>
      </c>
      <c r="J52" s="43" t="inlineStr">
        <is>
          <t xml:space="preserve">Tool Rating </t>
        </is>
      </c>
      <c r="K52" s="43" t="inlineStr">
        <is>
          <t>Column1</t>
        </is>
      </c>
      <c r="L52" s="323" t="inlineStr">
        <is>
          <t>Link</t>
        </is>
      </c>
    </row>
    <row r="53" ht="45" customHeight="1" s="290">
      <c r="A53" s="30" t="inlineStr">
        <is>
          <t>BLCKTEC 460T OBD2 Scanner Car Code Reader Engine ABS SRS Transmission Diagnostic Tool, 12 Reset Services, Oil/TPMS/EPB/BMS/SAS/DPF/Throttle Reset, ABS Bleeding, Battery Test, Auto VIN, Free Update</t>
        </is>
      </c>
      <c r="B53" s="30" t="inlineStr">
        <is>
          <t>B0DV2N2FND</t>
        </is>
      </c>
      <c r="C53" s="30" t="inlineStr">
        <is>
          <t>Tablet</t>
        </is>
      </c>
      <c r="D53" s="324" t="n">
        <v>189.17418997669</v>
      </c>
      <c r="E53" s="53" t="n">
        <v>3246740.46</v>
      </c>
      <c r="F53" s="54" t="n">
        <v>324622.91</v>
      </c>
      <c r="G53" s="55" t="n">
        <v>16939</v>
      </c>
      <c r="H53" s="55" t="n">
        <v>1716</v>
      </c>
      <c r="I53" s="55" t="n">
        <v>608</v>
      </c>
      <c r="J53" s="56" t="n">
        <v>4.4</v>
      </c>
      <c r="K53" s="56" t="inlineStr">
        <is>
          <t>https://amazon.com/dp/B0DV2N2FND</t>
        </is>
      </c>
      <c r="L53" s="34">
        <f>HYPERLINK(BLCKTEC_2[[#This Row],[Column1]])</f>
        <v/>
      </c>
    </row>
    <row r="54" ht="45" customHeight="1" s="290">
      <c r="A54" s="30" t="inlineStr">
        <is>
          <t>BLCKTEC 440 Bluetooth OBD2 Scanner Diagnostic Tool - Car Code Reader and Scanner for Car - Comes with Live Data - Battery/Charging System Test - Works for All OBD Compliant Cars 1996 &amp; Newer</t>
        </is>
      </c>
      <c r="B54" s="30" t="inlineStr">
        <is>
          <t>B0C8XSKFX8</t>
        </is>
      </c>
      <c r="C54" s="30" t="inlineStr">
        <is>
          <t>Handheld</t>
        </is>
      </c>
      <c r="D54" s="324" t="n">
        <v>68.15849176172371</v>
      </c>
      <c r="E54" s="53" t="n">
        <v>851283.33</v>
      </c>
      <c r="F54" s="54" t="n">
        <v>53777.05</v>
      </c>
      <c r="G54" s="55" t="n">
        <v>11734</v>
      </c>
      <c r="H54" s="55" t="n">
        <v>789</v>
      </c>
      <c r="I54" s="55" t="n">
        <v>1064</v>
      </c>
      <c r="J54" s="56" t="n">
        <v>4.5</v>
      </c>
      <c r="K54" s="56" t="inlineStr">
        <is>
          <t>https://amazon.com/dp/B0C8XSKFX8</t>
        </is>
      </c>
      <c r="L54" s="34">
        <f>HYPERLINK(BLCKTEC_2[[#This Row],[Column1]])</f>
        <v/>
      </c>
    </row>
    <row r="55" ht="45" customHeight="1" s="290">
      <c r="A55" s="30" t="inlineStr">
        <is>
          <t>BLCKTEC 430 Bluetooth OBD2 Scanner for iPhone &amp; Android, No Subscription Fee, OBDII Car Code Reader, Diagnose Check Engine, ABS, SRS, Airbag, Supports Vehicles 1996+</t>
        </is>
      </c>
      <c r="B55" s="30" t="inlineStr">
        <is>
          <t>B0C2JQH5NY</t>
        </is>
      </c>
      <c r="C55" s="30" t="inlineStr">
        <is>
          <t>Dongle</t>
        </is>
      </c>
      <c r="D55" s="324" t="n">
        <v>69.33496881496882</v>
      </c>
      <c r="E55" s="53" t="n">
        <v>550630.7400000001</v>
      </c>
      <c r="F55" s="54" t="n">
        <v>33350.12</v>
      </c>
      <c r="G55" s="55" t="n">
        <v>7802</v>
      </c>
      <c r="H55" s="55" t="n">
        <v>481</v>
      </c>
      <c r="I55" s="55" t="n">
        <v>1165</v>
      </c>
      <c r="J55" s="56" t="n">
        <v>4.3</v>
      </c>
      <c r="K55" s="56" t="inlineStr">
        <is>
          <t>https://amazon.com/dp/B0C2JQH5NY</t>
        </is>
      </c>
      <c r="L55" s="34">
        <f>HYPERLINK(BLCKTEC_2[[#This Row],[Column1]])</f>
        <v/>
      </c>
    </row>
    <row r="56" ht="60" customHeight="1" s="290">
      <c r="A56" s="30" t="inlineStr">
        <is>
          <t>BLCKTEC 420 Bluetooth OBD2 Scanner Diagnostic Tool - Vehicle Code Reader for Car - Clears Check Engine Light - Comes with Premium OBD App On IOS &amp; Android - Works For All Cars 1996 &amp; Newer</t>
        </is>
      </c>
      <c r="B56" s="30" t="inlineStr">
        <is>
          <t>B0BNGW4VF4</t>
        </is>
      </c>
      <c r="C56" s="30" t="inlineStr">
        <is>
          <t>Handheld</t>
        </is>
      </c>
      <c r="D56" s="324" t="n">
        <v>37.02769383697813</v>
      </c>
      <c r="E56" s="53" t="n">
        <v>473589.06</v>
      </c>
      <c r="F56" s="54" t="n">
        <v>18624.93</v>
      </c>
      <c r="G56" s="55" t="n">
        <v>12056</v>
      </c>
      <c r="H56" s="55" t="n">
        <v>503</v>
      </c>
      <c r="I56" s="55" t="n">
        <v>1967</v>
      </c>
      <c r="J56" s="56" t="n">
        <v>4.5</v>
      </c>
      <c r="K56" s="56" t="inlineStr">
        <is>
          <t>https://amazon.com/dp/B0BNGW4VF4</t>
        </is>
      </c>
      <c r="L56" s="34">
        <f>HYPERLINK(BLCKTEC_2[[#This Row],[Column1]])</f>
        <v/>
      </c>
    </row>
    <row r="57" ht="45" customHeight="1" s="290">
      <c r="A57" s="30" t="inlineStr">
        <is>
          <t>BLCKTEC 420X OBD2 Scanner Diagnostic Tool, Read and Clear Check Engine Light, Car Code Reader for All OBDII Cars 1996 and Newer, Comes with Bluetooth Topnotch App On iOS &amp; Android</t>
        </is>
      </c>
      <c r="B57" s="30" t="inlineStr">
        <is>
          <t>B0FG9XGLYW</t>
        </is>
      </c>
      <c r="C57" s="30" t="inlineStr">
        <is>
          <t>Dongle</t>
        </is>
      </c>
      <c r="D57" s="324" t="n">
        <v>48.09460732984293</v>
      </c>
      <c r="E57" s="53" t="n">
        <v>101268.7069230769</v>
      </c>
      <c r="F57" s="54" t="n">
        <v>9186.07</v>
      </c>
      <c r="G57" s="55" t="n">
        <v>1418</v>
      </c>
      <c r="H57" s="55" t="n">
        <v>191</v>
      </c>
      <c r="I57" s="55" t="n">
        <v>1968</v>
      </c>
      <c r="J57" s="56" t="n">
        <v>4.5</v>
      </c>
      <c r="K57" s="56" t="inlineStr">
        <is>
          <t>https://amazon.com/dp/B0FG9XGLYW</t>
        </is>
      </c>
      <c r="L57" s="34">
        <f>HYPERLINK(BLCKTEC_2[[#This Row],[Column1]])</f>
        <v/>
      </c>
    </row>
    <row r="58" ht="45" customHeight="1" s="290">
      <c r="A58" s="30" t="inlineStr">
        <is>
          <t>BLCKTEC 410 Bluetooth OBD2 Scanner for iPhone &amp; Android, No Subscription Fee, OBDII Car Code Reader, Diagnose Check Engine Light, Supports OBD2 Compliant Vehicles 1996 and Newer</t>
        </is>
      </c>
      <c r="B58" s="30" t="inlineStr">
        <is>
          <t>B0BTZRXX2G</t>
        </is>
      </c>
      <c r="C58" s="30" t="inlineStr">
        <is>
          <t>Dongle</t>
        </is>
      </c>
      <c r="D58" s="324" t="n">
        <v>34.98964285714286</v>
      </c>
      <c r="E58" s="53" t="n">
        <v>81570.78999999999</v>
      </c>
      <c r="F58" s="54" t="n">
        <v>979.71</v>
      </c>
      <c r="G58" s="55" t="n">
        <v>2460</v>
      </c>
      <c r="H58" s="55" t="n">
        <v>28</v>
      </c>
      <c r="I58" s="55" t="n">
        <v>885</v>
      </c>
      <c r="J58" s="56" t="n">
        <v>4.3</v>
      </c>
      <c r="K58" s="56" t="inlineStr">
        <is>
          <t>https://amazon.com/dp/B0BTZRXX2G</t>
        </is>
      </c>
      <c r="L58" s="34">
        <f>HYPERLINK(BLCKTEC_2[[#This Row],[Column1]])</f>
        <v/>
      </c>
    </row>
    <row r="59" ht="45" customHeight="1" s="290">
      <c r="A59" s="30" t="inlineStr">
        <is>
          <t>BLCKTEC 400 OBD2 Scanner Diagnostic Tool - Car for All Cars OBDII Compatible Code Reader with Reset Comes Free OBD App On iOS &amp; Android</t>
        </is>
      </c>
      <c r="B59" s="30" t="inlineStr">
        <is>
          <t>B0BXWCJ2LX</t>
        </is>
      </c>
      <c r="C59" s="30" t="inlineStr">
        <is>
          <t>Handheld</t>
        </is>
      </c>
      <c r="D59" s="324" t="n">
        <v>26.99</v>
      </c>
      <c r="E59" s="53" t="n">
        <v>4133.709230769231</v>
      </c>
      <c r="F59" s="54" t="n">
        <v>242.91</v>
      </c>
      <c r="G59" s="55" t="n">
        <v>136</v>
      </c>
      <c r="H59" s="55" t="n">
        <v>9</v>
      </c>
      <c r="I59" s="55" t="n">
        <v>321</v>
      </c>
      <c r="J59" s="56" t="n">
        <v>4.4</v>
      </c>
      <c r="K59" s="56" t="inlineStr">
        <is>
          <t>https://amazon.com/dp/B0BXWCJ2LX</t>
        </is>
      </c>
      <c r="L59" s="34">
        <f>HYPERLINK(BLCKTEC_2[[#This Row],[Column1]])</f>
        <v/>
      </c>
    </row>
    <row r="60" ht="45" customHeight="1" s="290">
      <c r="A60" s="30" t="n"/>
      <c r="B60" s="30" t="n"/>
      <c r="C60" s="30" t="n"/>
      <c r="D60" s="324" t="n"/>
      <c r="E60" s="53" t="n"/>
      <c r="F60" s="54" t="n"/>
      <c r="G60" s="55" t="n"/>
      <c r="H60" s="55" t="n"/>
      <c r="I60" s="55" t="n"/>
      <c r="J60" s="56" t="n"/>
      <c r="K60" s="56" t="n"/>
      <c r="L60" s="34">
        <f>HYPERLINK(Table544[[#This Row],[Column1]])</f>
        <v/>
      </c>
    </row>
    <row r="61" ht="45" customHeight="1" s="290">
      <c r="A61" s="30" t="n"/>
      <c r="B61" s="30" t="n"/>
      <c r="C61" s="30" t="n"/>
      <c r="D61" s="324" t="n"/>
      <c r="E61" s="53" t="n"/>
      <c r="F61" s="54" t="n"/>
      <c r="G61" s="55" t="n"/>
      <c r="H61" s="55" t="n"/>
      <c r="I61" s="55" t="n"/>
      <c r="J61" s="56" t="n"/>
      <c r="K61" s="56" t="n"/>
      <c r="L61" s="34">
        <f>HYPERLINK(Table544[[#This Row],[Column1]])</f>
        <v/>
      </c>
    </row>
    <row r="62" ht="45" customHeight="1" s="290">
      <c r="A62" s="30" t="n"/>
      <c r="B62" s="30" t="n"/>
      <c r="C62" s="30" t="n"/>
      <c r="D62" s="324" t="n"/>
      <c r="E62" s="53" t="n"/>
      <c r="F62" s="54" t="n"/>
      <c r="G62" s="55" t="n"/>
      <c r="H62" s="55" t="n"/>
      <c r="I62" s="55" t="n"/>
      <c r="J62" s="56" t="n"/>
      <c r="K62" s="56" t="n"/>
      <c r="L62" s="34">
        <f>HYPERLINK(Table544[[#This Row],[Column1]])</f>
        <v/>
      </c>
    </row>
    <row r="63" ht="45" customHeight="1" s="290">
      <c r="A63" s="30" t="n"/>
      <c r="B63" s="30" t="n"/>
      <c r="C63" s="30" t="n"/>
      <c r="D63" s="324" t="n"/>
      <c r="E63" s="53" t="n"/>
      <c r="F63" s="54" t="n"/>
      <c r="G63" s="55" t="n"/>
      <c r="H63" s="55" t="n"/>
      <c r="I63" s="55" t="n"/>
      <c r="J63" s="56" t="n"/>
      <c r="K63" s="56" t="n"/>
      <c r="L63" s="34">
        <f>HYPERLINK(Table544[[#This Row],[Column1]])</f>
        <v/>
      </c>
    </row>
    <row r="64" ht="45" customHeight="1" s="290">
      <c r="A64" s="30" t="n"/>
      <c r="B64" s="30" t="n"/>
      <c r="C64" s="30" t="n"/>
      <c r="D64" s="324" t="n"/>
      <c r="E64" s="53" t="n"/>
      <c r="F64" s="54" t="n"/>
      <c r="G64" s="55" t="n"/>
      <c r="H64" s="55" t="n"/>
      <c r="I64" s="55" t="n"/>
      <c r="J64" s="56" t="n"/>
      <c r="K64" s="56" t="n"/>
      <c r="L64" s="34">
        <f>HYPERLINK(Table544[[#This Row],[Column1]])</f>
        <v/>
      </c>
    </row>
    <row r="65" ht="45" customHeight="1" s="290">
      <c r="A65" s="30" t="n"/>
      <c r="B65" s="30" t="n"/>
      <c r="C65" s="30" t="n"/>
      <c r="D65" s="324" t="n"/>
      <c r="E65" s="53" t="n"/>
      <c r="F65" s="54" t="n"/>
      <c r="G65" s="55" t="n"/>
      <c r="H65" s="55" t="n"/>
      <c r="I65" s="55" t="n"/>
      <c r="J65" s="56" t="n"/>
      <c r="K65" s="56" t="n"/>
      <c r="L65" s="34">
        <f>HYPERLINK(Table544[[#This Row],[Column1]])</f>
        <v/>
      </c>
    </row>
    <row r="66" ht="45" customHeight="1" s="290">
      <c r="A66" s="30" t="n"/>
      <c r="B66" s="30" t="n"/>
      <c r="C66" s="30" t="n"/>
      <c r="D66" s="324" t="n"/>
      <c r="E66" s="53" t="n"/>
      <c r="F66" s="54" t="n"/>
      <c r="G66" s="55" t="n"/>
      <c r="H66" s="55" t="n"/>
      <c r="I66" s="55" t="n"/>
      <c r="J66" s="56" t="n"/>
      <c r="K66" s="56" t="n"/>
      <c r="L66" s="34">
        <f>HYPERLINK(Table544[[#This Row],[Column1]])</f>
        <v/>
      </c>
    </row>
    <row r="67" ht="45" customHeight="1" s="290">
      <c r="A67" s="30" t="n"/>
      <c r="B67" s="30" t="n"/>
      <c r="C67" s="30" t="n"/>
      <c r="D67" s="324" t="n"/>
      <c r="E67" s="53" t="n"/>
      <c r="F67" s="54" t="n"/>
      <c r="G67" s="55" t="n"/>
      <c r="H67" s="55" t="n"/>
      <c r="I67" s="55" t="n"/>
      <c r="J67" s="56" t="n"/>
      <c r="K67" s="56" t="n"/>
      <c r="L67" s="34">
        <f>HYPERLINK(Table544[[#This Row],[Column1]])</f>
        <v/>
      </c>
    </row>
    <row r="68" ht="45" customHeight="1" s="290">
      <c r="A68" s="30" t="n"/>
      <c r="B68" s="30" t="n"/>
      <c r="C68" s="30" t="n"/>
      <c r="D68" s="324" t="n"/>
      <c r="E68" s="53" t="n"/>
      <c r="F68" s="54" t="n"/>
      <c r="G68" s="55" t="n"/>
      <c r="H68" s="55" t="n"/>
      <c r="I68" s="55" t="n"/>
      <c r="J68" s="56" t="n"/>
      <c r="K68" s="56" t="n"/>
      <c r="L68" s="34">
        <f>HYPERLINK(Table544[[#This Row],[Column1]])</f>
        <v/>
      </c>
    </row>
    <row r="69" ht="60" customHeight="1" s="290">
      <c r="A69" s="30" t="n"/>
      <c r="B69" s="30" t="n"/>
      <c r="C69" s="30" t="n"/>
      <c r="D69" s="324" t="n"/>
      <c r="E69" s="53" t="n"/>
      <c r="F69" s="54" t="n"/>
      <c r="G69" s="55" t="n"/>
      <c r="H69" s="55" t="n"/>
      <c r="I69" s="55" t="n"/>
      <c r="J69" s="56" t="n"/>
      <c r="K69" s="56" t="n"/>
      <c r="L69" s="34">
        <f>HYPERLINK(Table544[[#This Row],[Column1]])</f>
        <v/>
      </c>
    </row>
    <row r="70" ht="45" customHeight="1" s="290">
      <c r="A70" s="30" t="n"/>
      <c r="B70" s="30" t="n"/>
      <c r="C70" s="30" t="n"/>
      <c r="D70" s="324" t="n"/>
      <c r="E70" s="53" t="n"/>
      <c r="F70" s="54" t="n"/>
      <c r="G70" s="55" t="n"/>
      <c r="H70" s="55" t="n"/>
      <c r="I70" s="55" t="n"/>
      <c r="J70" s="56" t="n"/>
      <c r="K70" s="56" t="n"/>
      <c r="L70" s="34">
        <f>HYPERLINK(Table544[[#This Row],[Column1]])</f>
        <v/>
      </c>
    </row>
    <row r="71" ht="45" customHeight="1" s="290">
      <c r="A71" s="30" t="n"/>
      <c r="B71" s="30" t="n"/>
      <c r="C71" s="30" t="n"/>
      <c r="D71" s="324" t="n"/>
      <c r="E71" s="53" t="n"/>
      <c r="F71" s="54" t="n"/>
      <c r="G71" s="55" t="n"/>
      <c r="H71" s="55" t="n"/>
      <c r="I71" s="55" t="n"/>
      <c r="J71" s="56" t="n"/>
      <c r="K71" s="56" t="n"/>
      <c r="L71" s="34">
        <f>HYPERLINK(Table544[[#This Row],[Column1]])</f>
        <v/>
      </c>
    </row>
    <row r="72" ht="45" customHeight="1" s="290">
      <c r="A72" s="30" t="n"/>
      <c r="B72" s="30" t="n"/>
      <c r="C72" s="30" t="n"/>
      <c r="D72" s="324" t="n"/>
      <c r="E72" s="53" t="n"/>
      <c r="F72" s="54" t="n"/>
      <c r="G72" s="55" t="n"/>
      <c r="H72" s="55" t="n"/>
      <c r="I72" s="55" t="n"/>
      <c r="J72" s="56" t="n"/>
      <c r="K72" s="56" t="n"/>
      <c r="L72" s="34">
        <f>HYPERLINK(Table544[[#This Row],[Column1]])</f>
        <v/>
      </c>
    </row>
    <row r="73" ht="45" customHeight="1" s="290">
      <c r="A73" s="30" t="n"/>
      <c r="B73" s="30" t="n"/>
      <c r="C73" s="30" t="n"/>
      <c r="D73" s="324" t="n"/>
      <c r="E73" s="53" t="n"/>
      <c r="F73" s="54" t="n"/>
      <c r="G73" s="55" t="n"/>
      <c r="H73" s="55" t="n"/>
      <c r="I73" s="55" t="n"/>
      <c r="J73" s="56" t="n"/>
      <c r="K73" s="56" t="n"/>
      <c r="L73" s="34">
        <f>HYPERLINK(Table544[[#This Row],[Column1]])</f>
        <v/>
      </c>
    </row>
    <row r="74" ht="45" customHeight="1" s="290">
      <c r="A74" s="30" t="n"/>
      <c r="B74" s="30" t="n"/>
      <c r="C74" s="30" t="n"/>
      <c r="D74" s="324" t="n"/>
      <c r="E74" s="53" t="n"/>
      <c r="F74" s="54" t="n"/>
      <c r="G74" s="55" t="n"/>
      <c r="H74" s="55" t="n"/>
      <c r="I74" s="55" t="n"/>
      <c r="J74" s="56" t="n"/>
      <c r="K74" s="56" t="n"/>
      <c r="L74" s="34">
        <f>HYPERLINK(Table544[[#This Row],[Column1]])</f>
        <v/>
      </c>
    </row>
    <row r="75" ht="45" customHeight="1" s="290">
      <c r="A75" s="30" t="n"/>
      <c r="B75" s="30" t="n"/>
      <c r="C75" s="30" t="n"/>
      <c r="D75" s="324" t="n"/>
      <c r="E75" s="53" t="n"/>
      <c r="F75" s="54" t="n"/>
      <c r="G75" s="55" t="n"/>
      <c r="H75" s="55" t="n"/>
      <c r="I75" s="55" t="n"/>
      <c r="J75" s="56" t="n"/>
      <c r="K75" s="56" t="n"/>
      <c r="L75" s="34">
        <f>HYPERLINK(Table544[[#This Row],[Column1]])</f>
        <v/>
      </c>
    </row>
    <row r="76" ht="45" customHeight="1" s="290">
      <c r="A76" s="30" t="n"/>
      <c r="B76" s="30" t="n"/>
      <c r="C76" s="30" t="n"/>
      <c r="D76" s="324" t="n"/>
      <c r="E76" s="53" t="n"/>
      <c r="F76" s="54" t="n"/>
      <c r="G76" s="55" t="n"/>
      <c r="H76" s="55" t="n"/>
      <c r="I76" s="55" t="n"/>
      <c r="J76" s="56" t="n"/>
      <c r="K76" s="56" t="n"/>
      <c r="L76" s="34">
        <f>HYPERLINK(Table544[[#This Row],[Column1]])</f>
        <v/>
      </c>
    </row>
    <row r="77" ht="60" customHeight="1" s="290">
      <c r="A77" s="30" t="n"/>
      <c r="B77" s="30" t="n"/>
      <c r="C77" s="30" t="n"/>
      <c r="D77" s="324" t="n"/>
      <c r="E77" s="53" t="n"/>
      <c r="F77" s="54" t="n"/>
      <c r="G77" s="55" t="n"/>
      <c r="H77" s="55" t="n"/>
      <c r="I77" s="55" t="n"/>
      <c r="J77" s="56" t="n"/>
      <c r="K77" s="56" t="n"/>
      <c r="L77" s="34">
        <f>HYPERLINK(Table544[[#This Row],[Column1]])</f>
        <v/>
      </c>
    </row>
    <row r="78" ht="45" customHeight="1" s="290">
      <c r="A78" s="30" t="n"/>
      <c r="B78" s="30" t="n"/>
      <c r="C78" s="30" t="n"/>
      <c r="D78" s="324" t="n"/>
      <c r="E78" s="53" t="n"/>
      <c r="F78" s="54" t="n"/>
      <c r="G78" s="55" t="n"/>
      <c r="H78" s="55" t="n"/>
      <c r="I78" s="55" t="n"/>
      <c r="J78" s="56" t="n"/>
      <c r="K78" s="56" t="n"/>
      <c r="L78" s="34">
        <f>HYPERLINK(Table544[[#This Row],[Column1]])</f>
        <v/>
      </c>
    </row>
    <row r="79" ht="45" customHeight="1" s="290">
      <c r="A79" s="30" t="n"/>
      <c r="B79" s="30" t="n"/>
      <c r="C79" s="30" t="n"/>
      <c r="D79" s="324" t="n"/>
      <c r="E79" s="53" t="n"/>
      <c r="F79" s="54" t="n"/>
      <c r="G79" s="55" t="n"/>
      <c r="H79" s="55" t="n"/>
      <c r="I79" s="55" t="n"/>
      <c r="J79" s="56" t="n"/>
      <c r="K79" s="56" t="n"/>
      <c r="L79" s="34">
        <f>HYPERLINK(Table544[[#This Row],[Column1]])</f>
        <v/>
      </c>
    </row>
    <row r="80" ht="45" customHeight="1" s="290">
      <c r="A80" s="30" t="n"/>
      <c r="B80" s="30" t="n"/>
      <c r="C80" s="30" t="n"/>
      <c r="D80" s="324" t="n"/>
      <c r="E80" s="53" t="n"/>
      <c r="F80" s="54" t="n"/>
      <c r="G80" s="55" t="n"/>
      <c r="H80" s="55" t="n"/>
      <c r="I80" s="55" t="n"/>
      <c r="J80" s="56" t="n"/>
      <c r="K80" s="56" t="n"/>
      <c r="L80" s="34">
        <f>HYPERLINK(Table544[[#This Row],[Column1]])</f>
        <v/>
      </c>
    </row>
    <row r="81" ht="45" customHeight="1" s="290">
      <c r="A81" s="30" t="n"/>
      <c r="B81" s="30" t="n"/>
      <c r="C81" s="30" t="n"/>
      <c r="D81" s="324" t="n"/>
      <c r="E81" s="53" t="n"/>
      <c r="F81" s="54" t="n"/>
      <c r="G81" s="55" t="n"/>
      <c r="H81" s="55" t="n"/>
      <c r="I81" s="55" t="n"/>
      <c r="J81" s="56" t="n"/>
      <c r="K81" s="56" t="n"/>
      <c r="L81" s="34">
        <f>HYPERLINK(Table544[[#This Row],[Column1]])</f>
        <v/>
      </c>
    </row>
    <row r="82" ht="45" customHeight="1" s="290">
      <c r="A82" s="30" t="n"/>
      <c r="B82" s="30" t="n"/>
      <c r="C82" s="30" t="n"/>
      <c r="D82" s="324" t="n"/>
      <c r="E82" s="53" t="n"/>
      <c r="F82" s="54" t="n"/>
      <c r="G82" s="55" t="n"/>
      <c r="H82" s="55" t="n"/>
      <c r="I82" s="55" t="n"/>
      <c r="J82" s="56" t="n"/>
      <c r="K82" s="56" t="n"/>
      <c r="L82" s="34">
        <f>HYPERLINK(Table544[[#This Row],[Column1]])</f>
        <v/>
      </c>
    </row>
    <row r="83" ht="30" customHeight="1" s="290">
      <c r="A83" s="30" t="n"/>
      <c r="B83" s="30" t="n"/>
      <c r="C83" s="30" t="n"/>
      <c r="D83" s="324" t="n"/>
      <c r="E83" s="53" t="n"/>
      <c r="F83" s="54" t="n"/>
      <c r="G83" s="55" t="n"/>
      <c r="H83" s="55" t="n"/>
      <c r="I83" s="55" t="n"/>
      <c r="J83" s="56" t="n"/>
      <c r="K83" s="56" t="n"/>
      <c r="L83" s="34">
        <f>HYPERLINK(Table544[[#This Row],[Column1]])</f>
        <v/>
      </c>
    </row>
    <row r="84" ht="45" customHeight="1" s="290">
      <c r="A84" s="30" t="n"/>
      <c r="B84" s="30" t="n"/>
      <c r="C84" s="30" t="n"/>
      <c r="D84" s="324" t="n"/>
      <c r="E84" s="53" t="n"/>
      <c r="F84" s="54" t="n"/>
      <c r="G84" s="55" t="n"/>
      <c r="H84" s="55" t="n"/>
      <c r="I84" s="55" t="n"/>
      <c r="J84" s="56" t="n"/>
      <c r="K84" s="56" t="n"/>
      <c r="L84" s="34">
        <f>HYPERLINK(Table544[[#This Row],[Column1]])</f>
        <v/>
      </c>
    </row>
    <row r="85" ht="45" customHeight="1" s="290">
      <c r="A85" s="30" t="n"/>
      <c r="B85" s="30" t="n"/>
      <c r="C85" s="30" t="n"/>
      <c r="D85" s="324" t="n"/>
      <c r="E85" s="53" t="n"/>
      <c r="F85" s="54" t="n"/>
      <c r="G85" s="55" t="n"/>
      <c r="H85" s="55" t="n"/>
      <c r="I85" s="55" t="n"/>
      <c r="J85" s="56" t="n"/>
      <c r="K85" s="56" t="n"/>
      <c r="L85" s="34">
        <f>HYPERLINK(Table544[[#This Row],[Column1]])</f>
        <v/>
      </c>
    </row>
    <row r="86" ht="45" customHeight="1" s="290">
      <c r="A86" s="30" t="n"/>
      <c r="B86" s="30" t="n"/>
      <c r="C86" s="30" t="n"/>
      <c r="D86" s="324" t="n"/>
      <c r="E86" s="53" t="n"/>
      <c r="F86" s="54" t="n"/>
      <c r="G86" s="55" t="n"/>
      <c r="H86" s="55" t="n"/>
      <c r="I86" s="55" t="n"/>
      <c r="J86" s="56" t="n"/>
      <c r="K86" s="56" t="n"/>
      <c r="L86" s="34">
        <f>HYPERLINK(Table544[[#This Row],[Column1]])</f>
        <v/>
      </c>
    </row>
    <row r="87" ht="45" customHeight="1" s="290">
      <c r="A87" s="30" t="n"/>
      <c r="B87" s="30" t="n"/>
      <c r="C87" s="30" t="n"/>
      <c r="D87" s="324" t="n"/>
      <c r="E87" s="53" t="n"/>
      <c r="F87" s="54" t="n"/>
      <c r="G87" s="55" t="n"/>
      <c r="H87" s="55" t="n"/>
      <c r="I87" s="55" t="n"/>
      <c r="J87" s="56" t="n"/>
      <c r="K87" s="56" t="n"/>
      <c r="L87" s="34">
        <f>HYPERLINK(Table544[[#This Row],[Column1]])</f>
        <v/>
      </c>
    </row>
    <row r="88" ht="45" customHeight="1" s="290">
      <c r="A88" s="30" t="n"/>
      <c r="B88" s="30" t="n"/>
      <c r="C88" s="30" t="n"/>
      <c r="D88" s="324" t="n"/>
      <c r="E88" s="53" t="n"/>
      <c r="F88" s="54" t="n"/>
      <c r="G88" s="55" t="n"/>
      <c r="H88" s="55" t="n"/>
      <c r="I88" s="55" t="n"/>
      <c r="J88" s="56" t="n"/>
      <c r="K88" s="56" t="n"/>
      <c r="L88" s="34">
        <f>HYPERLINK(Table544[[#This Row],[Column1]])</f>
        <v/>
      </c>
    </row>
    <row r="89" ht="45" customHeight="1" s="290">
      <c r="A89" s="30" t="n"/>
      <c r="B89" s="30" t="n"/>
      <c r="C89" s="30" t="n"/>
      <c r="D89" s="324" t="n"/>
      <c r="E89" s="53" t="n"/>
      <c r="F89" s="54" t="n"/>
      <c r="G89" s="55" t="n"/>
      <c r="H89" s="55" t="n"/>
      <c r="I89" s="55" t="n"/>
      <c r="J89" s="56" t="n"/>
      <c r="K89" s="56" t="n"/>
      <c r="L89" s="34">
        <f>HYPERLINK(Table544[[#This Row],[Column1]])</f>
        <v/>
      </c>
    </row>
    <row r="90" ht="45" customHeight="1" s="290">
      <c r="A90" s="30" t="n"/>
      <c r="B90" s="30" t="n"/>
      <c r="C90" s="30" t="n"/>
      <c r="D90" s="324" t="n"/>
      <c r="E90" s="53" t="n"/>
      <c r="F90" s="54" t="n"/>
      <c r="G90" s="55" t="n"/>
      <c r="H90" s="55" t="n"/>
      <c r="I90" s="55" t="n"/>
      <c r="J90" s="56" t="n"/>
      <c r="K90" s="56" t="n"/>
      <c r="L90" s="34">
        <f>HYPERLINK(Table544[[#This Row],[Column1]])</f>
        <v/>
      </c>
    </row>
    <row r="91" ht="45" customHeight="1" s="290">
      <c r="A91" s="30" t="n"/>
      <c r="B91" s="30" t="n"/>
      <c r="C91" s="30" t="n"/>
      <c r="D91" s="324" t="n"/>
      <c r="E91" s="53" t="n"/>
      <c r="F91" s="54" t="n"/>
      <c r="G91" s="55" t="n"/>
      <c r="H91" s="55" t="n"/>
      <c r="I91" s="55" t="n"/>
      <c r="J91" s="56" t="n"/>
      <c r="K91" s="56" t="n"/>
      <c r="L91" s="34">
        <f>HYPERLINK(Table544[[#This Row],[Column1]])</f>
        <v/>
      </c>
    </row>
    <row r="92" ht="45" customHeight="1" s="290">
      <c r="A92" s="30" t="n"/>
      <c r="B92" s="30" t="n"/>
      <c r="C92" s="30" t="n"/>
      <c r="D92" s="324" t="n"/>
      <c r="E92" s="53" t="n"/>
      <c r="F92" s="54" t="n"/>
      <c r="G92" s="55" t="n"/>
      <c r="H92" s="55" t="n"/>
      <c r="I92" s="55" t="n"/>
      <c r="J92" s="56" t="n"/>
      <c r="K92" s="56" t="n"/>
      <c r="L92" s="34">
        <f>HYPERLINK(Table544[[#This Row],[Column1]])</f>
        <v/>
      </c>
    </row>
    <row r="93" ht="45" customHeight="1" s="290">
      <c r="A93" s="30" t="n"/>
      <c r="B93" s="30" t="n"/>
      <c r="C93" s="30" t="n"/>
      <c r="D93" s="324" t="n"/>
      <c r="E93" s="53" t="n"/>
      <c r="F93" s="54" t="n"/>
      <c r="G93" s="55" t="n"/>
      <c r="H93" s="55" t="n"/>
      <c r="I93" s="55" t="n"/>
      <c r="J93" s="56" t="n"/>
      <c r="K93" s="56" t="n"/>
      <c r="L93" s="34">
        <f>HYPERLINK(Table544[[#This Row],[Column1]])</f>
        <v/>
      </c>
    </row>
    <row r="94" ht="60" customHeight="1" s="290">
      <c r="A94" s="30" t="n"/>
      <c r="B94" s="30" t="n"/>
      <c r="C94" s="30" t="n"/>
      <c r="D94" s="324" t="n"/>
      <c r="E94" s="53" t="n"/>
      <c r="F94" s="54" t="n"/>
      <c r="G94" s="55" t="n"/>
      <c r="H94" s="55" t="n"/>
      <c r="I94" s="55" t="n"/>
      <c r="J94" s="56" t="n"/>
      <c r="K94" s="56" t="n"/>
      <c r="L94" s="34">
        <f>HYPERLINK(Table544[[#This Row],[Column1]])</f>
        <v/>
      </c>
    </row>
    <row r="95" ht="45" customHeight="1" s="290">
      <c r="A95" s="30" t="n"/>
      <c r="B95" s="30" t="n"/>
      <c r="C95" s="30" t="n"/>
      <c r="D95" s="324" t="n"/>
      <c r="E95" s="53" t="n"/>
      <c r="F95" s="54" t="n"/>
      <c r="G95" s="55" t="n"/>
      <c r="H95" s="55" t="n"/>
      <c r="I95" s="55" t="n"/>
      <c r="J95" s="56" t="n"/>
      <c r="K95" s="56" t="n"/>
      <c r="L95" s="34">
        <f>HYPERLINK(Table544[[#This Row],[Column1]])</f>
        <v/>
      </c>
    </row>
    <row r="96" ht="45" customHeight="1" s="290">
      <c r="A96" s="30" t="n"/>
      <c r="B96" s="30" t="n"/>
      <c r="C96" s="30" t="n"/>
      <c r="D96" s="324" t="n"/>
      <c r="E96" s="53" t="n"/>
      <c r="F96" s="54" t="n"/>
      <c r="G96" s="55" t="n"/>
      <c r="H96" s="55" t="n"/>
      <c r="I96" s="55" t="n"/>
      <c r="J96" s="56" t="n"/>
      <c r="K96" s="56" t="n"/>
      <c r="L96" s="34">
        <f>HYPERLINK(Table544[[#This Row],[Column1]])</f>
        <v/>
      </c>
    </row>
    <row r="97" ht="45" customHeight="1" s="290">
      <c r="A97" s="30" t="n"/>
      <c r="B97" s="30" t="n"/>
      <c r="C97" s="30" t="n"/>
      <c r="D97" s="324" t="n"/>
      <c r="E97" s="53" t="n"/>
      <c r="F97" s="54" t="n"/>
      <c r="G97" s="55" t="n"/>
      <c r="H97" s="55" t="n"/>
      <c r="I97" s="55" t="n"/>
      <c r="J97" s="56" t="n"/>
      <c r="K97" s="56" t="n"/>
      <c r="L97" s="34">
        <f>HYPERLINK(Table544[[#This Row],[Column1]])</f>
        <v/>
      </c>
    </row>
    <row r="98" ht="60" customHeight="1" s="290">
      <c r="A98" s="30" t="n"/>
      <c r="B98" s="30" t="n"/>
      <c r="C98" s="30" t="n"/>
      <c r="D98" s="324" t="n"/>
      <c r="E98" s="53" t="n"/>
      <c r="F98" s="54" t="n"/>
      <c r="G98" s="55" t="n"/>
      <c r="H98" s="55" t="n"/>
      <c r="I98" s="55" t="n"/>
      <c r="J98" s="56" t="n"/>
      <c r="K98" s="56" t="n"/>
      <c r="L98" s="34">
        <f>HYPERLINK(Table544[[#This Row],[Column1]])</f>
        <v/>
      </c>
    </row>
    <row r="99" ht="45" customHeight="1" s="290">
      <c r="A99" s="30" t="n"/>
      <c r="B99" s="30" t="n"/>
      <c r="C99" s="30" t="n"/>
      <c r="D99" s="324" t="n"/>
      <c r="E99" s="53" t="n"/>
      <c r="F99" s="54" t="n"/>
      <c r="G99" s="55" t="n"/>
      <c r="H99" s="55" t="n"/>
      <c r="I99" s="55" t="n"/>
      <c r="J99" s="56" t="n"/>
      <c r="K99" s="56" t="n"/>
      <c r="L99" s="34">
        <f>HYPERLINK(Table544[[#This Row],[Column1]])</f>
        <v/>
      </c>
    </row>
    <row r="100" ht="45" customHeight="1" s="290">
      <c r="A100" s="30" t="n"/>
      <c r="B100" s="30" t="n"/>
      <c r="C100" s="30" t="n"/>
      <c r="D100" s="324" t="n"/>
      <c r="E100" s="53" t="n"/>
      <c r="F100" s="54" t="n"/>
      <c r="G100" s="55" t="n"/>
      <c r="H100" s="55" t="n"/>
      <c r="I100" s="55" t="n"/>
      <c r="J100" s="56" t="n"/>
      <c r="K100" s="56" t="n"/>
      <c r="L100" s="34">
        <f>HYPERLINK(Table544[[#This Row],[Column1]])</f>
        <v/>
      </c>
    </row>
    <row r="101" ht="45" customHeight="1" s="290">
      <c r="A101" s="30" t="n"/>
      <c r="B101" s="30" t="n"/>
      <c r="C101" s="30" t="n"/>
      <c r="D101" s="324" t="n"/>
      <c r="E101" s="53" t="n"/>
      <c r="F101" s="54" t="n"/>
      <c r="G101" s="55" t="n"/>
      <c r="H101" s="55" t="n"/>
      <c r="I101" s="55" t="n"/>
      <c r="J101" s="56" t="n"/>
      <c r="K101" s="56" t="n"/>
      <c r="L101" s="34">
        <f>HYPERLINK(Table544[[#This Row],[Column1]])</f>
        <v/>
      </c>
    </row>
    <row r="102" ht="45" customHeight="1" s="290">
      <c r="A102" s="30" t="n"/>
      <c r="B102" s="30" t="n"/>
      <c r="C102" s="30" t="n"/>
      <c r="D102" s="324" t="n"/>
      <c r="E102" s="53" t="n"/>
      <c r="F102" s="54" t="n"/>
      <c r="G102" s="55" t="n"/>
      <c r="H102" s="55" t="n"/>
      <c r="I102" s="55" t="n"/>
      <c r="J102" s="56" t="n"/>
      <c r="K102" s="56" t="n"/>
      <c r="L102" s="34">
        <f>HYPERLINK(Table544[[#This Row],[Column1]])</f>
        <v/>
      </c>
    </row>
    <row r="103" ht="45" customHeight="1" s="290">
      <c r="A103" s="30" t="n"/>
      <c r="B103" s="30" t="n"/>
      <c r="C103" s="30" t="n"/>
      <c r="D103" s="324" t="n"/>
      <c r="E103" s="53" t="n"/>
      <c r="F103" s="54" t="n"/>
      <c r="G103" s="55" t="n"/>
      <c r="H103" s="55" t="n"/>
      <c r="I103" s="55" t="n"/>
      <c r="J103" s="56" t="n"/>
      <c r="K103" s="56" t="n"/>
      <c r="L103" s="34">
        <f>HYPERLINK(Table544[[#This Row],[Column1]])</f>
        <v/>
      </c>
    </row>
    <row r="104" ht="45" customHeight="1" s="290">
      <c r="A104" s="30" t="n"/>
      <c r="B104" s="30" t="n"/>
      <c r="C104" s="30" t="n"/>
      <c r="D104" s="324" t="n"/>
      <c r="E104" s="53" t="n"/>
      <c r="F104" s="54" t="n"/>
      <c r="G104" s="55" t="n"/>
      <c r="H104" s="55" t="n"/>
      <c r="I104" s="55" t="n"/>
      <c r="J104" s="56" t="n"/>
      <c r="K104" s="56" t="n"/>
      <c r="L104" s="34">
        <f>HYPERLINK(Table544[[#This Row],[Column1]])</f>
        <v/>
      </c>
    </row>
    <row r="105" ht="45" customHeight="1" s="290">
      <c r="A105" s="30" t="n"/>
      <c r="B105" s="30" t="n"/>
      <c r="C105" s="30" t="n"/>
      <c r="D105" s="324" t="n"/>
      <c r="E105" s="53" t="n"/>
      <c r="F105" s="54" t="n"/>
      <c r="G105" s="55" t="n"/>
      <c r="H105" s="55" t="n"/>
      <c r="I105" s="55" t="n"/>
      <c r="J105" s="56" t="n"/>
      <c r="K105" s="56" t="n"/>
      <c r="L105" s="34">
        <f>HYPERLINK(Table544[[#This Row],[Column1]])</f>
        <v/>
      </c>
    </row>
    <row r="106" ht="45" customHeight="1" s="290">
      <c r="A106" s="30" t="n"/>
      <c r="B106" s="30" t="n"/>
      <c r="C106" s="30" t="n"/>
      <c r="D106" s="324" t="n"/>
      <c r="E106" s="53" t="n"/>
      <c r="F106" s="54" t="n"/>
      <c r="G106" s="55" t="n"/>
      <c r="H106" s="55" t="n"/>
      <c r="I106" s="55" t="n"/>
      <c r="J106" s="56" t="n"/>
      <c r="K106" s="56" t="n"/>
      <c r="L106" s="34">
        <f>HYPERLINK(Table544[[#This Row],[Column1]])</f>
        <v/>
      </c>
    </row>
    <row r="107" ht="60" customHeight="1" s="290">
      <c r="A107" s="30" t="n"/>
      <c r="B107" s="30" t="n"/>
      <c r="C107" s="30" t="n"/>
      <c r="D107" s="324" t="n"/>
      <c r="E107" s="53" t="n"/>
      <c r="F107" s="54" t="n"/>
      <c r="G107" s="55" t="n"/>
      <c r="H107" s="55" t="n"/>
      <c r="I107" s="55" t="n"/>
      <c r="J107" s="56" t="n"/>
      <c r="K107" s="56" t="n"/>
      <c r="L107" s="34">
        <f>HYPERLINK(Table544[[#This Row],[Column1]])</f>
        <v/>
      </c>
    </row>
    <row r="108" ht="45" customHeight="1" s="290">
      <c r="A108" s="30" t="n"/>
      <c r="B108" s="30" t="n"/>
      <c r="C108" s="30" t="n"/>
      <c r="D108" s="324" t="n"/>
      <c r="E108" s="53" t="n"/>
      <c r="F108" s="54" t="n"/>
      <c r="G108" s="55" t="n"/>
      <c r="H108" s="55" t="n"/>
      <c r="I108" s="55" t="n"/>
      <c r="J108" s="56" t="n"/>
      <c r="K108" s="56" t="n"/>
      <c r="L108" s="34">
        <f>HYPERLINK(Table544[[#This Row],[Column1]])</f>
        <v/>
      </c>
    </row>
    <row r="109" ht="45" customHeight="1" s="290">
      <c r="A109" s="30" t="n"/>
      <c r="B109" s="30" t="n"/>
      <c r="C109" s="30" t="n"/>
      <c r="D109" s="324" t="n"/>
      <c r="E109" s="53" t="n"/>
      <c r="F109" s="54" t="n"/>
      <c r="G109" s="55" t="n"/>
      <c r="H109" s="55" t="n"/>
      <c r="I109" s="55" t="n"/>
      <c r="J109" s="56" t="n"/>
      <c r="K109" s="56" t="n"/>
      <c r="L109" s="34">
        <f>HYPERLINK(Table544[[#This Row],[Column1]])</f>
        <v/>
      </c>
    </row>
    <row r="110" ht="45" customHeight="1" s="290">
      <c r="A110" s="30" t="n"/>
      <c r="B110" s="30" t="n"/>
      <c r="C110" s="30" t="n"/>
      <c r="D110" s="324" t="n"/>
      <c r="E110" s="53" t="n"/>
      <c r="F110" s="54" t="n"/>
      <c r="G110" s="55" t="n"/>
      <c r="H110" s="55" t="n"/>
      <c r="I110" s="55" t="n"/>
      <c r="J110" s="56" t="n"/>
      <c r="K110" s="56" t="n"/>
      <c r="L110" s="34">
        <f>HYPERLINK(Table544[[#This Row],[Column1]])</f>
        <v/>
      </c>
    </row>
    <row r="111" ht="45" customHeight="1" s="290">
      <c r="A111" s="30" t="n"/>
      <c r="B111" s="30" t="n"/>
      <c r="C111" s="30" t="n"/>
      <c r="D111" s="324" t="n"/>
      <c r="E111" s="53" t="n"/>
      <c r="F111" s="54" t="n"/>
      <c r="G111" s="55" t="n"/>
      <c r="H111" s="55" t="n"/>
      <c r="I111" s="55" t="n"/>
      <c r="J111" s="56" t="n"/>
      <c r="K111" s="56" t="n"/>
      <c r="L111" s="34">
        <f>HYPERLINK(Table544[[#This Row],[Column1]])</f>
        <v/>
      </c>
    </row>
    <row r="112" ht="45" customHeight="1" s="290">
      <c r="A112" s="30" t="n"/>
      <c r="B112" s="30" t="n"/>
      <c r="C112" s="30" t="n"/>
      <c r="D112" s="324" t="n"/>
      <c r="E112" s="53" t="n"/>
      <c r="F112" s="54" t="n"/>
      <c r="G112" s="55" t="n"/>
      <c r="H112" s="55" t="n"/>
      <c r="I112" s="55" t="n"/>
      <c r="J112" s="56" t="n"/>
      <c r="K112" s="56" t="n"/>
      <c r="L112" s="34">
        <f>HYPERLINK(Table544[[#This Row],[Column1]])</f>
        <v/>
      </c>
    </row>
    <row r="113" ht="45" customHeight="1" s="290">
      <c r="A113" s="30" t="n"/>
      <c r="B113" s="30" t="n"/>
      <c r="C113" s="30" t="n"/>
      <c r="D113" s="324" t="n"/>
      <c r="E113" s="53" t="n"/>
      <c r="F113" s="54" t="n"/>
      <c r="G113" s="55" t="n"/>
      <c r="H113" s="55" t="n"/>
      <c r="I113" s="55" t="n"/>
      <c r="J113" s="56" t="n"/>
      <c r="K113" s="56" t="n"/>
      <c r="L113" s="34">
        <f>HYPERLINK(Table544[[#This Row],[Column1]])</f>
        <v/>
      </c>
    </row>
    <row r="114" ht="45" customHeight="1" s="290">
      <c r="A114" s="30" t="n"/>
      <c r="B114" s="30" t="n"/>
      <c r="C114" s="30" t="n"/>
      <c r="D114" s="324" t="n"/>
      <c r="E114" s="53" t="n"/>
      <c r="F114" s="54" t="n"/>
      <c r="G114" s="55" t="n"/>
      <c r="H114" s="55" t="n"/>
      <c r="I114" s="55" t="n"/>
      <c r="J114" s="56" t="n"/>
      <c r="K114" s="56" t="n"/>
      <c r="L114" s="34">
        <f>HYPERLINK(Table544[[#This Row],[Column1]])</f>
        <v/>
      </c>
    </row>
    <row r="115" ht="45" customHeight="1" s="290">
      <c r="A115" s="30" t="n"/>
      <c r="B115" s="30" t="n"/>
      <c r="C115" s="30" t="n"/>
      <c r="D115" s="324" t="n"/>
      <c r="E115" s="53" t="n"/>
      <c r="F115" s="54" t="n"/>
      <c r="G115" s="55" t="n"/>
      <c r="H115" s="55" t="n"/>
      <c r="I115" s="55" t="n"/>
      <c r="J115" s="56" t="n"/>
      <c r="K115" s="56" t="n"/>
      <c r="L115" s="34">
        <f>HYPERLINK(Table544[[#This Row],[Column1]])</f>
        <v/>
      </c>
    </row>
    <row r="116" ht="30" customHeight="1" s="290">
      <c r="A116" s="30" t="n"/>
      <c r="B116" s="30" t="n"/>
      <c r="C116" s="30" t="n"/>
      <c r="D116" s="324" t="n"/>
      <c r="E116" s="53" t="n"/>
      <c r="F116" s="54" t="n"/>
      <c r="G116" s="55" t="n"/>
      <c r="H116" s="55" t="n"/>
      <c r="I116" s="55" t="n"/>
      <c r="J116" s="56" t="n"/>
      <c r="K116" s="56" t="n"/>
      <c r="L116" s="34">
        <f>HYPERLINK(Table544[[#This Row],[Column1]])</f>
        <v/>
      </c>
    </row>
    <row r="117" ht="30" customHeight="1" s="290">
      <c r="A117" s="30" t="n"/>
      <c r="B117" s="30" t="n"/>
      <c r="C117" s="30" t="n"/>
      <c r="D117" s="324" t="n"/>
      <c r="E117" s="53" t="n"/>
      <c r="F117" s="54" t="n"/>
      <c r="G117" s="55" t="n"/>
      <c r="H117" s="55" t="n"/>
      <c r="I117" s="55" t="n"/>
      <c r="J117" s="56" t="n"/>
      <c r="K117" s="56" t="n"/>
      <c r="L117" s="34">
        <f>HYPERLINK(Table544[[#This Row],[Column1]])</f>
        <v/>
      </c>
    </row>
    <row r="118" ht="45" customHeight="1" s="290">
      <c r="A118" s="30" t="n"/>
      <c r="B118" s="30" t="n"/>
      <c r="C118" s="30" t="n"/>
      <c r="D118" s="324" t="n"/>
      <c r="E118" s="53" t="n"/>
      <c r="F118" s="54" t="n"/>
      <c r="G118" s="55" t="n"/>
      <c r="H118" s="55" t="n"/>
      <c r="I118" s="55" t="n"/>
      <c r="J118" s="56" t="n"/>
      <c r="K118" s="56" t="n"/>
      <c r="L118" s="34">
        <f>HYPERLINK(Table544[[#This Row],[Column1]])</f>
        <v/>
      </c>
    </row>
    <row r="119" ht="45" customHeight="1" s="290">
      <c r="A119" s="30" t="n"/>
      <c r="B119" s="30" t="n"/>
      <c r="C119" s="30" t="n"/>
      <c r="D119" s="324" t="n"/>
      <c r="E119" s="53" t="n"/>
      <c r="F119" s="54" t="n"/>
      <c r="G119" s="55" t="n"/>
      <c r="H119" s="55" t="n"/>
      <c r="I119" s="55" t="n"/>
      <c r="J119" s="56" t="n"/>
      <c r="K119" s="56" t="n"/>
      <c r="L119" s="34">
        <f>HYPERLINK(Table544[[#This Row],[Column1]])</f>
        <v/>
      </c>
    </row>
    <row r="120" ht="60" customHeight="1" s="290">
      <c r="A120" s="30" t="n"/>
      <c r="B120" s="30" t="n"/>
      <c r="C120" s="30" t="n"/>
      <c r="D120" s="324" t="n"/>
      <c r="E120" s="53" t="n"/>
      <c r="F120" s="54" t="n"/>
      <c r="G120" s="55" t="n"/>
      <c r="H120" s="55" t="n"/>
      <c r="I120" s="55" t="n"/>
      <c r="J120" s="56" t="n"/>
      <c r="K120" s="56" t="n"/>
      <c r="L120" s="34">
        <f>HYPERLINK(Table544[[#This Row],[Column1]])</f>
        <v/>
      </c>
    </row>
    <row r="121" ht="45" customHeight="1" s="290">
      <c r="A121" s="30" t="n"/>
      <c r="B121" s="30" t="n"/>
      <c r="C121" s="30" t="n"/>
      <c r="D121" s="324" t="n"/>
      <c r="E121" s="53" t="n"/>
      <c r="F121" s="54" t="n"/>
      <c r="G121" s="55" t="n"/>
      <c r="H121" s="55" t="n"/>
      <c r="I121" s="55" t="n"/>
      <c r="J121" s="56" t="n"/>
      <c r="K121" s="56" t="n"/>
      <c r="L121" s="34">
        <f>HYPERLINK(Table544[[#This Row],[Column1]])</f>
        <v/>
      </c>
    </row>
    <row r="122" ht="45" customHeight="1" s="290">
      <c r="A122" s="30" t="n"/>
      <c r="B122" s="30" t="n"/>
      <c r="C122" s="30" t="n"/>
      <c r="D122" s="324" t="n"/>
      <c r="E122" s="53" t="n"/>
      <c r="F122" s="54" t="n"/>
      <c r="G122" s="55" t="n"/>
      <c r="H122" s="55" t="n"/>
      <c r="I122" s="55" t="n"/>
      <c r="J122" s="56" t="n"/>
      <c r="K122" s="56" t="n"/>
      <c r="L122" s="34">
        <f>HYPERLINK(Table544[[#This Row],[Column1]])</f>
        <v/>
      </c>
    </row>
    <row r="123" ht="45" customHeight="1" s="290">
      <c r="A123" s="30" t="n"/>
      <c r="B123" s="30" t="n"/>
      <c r="C123" s="30" t="n"/>
      <c r="D123" s="324" t="n"/>
      <c r="E123" s="53" t="n"/>
      <c r="F123" s="54" t="n"/>
      <c r="G123" s="55" t="n"/>
      <c r="H123" s="55" t="n"/>
      <c r="I123" s="55" t="n"/>
      <c r="J123" s="56" t="n"/>
      <c r="K123" s="56" t="n"/>
      <c r="L123" s="34">
        <f>HYPERLINK(Table544[[#This Row],[Column1]])</f>
        <v/>
      </c>
    </row>
    <row r="124" ht="17" customHeight="1" s="290">
      <c r="A124" s="30" t="n"/>
      <c r="B124" s="30" t="n"/>
      <c r="C124" s="30" t="n"/>
      <c r="D124" s="324" t="n"/>
      <c r="E124" s="53" t="n"/>
      <c r="F124" s="54" t="n"/>
      <c r="G124" s="55" t="n"/>
      <c r="H124" s="55" t="n"/>
      <c r="I124" s="55" t="n"/>
      <c r="J124" s="56" t="n"/>
      <c r="K124" s="56" t="n"/>
      <c r="L124" s="34">
        <f>HYPERLINK(Table544[[#This Row],[Column1]])</f>
        <v/>
      </c>
    </row>
    <row r="125" ht="30" customHeight="1" s="290">
      <c r="A125" s="30" t="n"/>
      <c r="B125" s="30" t="n"/>
      <c r="C125" s="30" t="n"/>
      <c r="D125" s="324" t="n"/>
      <c r="E125" s="53" t="n"/>
      <c r="F125" s="54" t="n"/>
      <c r="G125" s="55" t="n"/>
      <c r="H125" s="55" t="n"/>
      <c r="I125" s="55" t="n"/>
      <c r="J125" s="56" t="n"/>
      <c r="K125" s="56" t="n"/>
      <c r="L125" s="34">
        <f>HYPERLINK(Table544[[#This Row],[Column1]])</f>
        <v/>
      </c>
    </row>
    <row r="126" ht="45" customHeight="1" s="290">
      <c r="A126" s="30" t="n"/>
      <c r="B126" s="30" t="n"/>
      <c r="C126" s="30" t="n"/>
      <c r="D126" s="324" t="n"/>
      <c r="E126" s="53" t="n"/>
      <c r="F126" s="54" t="n"/>
      <c r="G126" s="55" t="n"/>
      <c r="H126" s="55" t="n"/>
      <c r="I126" s="55" t="n"/>
      <c r="J126" s="56" t="n"/>
      <c r="K126" s="56" t="n"/>
      <c r="L126" s="34">
        <f>HYPERLINK(Table544[[#This Row],[Column1]])</f>
        <v/>
      </c>
    </row>
    <row r="127" ht="45" customHeight="1" s="290">
      <c r="A127" s="30" t="n"/>
      <c r="B127" s="30" t="n"/>
      <c r="C127" s="30" t="n"/>
      <c r="D127" s="324" t="n"/>
      <c r="E127" s="53" t="n"/>
      <c r="F127" s="54" t="n"/>
      <c r="G127" s="55" t="n"/>
      <c r="H127" s="55" t="n"/>
      <c r="I127" s="55" t="n"/>
      <c r="J127" s="56" t="n"/>
      <c r="K127" s="56" t="n"/>
      <c r="L127" s="34">
        <f>HYPERLINK(Table544[[#This Row],[Column1]])</f>
        <v/>
      </c>
    </row>
    <row r="128" ht="17" customHeight="1" s="290">
      <c r="A128" s="33" t="inlineStr">
        <is>
          <t>Total</t>
        </is>
      </c>
      <c r="B128" s="32" t="n"/>
      <c r="C128" s="325" t="n"/>
      <c r="D128" s="325" t="n"/>
      <c r="E128" s="59">
        <f>SUM(Table544[Estimated 12mo Revenue])</f>
        <v/>
      </c>
      <c r="F128" s="59">
        <f>SUM(Table544[Monthly Rev])</f>
        <v/>
      </c>
      <c r="I128" s="286" t="n"/>
      <c r="J128" s="287" t="n"/>
    </row>
    <row r="131">
      <c r="A131" s="283" t="inlineStr">
        <is>
          <t>Rank by Units</t>
        </is>
      </c>
    </row>
    <row r="132" ht="17" customHeight="1" s="290">
      <c r="A132" s="38" t="inlineStr">
        <is>
          <t>Product Name</t>
        </is>
      </c>
      <c r="B132" s="39" t="inlineStr">
        <is>
          <t>ASIN</t>
        </is>
      </c>
      <c r="C132" s="39" t="inlineStr">
        <is>
          <t>Type</t>
        </is>
      </c>
      <c r="D132" s="322" t="inlineStr">
        <is>
          <t>Avg Price</t>
        </is>
      </c>
      <c r="E132" s="41" t="inlineStr">
        <is>
          <t>Estimated 12mo Revenue</t>
        </is>
      </c>
      <c r="F132" s="39" t="inlineStr">
        <is>
          <t>Monthly Rev</t>
        </is>
      </c>
      <c r="G132" s="42" t="inlineStr">
        <is>
          <t>Estimated 12mo Units</t>
        </is>
      </c>
      <c r="H132" s="45" t="inlineStr">
        <is>
          <t>Monthly Units</t>
        </is>
      </c>
      <c r="I132" s="42" t="inlineStr">
        <is>
          <t># of Reviews</t>
        </is>
      </c>
      <c r="J132" s="43" t="inlineStr">
        <is>
          <t xml:space="preserve">Tool Rating </t>
        </is>
      </c>
      <c r="K132" s="43" t="inlineStr">
        <is>
          <t>Column1</t>
        </is>
      </c>
      <c r="L132" s="323" t="inlineStr">
        <is>
          <t>Link</t>
        </is>
      </c>
    </row>
    <row r="133" ht="45" customHeight="1" s="290">
      <c r="A133" s="30" t="inlineStr">
        <is>
          <t>BLCKTEC 460T OBD2 Scanner Car Code Reader Engine ABS SRS Transmission Diagnostic Tool, 12 Reset Services, Oil/TPMS/EPB/BMS/SAS/DPF/Throttle Reset, ABS Bleeding, Battery Test, Auto VIN, Free Update</t>
        </is>
      </c>
      <c r="B133" s="30" t="inlineStr">
        <is>
          <t>B0DV2N2FND</t>
        </is>
      </c>
      <c r="C133" s="30" t="inlineStr">
        <is>
          <t>Tablet</t>
        </is>
      </c>
      <c r="D133" s="324" t="n">
        <v>189.17418997669</v>
      </c>
      <c r="E133" s="53" t="n">
        <v>3246740.46</v>
      </c>
      <c r="F133" s="53" t="n">
        <v>324622.91</v>
      </c>
      <c r="G133" s="55" t="n">
        <v>16939</v>
      </c>
      <c r="H133" s="57" t="n">
        <v>1716</v>
      </c>
      <c r="I133" s="55" t="n">
        <v>608</v>
      </c>
      <c r="J133" s="56" t="n">
        <v>4.4</v>
      </c>
      <c r="K133" s="56" t="inlineStr">
        <is>
          <t>https://amazon.com/dp/B0DV2N2FND</t>
        </is>
      </c>
      <c r="L133" s="34">
        <f>HYPERLINK(BLCKTEC_1[[#This Row],[Column1]])</f>
        <v/>
      </c>
    </row>
    <row r="134" ht="45" customHeight="1" s="290">
      <c r="A134" s="30" t="inlineStr">
        <is>
          <t>BLCKTEC 440 Bluetooth OBD2 Scanner Diagnostic Tool - Car Code Reader and Scanner for Car - Comes with Live Data - Battery/Charging System Test - Works for All OBD Compliant Cars 1996 &amp; Newer</t>
        </is>
      </c>
      <c r="B134" s="30" t="inlineStr">
        <is>
          <t>B0C8XSKFX8</t>
        </is>
      </c>
      <c r="C134" s="30" t="inlineStr">
        <is>
          <t>Handheld</t>
        </is>
      </c>
      <c r="D134" s="324" t="n">
        <v>68.15849176172371</v>
      </c>
      <c r="E134" s="53" t="n">
        <v>851283.33</v>
      </c>
      <c r="F134" s="53" t="n">
        <v>53777.05</v>
      </c>
      <c r="G134" s="55" t="n">
        <v>11734</v>
      </c>
      <c r="H134" s="57" t="n">
        <v>789</v>
      </c>
      <c r="I134" s="55" t="n">
        <v>1064</v>
      </c>
      <c r="J134" s="56" t="n">
        <v>4.5</v>
      </c>
      <c r="K134" s="56" t="inlineStr">
        <is>
          <t>https://amazon.com/dp/B0C8XSKFX8</t>
        </is>
      </c>
      <c r="L134" s="34">
        <f>HYPERLINK(BLCKTEC_1[[#This Row],[Column1]])</f>
        <v/>
      </c>
    </row>
    <row r="135" ht="45" customHeight="1" s="290">
      <c r="A135" s="30" t="inlineStr">
        <is>
          <t>BLCKTEC 420 Bluetooth OBD2 Scanner Diagnostic Tool - Vehicle Code Reader for Car - Clears Check Engine Light - Comes with Premium OBD App On IOS &amp; Android - Works For All Cars 1996 &amp; Newer</t>
        </is>
      </c>
      <c r="B135" s="30" t="inlineStr">
        <is>
          <t>B0BNGW4VF4</t>
        </is>
      </c>
      <c r="C135" s="30" t="inlineStr">
        <is>
          <t>Handheld</t>
        </is>
      </c>
      <c r="D135" s="324" t="n">
        <v>37.02769383697813</v>
      </c>
      <c r="E135" s="53" t="n">
        <v>473589.06</v>
      </c>
      <c r="F135" s="53" t="n">
        <v>18624.93</v>
      </c>
      <c r="G135" s="55" t="n">
        <v>12056</v>
      </c>
      <c r="H135" s="57" t="n">
        <v>503</v>
      </c>
      <c r="I135" s="55" t="n">
        <v>1967</v>
      </c>
      <c r="J135" s="56" t="n">
        <v>4.5</v>
      </c>
      <c r="K135" s="56" t="inlineStr">
        <is>
          <t>https://amazon.com/dp/B0BNGW4VF4</t>
        </is>
      </c>
      <c r="L135" s="34">
        <f>HYPERLINK(BLCKTEC_1[[#This Row],[Column1]])</f>
        <v/>
      </c>
    </row>
    <row r="136" ht="45" customHeight="1" s="290">
      <c r="A136" s="30" t="inlineStr">
        <is>
          <t>BLCKTEC 430 Bluetooth OBD2 Scanner for iPhone &amp; Android, No Subscription Fee, OBDII Car Code Reader, Diagnose Check Engine, ABS, SRS, Airbag, Supports Vehicles 1996+</t>
        </is>
      </c>
      <c r="B136" s="30" t="inlineStr">
        <is>
          <t>B0C2JQH5NY</t>
        </is>
      </c>
      <c r="C136" s="30" t="inlineStr">
        <is>
          <t>Dongle</t>
        </is>
      </c>
      <c r="D136" s="324" t="n">
        <v>69.33496881496882</v>
      </c>
      <c r="E136" s="53" t="n">
        <v>550630.7400000001</v>
      </c>
      <c r="F136" s="53" t="n">
        <v>33350.12</v>
      </c>
      <c r="G136" s="55" t="n">
        <v>7802</v>
      </c>
      <c r="H136" s="57" t="n">
        <v>481</v>
      </c>
      <c r="I136" s="55" t="n">
        <v>1165</v>
      </c>
      <c r="J136" s="56" t="n">
        <v>4.3</v>
      </c>
      <c r="K136" s="56" t="inlineStr">
        <is>
          <t>https://amazon.com/dp/B0C2JQH5NY</t>
        </is>
      </c>
      <c r="L136" s="34">
        <f>HYPERLINK(BLCKTEC_1[[#This Row],[Column1]])</f>
        <v/>
      </c>
    </row>
    <row r="137" ht="45" customHeight="1" s="290">
      <c r="A137" s="30" t="inlineStr">
        <is>
          <t>BLCKTEC 420X OBD2 Scanner Diagnostic Tool, Read and Clear Check Engine Light, Car Code Reader for All OBDII Cars 1996 and Newer, Comes with Bluetooth Topnotch App On iOS &amp; Android</t>
        </is>
      </c>
      <c r="B137" s="30" t="inlineStr">
        <is>
          <t>B0FG9XGLYW</t>
        </is>
      </c>
      <c r="C137" s="30" t="inlineStr">
        <is>
          <t>Dongle</t>
        </is>
      </c>
      <c r="D137" s="324" t="n">
        <v>48.09460732984293</v>
      </c>
      <c r="E137" s="53" t="n">
        <v>101268.7069230769</v>
      </c>
      <c r="F137" s="53" t="n">
        <v>9186.07</v>
      </c>
      <c r="G137" s="55" t="n">
        <v>1418</v>
      </c>
      <c r="H137" s="57" t="n">
        <v>191</v>
      </c>
      <c r="I137" s="55" t="n">
        <v>1968</v>
      </c>
      <c r="J137" s="56" t="n">
        <v>4.5</v>
      </c>
      <c r="K137" s="56" t="inlineStr">
        <is>
          <t>https://amazon.com/dp/B0FG9XGLYW</t>
        </is>
      </c>
      <c r="L137" s="34">
        <f>HYPERLINK(BLCKTEC_1[[#This Row],[Column1]])</f>
        <v/>
      </c>
    </row>
    <row r="138" ht="45" customHeight="1" s="290">
      <c r="A138" s="30" t="inlineStr">
        <is>
          <t>BLCKTEC 410 Bluetooth OBD2 Scanner for iPhone &amp; Android, No Subscription Fee, OBDII Car Code Reader, Diagnose Check Engine Light, Supports OBD2 Compliant Vehicles 1996 and Newer</t>
        </is>
      </c>
      <c r="B138" s="30" t="inlineStr">
        <is>
          <t>B0BTZRXX2G</t>
        </is>
      </c>
      <c r="C138" s="30" t="inlineStr">
        <is>
          <t>Dongle</t>
        </is>
      </c>
      <c r="D138" s="324" t="n">
        <v>34.98964285714286</v>
      </c>
      <c r="E138" s="53" t="n">
        <v>81570.78999999999</v>
      </c>
      <c r="F138" s="53" t="n">
        <v>979.71</v>
      </c>
      <c r="G138" s="55" t="n">
        <v>2460</v>
      </c>
      <c r="H138" s="57" t="n">
        <v>28</v>
      </c>
      <c r="I138" s="55" t="n">
        <v>885</v>
      </c>
      <c r="J138" s="56" t="n">
        <v>4.3</v>
      </c>
      <c r="K138" s="56" t="inlineStr">
        <is>
          <t>https://amazon.com/dp/B0BTZRXX2G</t>
        </is>
      </c>
      <c r="L138" s="34">
        <f>HYPERLINK(BLCKTEC_1[[#This Row],[Column1]])</f>
        <v/>
      </c>
    </row>
    <row r="139" ht="45" customHeight="1" s="290">
      <c r="A139" s="30" t="inlineStr">
        <is>
          <t>BLCKTEC 400 OBD2 Scanner Diagnostic Tool - Car for All Cars OBDII Compatible Code Reader with Reset Comes Free OBD App On iOS &amp; Android</t>
        </is>
      </c>
      <c r="B139" s="30" t="inlineStr">
        <is>
          <t>B0BXWCJ2LX</t>
        </is>
      </c>
      <c r="C139" s="30" t="inlineStr">
        <is>
          <t>Handheld</t>
        </is>
      </c>
      <c r="D139" s="324" t="n">
        <v>26.99</v>
      </c>
      <c r="E139" s="53" t="n">
        <v>4133.709230769231</v>
      </c>
      <c r="F139" s="53" t="n">
        <v>242.91</v>
      </c>
      <c r="G139" s="55" t="n">
        <v>136</v>
      </c>
      <c r="H139" s="57" t="n">
        <v>9</v>
      </c>
      <c r="I139" s="55" t="n">
        <v>321</v>
      </c>
      <c r="J139" s="56" t="n">
        <v>4.4</v>
      </c>
      <c r="K139" s="56" t="inlineStr">
        <is>
          <t>https://amazon.com/dp/B0BXWCJ2LX</t>
        </is>
      </c>
      <c r="L139" s="34">
        <f>HYPERLINK(BLCKTEC_1[[#This Row],[Column1]])</f>
        <v/>
      </c>
    </row>
    <row r="140" ht="45" customHeight="1" s="290">
      <c r="A140" s="30" t="n"/>
      <c r="B140" s="30" t="n"/>
      <c r="C140" s="30" t="n"/>
      <c r="D140" s="324" t="n"/>
      <c r="E140" s="53" t="n"/>
      <c r="F140" s="53" t="n"/>
      <c r="G140" s="55" t="n"/>
      <c r="H140" s="57" t="n"/>
      <c r="I140" s="55" t="n"/>
      <c r="J140" s="56" t="n"/>
      <c r="K140" s="56" t="n"/>
      <c r="L140" s="34">
        <f>HYPERLINK(Table65[[#This Row],[Column1]])</f>
        <v/>
      </c>
    </row>
    <row r="141" ht="30" customHeight="1" s="290">
      <c r="A141" s="30" t="n"/>
      <c r="B141" s="30" t="n"/>
      <c r="C141" s="30" t="n"/>
      <c r="D141" s="324" t="n"/>
      <c r="E141" s="53" t="n"/>
      <c r="F141" s="53" t="n"/>
      <c r="G141" s="55" t="n"/>
      <c r="H141" s="57" t="n"/>
      <c r="I141" s="55" t="n"/>
      <c r="J141" s="56" t="n"/>
      <c r="K141" s="56" t="n"/>
      <c r="L141" s="34">
        <f>HYPERLINK(Table65[[#This Row],[Column1]])</f>
        <v/>
      </c>
    </row>
    <row r="142" ht="45" customHeight="1" s="290">
      <c r="A142" s="30" t="n"/>
      <c r="B142" s="30" t="n"/>
      <c r="C142" s="30" t="n"/>
      <c r="D142" s="324" t="n"/>
      <c r="E142" s="53" t="n"/>
      <c r="F142" s="53" t="n"/>
      <c r="G142" s="55" t="n"/>
      <c r="H142" s="57" t="n"/>
      <c r="I142" s="55" t="n"/>
      <c r="J142" s="56" t="n"/>
      <c r="K142" s="56" t="n"/>
      <c r="L142" s="34">
        <f>HYPERLINK(Table65[[#This Row],[Column1]])</f>
        <v/>
      </c>
    </row>
    <row r="143" ht="45" customHeight="1" s="290">
      <c r="A143" s="30" t="n"/>
      <c r="B143" s="30" t="n"/>
      <c r="C143" s="30" t="n"/>
      <c r="D143" s="324" t="n"/>
      <c r="E143" s="53" t="n"/>
      <c r="F143" s="53" t="n"/>
      <c r="G143" s="55" t="n"/>
      <c r="H143" s="57" t="n"/>
      <c r="I143" s="55" t="n"/>
      <c r="J143" s="56" t="n"/>
      <c r="K143" s="56" t="n"/>
      <c r="L143" s="34">
        <f>HYPERLINK(Table65[[#This Row],[Column1]])</f>
        <v/>
      </c>
    </row>
    <row r="144" ht="45" customHeight="1" s="290">
      <c r="A144" s="30" t="n"/>
      <c r="B144" s="30" t="n"/>
      <c r="C144" s="30" t="n"/>
      <c r="D144" s="324" t="n"/>
      <c r="E144" s="53" t="n"/>
      <c r="F144" s="53" t="n"/>
      <c r="G144" s="55" t="n"/>
      <c r="H144" s="57" t="n"/>
      <c r="I144" s="55" t="n"/>
      <c r="J144" s="56" t="n"/>
      <c r="K144" s="56" t="n"/>
      <c r="L144" s="34">
        <f>HYPERLINK(Table65[[#This Row],[Column1]])</f>
        <v/>
      </c>
    </row>
    <row r="145" ht="45" customHeight="1" s="290">
      <c r="A145" s="30" t="n"/>
      <c r="B145" s="30" t="n"/>
      <c r="C145" s="30" t="n"/>
      <c r="D145" s="324" t="n"/>
      <c r="E145" s="53" t="n"/>
      <c r="F145" s="53" t="n"/>
      <c r="G145" s="55" t="n"/>
      <c r="H145" s="57" t="n"/>
      <c r="I145" s="55" t="n"/>
      <c r="J145" s="56" t="n"/>
      <c r="K145" s="56" t="n"/>
      <c r="L145" s="34">
        <f>HYPERLINK(Table65[[#This Row],[Column1]])</f>
        <v/>
      </c>
    </row>
    <row r="146" ht="60" customHeight="1" s="290">
      <c r="A146" s="30" t="n"/>
      <c r="B146" s="30" t="n"/>
      <c r="C146" s="30" t="n"/>
      <c r="D146" s="324" t="n"/>
      <c r="E146" s="53" t="n"/>
      <c r="F146" s="53" t="n"/>
      <c r="G146" s="55" t="n"/>
      <c r="H146" s="57" t="n"/>
      <c r="I146" s="55" t="n"/>
      <c r="J146" s="56" t="n"/>
      <c r="K146" s="56" t="n"/>
      <c r="L146" s="34">
        <f>HYPERLINK(Table65[[#This Row],[Column1]])</f>
        <v/>
      </c>
    </row>
    <row r="147" ht="45" customHeight="1" s="290">
      <c r="A147" s="30" t="n"/>
      <c r="B147" s="30" t="n"/>
      <c r="C147" s="30" t="n"/>
      <c r="D147" s="324" t="n"/>
      <c r="E147" s="53" t="n"/>
      <c r="F147" s="53" t="n"/>
      <c r="G147" s="55" t="n"/>
      <c r="H147" s="57" t="n"/>
      <c r="I147" s="55" t="n"/>
      <c r="J147" s="56" t="n"/>
      <c r="K147" s="56" t="n"/>
      <c r="L147" s="34">
        <f>HYPERLINK(Table65[[#This Row],[Column1]])</f>
        <v/>
      </c>
    </row>
    <row r="148" ht="45" customHeight="1" s="290">
      <c r="A148" s="30" t="n"/>
      <c r="B148" s="30" t="n"/>
      <c r="C148" s="30" t="n"/>
      <c r="D148" s="324" t="n"/>
      <c r="E148" s="53" t="n"/>
      <c r="F148" s="53" t="n"/>
      <c r="G148" s="55" t="n"/>
      <c r="H148" s="57" t="n"/>
      <c r="I148" s="55" t="n"/>
      <c r="J148" s="56" t="n"/>
      <c r="K148" s="56" t="n"/>
      <c r="L148" s="34">
        <f>HYPERLINK(Table65[[#This Row],[Column1]])</f>
        <v/>
      </c>
    </row>
    <row r="149" ht="45" customHeight="1" s="290">
      <c r="A149" s="30" t="n"/>
      <c r="B149" s="30" t="n"/>
      <c r="C149" s="30" t="n"/>
      <c r="D149" s="324" t="n"/>
      <c r="E149" s="53" t="n"/>
      <c r="F149" s="53" t="n"/>
      <c r="G149" s="55" t="n"/>
      <c r="H149" s="57" t="n"/>
      <c r="I149" s="55" t="n"/>
      <c r="J149" s="56" t="n"/>
      <c r="K149" s="56" t="n"/>
      <c r="L149" s="34">
        <f>HYPERLINK(Table65[[#This Row],[Column1]])</f>
        <v/>
      </c>
    </row>
    <row r="150" ht="45" customHeight="1" s="290">
      <c r="A150" s="30" t="n"/>
      <c r="B150" s="30" t="n"/>
      <c r="C150" s="30" t="n"/>
      <c r="D150" s="324" t="n"/>
      <c r="E150" s="53" t="n"/>
      <c r="F150" s="53" t="n"/>
      <c r="G150" s="55" t="n"/>
      <c r="H150" s="57" t="n"/>
      <c r="I150" s="55" t="n"/>
      <c r="J150" s="56" t="n"/>
      <c r="K150" s="56" t="n"/>
      <c r="L150" s="34">
        <f>HYPERLINK(Table65[[#This Row],[Column1]])</f>
        <v/>
      </c>
    </row>
    <row r="151" ht="45" customHeight="1" s="290">
      <c r="A151" s="30" t="n"/>
      <c r="B151" s="30" t="n"/>
      <c r="C151" s="30" t="n"/>
      <c r="D151" s="324" t="n"/>
      <c r="E151" s="53" t="n"/>
      <c r="F151" s="53" t="n"/>
      <c r="G151" s="55" t="n"/>
      <c r="H151" s="57" t="n"/>
      <c r="I151" s="55" t="n"/>
      <c r="J151" s="56" t="n"/>
      <c r="K151" s="56" t="n"/>
      <c r="L151" s="34">
        <f>HYPERLINK(Table65[[#This Row],[Column1]])</f>
        <v/>
      </c>
    </row>
    <row r="152" ht="45" customHeight="1" s="290">
      <c r="A152" s="30" t="n"/>
      <c r="B152" s="30" t="n"/>
      <c r="C152" s="30" t="n"/>
      <c r="D152" s="324" t="n"/>
      <c r="E152" s="53" t="n"/>
      <c r="F152" s="53" t="n"/>
      <c r="G152" s="55" t="n"/>
      <c r="H152" s="57" t="n"/>
      <c r="I152" s="55" t="n"/>
      <c r="J152" s="56" t="n"/>
      <c r="K152" s="56" t="n"/>
      <c r="L152" s="34">
        <f>HYPERLINK(Table65[[#This Row],[Column1]])</f>
        <v/>
      </c>
    </row>
    <row r="153" ht="60" customHeight="1" s="290">
      <c r="A153" s="30" t="n"/>
      <c r="B153" s="30" t="n"/>
      <c r="C153" s="30" t="n"/>
      <c r="D153" s="324" t="n"/>
      <c r="E153" s="53" t="n"/>
      <c r="F153" s="53" t="n"/>
      <c r="G153" s="55" t="n"/>
      <c r="H153" s="57" t="n"/>
      <c r="I153" s="55" t="n"/>
      <c r="J153" s="56" t="n"/>
      <c r="K153" s="56" t="n"/>
      <c r="L153" s="34">
        <f>HYPERLINK(Table65[[#This Row],[Column1]])</f>
        <v/>
      </c>
    </row>
    <row r="154" ht="45" customHeight="1" s="290">
      <c r="A154" s="30" t="n"/>
      <c r="B154" s="30" t="n"/>
      <c r="C154" s="30" t="n"/>
      <c r="D154" s="324" t="n"/>
      <c r="E154" s="53" t="n"/>
      <c r="F154" s="53" t="n"/>
      <c r="G154" s="55" t="n"/>
      <c r="H154" s="57" t="n"/>
      <c r="I154" s="55" t="n"/>
      <c r="J154" s="56" t="n"/>
      <c r="K154" s="56" t="n"/>
      <c r="L154" s="34">
        <f>HYPERLINK(Table65[[#This Row],[Column1]])</f>
        <v/>
      </c>
    </row>
    <row r="155" ht="45" customHeight="1" s="290">
      <c r="A155" s="30" t="n"/>
      <c r="B155" s="30" t="n"/>
      <c r="C155" s="30" t="n"/>
      <c r="D155" s="324" t="n"/>
      <c r="E155" s="53" t="n"/>
      <c r="F155" s="53" t="n"/>
      <c r="G155" s="55" t="n"/>
      <c r="H155" s="57" t="n"/>
      <c r="I155" s="55" t="n"/>
      <c r="J155" s="56" t="n"/>
      <c r="K155" s="56" t="n"/>
      <c r="L155" s="34">
        <f>HYPERLINK(Table65[[#This Row],[Column1]])</f>
        <v/>
      </c>
    </row>
    <row r="156" ht="45" customHeight="1" s="290">
      <c r="A156" s="30" t="n"/>
      <c r="B156" s="30" t="n"/>
      <c r="C156" s="30" t="n"/>
      <c r="D156" s="324" t="n"/>
      <c r="E156" s="53" t="n"/>
      <c r="F156" s="53" t="n"/>
      <c r="G156" s="55" t="n"/>
      <c r="H156" s="57" t="n"/>
      <c r="I156" s="55" t="n"/>
      <c r="J156" s="56" t="n"/>
      <c r="K156" s="56" t="n"/>
      <c r="L156" s="34">
        <f>HYPERLINK(Table65[[#This Row],[Column1]])</f>
        <v/>
      </c>
    </row>
    <row r="157" ht="45" customHeight="1" s="290">
      <c r="A157" s="30" t="n"/>
      <c r="B157" s="30" t="n"/>
      <c r="C157" s="30" t="n"/>
      <c r="D157" s="324" t="n"/>
      <c r="E157" s="53" t="n"/>
      <c r="F157" s="53" t="n"/>
      <c r="G157" s="55" t="n"/>
      <c r="H157" s="57" t="n"/>
      <c r="I157" s="55" t="n"/>
      <c r="J157" s="56" t="n"/>
      <c r="K157" s="56" t="n"/>
      <c r="L157" s="34">
        <f>HYPERLINK(Table65[[#This Row],[Column1]])</f>
        <v/>
      </c>
    </row>
    <row r="158" ht="45" customHeight="1" s="290">
      <c r="A158" s="30" t="n"/>
      <c r="B158" s="30" t="n"/>
      <c r="C158" s="30" t="n"/>
      <c r="D158" s="324" t="n"/>
      <c r="E158" s="53" t="n"/>
      <c r="F158" s="53" t="n"/>
      <c r="G158" s="55" t="n"/>
      <c r="H158" s="57" t="n"/>
      <c r="I158" s="55" t="n"/>
      <c r="J158" s="56" t="n"/>
      <c r="K158" s="56" t="n"/>
      <c r="L158" s="34">
        <f>HYPERLINK(Table65[[#This Row],[Column1]])</f>
        <v/>
      </c>
    </row>
    <row r="159" ht="45" customHeight="1" s="290">
      <c r="A159" s="30" t="n"/>
      <c r="B159" s="30" t="n"/>
      <c r="C159" s="30" t="n"/>
      <c r="D159" s="324" t="n"/>
      <c r="E159" s="53" t="n"/>
      <c r="F159" s="53" t="n"/>
      <c r="G159" s="55" t="n"/>
      <c r="H159" s="57" t="n"/>
      <c r="I159" s="55" t="n"/>
      <c r="J159" s="56" t="n"/>
      <c r="K159" s="56" t="n"/>
      <c r="L159" s="34">
        <f>HYPERLINK(Table65[[#This Row],[Column1]])</f>
        <v/>
      </c>
    </row>
    <row r="160" ht="45" customHeight="1" s="290">
      <c r="A160" s="30" t="n"/>
      <c r="B160" s="30" t="n"/>
      <c r="C160" s="30" t="n"/>
      <c r="D160" s="324" t="n"/>
      <c r="E160" s="53" t="n"/>
      <c r="F160" s="53" t="n"/>
      <c r="G160" s="55" t="n"/>
      <c r="H160" s="57" t="n"/>
      <c r="I160" s="55" t="n"/>
      <c r="J160" s="56" t="n"/>
      <c r="K160" s="56" t="n"/>
      <c r="L160" s="34">
        <f>HYPERLINK(Table65[[#This Row],[Column1]])</f>
        <v/>
      </c>
    </row>
    <row r="161" ht="60" customHeight="1" s="290">
      <c r="A161" s="30" t="n"/>
      <c r="B161" s="30" t="n"/>
      <c r="C161" s="30" t="n"/>
      <c r="D161" s="324" t="n"/>
      <c r="E161" s="53" t="n"/>
      <c r="F161" s="53" t="n"/>
      <c r="G161" s="55" t="n"/>
      <c r="H161" s="57" t="n"/>
      <c r="I161" s="55" t="n"/>
      <c r="J161" s="56" t="n"/>
      <c r="K161" s="56" t="n"/>
      <c r="L161" s="34">
        <f>HYPERLINK(Table65[[#This Row],[Column1]])</f>
        <v/>
      </c>
    </row>
    <row r="162" ht="45" customHeight="1" s="290">
      <c r="A162" s="30" t="n"/>
      <c r="B162" s="30" t="n"/>
      <c r="C162" s="30" t="n"/>
      <c r="D162" s="324" t="n"/>
      <c r="E162" s="53" t="n"/>
      <c r="F162" s="53" t="n"/>
      <c r="G162" s="55" t="n"/>
      <c r="H162" s="57" t="n"/>
      <c r="I162" s="55" t="n"/>
      <c r="J162" s="56" t="n"/>
      <c r="K162" s="56" t="n"/>
      <c r="L162" s="34">
        <f>HYPERLINK(Table65[[#This Row],[Column1]])</f>
        <v/>
      </c>
    </row>
    <row r="163" ht="45" customHeight="1" s="290">
      <c r="A163" s="30" t="n"/>
      <c r="B163" s="30" t="n"/>
      <c r="C163" s="30" t="n"/>
      <c r="D163" s="324" t="n"/>
      <c r="E163" s="53" t="n"/>
      <c r="F163" s="53" t="n"/>
      <c r="G163" s="55" t="n"/>
      <c r="H163" s="57" t="n"/>
      <c r="I163" s="55" t="n"/>
      <c r="J163" s="56" t="n"/>
      <c r="K163" s="56" t="n"/>
      <c r="L163" s="34">
        <f>HYPERLINK(Table65[[#This Row],[Column1]])</f>
        <v/>
      </c>
    </row>
    <row r="164" ht="45" customHeight="1" s="290">
      <c r="A164" s="30" t="n"/>
      <c r="B164" s="30" t="n"/>
      <c r="C164" s="30" t="n"/>
      <c r="D164" s="324" t="n"/>
      <c r="E164" s="53" t="n"/>
      <c r="F164" s="53" t="n"/>
      <c r="G164" s="55" t="n"/>
      <c r="H164" s="57" t="n"/>
      <c r="I164" s="55" t="n"/>
      <c r="J164" s="56" t="n"/>
      <c r="K164" s="56" t="n"/>
      <c r="L164" s="34">
        <f>HYPERLINK(Table65[[#This Row],[Column1]])</f>
        <v/>
      </c>
    </row>
    <row r="165" ht="45" customHeight="1" s="290">
      <c r="A165" s="30" t="n"/>
      <c r="B165" s="30" t="n"/>
      <c r="C165" s="30" t="n"/>
      <c r="D165" s="324" t="n"/>
      <c r="E165" s="53" t="n"/>
      <c r="F165" s="53" t="n"/>
      <c r="G165" s="55" t="n"/>
      <c r="H165" s="57" t="n"/>
      <c r="I165" s="55" t="n"/>
      <c r="J165" s="56" t="n"/>
      <c r="K165" s="56" t="n"/>
      <c r="L165" s="34">
        <f>HYPERLINK(Table65[[#This Row],[Column1]])</f>
        <v/>
      </c>
    </row>
    <row r="166" ht="45" customHeight="1" s="290">
      <c r="A166" s="30" t="n"/>
      <c r="B166" s="30" t="n"/>
      <c r="C166" s="30" t="n"/>
      <c r="D166" s="324" t="n"/>
      <c r="E166" s="53" t="n"/>
      <c r="F166" s="53" t="n"/>
      <c r="G166" s="55" t="n"/>
      <c r="H166" s="57" t="n"/>
      <c r="I166" s="55" t="n"/>
      <c r="J166" s="56" t="n"/>
      <c r="K166" s="56" t="n"/>
      <c r="L166" s="34">
        <f>HYPERLINK(Table65[[#This Row],[Column1]])</f>
        <v/>
      </c>
    </row>
    <row r="167" ht="45" customHeight="1" s="290">
      <c r="A167" s="30" t="n"/>
      <c r="B167" s="30" t="n"/>
      <c r="C167" s="30" t="n"/>
      <c r="D167" s="324" t="n"/>
      <c r="E167" s="53" t="n"/>
      <c r="F167" s="53" t="n"/>
      <c r="G167" s="55" t="n"/>
      <c r="H167" s="57" t="n"/>
      <c r="I167" s="55" t="n"/>
      <c r="J167" s="56" t="n"/>
      <c r="K167" s="56" t="n"/>
      <c r="L167" s="34">
        <f>HYPERLINK(Table65[[#This Row],[Column1]])</f>
        <v/>
      </c>
    </row>
    <row r="168" ht="45" customHeight="1" s="290">
      <c r="A168" s="30" t="n"/>
      <c r="B168" s="30" t="n"/>
      <c r="C168" s="30" t="n"/>
      <c r="D168" s="324" t="n"/>
      <c r="E168" s="53" t="n"/>
      <c r="F168" s="53" t="n"/>
      <c r="G168" s="55" t="n"/>
      <c r="H168" s="57" t="n"/>
      <c r="I168" s="55" t="n"/>
      <c r="J168" s="56" t="n"/>
      <c r="K168" s="56" t="n"/>
      <c r="L168" s="34">
        <f>HYPERLINK(Table65[[#This Row],[Column1]])</f>
        <v/>
      </c>
    </row>
    <row r="169" ht="45" customHeight="1" s="290">
      <c r="A169" s="30" t="n"/>
      <c r="B169" s="30" t="n"/>
      <c r="C169" s="30" t="n"/>
      <c r="D169" s="324" t="n"/>
      <c r="E169" s="53" t="n"/>
      <c r="F169" s="53" t="n"/>
      <c r="G169" s="55" t="n"/>
      <c r="H169" s="57" t="n"/>
      <c r="I169" s="55" t="n"/>
      <c r="J169" s="56" t="n"/>
      <c r="K169" s="56" t="n"/>
      <c r="L169" s="34">
        <f>HYPERLINK(Table65[[#This Row],[Column1]])</f>
        <v/>
      </c>
    </row>
    <row r="170" ht="30" customHeight="1" s="290">
      <c r="A170" s="30" t="n"/>
      <c r="B170" s="30" t="n"/>
      <c r="C170" s="30" t="n"/>
      <c r="D170" s="324" t="n"/>
      <c r="E170" s="53" t="n"/>
      <c r="F170" s="53" t="n"/>
      <c r="G170" s="55" t="n"/>
      <c r="H170" s="57" t="n"/>
      <c r="I170" s="55" t="n"/>
      <c r="J170" s="56" t="n"/>
      <c r="K170" s="56" t="n"/>
      <c r="L170" s="34">
        <f>HYPERLINK(Table65[[#This Row],[Column1]])</f>
        <v/>
      </c>
    </row>
    <row r="171" ht="45" customHeight="1" s="290">
      <c r="A171" s="30" t="n"/>
      <c r="B171" s="30" t="n"/>
      <c r="C171" s="30" t="n"/>
      <c r="D171" s="324" t="n"/>
      <c r="E171" s="53" t="n"/>
      <c r="F171" s="53" t="n"/>
      <c r="G171" s="55" t="n"/>
      <c r="H171" s="57" t="n"/>
      <c r="I171" s="55" t="n"/>
      <c r="J171" s="56" t="n"/>
      <c r="K171" s="56" t="n"/>
      <c r="L171" s="34">
        <f>HYPERLINK(Table65[[#This Row],[Column1]])</f>
        <v/>
      </c>
    </row>
    <row r="172" ht="45" customHeight="1" s="290">
      <c r="A172" s="30" t="n"/>
      <c r="B172" s="30" t="n"/>
      <c r="C172" s="30" t="n"/>
      <c r="D172" s="324" t="n"/>
      <c r="E172" s="53" t="n"/>
      <c r="F172" s="53" t="n"/>
      <c r="G172" s="55" t="n"/>
      <c r="H172" s="57" t="n"/>
      <c r="I172" s="55" t="n"/>
      <c r="J172" s="56" t="n"/>
      <c r="K172" s="56" t="n"/>
      <c r="L172" s="34">
        <f>HYPERLINK(Table65[[#This Row],[Column1]])</f>
        <v/>
      </c>
    </row>
    <row r="173" ht="45" customHeight="1" s="290">
      <c r="A173" s="30" t="n"/>
      <c r="B173" s="30" t="n"/>
      <c r="C173" s="30" t="n"/>
      <c r="D173" s="324" t="n"/>
      <c r="E173" s="53" t="n"/>
      <c r="F173" s="53" t="n"/>
      <c r="G173" s="55" t="n"/>
      <c r="H173" s="57" t="n"/>
      <c r="I173" s="55" t="n"/>
      <c r="J173" s="56" t="n"/>
      <c r="K173" s="56" t="n"/>
      <c r="L173" s="34">
        <f>HYPERLINK(Table65[[#This Row],[Column1]])</f>
        <v/>
      </c>
    </row>
    <row r="174" ht="45" customHeight="1" s="290">
      <c r="A174" s="30" t="n"/>
      <c r="B174" s="30" t="n"/>
      <c r="C174" s="30" t="n"/>
      <c r="D174" s="324" t="n"/>
      <c r="E174" s="53" t="n"/>
      <c r="F174" s="53" t="n"/>
      <c r="G174" s="55" t="n"/>
      <c r="H174" s="57" t="n"/>
      <c r="I174" s="55" t="n"/>
      <c r="J174" s="56" t="n"/>
      <c r="K174" s="56" t="n"/>
      <c r="L174" s="34">
        <f>HYPERLINK(Table65[[#This Row],[Column1]])</f>
        <v/>
      </c>
    </row>
    <row r="175" ht="45" customHeight="1" s="290">
      <c r="A175" s="30" t="n"/>
      <c r="B175" s="30" t="n"/>
      <c r="C175" s="30" t="n"/>
      <c r="D175" s="324" t="n"/>
      <c r="E175" s="53" t="n"/>
      <c r="F175" s="53" t="n"/>
      <c r="G175" s="55" t="n"/>
      <c r="H175" s="57" t="n"/>
      <c r="I175" s="55" t="n"/>
      <c r="J175" s="56" t="n"/>
      <c r="K175" s="56" t="n"/>
      <c r="L175" s="34">
        <f>HYPERLINK(Table65[[#This Row],[Column1]])</f>
        <v/>
      </c>
    </row>
    <row r="176" ht="60" customHeight="1" s="290">
      <c r="A176" s="30" t="n"/>
      <c r="B176" s="30" t="n"/>
      <c r="C176" s="30" t="n"/>
      <c r="D176" s="324" t="n"/>
      <c r="E176" s="53" t="n"/>
      <c r="F176" s="53" t="n"/>
      <c r="G176" s="55" t="n"/>
      <c r="H176" s="57" t="n"/>
      <c r="I176" s="55" t="n"/>
      <c r="J176" s="56" t="n"/>
      <c r="K176" s="56" t="n"/>
      <c r="L176" s="34">
        <f>HYPERLINK(Table65[[#This Row],[Column1]])</f>
        <v/>
      </c>
    </row>
    <row r="177" ht="45" customHeight="1" s="290">
      <c r="A177" s="30" t="n"/>
      <c r="B177" s="30" t="n"/>
      <c r="C177" s="30" t="n"/>
      <c r="D177" s="324" t="n"/>
      <c r="E177" s="53" t="n"/>
      <c r="F177" s="53" t="n"/>
      <c r="G177" s="55" t="n"/>
      <c r="H177" s="57" t="n"/>
      <c r="I177" s="55" t="n"/>
      <c r="J177" s="56" t="n"/>
      <c r="K177" s="56" t="n"/>
      <c r="L177" s="34">
        <f>HYPERLINK(Table65[[#This Row],[Column1]])</f>
        <v/>
      </c>
    </row>
    <row r="178" ht="45" customHeight="1" s="290">
      <c r="A178" s="30" t="n"/>
      <c r="B178" s="30" t="n"/>
      <c r="C178" s="30" t="n"/>
      <c r="D178" s="324" t="n"/>
      <c r="E178" s="53" t="n"/>
      <c r="F178" s="53" t="n"/>
      <c r="G178" s="55" t="n"/>
      <c r="H178" s="57" t="n"/>
      <c r="I178" s="55" t="n"/>
      <c r="J178" s="56" t="n"/>
      <c r="K178" s="56" t="n"/>
      <c r="L178" s="34">
        <f>HYPERLINK(Table65[[#This Row],[Column1]])</f>
        <v/>
      </c>
    </row>
    <row r="179" ht="30" customHeight="1" s="290">
      <c r="A179" s="30" t="n"/>
      <c r="B179" s="30" t="n"/>
      <c r="C179" s="30" t="n"/>
      <c r="D179" s="324" t="n"/>
      <c r="E179" s="53" t="n"/>
      <c r="F179" s="53" t="n"/>
      <c r="G179" s="55" t="n"/>
      <c r="H179" s="57" t="n"/>
      <c r="I179" s="55" t="n"/>
      <c r="J179" s="56" t="n"/>
      <c r="K179" s="56" t="n"/>
      <c r="L179" s="34">
        <f>HYPERLINK(Table65[[#This Row],[Column1]])</f>
        <v/>
      </c>
    </row>
    <row r="180" ht="45" customHeight="1" s="290">
      <c r="A180" s="30" t="n"/>
      <c r="B180" s="30" t="n"/>
      <c r="C180" s="30" t="n"/>
      <c r="D180" s="324" t="n"/>
      <c r="E180" s="53" t="n"/>
      <c r="F180" s="53" t="n"/>
      <c r="G180" s="55" t="n"/>
      <c r="H180" s="57" t="n"/>
      <c r="I180" s="55" t="n"/>
      <c r="J180" s="56" t="n"/>
      <c r="K180" s="56" t="n"/>
      <c r="L180" s="34">
        <f>HYPERLINK(Table65[[#This Row],[Column1]])</f>
        <v/>
      </c>
    </row>
    <row r="181" ht="45" customHeight="1" s="290">
      <c r="A181" s="30" t="n"/>
      <c r="B181" s="30" t="n"/>
      <c r="C181" s="30" t="n"/>
      <c r="D181" s="324" t="n"/>
      <c r="E181" s="53" t="n"/>
      <c r="F181" s="53" t="n"/>
      <c r="G181" s="55" t="n"/>
      <c r="H181" s="57" t="n"/>
      <c r="I181" s="55" t="n"/>
      <c r="J181" s="56" t="n"/>
      <c r="K181" s="56" t="n"/>
      <c r="L181" s="34">
        <f>HYPERLINK(Table65[[#This Row],[Column1]])</f>
        <v/>
      </c>
    </row>
    <row r="182" ht="45" customHeight="1" s="290">
      <c r="A182" s="30" t="n"/>
      <c r="B182" s="30" t="n"/>
      <c r="C182" s="30" t="n"/>
      <c r="D182" s="324" t="n"/>
      <c r="E182" s="53" t="n"/>
      <c r="F182" s="53" t="n"/>
      <c r="G182" s="55" t="n"/>
      <c r="H182" s="57" t="n"/>
      <c r="I182" s="55" t="n"/>
      <c r="J182" s="56" t="n"/>
      <c r="K182" s="56" t="n"/>
      <c r="L182" s="34">
        <f>HYPERLINK(Table65[[#This Row],[Column1]])</f>
        <v/>
      </c>
    </row>
    <row r="183" ht="45" customHeight="1" s="290">
      <c r="A183" s="30" t="n"/>
      <c r="B183" s="30" t="n"/>
      <c r="C183" s="30" t="n"/>
      <c r="D183" s="324" t="n"/>
      <c r="E183" s="53" t="n"/>
      <c r="F183" s="53" t="n"/>
      <c r="G183" s="55" t="n"/>
      <c r="H183" s="57" t="n"/>
      <c r="I183" s="55" t="n"/>
      <c r="J183" s="56" t="n"/>
      <c r="K183" s="56" t="n"/>
      <c r="L183" s="34">
        <f>HYPERLINK(Table65[[#This Row],[Column1]])</f>
        <v/>
      </c>
    </row>
    <row r="184" ht="45" customHeight="1" s="290">
      <c r="A184" s="30" t="n"/>
      <c r="B184" s="30" t="n"/>
      <c r="C184" s="30" t="n"/>
      <c r="D184" s="324" t="n"/>
      <c r="E184" s="53" t="n"/>
      <c r="F184" s="53" t="n"/>
      <c r="G184" s="55" t="n"/>
      <c r="H184" s="57" t="n"/>
      <c r="I184" s="55" t="n"/>
      <c r="J184" s="56" t="n"/>
      <c r="K184" s="56" t="n"/>
      <c r="L184" s="34">
        <f>HYPERLINK(Table65[[#This Row],[Column1]])</f>
        <v/>
      </c>
    </row>
    <row r="185" ht="45" customHeight="1" s="290">
      <c r="A185" s="30" t="n"/>
      <c r="B185" s="30" t="n"/>
      <c r="C185" s="30" t="n"/>
      <c r="D185" s="324" t="n"/>
      <c r="E185" s="53" t="n"/>
      <c r="F185" s="53" t="n"/>
      <c r="G185" s="55" t="n"/>
      <c r="H185" s="57" t="n"/>
      <c r="I185" s="55" t="n"/>
      <c r="J185" s="56" t="n"/>
      <c r="K185" s="56" t="n"/>
      <c r="L185" s="34">
        <f>HYPERLINK(Table65[[#This Row],[Column1]])</f>
        <v/>
      </c>
    </row>
    <row r="186" ht="60" customHeight="1" s="290">
      <c r="A186" s="30" t="n"/>
      <c r="B186" s="30" t="n"/>
      <c r="C186" s="30" t="n"/>
      <c r="D186" s="324" t="n"/>
      <c r="E186" s="53" t="n"/>
      <c r="F186" s="53" t="n"/>
      <c r="G186" s="55" t="n"/>
      <c r="H186" s="57" t="n"/>
      <c r="I186" s="55" t="n"/>
      <c r="J186" s="56" t="n"/>
      <c r="K186" s="56" t="n"/>
      <c r="L186" s="34">
        <f>HYPERLINK(Table65[[#This Row],[Column1]])</f>
        <v/>
      </c>
    </row>
    <row r="187" ht="45" customHeight="1" s="290">
      <c r="A187" s="30" t="n"/>
      <c r="B187" s="30" t="n"/>
      <c r="C187" s="30" t="n"/>
      <c r="D187" s="324" t="n"/>
      <c r="E187" s="53" t="n"/>
      <c r="F187" s="53" t="n"/>
      <c r="G187" s="55" t="n"/>
      <c r="H187" s="57" t="n"/>
      <c r="I187" s="55" t="n"/>
      <c r="J187" s="56" t="n"/>
      <c r="K187" s="56" t="n"/>
      <c r="L187" s="34">
        <f>HYPERLINK(Table65[[#This Row],[Column1]])</f>
        <v/>
      </c>
    </row>
    <row r="188" ht="45" customHeight="1" s="290">
      <c r="A188" s="30" t="n"/>
      <c r="B188" s="30" t="n"/>
      <c r="C188" s="30" t="n"/>
      <c r="D188" s="324" t="n"/>
      <c r="E188" s="53" t="n"/>
      <c r="F188" s="53" t="n"/>
      <c r="G188" s="55" t="n"/>
      <c r="H188" s="57" t="n"/>
      <c r="I188" s="55" t="n"/>
      <c r="J188" s="56" t="n"/>
      <c r="K188" s="56" t="n"/>
      <c r="L188" s="34">
        <f>HYPERLINK(Table65[[#This Row],[Column1]])</f>
        <v/>
      </c>
    </row>
    <row r="189" ht="45" customHeight="1" s="290">
      <c r="A189" s="30" t="n"/>
      <c r="B189" s="30" t="n"/>
      <c r="C189" s="30" t="n"/>
      <c r="D189" s="324" t="n"/>
      <c r="E189" s="53" t="n"/>
      <c r="F189" s="53" t="n"/>
      <c r="G189" s="55" t="n"/>
      <c r="H189" s="57" t="n"/>
      <c r="I189" s="55" t="n"/>
      <c r="J189" s="56" t="n"/>
      <c r="K189" s="56" t="n"/>
      <c r="L189" s="34">
        <f>HYPERLINK(Table65[[#This Row],[Column1]])</f>
        <v/>
      </c>
    </row>
    <row r="190" ht="60" customHeight="1" s="290">
      <c r="A190" s="30" t="n"/>
      <c r="B190" s="30" t="n"/>
      <c r="C190" s="30" t="n"/>
      <c r="D190" s="324" t="n"/>
      <c r="E190" s="53" t="n"/>
      <c r="F190" s="53" t="n"/>
      <c r="G190" s="55" t="n"/>
      <c r="H190" s="57" t="n"/>
      <c r="I190" s="55" t="n"/>
      <c r="J190" s="56" t="n"/>
      <c r="K190" s="56" t="n"/>
      <c r="L190" s="34">
        <f>HYPERLINK(Table65[[#This Row],[Column1]])</f>
        <v/>
      </c>
    </row>
    <row r="191" ht="45" customHeight="1" s="290">
      <c r="A191" s="30" t="n"/>
      <c r="B191" s="30" t="n"/>
      <c r="C191" s="30" t="n"/>
      <c r="D191" s="324" t="n"/>
      <c r="E191" s="53" t="n"/>
      <c r="F191" s="53" t="n"/>
      <c r="G191" s="55" t="n"/>
      <c r="H191" s="57" t="n"/>
      <c r="I191" s="55" t="n"/>
      <c r="J191" s="56" t="n"/>
      <c r="K191" s="56" t="n"/>
      <c r="L191" s="34">
        <f>HYPERLINK(Table65[[#This Row],[Column1]])</f>
        <v/>
      </c>
    </row>
    <row r="192" ht="45" customHeight="1" s="290">
      <c r="A192" s="30" t="n"/>
      <c r="B192" s="30" t="n"/>
      <c r="C192" s="30" t="n"/>
      <c r="D192" s="324" t="n"/>
      <c r="E192" s="53" t="n"/>
      <c r="F192" s="53" t="n"/>
      <c r="G192" s="55" t="n"/>
      <c r="H192" s="57" t="n"/>
      <c r="I192" s="55" t="n"/>
      <c r="J192" s="56" t="n"/>
      <c r="K192" s="56" t="n"/>
      <c r="L192" s="34">
        <f>HYPERLINK(Table65[[#This Row],[Column1]])</f>
        <v/>
      </c>
    </row>
    <row r="193" ht="60" customHeight="1" s="290">
      <c r="A193" s="30" t="n"/>
      <c r="B193" s="30" t="n"/>
      <c r="C193" s="30" t="n"/>
      <c r="D193" s="324" t="n"/>
      <c r="E193" s="53" t="n"/>
      <c r="F193" s="53" t="n"/>
      <c r="G193" s="55" t="n"/>
      <c r="H193" s="57" t="n"/>
      <c r="I193" s="55" t="n"/>
      <c r="J193" s="56" t="n"/>
      <c r="K193" s="56" t="n"/>
      <c r="L193" s="34">
        <f>HYPERLINK(Table65[[#This Row],[Column1]])</f>
        <v/>
      </c>
    </row>
    <row r="194" ht="45" customHeight="1" s="290">
      <c r="A194" s="30" t="n"/>
      <c r="B194" s="30" t="n"/>
      <c r="C194" s="30" t="n"/>
      <c r="D194" s="324" t="n"/>
      <c r="E194" s="53" t="n"/>
      <c r="F194" s="53" t="n"/>
      <c r="G194" s="55" t="n"/>
      <c r="H194" s="57" t="n"/>
      <c r="I194" s="55" t="n"/>
      <c r="J194" s="56" t="n"/>
      <c r="K194" s="56" t="n"/>
      <c r="L194" s="34">
        <f>HYPERLINK(Table65[[#This Row],[Column1]])</f>
        <v/>
      </c>
    </row>
    <row r="195" ht="45" customHeight="1" s="290">
      <c r="A195" s="30" t="n"/>
      <c r="B195" s="30" t="n"/>
      <c r="C195" s="30" t="n"/>
      <c r="D195" s="324" t="n"/>
      <c r="E195" s="53" t="n"/>
      <c r="F195" s="53" t="n"/>
      <c r="G195" s="55" t="n"/>
      <c r="H195" s="57" t="n"/>
      <c r="I195" s="55" t="n"/>
      <c r="J195" s="56" t="n"/>
      <c r="K195" s="56" t="n"/>
      <c r="L195" s="34">
        <f>HYPERLINK(Table65[[#This Row],[Column1]])</f>
        <v/>
      </c>
    </row>
    <row r="196" ht="45" customHeight="1" s="290">
      <c r="A196" s="30" t="n"/>
      <c r="B196" s="30" t="n"/>
      <c r="C196" s="30" t="n"/>
      <c r="D196" s="324" t="n"/>
      <c r="E196" s="53" t="n"/>
      <c r="F196" s="53" t="n"/>
      <c r="G196" s="55" t="n"/>
      <c r="H196" s="57" t="n"/>
      <c r="I196" s="55" t="n"/>
      <c r="J196" s="56" t="n"/>
      <c r="K196" s="56" t="n"/>
      <c r="L196" s="34">
        <f>HYPERLINK(Table65[[#This Row],[Column1]])</f>
        <v/>
      </c>
    </row>
    <row r="197" ht="45" customHeight="1" s="290">
      <c r="A197" s="30" t="n"/>
      <c r="B197" s="30" t="n"/>
      <c r="C197" s="30" t="n"/>
      <c r="D197" s="324" t="n"/>
      <c r="E197" s="53" t="n"/>
      <c r="F197" s="53" t="n"/>
      <c r="G197" s="55" t="n"/>
      <c r="H197" s="57" t="n"/>
      <c r="I197" s="55" t="n"/>
      <c r="J197" s="56" t="n"/>
      <c r="K197" s="56" t="n"/>
      <c r="L197" s="34">
        <f>HYPERLINK(Table65[[#This Row],[Column1]])</f>
        <v/>
      </c>
    </row>
    <row r="198" ht="45" customHeight="1" s="290">
      <c r="A198" s="30" t="n"/>
      <c r="B198" s="30" t="n"/>
      <c r="C198" s="30" t="n"/>
      <c r="D198" s="324" t="n"/>
      <c r="E198" s="53" t="n"/>
      <c r="F198" s="53" t="n"/>
      <c r="G198" s="55" t="n"/>
      <c r="H198" s="57" t="n"/>
      <c r="I198" s="55" t="n"/>
      <c r="J198" s="56" t="n"/>
      <c r="K198" s="56" t="n"/>
      <c r="L198" s="34">
        <f>HYPERLINK(Table65[[#This Row],[Column1]])</f>
        <v/>
      </c>
    </row>
    <row r="199" ht="45" customHeight="1" s="290">
      <c r="A199" s="30" t="n"/>
      <c r="B199" s="30" t="n"/>
      <c r="C199" s="30" t="n"/>
      <c r="D199" s="324" t="n"/>
      <c r="E199" s="53" t="n"/>
      <c r="F199" s="53" t="n"/>
      <c r="G199" s="55" t="n"/>
      <c r="H199" s="57" t="n"/>
      <c r="I199" s="55" t="n"/>
      <c r="J199" s="56" t="n"/>
      <c r="K199" s="56" t="n"/>
      <c r="L199" s="34">
        <f>HYPERLINK(Table65[[#This Row],[Column1]])</f>
        <v/>
      </c>
    </row>
    <row r="200" ht="45" customHeight="1" s="290">
      <c r="A200" s="30" t="n"/>
      <c r="B200" s="30" t="n"/>
      <c r="C200" s="30" t="n"/>
      <c r="D200" s="324" t="n"/>
      <c r="E200" s="53" t="n"/>
      <c r="F200" s="53" t="n"/>
      <c r="G200" s="55" t="n"/>
      <c r="H200" s="57" t="n"/>
      <c r="I200" s="55" t="n"/>
      <c r="J200" s="56" t="n"/>
      <c r="K200" s="56" t="n"/>
      <c r="L200" s="34">
        <f>HYPERLINK(Table65[[#This Row],[Column1]])</f>
        <v/>
      </c>
    </row>
    <row r="201" ht="45" customHeight="1" s="290">
      <c r="A201" s="30" t="n"/>
      <c r="B201" s="30" t="n"/>
      <c r="C201" s="30" t="n"/>
      <c r="D201" s="324" t="n"/>
      <c r="E201" s="53" t="n"/>
      <c r="F201" s="53" t="n"/>
      <c r="G201" s="55" t="n"/>
      <c r="H201" s="57" t="n"/>
      <c r="I201" s="55" t="n"/>
      <c r="J201" s="56" t="n"/>
      <c r="K201" s="56" t="n"/>
      <c r="L201" s="34">
        <f>HYPERLINK(Table65[[#This Row],[Column1]])</f>
        <v/>
      </c>
    </row>
    <row r="202" ht="45" customHeight="1" s="290">
      <c r="A202" s="30" t="n"/>
      <c r="B202" s="30" t="n"/>
      <c r="C202" s="30" t="n"/>
      <c r="D202" s="324" t="n"/>
      <c r="E202" s="53" t="n"/>
      <c r="F202" s="53" t="n"/>
      <c r="G202" s="55" t="n"/>
      <c r="H202" s="57" t="n"/>
      <c r="I202" s="55" t="n"/>
      <c r="J202" s="56" t="n"/>
      <c r="K202" s="56" t="n"/>
      <c r="L202" s="34">
        <f>HYPERLINK(Table65[[#This Row],[Column1]])</f>
        <v/>
      </c>
    </row>
    <row r="203" ht="45" customHeight="1" s="290">
      <c r="A203" s="30" t="n"/>
      <c r="B203" s="30" t="n"/>
      <c r="C203" s="30" t="n"/>
      <c r="D203" s="324" t="n"/>
      <c r="E203" s="53" t="n"/>
      <c r="F203" s="53" t="n"/>
      <c r="G203" s="55" t="n"/>
      <c r="H203" s="57" t="n"/>
      <c r="I203" s="55" t="n"/>
      <c r="J203" s="56" t="n"/>
      <c r="K203" s="56" t="n"/>
      <c r="L203" s="34">
        <f>HYPERLINK(Table65[[#This Row],[Column1]])</f>
        <v/>
      </c>
    </row>
    <row r="204" ht="17" customHeight="1" s="290">
      <c r="A204" s="30" t="n"/>
      <c r="B204" s="30" t="n"/>
      <c r="C204" s="30" t="n"/>
      <c r="D204" s="324" t="n"/>
      <c r="E204" s="53" t="n"/>
      <c r="F204" s="53" t="n"/>
      <c r="G204" s="55" t="n"/>
      <c r="H204" s="57" t="n"/>
      <c r="I204" s="55" t="n"/>
      <c r="J204" s="56" t="n"/>
      <c r="K204" s="56" t="n"/>
      <c r="L204" s="34">
        <f>HYPERLINK(Table65[[#This Row],[Column1]])</f>
        <v/>
      </c>
    </row>
    <row r="205" ht="30" customHeight="1" s="290">
      <c r="A205" s="30" t="n"/>
      <c r="B205" s="30" t="n"/>
      <c r="C205" s="30" t="n"/>
      <c r="D205" s="324" t="n"/>
      <c r="E205" s="53" t="n"/>
      <c r="F205" s="53" t="n"/>
      <c r="G205" s="55" t="n"/>
      <c r="H205" s="57" t="n"/>
      <c r="I205" s="55" t="n"/>
      <c r="J205" s="56" t="n"/>
      <c r="K205" s="56" t="n"/>
      <c r="L205" s="34">
        <f>HYPERLINK(Table65[[#This Row],[Column1]])</f>
        <v/>
      </c>
    </row>
    <row r="206" ht="45" customHeight="1" s="290">
      <c r="A206" s="30" t="n"/>
      <c r="B206" s="30" t="n"/>
      <c r="C206" s="30" t="n"/>
      <c r="D206" s="324" t="n"/>
      <c r="E206" s="53" t="n"/>
      <c r="F206" s="53" t="n"/>
      <c r="G206" s="55" t="n"/>
      <c r="H206" s="57" t="n"/>
      <c r="I206" s="55" t="n"/>
      <c r="J206" s="56" t="n"/>
      <c r="K206" s="56" t="n"/>
      <c r="L206" s="34">
        <f>HYPERLINK(Table65[[#This Row],[Column1]])</f>
        <v/>
      </c>
    </row>
    <row r="207" ht="45" customHeight="1" s="290">
      <c r="A207" s="30" t="n"/>
      <c r="B207" s="30" t="n"/>
      <c r="C207" s="30" t="n"/>
      <c r="D207" s="324" t="n"/>
      <c r="E207" s="53" t="n"/>
      <c r="F207" s="53" t="n"/>
      <c r="G207" s="55" t="n"/>
      <c r="H207" s="57" t="n"/>
      <c r="I207" s="55" t="n"/>
      <c r="J207" s="56" t="n"/>
      <c r="K207" s="56" t="n"/>
      <c r="L207" s="34">
        <f>HYPERLINK(Table65[[#This Row],[Column1]])</f>
        <v/>
      </c>
    </row>
    <row r="208" ht="17" customHeight="1" s="290">
      <c r="A208" s="33" t="inlineStr">
        <is>
          <t>Total</t>
        </is>
      </c>
      <c r="B208" s="32" t="n"/>
      <c r="C208" s="325" t="n"/>
      <c r="D208" s="59" t="n"/>
      <c r="E208" s="32" t="n"/>
      <c r="F208" s="32" t="n"/>
      <c r="G208" s="36">
        <f>SUM(G133:G207)</f>
        <v/>
      </c>
      <c r="H208" s="36">
        <f>SUM(H133:H207)</f>
        <v/>
      </c>
      <c r="I208" s="36" t="n"/>
      <c r="J208" s="167" t="n"/>
      <c r="K208" s="168" t="n"/>
      <c r="L208" s="32" t="n"/>
    </row>
  </sheetData>
  <mergeCells count="3">
    <mergeCell ref="A1:M5"/>
    <mergeCell ref="A131:L131"/>
    <mergeCell ref="A51:L51"/>
  </mergeCells>
  <pageMargins left="0.7" right="0.7" top="0.75" bottom="0.75" header="0.3" footer="0.3"/>
  <drawing xmlns:r="http://schemas.openxmlformats.org/officeDocument/2006/relationships" r:id="rId1"/>
  <tableParts count="2">
    <tablePart xmlns:r="http://schemas.openxmlformats.org/officeDocument/2006/relationships" r:id="rId2"/>
    <tablePart xmlns:r="http://schemas.openxmlformats.org/officeDocument/2006/relationships" r:id="rId3"/>
  </tableParts>
</worksheet>
</file>

<file path=xl/worksheets/sheet24.xml><?xml version="1.0" encoding="utf-8"?>
<worksheet xmlns="http://schemas.openxmlformats.org/spreadsheetml/2006/main">
  <sheetPr codeName="Sheet6">
    <outlinePr summaryBelow="1" summaryRight="1"/>
    <pageSetUpPr/>
  </sheetPr>
  <dimension ref="A1:Q208"/>
  <sheetViews>
    <sheetView workbookViewId="0">
      <selection activeCell="A1" sqref="A1"/>
    </sheetView>
  </sheetViews>
  <sheetFormatPr baseColWidth="10" defaultColWidth="10.83203125" defaultRowHeight="16"/>
  <cols>
    <col width="50.6640625" customWidth="1" style="284" min="1" max="1"/>
    <col width="12.6640625" customWidth="1" style="284" min="2" max="2"/>
    <col width="12.6640625" customWidth="1" style="320" min="3" max="3"/>
    <col width="11.1640625" customWidth="1" style="296" min="4" max="4"/>
    <col width="24.83203125" bestFit="1" customWidth="1" style="284" min="5" max="5"/>
    <col width="17.6640625" bestFit="1" customWidth="1" style="286" min="6" max="6"/>
    <col width="21.6640625" bestFit="1" customWidth="1" style="286" min="7" max="7"/>
    <col width="19.1640625" bestFit="1" customWidth="1" style="286" min="8" max="8"/>
    <col width="13.5" bestFit="1" customWidth="1" style="287" min="9" max="9"/>
    <col width="13" bestFit="1" customWidth="1" style="284" min="10" max="10"/>
    <col hidden="1" width="29" customWidth="1" style="284" min="11" max="11"/>
    <col width="35.6640625" customWidth="1" style="284" min="12" max="12"/>
    <col width="15.6640625" customWidth="1" style="284" min="13" max="13"/>
    <col width="10.83203125" customWidth="1" style="284" min="14" max="16384"/>
  </cols>
  <sheetData>
    <row r="1">
      <c r="A1" s="282" t="inlineStr">
        <is>
          <t>Bluedriver Monthly Summary</t>
        </is>
      </c>
    </row>
    <row r="2"/>
    <row r="3"/>
    <row r="4"/>
    <row r="5"/>
    <row r="6">
      <c r="A6" s="29" t="n"/>
      <c r="B6" s="29" t="n"/>
      <c r="C6" s="321" t="n"/>
      <c r="D6" s="47" t="n"/>
      <c r="E6" s="48" t="n"/>
      <c r="F6" s="48" t="n"/>
      <c r="G6" s="48" t="n"/>
      <c r="H6" s="48" t="n"/>
      <c r="I6" s="49" t="n"/>
      <c r="J6" s="50" t="n"/>
    </row>
    <row r="7" ht="32" customHeight="1" s="290">
      <c r="A7" s="80" t="n"/>
      <c r="B7" s="81" t="inlineStr">
        <is>
          <t>Avg Price</t>
        </is>
      </c>
      <c r="C7" s="81" t="inlineStr">
        <is>
          <t>Avg Price MoM</t>
        </is>
      </c>
      <c r="D7" s="82" t="inlineStr">
        <is>
          <t>Avg Price YoY</t>
        </is>
      </c>
      <c r="E7" s="81" t="inlineStr">
        <is>
          <t>Quantity/Mo</t>
        </is>
      </c>
      <c r="F7" s="84" t="inlineStr">
        <is>
          <t>Qty by %</t>
        </is>
      </c>
      <c r="G7" s="84" t="inlineStr">
        <is>
          <t>Qty MoM</t>
        </is>
      </c>
      <c r="H7" s="82" t="inlineStr">
        <is>
          <t>Qty YoY</t>
        </is>
      </c>
      <c r="I7" s="309" t="inlineStr">
        <is>
          <t>Revenue/Mo</t>
        </is>
      </c>
      <c r="J7" s="126" t="inlineStr">
        <is>
          <t>Revenue by %</t>
        </is>
      </c>
      <c r="K7" s="173" t="n"/>
      <c r="L7" s="126" t="inlineStr">
        <is>
          <t>Revenue MoM</t>
        </is>
      </c>
      <c r="M7" s="310" t="inlineStr">
        <is>
          <t>Revenue YoY</t>
        </is>
      </c>
      <c r="N7" s="286" t="n"/>
      <c r="O7" s="286" t="n"/>
      <c r="P7" s="49" t="n"/>
      <c r="Q7" s="50" t="n"/>
    </row>
    <row r="8">
      <c r="A8" s="93" t="inlineStr">
        <is>
          <t>Tablet $800+</t>
        </is>
      </c>
      <c r="B8" s="298" t="n"/>
      <c r="C8" s="270" t="n"/>
      <c r="D8" s="271" t="n"/>
      <c r="E8" s="269" t="n">
        <v>0</v>
      </c>
      <c r="F8" s="270" t="n">
        <v>0</v>
      </c>
      <c r="G8" s="270" t="n"/>
      <c r="H8" s="271" t="n"/>
      <c r="I8" s="95" t="n">
        <v>0</v>
      </c>
      <c r="J8" s="128" t="n">
        <v>0</v>
      </c>
      <c r="L8" s="169" t="n"/>
      <c r="M8" s="169" t="n"/>
      <c r="N8" s="286" t="n"/>
      <c r="O8" s="286" t="n"/>
      <c r="P8" s="49" t="n"/>
      <c r="Q8" s="50" t="n"/>
    </row>
    <row r="9">
      <c r="A9" s="93" t="inlineStr">
        <is>
          <t>Tablet $400-$800</t>
        </is>
      </c>
      <c r="B9" s="298" t="n"/>
      <c r="C9" s="270" t="n"/>
      <c r="D9" s="271" t="n"/>
      <c r="E9" s="269" t="n">
        <v>0</v>
      </c>
      <c r="F9" s="270" t="n">
        <v>0</v>
      </c>
      <c r="G9" s="270" t="n"/>
      <c r="H9" s="271" t="n"/>
      <c r="I9" s="95" t="n">
        <v>0</v>
      </c>
      <c r="J9" s="128" t="n">
        <v>0</v>
      </c>
      <c r="L9" s="169" t="n"/>
      <c r="M9" s="169" t="n"/>
      <c r="N9" s="286" t="n"/>
      <c r="O9" s="286" t="n"/>
      <c r="P9" s="49" t="n"/>
      <c r="Q9" s="50" t="n"/>
    </row>
    <row r="10">
      <c r="A10" s="96" t="inlineStr">
        <is>
          <t>Tablet $400-</t>
        </is>
      </c>
      <c r="B10" s="299" t="n"/>
      <c r="C10" s="274" t="n"/>
      <c r="D10" s="275" t="n"/>
      <c r="E10" s="273" t="n">
        <v>0</v>
      </c>
      <c r="F10" s="274" t="n">
        <v>0</v>
      </c>
      <c r="G10" s="274" t="n"/>
      <c r="H10" s="275" t="n"/>
      <c r="I10" s="98" t="n">
        <v>0</v>
      </c>
      <c r="J10" s="127" t="n">
        <v>0</v>
      </c>
      <c r="L10" s="171" t="n"/>
      <c r="M10" s="171" t="n"/>
      <c r="N10" s="286" t="n"/>
      <c r="O10" s="286" t="n"/>
      <c r="P10" s="49" t="n"/>
      <c r="Q10" s="50" t="n"/>
    </row>
    <row r="11">
      <c r="A11" s="101" t="inlineStr">
        <is>
          <t>Total Tablet</t>
        </is>
      </c>
      <c r="B11" s="300" t="n"/>
      <c r="C11" s="112" t="n"/>
      <c r="D11" s="104" t="n"/>
      <c r="E11" s="116" t="n">
        <v>0</v>
      </c>
      <c r="F11" s="112" t="n">
        <v>0</v>
      </c>
      <c r="G11" s="112" t="n"/>
      <c r="H11" s="104" t="n"/>
      <c r="I11" s="103" t="n">
        <v>0</v>
      </c>
      <c r="J11" s="129" t="n">
        <v>0</v>
      </c>
      <c r="L11" s="170" t="n"/>
      <c r="M11" s="170" t="n"/>
      <c r="N11" s="286" t="n"/>
      <c r="O11" s="286" t="n"/>
      <c r="P11" s="49" t="n"/>
      <c r="Q11" s="50" t="n"/>
    </row>
    <row r="12">
      <c r="A12" s="93" t="inlineStr">
        <is>
          <t>Handheld $75+</t>
        </is>
      </c>
      <c r="B12" s="298" t="n"/>
      <c r="C12" s="270" t="n"/>
      <c r="D12" s="271" t="n"/>
      <c r="E12" s="269" t="n">
        <v>0</v>
      </c>
      <c r="F12" s="270" t="n">
        <v>0</v>
      </c>
      <c r="G12" s="270" t="n"/>
      <c r="H12" s="271" t="n"/>
      <c r="I12" s="95" t="n">
        <v>0</v>
      </c>
      <c r="J12" s="128" t="n">
        <v>0</v>
      </c>
      <c r="L12" s="169" t="n"/>
      <c r="M12" s="169" t="n"/>
      <c r="N12" s="286" t="n"/>
      <c r="O12" s="286" t="n"/>
      <c r="P12" s="49" t="n"/>
      <c r="Q12" s="50" t="n"/>
    </row>
    <row r="13">
      <c r="A13" s="96" t="inlineStr">
        <is>
          <t>Handheld $75-</t>
        </is>
      </c>
      <c r="B13" s="299" t="n"/>
      <c r="C13" s="274" t="n"/>
      <c r="D13" s="275" t="n"/>
      <c r="E13" s="273" t="n">
        <v>0</v>
      </c>
      <c r="F13" s="274" t="n">
        <v>0</v>
      </c>
      <c r="G13" s="274" t="n"/>
      <c r="H13" s="275" t="n"/>
      <c r="I13" s="98" t="n">
        <v>0</v>
      </c>
      <c r="J13" s="127" t="n">
        <v>0</v>
      </c>
      <c r="L13" s="171" t="n"/>
      <c r="M13" s="171" t="n"/>
      <c r="N13" s="286" t="n"/>
      <c r="O13" s="286" t="n"/>
      <c r="P13" s="49" t="n"/>
      <c r="Q13" s="50" t="n"/>
    </row>
    <row r="14">
      <c r="A14" s="101" t="inlineStr">
        <is>
          <t>Total Handheld</t>
        </is>
      </c>
      <c r="B14" s="300" t="n"/>
      <c r="C14" s="112" t="n"/>
      <c r="D14" s="104" t="n"/>
      <c r="E14" s="116" t="n">
        <v>0</v>
      </c>
      <c r="F14" s="112" t="n">
        <v>0</v>
      </c>
      <c r="G14" s="112" t="n"/>
      <c r="H14" s="104" t="n"/>
      <c r="I14" s="103" t="n">
        <v>0</v>
      </c>
      <c r="J14" s="129" t="n">
        <v>0</v>
      </c>
      <c r="L14" s="170" t="n"/>
      <c r="M14" s="170" t="n"/>
      <c r="N14" s="286" t="n"/>
      <c r="O14" s="286" t="n"/>
      <c r="P14" s="49" t="n"/>
      <c r="Q14" s="50" t="n"/>
    </row>
    <row r="15">
      <c r="A15" s="78" t="inlineStr">
        <is>
          <t>Total Dongle</t>
        </is>
      </c>
      <c r="B15" s="301" t="n">
        <v>92.68999553172475</v>
      </c>
      <c r="C15" s="113" t="n">
        <v>0.1069143773253527</v>
      </c>
      <c r="D15" s="107" t="n">
        <v>0.00839132406897436</v>
      </c>
      <c r="E15" s="99" t="n">
        <v>2238</v>
      </c>
      <c r="F15" s="113" t="n">
        <v>1</v>
      </c>
      <c r="G15" s="113" t="n">
        <v>-0.8174700269146074</v>
      </c>
      <c r="H15" s="107" t="n">
        <v>-0.8224795748393749</v>
      </c>
      <c r="I15" s="76" t="n">
        <v>207440.21</v>
      </c>
      <c r="J15" s="130" t="n">
        <v>1</v>
      </c>
      <c r="L15" s="174" t="n">
        <v>-0.7979549484989692</v>
      </c>
      <c r="M15" s="174" t="n">
        <v>-0.82098994342299</v>
      </c>
      <c r="N15" s="286" t="n"/>
      <c r="O15" s="286" t="n"/>
      <c r="P15" s="49" t="n"/>
      <c r="Q15" s="50" t="n"/>
    </row>
    <row r="16">
      <c r="A16" s="78" t="inlineStr">
        <is>
          <t>Total Other Tools</t>
        </is>
      </c>
      <c r="B16" s="301" t="n"/>
      <c r="C16" s="113" t="n"/>
      <c r="D16" s="107" t="n"/>
      <c r="E16" s="99" t="n">
        <v>0</v>
      </c>
      <c r="F16" s="113" t="n">
        <v>0</v>
      </c>
      <c r="G16" s="113" t="n"/>
      <c r="H16" s="107" t="n"/>
      <c r="I16" s="76" t="n">
        <v>0</v>
      </c>
      <c r="J16" s="130" t="n">
        <v>0</v>
      </c>
      <c r="L16" s="174" t="n"/>
      <c r="M16" s="174" t="n"/>
      <c r="N16" s="286" t="n"/>
      <c r="O16" s="286" t="n"/>
      <c r="P16" s="49" t="n"/>
      <c r="Q16" s="50" t="n"/>
    </row>
    <row r="17">
      <c r="A17" s="86" t="inlineStr">
        <is>
          <t>Total</t>
        </is>
      </c>
      <c r="B17" s="302" t="n">
        <v>92.68999553172475</v>
      </c>
      <c r="C17" s="109" t="n">
        <v>0.1069143773253527</v>
      </c>
      <c r="D17" s="108" t="n">
        <v>0.00839132406897436</v>
      </c>
      <c r="E17" s="100" t="n">
        <v>2238</v>
      </c>
      <c r="F17" s="109" t="n">
        <v>1</v>
      </c>
      <c r="G17" s="109" t="n">
        <v>-0.8174700269146074</v>
      </c>
      <c r="H17" s="108" t="n">
        <v>-0.8224795748393749</v>
      </c>
      <c r="I17" s="85" t="n">
        <v>207440.21</v>
      </c>
      <c r="J17" s="109" t="n">
        <v>1</v>
      </c>
      <c r="L17" s="172" t="n">
        <v>-0.7979549484989692</v>
      </c>
      <c r="M17" s="172" t="n">
        <v>-0.82098994342299</v>
      </c>
      <c r="N17" s="286" t="n"/>
      <c r="O17" s="286" t="n"/>
      <c r="P17" s="49" t="n"/>
      <c r="Q17" s="50" t="n"/>
    </row>
    <row r="18">
      <c r="A18" s="29" t="n"/>
      <c r="B18" s="29" t="n"/>
      <c r="C18" s="321" t="n"/>
      <c r="D18" s="47" t="n"/>
      <c r="E18" s="48" t="n"/>
      <c r="F18" s="48" t="n"/>
      <c r="G18" s="48" t="n"/>
      <c r="H18" s="48" t="n"/>
      <c r="I18" s="49" t="n"/>
      <c r="J18" s="50" t="n"/>
    </row>
    <row r="19">
      <c r="A19" s="29" t="n"/>
      <c r="B19" s="29" t="n"/>
      <c r="C19" s="321" t="n"/>
      <c r="D19" s="47" t="n"/>
      <c r="E19" s="48" t="n"/>
      <c r="F19" s="48" t="n"/>
      <c r="G19" s="48" t="n"/>
      <c r="H19" s="48" t="n"/>
      <c r="I19" s="49" t="n"/>
      <c r="J19" s="50" t="n"/>
    </row>
    <row r="20">
      <c r="A20" s="29" t="n"/>
      <c r="B20" s="29" t="n"/>
      <c r="C20" s="321" t="n"/>
      <c r="D20" s="47" t="n"/>
      <c r="E20" s="48" t="n"/>
      <c r="F20" s="48" t="n"/>
      <c r="G20" s="48" t="n"/>
      <c r="H20" s="48" t="n"/>
      <c r="I20" s="49" t="n"/>
      <c r="J20" s="50" t="n"/>
    </row>
    <row r="21">
      <c r="A21" s="29" t="n"/>
      <c r="B21" s="29" t="n"/>
      <c r="C21" s="321" t="n"/>
      <c r="D21" s="47" t="n"/>
      <c r="E21" s="48" t="n"/>
      <c r="F21" s="48" t="n"/>
      <c r="G21" s="48" t="n"/>
      <c r="H21" s="48" t="n"/>
      <c r="I21" s="49" t="n"/>
      <c r="J21" s="50" t="n"/>
    </row>
    <row r="22">
      <c r="A22" s="29" t="n"/>
      <c r="B22" s="29" t="n"/>
      <c r="C22" s="321" t="n"/>
      <c r="D22" s="47" t="n"/>
      <c r="E22" s="48" t="n"/>
      <c r="F22" s="48" t="n"/>
      <c r="G22" s="48" t="n"/>
      <c r="H22" s="48" t="n"/>
      <c r="I22" s="49" t="n"/>
      <c r="J22" s="50" t="n"/>
    </row>
    <row r="23">
      <c r="A23" s="29" t="n"/>
      <c r="B23" s="29" t="n"/>
      <c r="C23" s="321" t="n"/>
      <c r="D23" s="47" t="n"/>
      <c r="E23" s="48" t="n"/>
      <c r="F23" s="48" t="n"/>
      <c r="G23" s="48" t="n"/>
      <c r="H23" s="48" t="n"/>
      <c r="I23" s="49" t="n"/>
      <c r="J23" s="50" t="n"/>
    </row>
    <row r="24">
      <c r="A24" s="29" t="n"/>
      <c r="B24" s="29" t="n"/>
      <c r="C24" s="321" t="n"/>
      <c r="D24" s="47" t="n"/>
      <c r="E24" s="48" t="n"/>
      <c r="F24" s="48" t="n"/>
      <c r="G24" s="48" t="n"/>
      <c r="H24" s="48" t="n"/>
      <c r="I24" s="49" t="n"/>
      <c r="J24" s="50" t="n"/>
    </row>
    <row r="25">
      <c r="A25" s="29" t="n"/>
      <c r="B25" s="29" t="n"/>
      <c r="C25" s="321" t="n"/>
      <c r="D25" s="47" t="n"/>
      <c r="E25" s="48" t="n"/>
      <c r="F25" s="48" t="n"/>
      <c r="G25" s="48" t="n"/>
      <c r="H25" s="48" t="n"/>
      <c r="I25" s="49" t="n"/>
      <c r="J25" s="50" t="n"/>
    </row>
    <row r="26">
      <c r="A26" s="29" t="n"/>
      <c r="B26" s="29" t="n"/>
      <c r="C26" s="321" t="n"/>
      <c r="D26" s="47" t="n"/>
      <c r="E26" s="48" t="n"/>
      <c r="F26" s="48" t="n"/>
      <c r="G26" s="48" t="n"/>
      <c r="H26" s="48" t="n"/>
      <c r="I26" s="49" t="n"/>
      <c r="J26" s="50" t="n"/>
    </row>
    <row r="27">
      <c r="A27" s="29" t="n"/>
      <c r="B27" s="29" t="n"/>
      <c r="C27" s="321" t="n"/>
      <c r="D27" s="47" t="n"/>
      <c r="E27" s="48" t="n"/>
      <c r="F27" s="48" t="n"/>
      <c r="G27" s="48" t="n"/>
      <c r="H27" s="48" t="n"/>
      <c r="I27" s="49" t="n"/>
      <c r="J27" s="50" t="n"/>
    </row>
    <row r="28">
      <c r="A28" s="29" t="n"/>
      <c r="B28" s="29" t="n"/>
      <c r="C28" s="321" t="n"/>
      <c r="D28" s="47" t="n"/>
      <c r="E28" s="48" t="n"/>
      <c r="F28" s="48" t="n"/>
      <c r="G28" s="48" t="n"/>
      <c r="H28" s="48" t="n"/>
      <c r="I28" s="49" t="n"/>
      <c r="J28" s="50" t="n"/>
    </row>
    <row r="29">
      <c r="A29" s="29" t="n"/>
      <c r="B29" s="29" t="n"/>
      <c r="C29" s="321" t="n"/>
      <c r="D29" s="47" t="n"/>
      <c r="E29" s="48" t="n"/>
      <c r="F29" s="48" t="n"/>
      <c r="G29" s="48" t="n"/>
      <c r="H29" s="48" t="n"/>
      <c r="I29" s="49" t="n"/>
      <c r="J29" s="50" t="n"/>
    </row>
    <row r="30">
      <c r="A30" s="29" t="n"/>
      <c r="B30" s="29" t="n"/>
      <c r="C30" s="321" t="n"/>
      <c r="D30" s="47" t="n"/>
      <c r="E30" s="48" t="n"/>
      <c r="F30" s="48" t="n"/>
      <c r="G30" s="48" t="n"/>
      <c r="H30" s="48" t="n"/>
      <c r="I30" s="49" t="n"/>
      <c r="J30" s="50" t="n"/>
    </row>
    <row r="31">
      <c r="A31" s="29" t="n"/>
      <c r="B31" s="29" t="n"/>
      <c r="C31" s="321" t="n"/>
      <c r="D31" s="47" t="n"/>
      <c r="E31" s="48" t="n"/>
      <c r="F31" s="48" t="n"/>
      <c r="G31" s="48" t="n"/>
      <c r="H31" s="48" t="n"/>
      <c r="I31" s="49" t="n"/>
      <c r="J31" s="50" t="n"/>
    </row>
    <row r="32">
      <c r="A32" s="29" t="n"/>
      <c r="B32" s="29" t="n"/>
      <c r="C32" s="321" t="n"/>
      <c r="D32" s="47" t="n"/>
      <c r="E32" s="48" t="n"/>
      <c r="F32" s="48" t="n"/>
      <c r="G32" s="48" t="n"/>
      <c r="H32" s="48" t="n"/>
      <c r="I32" s="49" t="n"/>
      <c r="J32" s="50" t="n"/>
    </row>
    <row r="33">
      <c r="A33" s="29" t="n"/>
      <c r="B33" s="29" t="n"/>
      <c r="C33" s="321" t="n"/>
      <c r="D33" s="47" t="n"/>
      <c r="E33" s="48" t="n"/>
      <c r="F33" s="48" t="n"/>
      <c r="G33" s="48" t="n"/>
      <c r="H33" s="48" t="n"/>
      <c r="I33" s="49" t="n"/>
      <c r="J33" s="50" t="n"/>
    </row>
    <row r="49" ht="16" customHeight="1" s="290">
      <c r="C49" s="284" t="n"/>
      <c r="D49" s="284" t="n"/>
      <c r="F49" s="284" t="n"/>
      <c r="G49" s="284" t="n"/>
      <c r="H49" s="284" t="n"/>
      <c r="I49" s="284" t="n"/>
    </row>
    <row r="50">
      <c r="C50" s="284" t="n"/>
      <c r="D50" s="284" t="n"/>
      <c r="F50" s="284" t="n"/>
      <c r="G50" s="284" t="n"/>
      <c r="H50" s="284" t="n"/>
      <c r="I50" s="284" t="n"/>
    </row>
    <row r="51">
      <c r="A51" s="283" t="inlineStr">
        <is>
          <t xml:space="preserve">Rank by Revenue </t>
        </is>
      </c>
    </row>
    <row r="52" ht="17" customHeight="1" s="290">
      <c r="A52" s="38" t="inlineStr">
        <is>
          <t>Product Name</t>
        </is>
      </c>
      <c r="B52" s="39" t="inlineStr">
        <is>
          <t>ASIN</t>
        </is>
      </c>
      <c r="C52" s="39" t="inlineStr">
        <is>
          <t>Type</t>
        </is>
      </c>
      <c r="D52" s="322" t="inlineStr">
        <is>
          <t>Avg Price</t>
        </is>
      </c>
      <c r="E52" s="41" t="inlineStr">
        <is>
          <t>Estimated 12mo Revenue</t>
        </is>
      </c>
      <c r="F52" s="39" t="inlineStr">
        <is>
          <t>Monthly Rev</t>
        </is>
      </c>
      <c r="G52" s="42" t="inlineStr">
        <is>
          <t>Estimated 12mo Units</t>
        </is>
      </c>
      <c r="H52" s="45" t="inlineStr">
        <is>
          <t>Monthly Units</t>
        </is>
      </c>
      <c r="I52" s="42" t="inlineStr">
        <is>
          <t># of Reviews</t>
        </is>
      </c>
      <c r="J52" s="43" t="inlineStr">
        <is>
          <t xml:space="preserve">Tool Rating </t>
        </is>
      </c>
      <c r="K52" s="43" t="inlineStr">
        <is>
          <t>Column1</t>
        </is>
      </c>
      <c r="L52" s="323" t="inlineStr">
        <is>
          <t>Link</t>
        </is>
      </c>
    </row>
    <row r="53" ht="45" customHeight="1" s="290">
      <c r="A53" s="30" t="inlineStr">
        <is>
          <t>BlueDriver Bluetooth Pro OBDII Scan Tool for iPhone &amp; Android - No Subscription Fee - OBD2 Car Scanner and Code Reader - Diagnose Check Engine, ABS, SRS, Airbag &amp; 7000+ Issues on Vehicles 1996+</t>
        </is>
      </c>
      <c r="B53" s="30" t="inlineStr">
        <is>
          <t>B00652G4TS</t>
        </is>
      </c>
      <c r="C53" s="30" t="inlineStr">
        <is>
          <t>Dongle</t>
        </is>
      </c>
      <c r="D53" s="324" t="n">
        <v>89.95980835380836</v>
      </c>
      <c r="E53" s="53" t="n">
        <v>13300568.47</v>
      </c>
      <c r="F53" s="54" t="n">
        <v>183068.21</v>
      </c>
      <c r="G53" s="55" t="n">
        <v>157555</v>
      </c>
      <c r="H53" s="55" t="n">
        <v>2035</v>
      </c>
      <c r="I53" s="55" t="n">
        <v>62211</v>
      </c>
      <c r="J53" s="56" t="n">
        <v>4.5</v>
      </c>
      <c r="K53" s="56" t="inlineStr">
        <is>
          <t>https://amazon.com/dp/B00652G4TS</t>
        </is>
      </c>
      <c r="L53" s="34">
        <f>HYPERLINK(Bluedriver_2[[#This Row],[Column1]])</f>
        <v/>
      </c>
    </row>
    <row r="54" ht="45" customHeight="1" s="290">
      <c r="A54" s="30" t="inlineStr">
        <is>
          <t>BlueDriver Pro Next Gen OBD2 Scanner – Bluetooth Car Code Reader for iPhone &amp; Android – No Subscription, Multiple Car Scan Tool, Diagnose 8000+ Car Issues on Vehicles 1996+</t>
        </is>
      </c>
      <c r="B54" s="30" t="inlineStr">
        <is>
          <t>B0GL9RL3XS</t>
        </is>
      </c>
      <c r="C54" s="30" t="inlineStr">
        <is>
          <t>Dongle</t>
        </is>
      </c>
      <c r="D54" s="324" t="n">
        <v>120.0591133004926</v>
      </c>
      <c r="E54" s="53" t="n">
        <v>294338.7692307692</v>
      </c>
      <c r="F54" s="54" t="n">
        <v>24372</v>
      </c>
      <c r="G54" s="55" t="n">
        <v>203</v>
      </c>
      <c r="H54" s="55" t="n">
        <v>203</v>
      </c>
      <c r="I54" s="55" t="n">
        <v>62214</v>
      </c>
      <c r="J54" s="56" t="n">
        <v>4.5</v>
      </c>
      <c r="K54" s="56" t="inlineStr">
        <is>
          <t>https://amazon.com/dp/B0GL9RL3XS</t>
        </is>
      </c>
      <c r="L54" s="34">
        <f>HYPERLINK(Bluedriver_2[[#This Row],[Column1]])</f>
        <v/>
      </c>
    </row>
    <row r="55" ht="45" customHeight="1" s="290">
      <c r="A55" s="30" t="inlineStr">
        <is>
          <t>2PK BlueDriver Bluetooth Pro OBDII Scan Tool for iPhone &amp; Android - No Subscription Fee - OBD2 Car Scanner and Code Reader - Diagnose Check Engine, ABS, SRS, Airbag &amp; 7000+ Issues on Vehicles 1996+</t>
        </is>
      </c>
      <c r="B55" s="30" t="inlineStr">
        <is>
          <t>B0FZJQ2FWQ</t>
        </is>
      </c>
      <c r="C55" s="30" t="inlineStr">
        <is>
          <t>Dongle</t>
        </is>
      </c>
      <c r="D55" s="324" t="n">
        <v>399.95</v>
      </c>
      <c r="E55" s="53" t="n">
        <v>1339.16</v>
      </c>
      <c r="F55" s="54" t="n">
        <v>0</v>
      </c>
      <c r="G55" s="55" t="n">
        <v>5</v>
      </c>
      <c r="H55" s="55" t="n">
        <v>0</v>
      </c>
      <c r="I55" s="55" t="n"/>
      <c r="J55" s="56" t="n"/>
      <c r="K55" s="56" t="inlineStr">
        <is>
          <t>https://amazon.com/dp/B0FZJQ2FWQ</t>
        </is>
      </c>
      <c r="L55" s="34">
        <f>HYPERLINK(Bluedriver_2[[#This Row],[Column1]])</f>
        <v/>
      </c>
    </row>
    <row r="56" ht="60" customHeight="1" s="290">
      <c r="A56" s="30" t="n"/>
      <c r="B56" s="30" t="n"/>
      <c r="C56" s="30" t="n"/>
      <c r="D56" s="324" t="n"/>
      <c r="E56" s="53" t="n"/>
      <c r="F56" s="54" t="n"/>
      <c r="G56" s="55" t="n"/>
      <c r="H56" s="55" t="n"/>
      <c r="I56" s="55" t="n"/>
      <c r="J56" s="56" t="n"/>
      <c r="K56" s="56" t="n"/>
      <c r="L56" s="34">
        <f>HYPERLINK(Table544[[#This Row],[Column1]])</f>
        <v/>
      </c>
    </row>
    <row r="57" ht="45" customHeight="1" s="290">
      <c r="A57" s="30" t="n"/>
      <c r="B57" s="30" t="n"/>
      <c r="C57" s="30" t="n"/>
      <c r="D57" s="324" t="n"/>
      <c r="E57" s="53" t="n"/>
      <c r="F57" s="54" t="n"/>
      <c r="G57" s="55" t="n"/>
      <c r="H57" s="55" t="n"/>
      <c r="I57" s="55" t="n"/>
      <c r="J57" s="56" t="n"/>
      <c r="K57" s="56" t="n"/>
      <c r="L57" s="34">
        <f>HYPERLINK(Table544[[#This Row],[Column1]])</f>
        <v/>
      </c>
    </row>
    <row r="58" ht="45" customHeight="1" s="290">
      <c r="A58" s="30" t="n"/>
      <c r="B58" s="30" t="n"/>
      <c r="C58" s="30" t="n"/>
      <c r="D58" s="324" t="n"/>
      <c r="E58" s="53" t="n"/>
      <c r="F58" s="54" t="n"/>
      <c r="G58" s="55" t="n"/>
      <c r="H58" s="55" t="n"/>
      <c r="I58" s="55" t="n"/>
      <c r="J58" s="56" t="n"/>
      <c r="K58" s="56" t="n"/>
      <c r="L58" s="34">
        <f>HYPERLINK(Table544[[#This Row],[Column1]])</f>
        <v/>
      </c>
    </row>
    <row r="59" ht="45" customHeight="1" s="290">
      <c r="A59" s="30" t="n"/>
      <c r="B59" s="30" t="n"/>
      <c r="C59" s="30" t="n"/>
      <c r="D59" s="324" t="n"/>
      <c r="E59" s="53" t="n"/>
      <c r="F59" s="54" t="n"/>
      <c r="G59" s="55" t="n"/>
      <c r="H59" s="55" t="n"/>
      <c r="I59" s="55" t="n"/>
      <c r="J59" s="56" t="n"/>
      <c r="K59" s="56" t="n"/>
      <c r="L59" s="34">
        <f>HYPERLINK(Table544[[#This Row],[Column1]])</f>
        <v/>
      </c>
    </row>
    <row r="60" ht="45" customHeight="1" s="290">
      <c r="A60" s="30" t="n"/>
      <c r="B60" s="30" t="n"/>
      <c r="C60" s="30" t="n"/>
      <c r="D60" s="324" t="n"/>
      <c r="E60" s="53" t="n"/>
      <c r="F60" s="54" t="n"/>
      <c r="G60" s="55" t="n"/>
      <c r="H60" s="55" t="n"/>
      <c r="I60" s="55" t="n"/>
      <c r="J60" s="56" t="n"/>
      <c r="K60" s="56" t="n"/>
      <c r="L60" s="34">
        <f>HYPERLINK(Table544[[#This Row],[Column1]])</f>
        <v/>
      </c>
    </row>
    <row r="61" ht="45" customHeight="1" s="290">
      <c r="A61" s="30" t="n"/>
      <c r="B61" s="30" t="n"/>
      <c r="C61" s="30" t="n"/>
      <c r="D61" s="324" t="n"/>
      <c r="E61" s="53" t="n"/>
      <c r="F61" s="54" t="n"/>
      <c r="G61" s="55" t="n"/>
      <c r="H61" s="55" t="n"/>
      <c r="I61" s="55" t="n"/>
      <c r="J61" s="56" t="n"/>
      <c r="K61" s="56" t="n"/>
      <c r="L61" s="34">
        <f>HYPERLINK(Table544[[#This Row],[Column1]])</f>
        <v/>
      </c>
    </row>
    <row r="62" ht="45" customHeight="1" s="290">
      <c r="A62" s="30" t="n"/>
      <c r="B62" s="30" t="n"/>
      <c r="C62" s="30" t="n"/>
      <c r="D62" s="324" t="n"/>
      <c r="E62" s="53" t="n"/>
      <c r="F62" s="54" t="n"/>
      <c r="G62" s="55" t="n"/>
      <c r="H62" s="55" t="n"/>
      <c r="I62" s="55" t="n"/>
      <c r="J62" s="56" t="n"/>
      <c r="K62" s="56" t="n"/>
      <c r="L62" s="34">
        <f>HYPERLINK(Table544[[#This Row],[Column1]])</f>
        <v/>
      </c>
    </row>
    <row r="63" ht="45" customHeight="1" s="290">
      <c r="A63" s="30" t="n"/>
      <c r="B63" s="30" t="n"/>
      <c r="C63" s="30" t="n"/>
      <c r="D63" s="324" t="n"/>
      <c r="E63" s="53" t="n"/>
      <c r="F63" s="54" t="n"/>
      <c r="G63" s="55" t="n"/>
      <c r="H63" s="55" t="n"/>
      <c r="I63" s="55" t="n"/>
      <c r="J63" s="56" t="n"/>
      <c r="K63" s="56" t="n"/>
      <c r="L63" s="34">
        <f>HYPERLINK(Table544[[#This Row],[Column1]])</f>
        <v/>
      </c>
    </row>
    <row r="64" ht="45" customHeight="1" s="290">
      <c r="A64" s="30" t="n"/>
      <c r="B64" s="30" t="n"/>
      <c r="C64" s="30" t="n"/>
      <c r="D64" s="324" t="n"/>
      <c r="E64" s="53" t="n"/>
      <c r="F64" s="54" t="n"/>
      <c r="G64" s="55" t="n"/>
      <c r="H64" s="55" t="n"/>
      <c r="I64" s="55" t="n"/>
      <c r="J64" s="56" t="n"/>
      <c r="K64" s="56" t="n"/>
      <c r="L64" s="34">
        <f>HYPERLINK(Table544[[#This Row],[Column1]])</f>
        <v/>
      </c>
    </row>
    <row r="65" ht="45" customHeight="1" s="290">
      <c r="A65" s="30" t="n"/>
      <c r="B65" s="30" t="n"/>
      <c r="C65" s="30" t="n"/>
      <c r="D65" s="324" t="n"/>
      <c r="E65" s="53" t="n"/>
      <c r="F65" s="54" t="n"/>
      <c r="G65" s="55" t="n"/>
      <c r="H65" s="55" t="n"/>
      <c r="I65" s="55" t="n"/>
      <c r="J65" s="56" t="n"/>
      <c r="K65" s="56" t="n"/>
      <c r="L65" s="34">
        <f>HYPERLINK(Table544[[#This Row],[Column1]])</f>
        <v/>
      </c>
    </row>
    <row r="66" ht="45" customHeight="1" s="290">
      <c r="A66" s="30" t="n"/>
      <c r="B66" s="30" t="n"/>
      <c r="C66" s="30" t="n"/>
      <c r="D66" s="324" t="n"/>
      <c r="E66" s="53" t="n"/>
      <c r="F66" s="54" t="n"/>
      <c r="G66" s="55" t="n"/>
      <c r="H66" s="55" t="n"/>
      <c r="I66" s="55" t="n"/>
      <c r="J66" s="56" t="n"/>
      <c r="K66" s="56" t="n"/>
      <c r="L66" s="34">
        <f>HYPERLINK(Table544[[#This Row],[Column1]])</f>
        <v/>
      </c>
    </row>
    <row r="67" ht="45" customHeight="1" s="290">
      <c r="A67" s="30" t="n"/>
      <c r="B67" s="30" t="n"/>
      <c r="C67" s="30" t="n"/>
      <c r="D67" s="324" t="n"/>
      <c r="E67" s="53" t="n"/>
      <c r="F67" s="54" t="n"/>
      <c r="G67" s="55" t="n"/>
      <c r="H67" s="55" t="n"/>
      <c r="I67" s="55" t="n"/>
      <c r="J67" s="56" t="n"/>
      <c r="K67" s="56" t="n"/>
      <c r="L67" s="34">
        <f>HYPERLINK(Table544[[#This Row],[Column1]])</f>
        <v/>
      </c>
    </row>
    <row r="68" ht="45" customHeight="1" s="290">
      <c r="A68" s="30" t="n"/>
      <c r="B68" s="30" t="n"/>
      <c r="C68" s="30" t="n"/>
      <c r="D68" s="324" t="n"/>
      <c r="E68" s="53" t="n"/>
      <c r="F68" s="54" t="n"/>
      <c r="G68" s="55" t="n"/>
      <c r="H68" s="55" t="n"/>
      <c r="I68" s="55" t="n"/>
      <c r="J68" s="56" t="n"/>
      <c r="K68" s="56" t="n"/>
      <c r="L68" s="34">
        <f>HYPERLINK(Table544[[#This Row],[Column1]])</f>
        <v/>
      </c>
    </row>
    <row r="69" ht="60" customHeight="1" s="290">
      <c r="A69" s="30" t="n"/>
      <c r="B69" s="30" t="n"/>
      <c r="C69" s="30" t="n"/>
      <c r="D69" s="324" t="n"/>
      <c r="E69" s="53" t="n"/>
      <c r="F69" s="54" t="n"/>
      <c r="G69" s="55" t="n"/>
      <c r="H69" s="55" t="n"/>
      <c r="I69" s="55" t="n"/>
      <c r="J69" s="56" t="n"/>
      <c r="K69" s="56" t="n"/>
      <c r="L69" s="34">
        <f>HYPERLINK(Table544[[#This Row],[Column1]])</f>
        <v/>
      </c>
    </row>
    <row r="70" ht="45" customHeight="1" s="290">
      <c r="A70" s="30" t="n"/>
      <c r="B70" s="30" t="n"/>
      <c r="C70" s="30" t="n"/>
      <c r="D70" s="324" t="n"/>
      <c r="E70" s="53" t="n"/>
      <c r="F70" s="54" t="n"/>
      <c r="G70" s="55" t="n"/>
      <c r="H70" s="55" t="n"/>
      <c r="I70" s="55" t="n"/>
      <c r="J70" s="56" t="n"/>
      <c r="K70" s="56" t="n"/>
      <c r="L70" s="34">
        <f>HYPERLINK(Table544[[#This Row],[Column1]])</f>
        <v/>
      </c>
    </row>
    <row r="71" ht="45" customHeight="1" s="290">
      <c r="A71" s="30" t="n"/>
      <c r="B71" s="30" t="n"/>
      <c r="C71" s="30" t="n"/>
      <c r="D71" s="324" t="n"/>
      <c r="E71" s="53" t="n"/>
      <c r="F71" s="54" t="n"/>
      <c r="G71" s="55" t="n"/>
      <c r="H71" s="55" t="n"/>
      <c r="I71" s="55" t="n"/>
      <c r="J71" s="56" t="n"/>
      <c r="K71" s="56" t="n"/>
      <c r="L71" s="34">
        <f>HYPERLINK(Table544[[#This Row],[Column1]])</f>
        <v/>
      </c>
    </row>
    <row r="72" ht="45" customHeight="1" s="290">
      <c r="A72" s="30" t="n"/>
      <c r="B72" s="30" t="n"/>
      <c r="C72" s="30" t="n"/>
      <c r="D72" s="324" t="n"/>
      <c r="E72" s="53" t="n"/>
      <c r="F72" s="54" t="n"/>
      <c r="G72" s="55" t="n"/>
      <c r="H72" s="55" t="n"/>
      <c r="I72" s="55" t="n"/>
      <c r="J72" s="56" t="n"/>
      <c r="K72" s="56" t="n"/>
      <c r="L72" s="34">
        <f>HYPERLINK(Table544[[#This Row],[Column1]])</f>
        <v/>
      </c>
    </row>
    <row r="73" ht="45" customHeight="1" s="290">
      <c r="A73" s="30" t="n"/>
      <c r="B73" s="30" t="n"/>
      <c r="C73" s="30" t="n"/>
      <c r="D73" s="324" t="n"/>
      <c r="E73" s="53" t="n"/>
      <c r="F73" s="54" t="n"/>
      <c r="G73" s="55" t="n"/>
      <c r="H73" s="55" t="n"/>
      <c r="I73" s="55" t="n"/>
      <c r="J73" s="56" t="n"/>
      <c r="K73" s="56" t="n"/>
      <c r="L73" s="34">
        <f>HYPERLINK(Table544[[#This Row],[Column1]])</f>
        <v/>
      </c>
    </row>
    <row r="74" ht="45" customHeight="1" s="290">
      <c r="A74" s="30" t="n"/>
      <c r="B74" s="30" t="n"/>
      <c r="C74" s="30" t="n"/>
      <c r="D74" s="324" t="n"/>
      <c r="E74" s="53" t="n"/>
      <c r="F74" s="54" t="n"/>
      <c r="G74" s="55" t="n"/>
      <c r="H74" s="55" t="n"/>
      <c r="I74" s="55" t="n"/>
      <c r="J74" s="56" t="n"/>
      <c r="K74" s="56" t="n"/>
      <c r="L74" s="34">
        <f>HYPERLINK(Table544[[#This Row],[Column1]])</f>
        <v/>
      </c>
    </row>
    <row r="75" ht="45" customHeight="1" s="290">
      <c r="A75" s="30" t="n"/>
      <c r="B75" s="30" t="n"/>
      <c r="C75" s="30" t="n"/>
      <c r="D75" s="324" t="n"/>
      <c r="E75" s="53" t="n"/>
      <c r="F75" s="54" t="n"/>
      <c r="G75" s="55" t="n"/>
      <c r="H75" s="55" t="n"/>
      <c r="I75" s="55" t="n"/>
      <c r="J75" s="56" t="n"/>
      <c r="K75" s="56" t="n"/>
      <c r="L75" s="34">
        <f>HYPERLINK(Table544[[#This Row],[Column1]])</f>
        <v/>
      </c>
    </row>
    <row r="76" ht="45" customHeight="1" s="290">
      <c r="A76" s="30" t="n"/>
      <c r="B76" s="30" t="n"/>
      <c r="C76" s="30" t="n"/>
      <c r="D76" s="324" t="n"/>
      <c r="E76" s="53" t="n"/>
      <c r="F76" s="54" t="n"/>
      <c r="G76" s="55" t="n"/>
      <c r="H76" s="55" t="n"/>
      <c r="I76" s="55" t="n"/>
      <c r="J76" s="56" t="n"/>
      <c r="K76" s="56" t="n"/>
      <c r="L76" s="34">
        <f>HYPERLINK(Table544[[#This Row],[Column1]])</f>
        <v/>
      </c>
    </row>
    <row r="77" ht="60" customHeight="1" s="290">
      <c r="A77" s="30" t="n"/>
      <c r="B77" s="30" t="n"/>
      <c r="C77" s="30" t="n"/>
      <c r="D77" s="324" t="n"/>
      <c r="E77" s="53" t="n"/>
      <c r="F77" s="54" t="n"/>
      <c r="G77" s="55" t="n"/>
      <c r="H77" s="55" t="n"/>
      <c r="I77" s="55" t="n"/>
      <c r="J77" s="56" t="n"/>
      <c r="K77" s="56" t="n"/>
      <c r="L77" s="34">
        <f>HYPERLINK(Table544[[#This Row],[Column1]])</f>
        <v/>
      </c>
    </row>
    <row r="78" ht="45" customHeight="1" s="290">
      <c r="A78" s="30" t="n"/>
      <c r="B78" s="30" t="n"/>
      <c r="C78" s="30" t="n"/>
      <c r="D78" s="324" t="n"/>
      <c r="E78" s="53" t="n"/>
      <c r="F78" s="54" t="n"/>
      <c r="G78" s="55" t="n"/>
      <c r="H78" s="55" t="n"/>
      <c r="I78" s="55" t="n"/>
      <c r="J78" s="56" t="n"/>
      <c r="K78" s="56" t="n"/>
      <c r="L78" s="34">
        <f>HYPERLINK(Table544[[#This Row],[Column1]])</f>
        <v/>
      </c>
    </row>
    <row r="79" ht="45" customHeight="1" s="290">
      <c r="A79" s="30" t="n"/>
      <c r="B79" s="30" t="n"/>
      <c r="C79" s="30" t="n"/>
      <c r="D79" s="324" t="n"/>
      <c r="E79" s="53" t="n"/>
      <c r="F79" s="54" t="n"/>
      <c r="G79" s="55" t="n"/>
      <c r="H79" s="55" t="n"/>
      <c r="I79" s="55" t="n"/>
      <c r="J79" s="56" t="n"/>
      <c r="K79" s="56" t="n"/>
      <c r="L79" s="34">
        <f>HYPERLINK(Table544[[#This Row],[Column1]])</f>
        <v/>
      </c>
    </row>
    <row r="80" ht="45" customHeight="1" s="290">
      <c r="A80" s="30" t="n"/>
      <c r="B80" s="30" t="n"/>
      <c r="C80" s="30" t="n"/>
      <c r="D80" s="324" t="n"/>
      <c r="E80" s="53" t="n"/>
      <c r="F80" s="54" t="n"/>
      <c r="G80" s="55" t="n"/>
      <c r="H80" s="55" t="n"/>
      <c r="I80" s="55" t="n"/>
      <c r="J80" s="56" t="n"/>
      <c r="K80" s="56" t="n"/>
      <c r="L80" s="34">
        <f>HYPERLINK(Table544[[#This Row],[Column1]])</f>
        <v/>
      </c>
    </row>
    <row r="81" ht="45" customHeight="1" s="290">
      <c r="A81" s="30" t="n"/>
      <c r="B81" s="30" t="n"/>
      <c r="C81" s="30" t="n"/>
      <c r="D81" s="324" t="n"/>
      <c r="E81" s="53" t="n"/>
      <c r="F81" s="54" t="n"/>
      <c r="G81" s="55" t="n"/>
      <c r="H81" s="55" t="n"/>
      <c r="I81" s="55" t="n"/>
      <c r="J81" s="56" t="n"/>
      <c r="K81" s="56" t="n"/>
      <c r="L81" s="34">
        <f>HYPERLINK(Table544[[#This Row],[Column1]])</f>
        <v/>
      </c>
    </row>
    <row r="82" ht="45" customHeight="1" s="290">
      <c r="A82" s="30" t="n"/>
      <c r="B82" s="30" t="n"/>
      <c r="C82" s="30" t="n"/>
      <c r="D82" s="324" t="n"/>
      <c r="E82" s="53" t="n"/>
      <c r="F82" s="54" t="n"/>
      <c r="G82" s="55" t="n"/>
      <c r="H82" s="55" t="n"/>
      <c r="I82" s="55" t="n"/>
      <c r="J82" s="56" t="n"/>
      <c r="K82" s="56" t="n"/>
      <c r="L82" s="34">
        <f>HYPERLINK(Table544[[#This Row],[Column1]])</f>
        <v/>
      </c>
    </row>
    <row r="83" ht="30" customHeight="1" s="290">
      <c r="A83" s="30" t="n"/>
      <c r="B83" s="30" t="n"/>
      <c r="C83" s="30" t="n"/>
      <c r="D83" s="324" t="n"/>
      <c r="E83" s="53" t="n"/>
      <c r="F83" s="54" t="n"/>
      <c r="G83" s="55" t="n"/>
      <c r="H83" s="55" t="n"/>
      <c r="I83" s="55" t="n"/>
      <c r="J83" s="56" t="n"/>
      <c r="K83" s="56" t="n"/>
      <c r="L83" s="34">
        <f>HYPERLINK(Table544[[#This Row],[Column1]])</f>
        <v/>
      </c>
    </row>
    <row r="84" ht="45" customHeight="1" s="290">
      <c r="A84" s="30" t="n"/>
      <c r="B84" s="30" t="n"/>
      <c r="C84" s="30" t="n"/>
      <c r="D84" s="324" t="n"/>
      <c r="E84" s="53" t="n"/>
      <c r="F84" s="54" t="n"/>
      <c r="G84" s="55" t="n"/>
      <c r="H84" s="55" t="n"/>
      <c r="I84" s="55" t="n"/>
      <c r="J84" s="56" t="n"/>
      <c r="K84" s="56" t="n"/>
      <c r="L84" s="34">
        <f>HYPERLINK(Table544[[#This Row],[Column1]])</f>
        <v/>
      </c>
    </row>
    <row r="85" ht="45" customHeight="1" s="290">
      <c r="A85" s="30" t="n"/>
      <c r="B85" s="30" t="n"/>
      <c r="C85" s="30" t="n"/>
      <c r="D85" s="324" t="n"/>
      <c r="E85" s="53" t="n"/>
      <c r="F85" s="54" t="n"/>
      <c r="G85" s="55" t="n"/>
      <c r="H85" s="55" t="n"/>
      <c r="I85" s="55" t="n"/>
      <c r="J85" s="56" t="n"/>
      <c r="K85" s="56" t="n"/>
      <c r="L85" s="34">
        <f>HYPERLINK(Table544[[#This Row],[Column1]])</f>
        <v/>
      </c>
    </row>
    <row r="86" ht="45" customHeight="1" s="290">
      <c r="A86" s="30" t="n"/>
      <c r="B86" s="30" t="n"/>
      <c r="C86" s="30" t="n"/>
      <c r="D86" s="324" t="n"/>
      <c r="E86" s="53" t="n"/>
      <c r="F86" s="54" t="n"/>
      <c r="G86" s="55" t="n"/>
      <c r="H86" s="55" t="n"/>
      <c r="I86" s="55" t="n"/>
      <c r="J86" s="56" t="n"/>
      <c r="K86" s="56" t="n"/>
      <c r="L86" s="34">
        <f>HYPERLINK(Table544[[#This Row],[Column1]])</f>
        <v/>
      </c>
    </row>
    <row r="87" ht="45" customHeight="1" s="290">
      <c r="A87" s="30" t="n"/>
      <c r="B87" s="30" t="n"/>
      <c r="C87" s="30" t="n"/>
      <c r="D87" s="324" t="n"/>
      <c r="E87" s="53" t="n"/>
      <c r="F87" s="54" t="n"/>
      <c r="G87" s="55" t="n"/>
      <c r="H87" s="55" t="n"/>
      <c r="I87" s="55" t="n"/>
      <c r="J87" s="56" t="n"/>
      <c r="K87" s="56" t="n"/>
      <c r="L87" s="34">
        <f>HYPERLINK(Table544[[#This Row],[Column1]])</f>
        <v/>
      </c>
    </row>
    <row r="88" ht="45" customHeight="1" s="290">
      <c r="A88" s="30" t="n"/>
      <c r="B88" s="30" t="n"/>
      <c r="C88" s="30" t="n"/>
      <c r="D88" s="324" t="n"/>
      <c r="E88" s="53" t="n"/>
      <c r="F88" s="54" t="n"/>
      <c r="G88" s="55" t="n"/>
      <c r="H88" s="55" t="n"/>
      <c r="I88" s="55" t="n"/>
      <c r="J88" s="56" t="n"/>
      <c r="K88" s="56" t="n"/>
      <c r="L88" s="34">
        <f>HYPERLINK(Table544[[#This Row],[Column1]])</f>
        <v/>
      </c>
    </row>
    <row r="89" ht="45" customHeight="1" s="290">
      <c r="A89" s="30" t="n"/>
      <c r="B89" s="30" t="n"/>
      <c r="C89" s="30" t="n"/>
      <c r="D89" s="324" t="n"/>
      <c r="E89" s="53" t="n"/>
      <c r="F89" s="54" t="n"/>
      <c r="G89" s="55" t="n"/>
      <c r="H89" s="55" t="n"/>
      <c r="I89" s="55" t="n"/>
      <c r="J89" s="56" t="n"/>
      <c r="K89" s="56" t="n"/>
      <c r="L89" s="34">
        <f>HYPERLINK(Table544[[#This Row],[Column1]])</f>
        <v/>
      </c>
    </row>
    <row r="90" ht="45" customHeight="1" s="290">
      <c r="A90" s="30" t="n"/>
      <c r="B90" s="30" t="n"/>
      <c r="C90" s="30" t="n"/>
      <c r="D90" s="324" t="n"/>
      <c r="E90" s="53" t="n"/>
      <c r="F90" s="54" t="n"/>
      <c r="G90" s="55" t="n"/>
      <c r="H90" s="55" t="n"/>
      <c r="I90" s="55" t="n"/>
      <c r="J90" s="56" t="n"/>
      <c r="K90" s="56" t="n"/>
      <c r="L90" s="34">
        <f>HYPERLINK(Table544[[#This Row],[Column1]])</f>
        <v/>
      </c>
    </row>
    <row r="91" ht="45" customHeight="1" s="290">
      <c r="A91" s="30" t="n"/>
      <c r="B91" s="30" t="n"/>
      <c r="C91" s="30" t="n"/>
      <c r="D91" s="324" t="n"/>
      <c r="E91" s="53" t="n"/>
      <c r="F91" s="54" t="n"/>
      <c r="G91" s="55" t="n"/>
      <c r="H91" s="55" t="n"/>
      <c r="I91" s="55" t="n"/>
      <c r="J91" s="56" t="n"/>
      <c r="K91" s="56" t="n"/>
      <c r="L91" s="34">
        <f>HYPERLINK(Table544[[#This Row],[Column1]])</f>
        <v/>
      </c>
    </row>
    <row r="92" ht="45" customHeight="1" s="290">
      <c r="A92" s="30" t="n"/>
      <c r="B92" s="30" t="n"/>
      <c r="C92" s="30" t="n"/>
      <c r="D92" s="324" t="n"/>
      <c r="E92" s="53" t="n"/>
      <c r="F92" s="54" t="n"/>
      <c r="G92" s="55" t="n"/>
      <c r="H92" s="55" t="n"/>
      <c r="I92" s="55" t="n"/>
      <c r="J92" s="56" t="n"/>
      <c r="K92" s="56" t="n"/>
      <c r="L92" s="34">
        <f>HYPERLINK(Table544[[#This Row],[Column1]])</f>
        <v/>
      </c>
    </row>
    <row r="93" ht="45" customHeight="1" s="290">
      <c r="A93" s="30" t="n"/>
      <c r="B93" s="30" t="n"/>
      <c r="C93" s="30" t="n"/>
      <c r="D93" s="324" t="n"/>
      <c r="E93" s="53" t="n"/>
      <c r="F93" s="54" t="n"/>
      <c r="G93" s="55" t="n"/>
      <c r="H93" s="55" t="n"/>
      <c r="I93" s="55" t="n"/>
      <c r="J93" s="56" t="n"/>
      <c r="K93" s="56" t="n"/>
      <c r="L93" s="34">
        <f>HYPERLINK(Table544[[#This Row],[Column1]])</f>
        <v/>
      </c>
    </row>
    <row r="94" ht="60" customHeight="1" s="290">
      <c r="A94" s="30" t="n"/>
      <c r="B94" s="30" t="n"/>
      <c r="C94" s="30" t="n"/>
      <c r="D94" s="324" t="n"/>
      <c r="E94" s="53" t="n"/>
      <c r="F94" s="54" t="n"/>
      <c r="G94" s="55" t="n"/>
      <c r="H94" s="55" t="n"/>
      <c r="I94" s="55" t="n"/>
      <c r="J94" s="56" t="n"/>
      <c r="K94" s="56" t="n"/>
      <c r="L94" s="34">
        <f>HYPERLINK(Table544[[#This Row],[Column1]])</f>
        <v/>
      </c>
    </row>
    <row r="95" ht="45" customHeight="1" s="290">
      <c r="A95" s="30" t="n"/>
      <c r="B95" s="30" t="n"/>
      <c r="C95" s="30" t="n"/>
      <c r="D95" s="324" t="n"/>
      <c r="E95" s="53" t="n"/>
      <c r="F95" s="54" t="n"/>
      <c r="G95" s="55" t="n"/>
      <c r="H95" s="55" t="n"/>
      <c r="I95" s="55" t="n"/>
      <c r="J95" s="56" t="n"/>
      <c r="K95" s="56" t="n"/>
      <c r="L95" s="34">
        <f>HYPERLINK(Table544[[#This Row],[Column1]])</f>
        <v/>
      </c>
    </row>
    <row r="96" ht="45" customHeight="1" s="290">
      <c r="A96" s="30" t="n"/>
      <c r="B96" s="30" t="n"/>
      <c r="C96" s="30" t="n"/>
      <c r="D96" s="324" t="n"/>
      <c r="E96" s="53" t="n"/>
      <c r="F96" s="54" t="n"/>
      <c r="G96" s="55" t="n"/>
      <c r="H96" s="55" t="n"/>
      <c r="I96" s="55" t="n"/>
      <c r="J96" s="56" t="n"/>
      <c r="K96" s="56" t="n"/>
      <c r="L96" s="34">
        <f>HYPERLINK(Table544[[#This Row],[Column1]])</f>
        <v/>
      </c>
    </row>
    <row r="97" ht="45" customHeight="1" s="290">
      <c r="A97" s="30" t="n"/>
      <c r="B97" s="30" t="n"/>
      <c r="C97" s="30" t="n"/>
      <c r="D97" s="324" t="n"/>
      <c r="E97" s="53" t="n"/>
      <c r="F97" s="54" t="n"/>
      <c r="G97" s="55" t="n"/>
      <c r="H97" s="55" t="n"/>
      <c r="I97" s="55" t="n"/>
      <c r="J97" s="56" t="n"/>
      <c r="K97" s="56" t="n"/>
      <c r="L97" s="34">
        <f>HYPERLINK(Table544[[#This Row],[Column1]])</f>
        <v/>
      </c>
    </row>
    <row r="98" ht="60" customHeight="1" s="290">
      <c r="A98" s="30" t="n"/>
      <c r="B98" s="30" t="n"/>
      <c r="C98" s="30" t="n"/>
      <c r="D98" s="324" t="n"/>
      <c r="E98" s="53" t="n"/>
      <c r="F98" s="54" t="n"/>
      <c r="G98" s="55" t="n"/>
      <c r="H98" s="55" t="n"/>
      <c r="I98" s="55" t="n"/>
      <c r="J98" s="56" t="n"/>
      <c r="K98" s="56" t="n"/>
      <c r="L98" s="34">
        <f>HYPERLINK(Table544[[#This Row],[Column1]])</f>
        <v/>
      </c>
    </row>
    <row r="99" ht="45" customHeight="1" s="290">
      <c r="A99" s="30" t="n"/>
      <c r="B99" s="30" t="n"/>
      <c r="C99" s="30" t="n"/>
      <c r="D99" s="324" t="n"/>
      <c r="E99" s="53" t="n"/>
      <c r="F99" s="54" t="n"/>
      <c r="G99" s="55" t="n"/>
      <c r="H99" s="55" t="n"/>
      <c r="I99" s="55" t="n"/>
      <c r="J99" s="56" t="n"/>
      <c r="K99" s="56" t="n"/>
      <c r="L99" s="34">
        <f>HYPERLINK(Table544[[#This Row],[Column1]])</f>
        <v/>
      </c>
    </row>
    <row r="100" ht="45" customHeight="1" s="290">
      <c r="A100" s="30" t="n"/>
      <c r="B100" s="30" t="n"/>
      <c r="C100" s="30" t="n"/>
      <c r="D100" s="324" t="n"/>
      <c r="E100" s="53" t="n"/>
      <c r="F100" s="54" t="n"/>
      <c r="G100" s="55" t="n"/>
      <c r="H100" s="55" t="n"/>
      <c r="I100" s="55" t="n"/>
      <c r="J100" s="56" t="n"/>
      <c r="K100" s="56" t="n"/>
      <c r="L100" s="34">
        <f>HYPERLINK(Table544[[#This Row],[Column1]])</f>
        <v/>
      </c>
    </row>
    <row r="101" ht="45" customHeight="1" s="290">
      <c r="A101" s="30" t="n"/>
      <c r="B101" s="30" t="n"/>
      <c r="C101" s="30" t="n"/>
      <c r="D101" s="324" t="n"/>
      <c r="E101" s="53" t="n"/>
      <c r="F101" s="54" t="n"/>
      <c r="G101" s="55" t="n"/>
      <c r="H101" s="55" t="n"/>
      <c r="I101" s="55" t="n"/>
      <c r="J101" s="56" t="n"/>
      <c r="K101" s="56" t="n"/>
      <c r="L101" s="34">
        <f>HYPERLINK(Table544[[#This Row],[Column1]])</f>
        <v/>
      </c>
    </row>
    <row r="102" ht="45" customHeight="1" s="290">
      <c r="A102" s="30" t="n"/>
      <c r="B102" s="30" t="n"/>
      <c r="C102" s="30" t="n"/>
      <c r="D102" s="324" t="n"/>
      <c r="E102" s="53" t="n"/>
      <c r="F102" s="54" t="n"/>
      <c r="G102" s="55" t="n"/>
      <c r="H102" s="55" t="n"/>
      <c r="I102" s="55" t="n"/>
      <c r="J102" s="56" t="n"/>
      <c r="K102" s="56" t="n"/>
      <c r="L102" s="34">
        <f>HYPERLINK(Table544[[#This Row],[Column1]])</f>
        <v/>
      </c>
    </row>
    <row r="103" ht="45" customHeight="1" s="290">
      <c r="A103" s="30" t="n"/>
      <c r="B103" s="30" t="n"/>
      <c r="C103" s="30" t="n"/>
      <c r="D103" s="324" t="n"/>
      <c r="E103" s="53" t="n"/>
      <c r="F103" s="54" t="n"/>
      <c r="G103" s="55" t="n"/>
      <c r="H103" s="55" t="n"/>
      <c r="I103" s="55" t="n"/>
      <c r="J103" s="56" t="n"/>
      <c r="K103" s="56" t="n"/>
      <c r="L103" s="34">
        <f>HYPERLINK(Table544[[#This Row],[Column1]])</f>
        <v/>
      </c>
    </row>
    <row r="104" ht="45" customHeight="1" s="290">
      <c r="A104" s="30" t="n"/>
      <c r="B104" s="30" t="n"/>
      <c r="C104" s="30" t="n"/>
      <c r="D104" s="324" t="n"/>
      <c r="E104" s="53" t="n"/>
      <c r="F104" s="54" t="n"/>
      <c r="G104" s="55" t="n"/>
      <c r="H104" s="55" t="n"/>
      <c r="I104" s="55" t="n"/>
      <c r="J104" s="56" t="n"/>
      <c r="K104" s="56" t="n"/>
      <c r="L104" s="34">
        <f>HYPERLINK(Table544[[#This Row],[Column1]])</f>
        <v/>
      </c>
    </row>
    <row r="105" ht="45" customHeight="1" s="290">
      <c r="A105" s="30" t="n"/>
      <c r="B105" s="30" t="n"/>
      <c r="C105" s="30" t="n"/>
      <c r="D105" s="324" t="n"/>
      <c r="E105" s="53" t="n"/>
      <c r="F105" s="54" t="n"/>
      <c r="G105" s="55" t="n"/>
      <c r="H105" s="55" t="n"/>
      <c r="I105" s="55" t="n"/>
      <c r="J105" s="56" t="n"/>
      <c r="K105" s="56" t="n"/>
      <c r="L105" s="34">
        <f>HYPERLINK(Table544[[#This Row],[Column1]])</f>
        <v/>
      </c>
    </row>
    <row r="106" ht="45" customHeight="1" s="290">
      <c r="A106" s="30" t="n"/>
      <c r="B106" s="30" t="n"/>
      <c r="C106" s="30" t="n"/>
      <c r="D106" s="324" t="n"/>
      <c r="E106" s="53" t="n"/>
      <c r="F106" s="54" t="n"/>
      <c r="G106" s="55" t="n"/>
      <c r="H106" s="55" t="n"/>
      <c r="I106" s="55" t="n"/>
      <c r="J106" s="56" t="n"/>
      <c r="K106" s="56" t="n"/>
      <c r="L106" s="34">
        <f>HYPERLINK(Table544[[#This Row],[Column1]])</f>
        <v/>
      </c>
    </row>
    <row r="107" ht="60" customHeight="1" s="290">
      <c r="A107" s="30" t="n"/>
      <c r="B107" s="30" t="n"/>
      <c r="C107" s="30" t="n"/>
      <c r="D107" s="324" t="n"/>
      <c r="E107" s="53" t="n"/>
      <c r="F107" s="54" t="n"/>
      <c r="G107" s="55" t="n"/>
      <c r="H107" s="55" t="n"/>
      <c r="I107" s="55" t="n"/>
      <c r="J107" s="56" t="n"/>
      <c r="K107" s="56" t="n"/>
      <c r="L107" s="34">
        <f>HYPERLINK(Table544[[#This Row],[Column1]])</f>
        <v/>
      </c>
    </row>
    <row r="108" ht="45" customHeight="1" s="290">
      <c r="A108" s="30" t="n"/>
      <c r="B108" s="30" t="n"/>
      <c r="C108" s="30" t="n"/>
      <c r="D108" s="324" t="n"/>
      <c r="E108" s="53" t="n"/>
      <c r="F108" s="54" t="n"/>
      <c r="G108" s="55" t="n"/>
      <c r="H108" s="55" t="n"/>
      <c r="I108" s="55" t="n"/>
      <c r="J108" s="56" t="n"/>
      <c r="K108" s="56" t="n"/>
      <c r="L108" s="34">
        <f>HYPERLINK(Table544[[#This Row],[Column1]])</f>
        <v/>
      </c>
    </row>
    <row r="109" ht="45" customHeight="1" s="290">
      <c r="A109" s="30" t="n"/>
      <c r="B109" s="30" t="n"/>
      <c r="C109" s="30" t="n"/>
      <c r="D109" s="324" t="n"/>
      <c r="E109" s="53" t="n"/>
      <c r="F109" s="54" t="n"/>
      <c r="G109" s="55" t="n"/>
      <c r="H109" s="55" t="n"/>
      <c r="I109" s="55" t="n"/>
      <c r="J109" s="56" t="n"/>
      <c r="K109" s="56" t="n"/>
      <c r="L109" s="34">
        <f>HYPERLINK(Table544[[#This Row],[Column1]])</f>
        <v/>
      </c>
    </row>
    <row r="110" ht="45" customHeight="1" s="290">
      <c r="A110" s="30" t="n"/>
      <c r="B110" s="30" t="n"/>
      <c r="C110" s="30" t="n"/>
      <c r="D110" s="324" t="n"/>
      <c r="E110" s="53" t="n"/>
      <c r="F110" s="54" t="n"/>
      <c r="G110" s="55" t="n"/>
      <c r="H110" s="55" t="n"/>
      <c r="I110" s="55" t="n"/>
      <c r="J110" s="56" t="n"/>
      <c r="K110" s="56" t="n"/>
      <c r="L110" s="34">
        <f>HYPERLINK(Table544[[#This Row],[Column1]])</f>
        <v/>
      </c>
    </row>
    <row r="111" ht="45" customHeight="1" s="290">
      <c r="A111" s="30" t="n"/>
      <c r="B111" s="30" t="n"/>
      <c r="C111" s="30" t="n"/>
      <c r="D111" s="324" t="n"/>
      <c r="E111" s="53" t="n"/>
      <c r="F111" s="54" t="n"/>
      <c r="G111" s="55" t="n"/>
      <c r="H111" s="55" t="n"/>
      <c r="I111" s="55" t="n"/>
      <c r="J111" s="56" t="n"/>
      <c r="K111" s="56" t="n"/>
      <c r="L111" s="34">
        <f>HYPERLINK(Table544[[#This Row],[Column1]])</f>
        <v/>
      </c>
    </row>
    <row r="112" ht="45" customHeight="1" s="290">
      <c r="A112" s="30" t="n"/>
      <c r="B112" s="30" t="n"/>
      <c r="C112" s="30" t="n"/>
      <c r="D112" s="324" t="n"/>
      <c r="E112" s="53" t="n"/>
      <c r="F112" s="54" t="n"/>
      <c r="G112" s="55" t="n"/>
      <c r="H112" s="55" t="n"/>
      <c r="I112" s="55" t="n"/>
      <c r="J112" s="56" t="n"/>
      <c r="K112" s="56" t="n"/>
      <c r="L112" s="34">
        <f>HYPERLINK(Table544[[#This Row],[Column1]])</f>
        <v/>
      </c>
    </row>
    <row r="113" ht="45" customHeight="1" s="290">
      <c r="A113" s="30" t="n"/>
      <c r="B113" s="30" t="n"/>
      <c r="C113" s="30" t="n"/>
      <c r="D113" s="324" t="n"/>
      <c r="E113" s="53" t="n"/>
      <c r="F113" s="54" t="n"/>
      <c r="G113" s="55" t="n"/>
      <c r="H113" s="55" t="n"/>
      <c r="I113" s="55" t="n"/>
      <c r="J113" s="56" t="n"/>
      <c r="K113" s="56" t="n"/>
      <c r="L113" s="34">
        <f>HYPERLINK(Table544[[#This Row],[Column1]])</f>
        <v/>
      </c>
    </row>
    <row r="114" ht="45" customHeight="1" s="290">
      <c r="A114" s="30" t="n"/>
      <c r="B114" s="30" t="n"/>
      <c r="C114" s="30" t="n"/>
      <c r="D114" s="324" t="n"/>
      <c r="E114" s="53" t="n"/>
      <c r="F114" s="54" t="n"/>
      <c r="G114" s="55" t="n"/>
      <c r="H114" s="55" t="n"/>
      <c r="I114" s="55" t="n"/>
      <c r="J114" s="56" t="n"/>
      <c r="K114" s="56" t="n"/>
      <c r="L114" s="34">
        <f>HYPERLINK(Table544[[#This Row],[Column1]])</f>
        <v/>
      </c>
    </row>
    <row r="115" ht="45" customHeight="1" s="290">
      <c r="A115" s="30" t="n"/>
      <c r="B115" s="30" t="n"/>
      <c r="C115" s="30" t="n"/>
      <c r="D115" s="324" t="n"/>
      <c r="E115" s="53" t="n"/>
      <c r="F115" s="54" t="n"/>
      <c r="G115" s="55" t="n"/>
      <c r="H115" s="55" t="n"/>
      <c r="I115" s="55" t="n"/>
      <c r="J115" s="56" t="n"/>
      <c r="K115" s="56" t="n"/>
      <c r="L115" s="34">
        <f>HYPERLINK(Table544[[#This Row],[Column1]])</f>
        <v/>
      </c>
    </row>
    <row r="116" ht="30" customHeight="1" s="290">
      <c r="A116" s="30" t="n"/>
      <c r="B116" s="30" t="n"/>
      <c r="C116" s="30" t="n"/>
      <c r="D116" s="324" t="n"/>
      <c r="E116" s="53" t="n"/>
      <c r="F116" s="54" t="n"/>
      <c r="G116" s="55" t="n"/>
      <c r="H116" s="55" t="n"/>
      <c r="I116" s="55" t="n"/>
      <c r="J116" s="56" t="n"/>
      <c r="K116" s="56" t="n"/>
      <c r="L116" s="34">
        <f>HYPERLINK(Table544[[#This Row],[Column1]])</f>
        <v/>
      </c>
    </row>
    <row r="117" ht="30" customHeight="1" s="290">
      <c r="A117" s="30" t="n"/>
      <c r="B117" s="30" t="n"/>
      <c r="C117" s="30" t="n"/>
      <c r="D117" s="324" t="n"/>
      <c r="E117" s="53" t="n"/>
      <c r="F117" s="54" t="n"/>
      <c r="G117" s="55" t="n"/>
      <c r="H117" s="55" t="n"/>
      <c r="I117" s="55" t="n"/>
      <c r="J117" s="56" t="n"/>
      <c r="K117" s="56" t="n"/>
      <c r="L117" s="34">
        <f>HYPERLINK(Table544[[#This Row],[Column1]])</f>
        <v/>
      </c>
    </row>
    <row r="118" ht="45" customHeight="1" s="290">
      <c r="A118" s="30" t="n"/>
      <c r="B118" s="30" t="n"/>
      <c r="C118" s="30" t="n"/>
      <c r="D118" s="324" t="n"/>
      <c r="E118" s="53" t="n"/>
      <c r="F118" s="54" t="n"/>
      <c r="G118" s="55" t="n"/>
      <c r="H118" s="55" t="n"/>
      <c r="I118" s="55" t="n"/>
      <c r="J118" s="56" t="n"/>
      <c r="K118" s="56" t="n"/>
      <c r="L118" s="34">
        <f>HYPERLINK(Table544[[#This Row],[Column1]])</f>
        <v/>
      </c>
    </row>
    <row r="119" ht="45" customHeight="1" s="290">
      <c r="A119" s="30" t="n"/>
      <c r="B119" s="30" t="n"/>
      <c r="C119" s="30" t="n"/>
      <c r="D119" s="324" t="n"/>
      <c r="E119" s="53" t="n"/>
      <c r="F119" s="54" t="n"/>
      <c r="G119" s="55" t="n"/>
      <c r="H119" s="55" t="n"/>
      <c r="I119" s="55" t="n"/>
      <c r="J119" s="56" t="n"/>
      <c r="K119" s="56" t="n"/>
      <c r="L119" s="34">
        <f>HYPERLINK(Table544[[#This Row],[Column1]])</f>
        <v/>
      </c>
    </row>
    <row r="120" ht="60" customHeight="1" s="290">
      <c r="A120" s="30" t="n"/>
      <c r="B120" s="30" t="n"/>
      <c r="C120" s="30" t="n"/>
      <c r="D120" s="324" t="n"/>
      <c r="E120" s="53" t="n"/>
      <c r="F120" s="54" t="n"/>
      <c r="G120" s="55" t="n"/>
      <c r="H120" s="55" t="n"/>
      <c r="I120" s="55" t="n"/>
      <c r="J120" s="56" t="n"/>
      <c r="K120" s="56" t="n"/>
      <c r="L120" s="34">
        <f>HYPERLINK(Table544[[#This Row],[Column1]])</f>
        <v/>
      </c>
    </row>
    <row r="121" ht="45" customHeight="1" s="290">
      <c r="A121" s="30" t="n"/>
      <c r="B121" s="30" t="n"/>
      <c r="C121" s="30" t="n"/>
      <c r="D121" s="324" t="n"/>
      <c r="E121" s="53" t="n"/>
      <c r="F121" s="54" t="n"/>
      <c r="G121" s="55" t="n"/>
      <c r="H121" s="55" t="n"/>
      <c r="I121" s="55" t="n"/>
      <c r="J121" s="56" t="n"/>
      <c r="K121" s="56" t="n"/>
      <c r="L121" s="34">
        <f>HYPERLINK(Table544[[#This Row],[Column1]])</f>
        <v/>
      </c>
    </row>
    <row r="122" ht="45" customHeight="1" s="290">
      <c r="A122" s="30" t="n"/>
      <c r="B122" s="30" t="n"/>
      <c r="C122" s="30" t="n"/>
      <c r="D122" s="324" t="n"/>
      <c r="E122" s="53" t="n"/>
      <c r="F122" s="54" t="n"/>
      <c r="G122" s="55" t="n"/>
      <c r="H122" s="55" t="n"/>
      <c r="I122" s="55" t="n"/>
      <c r="J122" s="56" t="n"/>
      <c r="K122" s="56" t="n"/>
      <c r="L122" s="34">
        <f>HYPERLINK(Table544[[#This Row],[Column1]])</f>
        <v/>
      </c>
    </row>
    <row r="123" ht="45" customHeight="1" s="290">
      <c r="A123" s="30" t="n"/>
      <c r="B123" s="30" t="n"/>
      <c r="C123" s="30" t="n"/>
      <c r="D123" s="324" t="n"/>
      <c r="E123" s="53" t="n"/>
      <c r="F123" s="54" t="n"/>
      <c r="G123" s="55" t="n"/>
      <c r="H123" s="55" t="n"/>
      <c r="I123" s="55" t="n"/>
      <c r="J123" s="56" t="n"/>
      <c r="K123" s="56" t="n"/>
      <c r="L123" s="34">
        <f>HYPERLINK(Table544[[#This Row],[Column1]])</f>
        <v/>
      </c>
    </row>
    <row r="124" ht="17" customHeight="1" s="290">
      <c r="A124" s="30" t="n"/>
      <c r="B124" s="30" t="n"/>
      <c r="C124" s="30" t="n"/>
      <c r="D124" s="324" t="n"/>
      <c r="E124" s="53" t="n"/>
      <c r="F124" s="54" t="n"/>
      <c r="G124" s="55" t="n"/>
      <c r="H124" s="55" t="n"/>
      <c r="I124" s="55" t="n"/>
      <c r="J124" s="56" t="n"/>
      <c r="K124" s="56" t="n"/>
      <c r="L124" s="34">
        <f>HYPERLINK(Table544[[#This Row],[Column1]])</f>
        <v/>
      </c>
    </row>
    <row r="125" ht="30" customHeight="1" s="290">
      <c r="A125" s="30" t="n"/>
      <c r="B125" s="30" t="n"/>
      <c r="C125" s="30" t="n"/>
      <c r="D125" s="324" t="n"/>
      <c r="E125" s="53" t="n"/>
      <c r="F125" s="54" t="n"/>
      <c r="G125" s="55" t="n"/>
      <c r="H125" s="55" t="n"/>
      <c r="I125" s="55" t="n"/>
      <c r="J125" s="56" t="n"/>
      <c r="K125" s="56" t="n"/>
      <c r="L125" s="34">
        <f>HYPERLINK(Table544[[#This Row],[Column1]])</f>
        <v/>
      </c>
    </row>
    <row r="126" ht="45" customHeight="1" s="290">
      <c r="A126" s="30" t="n"/>
      <c r="B126" s="30" t="n"/>
      <c r="C126" s="30" t="n"/>
      <c r="D126" s="324" t="n"/>
      <c r="E126" s="53" t="n"/>
      <c r="F126" s="54" t="n"/>
      <c r="G126" s="55" t="n"/>
      <c r="H126" s="55" t="n"/>
      <c r="I126" s="55" t="n"/>
      <c r="J126" s="56" t="n"/>
      <c r="K126" s="56" t="n"/>
      <c r="L126" s="34">
        <f>HYPERLINK(Table544[[#This Row],[Column1]])</f>
        <v/>
      </c>
    </row>
    <row r="127" ht="45" customHeight="1" s="290">
      <c r="A127" s="30" t="n"/>
      <c r="B127" s="30" t="n"/>
      <c r="C127" s="30" t="n"/>
      <c r="D127" s="324" t="n"/>
      <c r="E127" s="53" t="n"/>
      <c r="F127" s="54" t="n"/>
      <c r="G127" s="55" t="n"/>
      <c r="H127" s="55" t="n"/>
      <c r="I127" s="55" t="n"/>
      <c r="J127" s="56" t="n"/>
      <c r="K127" s="56" t="n"/>
      <c r="L127" s="34">
        <f>HYPERLINK(Table544[[#This Row],[Column1]])</f>
        <v/>
      </c>
    </row>
    <row r="128" ht="17" customHeight="1" s="290">
      <c r="A128" s="33" t="inlineStr">
        <is>
          <t>Total</t>
        </is>
      </c>
      <c r="B128" s="32" t="n"/>
      <c r="C128" s="325" t="n"/>
      <c r="D128" s="325" t="n"/>
      <c r="E128" s="59">
        <f>SUM(Table544[Estimated 12mo Revenue])</f>
        <v/>
      </c>
      <c r="F128" s="59">
        <f>SUM(Table544[Monthly Rev])</f>
        <v/>
      </c>
      <c r="I128" s="286" t="n"/>
      <c r="J128" s="287" t="n"/>
    </row>
    <row r="131">
      <c r="A131" s="283" t="inlineStr">
        <is>
          <t>Rank by Units</t>
        </is>
      </c>
    </row>
    <row r="132" ht="17" customHeight="1" s="290">
      <c r="A132" s="38" t="inlineStr">
        <is>
          <t>Product Name</t>
        </is>
      </c>
      <c r="B132" s="39" t="inlineStr">
        <is>
          <t>ASIN</t>
        </is>
      </c>
      <c r="C132" s="39" t="inlineStr">
        <is>
          <t>Type</t>
        </is>
      </c>
      <c r="D132" s="322" t="inlineStr">
        <is>
          <t>Avg Price</t>
        </is>
      </c>
      <c r="E132" s="41" t="inlineStr">
        <is>
          <t>Estimated 12mo Revenue</t>
        </is>
      </c>
      <c r="F132" s="39" t="inlineStr">
        <is>
          <t>Monthly Rev</t>
        </is>
      </c>
      <c r="G132" s="42" t="inlineStr">
        <is>
          <t>Estimated 12mo Units</t>
        </is>
      </c>
      <c r="H132" s="45" t="inlineStr">
        <is>
          <t>Monthly Units</t>
        </is>
      </c>
      <c r="I132" s="42" t="inlineStr">
        <is>
          <t># of Reviews</t>
        </is>
      </c>
      <c r="J132" s="43" t="inlineStr">
        <is>
          <t xml:space="preserve">Tool Rating </t>
        </is>
      </c>
      <c r="K132" s="43" t="inlineStr">
        <is>
          <t>Column1</t>
        </is>
      </c>
      <c r="L132" s="323" t="inlineStr">
        <is>
          <t>Link</t>
        </is>
      </c>
    </row>
    <row r="133" ht="45" customHeight="1" s="290">
      <c r="A133" s="30" t="inlineStr">
        <is>
          <t>BlueDriver Bluetooth Pro OBDII Scan Tool for iPhone &amp; Android - No Subscription Fee - OBD2 Car Scanner and Code Reader - Diagnose Check Engine, ABS, SRS, Airbag &amp; 7000+ Issues on Vehicles 1996+</t>
        </is>
      </c>
      <c r="B133" s="30" t="inlineStr">
        <is>
          <t>B00652G4TS</t>
        </is>
      </c>
      <c r="C133" s="30" t="inlineStr">
        <is>
          <t>Dongle</t>
        </is>
      </c>
      <c r="D133" s="324" t="n">
        <v>89.95980835380836</v>
      </c>
      <c r="E133" s="53" t="n">
        <v>13300568.47</v>
      </c>
      <c r="F133" s="53" t="n">
        <v>183068.21</v>
      </c>
      <c r="G133" s="55" t="n">
        <v>157555</v>
      </c>
      <c r="H133" s="57" t="n">
        <v>2035</v>
      </c>
      <c r="I133" s="55" t="n">
        <v>62211</v>
      </c>
      <c r="J133" s="56" t="n">
        <v>4.5</v>
      </c>
      <c r="K133" s="56" t="inlineStr">
        <is>
          <t>https://amazon.com/dp/B00652G4TS</t>
        </is>
      </c>
      <c r="L133" s="34">
        <f>HYPERLINK(Bluedriver_1[[#This Row],[Column1]])</f>
        <v/>
      </c>
    </row>
    <row r="134" ht="45" customHeight="1" s="290">
      <c r="A134" s="30" t="inlineStr">
        <is>
          <t>BlueDriver Pro Next Gen OBD2 Scanner – Bluetooth Car Code Reader for iPhone &amp; Android – No Subscription, Multiple Car Scan Tool, Diagnose 8000+ Car Issues on Vehicles 1996+</t>
        </is>
      </c>
      <c r="B134" s="30" t="inlineStr">
        <is>
          <t>B0GL9RL3XS</t>
        </is>
      </c>
      <c r="C134" s="30" t="inlineStr">
        <is>
          <t>Dongle</t>
        </is>
      </c>
      <c r="D134" s="324" t="n">
        <v>120.0591133004926</v>
      </c>
      <c r="E134" s="53" t="n">
        <v>294338.7692307692</v>
      </c>
      <c r="F134" s="53" t="n">
        <v>24372</v>
      </c>
      <c r="G134" s="55" t="n">
        <v>203</v>
      </c>
      <c r="H134" s="57" t="n">
        <v>203</v>
      </c>
      <c r="I134" s="55" t="n">
        <v>62214</v>
      </c>
      <c r="J134" s="56" t="n">
        <v>4.5</v>
      </c>
      <c r="K134" s="56" t="inlineStr">
        <is>
          <t>https://amazon.com/dp/B0GL9RL3XS</t>
        </is>
      </c>
      <c r="L134" s="34">
        <f>HYPERLINK(Bluedriver_1[[#This Row],[Column1]])</f>
        <v/>
      </c>
    </row>
    <row r="135" ht="45" customHeight="1" s="290">
      <c r="A135" s="30" t="inlineStr">
        <is>
          <t>2PK BlueDriver Bluetooth Pro OBDII Scan Tool for iPhone &amp; Android - No Subscription Fee - OBD2 Car Scanner and Code Reader - Diagnose Check Engine, ABS, SRS, Airbag &amp; 7000+ Issues on Vehicles 1996+</t>
        </is>
      </c>
      <c r="B135" s="30" t="inlineStr">
        <is>
          <t>B0FZJQ2FWQ</t>
        </is>
      </c>
      <c r="C135" s="30" t="inlineStr">
        <is>
          <t>Dongle</t>
        </is>
      </c>
      <c r="D135" s="324" t="n">
        <v>399.95</v>
      </c>
      <c r="E135" s="53" t="n">
        <v>1339.16</v>
      </c>
      <c r="F135" s="53" t="n">
        <v>0</v>
      </c>
      <c r="G135" s="55" t="n">
        <v>5</v>
      </c>
      <c r="H135" s="57" t="n">
        <v>0</v>
      </c>
      <c r="I135" s="55" t="n"/>
      <c r="J135" s="56" t="n"/>
      <c r="K135" s="56" t="inlineStr">
        <is>
          <t>https://amazon.com/dp/B0FZJQ2FWQ</t>
        </is>
      </c>
      <c r="L135" s="34">
        <f>HYPERLINK(Bluedriver_1[[#This Row],[Column1]])</f>
        <v/>
      </c>
    </row>
    <row r="136" ht="45" customHeight="1" s="290">
      <c r="A136" s="30" t="n"/>
      <c r="B136" s="30" t="n"/>
      <c r="C136" s="30" t="n"/>
      <c r="D136" s="324" t="n"/>
      <c r="E136" s="53" t="n"/>
      <c r="F136" s="53" t="n"/>
      <c r="G136" s="55" t="n"/>
      <c r="H136" s="57" t="n"/>
      <c r="I136" s="55" t="n"/>
      <c r="J136" s="56" t="n"/>
      <c r="K136" s="56" t="n"/>
      <c r="L136" s="34">
        <f>HYPERLINK(Table65[[#This Row],[Column1]])</f>
        <v/>
      </c>
    </row>
    <row r="137" ht="45" customHeight="1" s="290">
      <c r="A137" s="30" t="n"/>
      <c r="B137" s="30" t="n"/>
      <c r="C137" s="30" t="n"/>
      <c r="D137" s="324" t="n"/>
      <c r="E137" s="53" t="n"/>
      <c r="F137" s="53" t="n"/>
      <c r="G137" s="55" t="n"/>
      <c r="H137" s="57" t="n"/>
      <c r="I137" s="55" t="n"/>
      <c r="J137" s="56" t="n"/>
      <c r="K137" s="56" t="n"/>
      <c r="L137" s="34">
        <f>HYPERLINK(Table65[[#This Row],[Column1]])</f>
        <v/>
      </c>
    </row>
    <row r="138" ht="45" customHeight="1" s="290">
      <c r="A138" s="30" t="n"/>
      <c r="B138" s="30" t="n"/>
      <c r="C138" s="30" t="n"/>
      <c r="D138" s="324" t="n"/>
      <c r="E138" s="53" t="n"/>
      <c r="F138" s="53" t="n"/>
      <c r="G138" s="55" t="n"/>
      <c r="H138" s="57" t="n"/>
      <c r="I138" s="55" t="n"/>
      <c r="J138" s="56" t="n"/>
      <c r="K138" s="56" t="n"/>
      <c r="L138" s="34">
        <f>HYPERLINK(Table65[[#This Row],[Column1]])</f>
        <v/>
      </c>
    </row>
    <row r="139" ht="45" customHeight="1" s="290">
      <c r="A139" s="30" t="n"/>
      <c r="B139" s="30" t="n"/>
      <c r="C139" s="30" t="n"/>
      <c r="D139" s="324" t="n"/>
      <c r="E139" s="53" t="n"/>
      <c r="F139" s="53" t="n"/>
      <c r="G139" s="55" t="n"/>
      <c r="H139" s="57" t="n"/>
      <c r="I139" s="55" t="n"/>
      <c r="J139" s="56" t="n"/>
      <c r="K139" s="56" t="n"/>
      <c r="L139" s="34">
        <f>HYPERLINK(Table65[[#This Row],[Column1]])</f>
        <v/>
      </c>
    </row>
    <row r="140" ht="45" customHeight="1" s="290">
      <c r="A140" s="30" t="n"/>
      <c r="B140" s="30" t="n"/>
      <c r="C140" s="30" t="n"/>
      <c r="D140" s="324" t="n"/>
      <c r="E140" s="53" t="n"/>
      <c r="F140" s="53" t="n"/>
      <c r="G140" s="55" t="n"/>
      <c r="H140" s="57" t="n"/>
      <c r="I140" s="55" t="n"/>
      <c r="J140" s="56" t="n"/>
      <c r="K140" s="56" t="n"/>
      <c r="L140" s="34">
        <f>HYPERLINK(Table65[[#This Row],[Column1]])</f>
        <v/>
      </c>
    </row>
    <row r="141" ht="30" customHeight="1" s="290">
      <c r="A141" s="30" t="n"/>
      <c r="B141" s="30" t="n"/>
      <c r="C141" s="30" t="n"/>
      <c r="D141" s="324" t="n"/>
      <c r="E141" s="53" t="n"/>
      <c r="F141" s="53" t="n"/>
      <c r="G141" s="55" t="n"/>
      <c r="H141" s="57" t="n"/>
      <c r="I141" s="55" t="n"/>
      <c r="J141" s="56" t="n"/>
      <c r="K141" s="56" t="n"/>
      <c r="L141" s="34">
        <f>HYPERLINK(Table65[[#This Row],[Column1]])</f>
        <v/>
      </c>
    </row>
    <row r="142" ht="45" customHeight="1" s="290">
      <c r="A142" s="30" t="n"/>
      <c r="B142" s="30" t="n"/>
      <c r="C142" s="30" t="n"/>
      <c r="D142" s="324" t="n"/>
      <c r="E142" s="53" t="n"/>
      <c r="F142" s="53" t="n"/>
      <c r="G142" s="55" t="n"/>
      <c r="H142" s="57" t="n"/>
      <c r="I142" s="55" t="n"/>
      <c r="J142" s="56" t="n"/>
      <c r="K142" s="56" t="n"/>
      <c r="L142" s="34">
        <f>HYPERLINK(Table65[[#This Row],[Column1]])</f>
        <v/>
      </c>
    </row>
    <row r="143" ht="45" customHeight="1" s="290">
      <c r="A143" s="30" t="n"/>
      <c r="B143" s="30" t="n"/>
      <c r="C143" s="30" t="n"/>
      <c r="D143" s="324" t="n"/>
      <c r="E143" s="53" t="n"/>
      <c r="F143" s="53" t="n"/>
      <c r="G143" s="55" t="n"/>
      <c r="H143" s="57" t="n"/>
      <c r="I143" s="55" t="n"/>
      <c r="J143" s="56" t="n"/>
      <c r="K143" s="56" t="n"/>
      <c r="L143" s="34">
        <f>HYPERLINK(Table65[[#This Row],[Column1]])</f>
        <v/>
      </c>
    </row>
    <row r="144" ht="45" customHeight="1" s="290">
      <c r="A144" s="30" t="n"/>
      <c r="B144" s="30" t="n"/>
      <c r="C144" s="30" t="n"/>
      <c r="D144" s="324" t="n"/>
      <c r="E144" s="53" t="n"/>
      <c r="F144" s="53" t="n"/>
      <c r="G144" s="55" t="n"/>
      <c r="H144" s="57" t="n"/>
      <c r="I144" s="55" t="n"/>
      <c r="J144" s="56" t="n"/>
      <c r="K144" s="56" t="n"/>
      <c r="L144" s="34">
        <f>HYPERLINK(Table65[[#This Row],[Column1]])</f>
        <v/>
      </c>
    </row>
    <row r="145" ht="45" customHeight="1" s="290">
      <c r="A145" s="30" t="n"/>
      <c r="B145" s="30" t="n"/>
      <c r="C145" s="30" t="n"/>
      <c r="D145" s="324" t="n"/>
      <c r="E145" s="53" t="n"/>
      <c r="F145" s="53" t="n"/>
      <c r="G145" s="55" t="n"/>
      <c r="H145" s="57" t="n"/>
      <c r="I145" s="55" t="n"/>
      <c r="J145" s="56" t="n"/>
      <c r="K145" s="56" t="n"/>
      <c r="L145" s="34">
        <f>HYPERLINK(Table65[[#This Row],[Column1]])</f>
        <v/>
      </c>
    </row>
    <row r="146" ht="60" customHeight="1" s="290">
      <c r="A146" s="30" t="n"/>
      <c r="B146" s="30" t="n"/>
      <c r="C146" s="30" t="n"/>
      <c r="D146" s="324" t="n"/>
      <c r="E146" s="53" t="n"/>
      <c r="F146" s="53" t="n"/>
      <c r="G146" s="55" t="n"/>
      <c r="H146" s="57" t="n"/>
      <c r="I146" s="55" t="n"/>
      <c r="J146" s="56" t="n"/>
      <c r="K146" s="56" t="n"/>
      <c r="L146" s="34">
        <f>HYPERLINK(Table65[[#This Row],[Column1]])</f>
        <v/>
      </c>
    </row>
    <row r="147" ht="45" customHeight="1" s="290">
      <c r="A147" s="30" t="n"/>
      <c r="B147" s="30" t="n"/>
      <c r="C147" s="30" t="n"/>
      <c r="D147" s="324" t="n"/>
      <c r="E147" s="53" t="n"/>
      <c r="F147" s="53" t="n"/>
      <c r="G147" s="55" t="n"/>
      <c r="H147" s="57" t="n"/>
      <c r="I147" s="55" t="n"/>
      <c r="J147" s="56" t="n"/>
      <c r="K147" s="56" t="n"/>
      <c r="L147" s="34">
        <f>HYPERLINK(Table65[[#This Row],[Column1]])</f>
        <v/>
      </c>
    </row>
    <row r="148" ht="45" customHeight="1" s="290">
      <c r="A148" s="30" t="n"/>
      <c r="B148" s="30" t="n"/>
      <c r="C148" s="30" t="n"/>
      <c r="D148" s="324" t="n"/>
      <c r="E148" s="53" t="n"/>
      <c r="F148" s="53" t="n"/>
      <c r="G148" s="55" t="n"/>
      <c r="H148" s="57" t="n"/>
      <c r="I148" s="55" t="n"/>
      <c r="J148" s="56" t="n"/>
      <c r="K148" s="56" t="n"/>
      <c r="L148" s="34">
        <f>HYPERLINK(Table65[[#This Row],[Column1]])</f>
        <v/>
      </c>
    </row>
    <row r="149" ht="45" customHeight="1" s="290">
      <c r="A149" s="30" t="n"/>
      <c r="B149" s="30" t="n"/>
      <c r="C149" s="30" t="n"/>
      <c r="D149" s="324" t="n"/>
      <c r="E149" s="53" t="n"/>
      <c r="F149" s="53" t="n"/>
      <c r="G149" s="55" t="n"/>
      <c r="H149" s="57" t="n"/>
      <c r="I149" s="55" t="n"/>
      <c r="J149" s="56" t="n"/>
      <c r="K149" s="56" t="n"/>
      <c r="L149" s="34">
        <f>HYPERLINK(Table65[[#This Row],[Column1]])</f>
        <v/>
      </c>
    </row>
    <row r="150" ht="45" customHeight="1" s="290">
      <c r="A150" s="30" t="n"/>
      <c r="B150" s="30" t="n"/>
      <c r="C150" s="30" t="n"/>
      <c r="D150" s="324" t="n"/>
      <c r="E150" s="53" t="n"/>
      <c r="F150" s="53" t="n"/>
      <c r="G150" s="55" t="n"/>
      <c r="H150" s="57" t="n"/>
      <c r="I150" s="55" t="n"/>
      <c r="J150" s="56" t="n"/>
      <c r="K150" s="56" t="n"/>
      <c r="L150" s="34">
        <f>HYPERLINK(Table65[[#This Row],[Column1]])</f>
        <v/>
      </c>
    </row>
    <row r="151" ht="45" customHeight="1" s="290">
      <c r="A151" s="30" t="n"/>
      <c r="B151" s="30" t="n"/>
      <c r="C151" s="30" t="n"/>
      <c r="D151" s="324" t="n"/>
      <c r="E151" s="53" t="n"/>
      <c r="F151" s="53" t="n"/>
      <c r="G151" s="55" t="n"/>
      <c r="H151" s="57" t="n"/>
      <c r="I151" s="55" t="n"/>
      <c r="J151" s="56" t="n"/>
      <c r="K151" s="56" t="n"/>
      <c r="L151" s="34">
        <f>HYPERLINK(Table65[[#This Row],[Column1]])</f>
        <v/>
      </c>
    </row>
    <row r="152" ht="45" customHeight="1" s="290">
      <c r="A152" s="30" t="n"/>
      <c r="B152" s="30" t="n"/>
      <c r="C152" s="30" t="n"/>
      <c r="D152" s="324" t="n"/>
      <c r="E152" s="53" t="n"/>
      <c r="F152" s="53" t="n"/>
      <c r="G152" s="55" t="n"/>
      <c r="H152" s="57" t="n"/>
      <c r="I152" s="55" t="n"/>
      <c r="J152" s="56" t="n"/>
      <c r="K152" s="56" t="n"/>
      <c r="L152" s="34">
        <f>HYPERLINK(Table65[[#This Row],[Column1]])</f>
        <v/>
      </c>
    </row>
    <row r="153" ht="60" customHeight="1" s="290">
      <c r="A153" s="30" t="n"/>
      <c r="B153" s="30" t="n"/>
      <c r="C153" s="30" t="n"/>
      <c r="D153" s="324" t="n"/>
      <c r="E153" s="53" t="n"/>
      <c r="F153" s="53" t="n"/>
      <c r="G153" s="55" t="n"/>
      <c r="H153" s="57" t="n"/>
      <c r="I153" s="55" t="n"/>
      <c r="J153" s="56" t="n"/>
      <c r="K153" s="56" t="n"/>
      <c r="L153" s="34">
        <f>HYPERLINK(Table65[[#This Row],[Column1]])</f>
        <v/>
      </c>
    </row>
    <row r="154" ht="45" customHeight="1" s="290">
      <c r="A154" s="30" t="n"/>
      <c r="B154" s="30" t="n"/>
      <c r="C154" s="30" t="n"/>
      <c r="D154" s="324" t="n"/>
      <c r="E154" s="53" t="n"/>
      <c r="F154" s="53" t="n"/>
      <c r="G154" s="55" t="n"/>
      <c r="H154" s="57" t="n"/>
      <c r="I154" s="55" t="n"/>
      <c r="J154" s="56" t="n"/>
      <c r="K154" s="56" t="n"/>
      <c r="L154" s="34">
        <f>HYPERLINK(Table65[[#This Row],[Column1]])</f>
        <v/>
      </c>
    </row>
    <row r="155" ht="45" customHeight="1" s="290">
      <c r="A155" s="30" t="n"/>
      <c r="B155" s="30" t="n"/>
      <c r="C155" s="30" t="n"/>
      <c r="D155" s="324" t="n"/>
      <c r="E155" s="53" t="n"/>
      <c r="F155" s="53" t="n"/>
      <c r="G155" s="55" t="n"/>
      <c r="H155" s="57" t="n"/>
      <c r="I155" s="55" t="n"/>
      <c r="J155" s="56" t="n"/>
      <c r="K155" s="56" t="n"/>
      <c r="L155" s="34">
        <f>HYPERLINK(Table65[[#This Row],[Column1]])</f>
        <v/>
      </c>
    </row>
    <row r="156" ht="45" customHeight="1" s="290">
      <c r="A156" s="30" t="n"/>
      <c r="B156" s="30" t="n"/>
      <c r="C156" s="30" t="n"/>
      <c r="D156" s="324" t="n"/>
      <c r="E156" s="53" t="n"/>
      <c r="F156" s="53" t="n"/>
      <c r="G156" s="55" t="n"/>
      <c r="H156" s="57" t="n"/>
      <c r="I156" s="55" t="n"/>
      <c r="J156" s="56" t="n"/>
      <c r="K156" s="56" t="n"/>
      <c r="L156" s="34">
        <f>HYPERLINK(Table65[[#This Row],[Column1]])</f>
        <v/>
      </c>
    </row>
    <row r="157" ht="45" customHeight="1" s="290">
      <c r="A157" s="30" t="n"/>
      <c r="B157" s="30" t="n"/>
      <c r="C157" s="30" t="n"/>
      <c r="D157" s="324" t="n"/>
      <c r="E157" s="53" t="n"/>
      <c r="F157" s="53" t="n"/>
      <c r="G157" s="55" t="n"/>
      <c r="H157" s="57" t="n"/>
      <c r="I157" s="55" t="n"/>
      <c r="J157" s="56" t="n"/>
      <c r="K157" s="56" t="n"/>
      <c r="L157" s="34">
        <f>HYPERLINK(Table65[[#This Row],[Column1]])</f>
        <v/>
      </c>
    </row>
    <row r="158" ht="45" customHeight="1" s="290">
      <c r="A158" s="30" t="n"/>
      <c r="B158" s="30" t="n"/>
      <c r="C158" s="30" t="n"/>
      <c r="D158" s="324" t="n"/>
      <c r="E158" s="53" t="n"/>
      <c r="F158" s="53" t="n"/>
      <c r="G158" s="55" t="n"/>
      <c r="H158" s="57" t="n"/>
      <c r="I158" s="55" t="n"/>
      <c r="J158" s="56" t="n"/>
      <c r="K158" s="56" t="n"/>
      <c r="L158" s="34">
        <f>HYPERLINK(Table65[[#This Row],[Column1]])</f>
        <v/>
      </c>
    </row>
    <row r="159" ht="45" customHeight="1" s="290">
      <c r="A159" s="30" t="n"/>
      <c r="B159" s="30" t="n"/>
      <c r="C159" s="30" t="n"/>
      <c r="D159" s="324" t="n"/>
      <c r="E159" s="53" t="n"/>
      <c r="F159" s="53" t="n"/>
      <c r="G159" s="55" t="n"/>
      <c r="H159" s="57" t="n"/>
      <c r="I159" s="55" t="n"/>
      <c r="J159" s="56" t="n"/>
      <c r="K159" s="56" t="n"/>
      <c r="L159" s="34">
        <f>HYPERLINK(Table65[[#This Row],[Column1]])</f>
        <v/>
      </c>
    </row>
    <row r="160" ht="45" customHeight="1" s="290">
      <c r="A160" s="30" t="n"/>
      <c r="B160" s="30" t="n"/>
      <c r="C160" s="30" t="n"/>
      <c r="D160" s="324" t="n"/>
      <c r="E160" s="53" t="n"/>
      <c r="F160" s="53" t="n"/>
      <c r="G160" s="55" t="n"/>
      <c r="H160" s="57" t="n"/>
      <c r="I160" s="55" t="n"/>
      <c r="J160" s="56" t="n"/>
      <c r="K160" s="56" t="n"/>
      <c r="L160" s="34">
        <f>HYPERLINK(Table65[[#This Row],[Column1]])</f>
        <v/>
      </c>
    </row>
    <row r="161" ht="60" customHeight="1" s="290">
      <c r="A161" s="30" t="n"/>
      <c r="B161" s="30" t="n"/>
      <c r="C161" s="30" t="n"/>
      <c r="D161" s="324" t="n"/>
      <c r="E161" s="53" t="n"/>
      <c r="F161" s="53" t="n"/>
      <c r="G161" s="55" t="n"/>
      <c r="H161" s="57" t="n"/>
      <c r="I161" s="55" t="n"/>
      <c r="J161" s="56" t="n"/>
      <c r="K161" s="56" t="n"/>
      <c r="L161" s="34">
        <f>HYPERLINK(Table65[[#This Row],[Column1]])</f>
        <v/>
      </c>
    </row>
    <row r="162" ht="45" customHeight="1" s="290">
      <c r="A162" s="30" t="n"/>
      <c r="B162" s="30" t="n"/>
      <c r="C162" s="30" t="n"/>
      <c r="D162" s="324" t="n"/>
      <c r="E162" s="53" t="n"/>
      <c r="F162" s="53" t="n"/>
      <c r="G162" s="55" t="n"/>
      <c r="H162" s="57" t="n"/>
      <c r="I162" s="55" t="n"/>
      <c r="J162" s="56" t="n"/>
      <c r="K162" s="56" t="n"/>
      <c r="L162" s="34">
        <f>HYPERLINK(Table65[[#This Row],[Column1]])</f>
        <v/>
      </c>
    </row>
    <row r="163" ht="45" customHeight="1" s="290">
      <c r="A163" s="30" t="n"/>
      <c r="B163" s="30" t="n"/>
      <c r="C163" s="30" t="n"/>
      <c r="D163" s="324" t="n"/>
      <c r="E163" s="53" t="n"/>
      <c r="F163" s="53" t="n"/>
      <c r="G163" s="55" t="n"/>
      <c r="H163" s="57" t="n"/>
      <c r="I163" s="55" t="n"/>
      <c r="J163" s="56" t="n"/>
      <c r="K163" s="56" t="n"/>
      <c r="L163" s="34">
        <f>HYPERLINK(Table65[[#This Row],[Column1]])</f>
        <v/>
      </c>
    </row>
    <row r="164" ht="45" customHeight="1" s="290">
      <c r="A164" s="30" t="n"/>
      <c r="B164" s="30" t="n"/>
      <c r="C164" s="30" t="n"/>
      <c r="D164" s="324" t="n"/>
      <c r="E164" s="53" t="n"/>
      <c r="F164" s="53" t="n"/>
      <c r="G164" s="55" t="n"/>
      <c r="H164" s="57" t="n"/>
      <c r="I164" s="55" t="n"/>
      <c r="J164" s="56" t="n"/>
      <c r="K164" s="56" t="n"/>
      <c r="L164" s="34">
        <f>HYPERLINK(Table65[[#This Row],[Column1]])</f>
        <v/>
      </c>
    </row>
    <row r="165" ht="45" customHeight="1" s="290">
      <c r="A165" s="30" t="n"/>
      <c r="B165" s="30" t="n"/>
      <c r="C165" s="30" t="n"/>
      <c r="D165" s="324" t="n"/>
      <c r="E165" s="53" t="n"/>
      <c r="F165" s="53" t="n"/>
      <c r="G165" s="55" t="n"/>
      <c r="H165" s="57" t="n"/>
      <c r="I165" s="55" t="n"/>
      <c r="J165" s="56" t="n"/>
      <c r="K165" s="56" t="n"/>
      <c r="L165" s="34">
        <f>HYPERLINK(Table65[[#This Row],[Column1]])</f>
        <v/>
      </c>
    </row>
    <row r="166" ht="45" customHeight="1" s="290">
      <c r="A166" s="30" t="n"/>
      <c r="B166" s="30" t="n"/>
      <c r="C166" s="30" t="n"/>
      <c r="D166" s="324" t="n"/>
      <c r="E166" s="53" t="n"/>
      <c r="F166" s="53" t="n"/>
      <c r="G166" s="55" t="n"/>
      <c r="H166" s="57" t="n"/>
      <c r="I166" s="55" t="n"/>
      <c r="J166" s="56" t="n"/>
      <c r="K166" s="56" t="n"/>
      <c r="L166" s="34">
        <f>HYPERLINK(Table65[[#This Row],[Column1]])</f>
        <v/>
      </c>
    </row>
    <row r="167" ht="45" customHeight="1" s="290">
      <c r="A167" s="30" t="n"/>
      <c r="B167" s="30" t="n"/>
      <c r="C167" s="30" t="n"/>
      <c r="D167" s="324" t="n"/>
      <c r="E167" s="53" t="n"/>
      <c r="F167" s="53" t="n"/>
      <c r="G167" s="55" t="n"/>
      <c r="H167" s="57" t="n"/>
      <c r="I167" s="55" t="n"/>
      <c r="J167" s="56" t="n"/>
      <c r="K167" s="56" t="n"/>
      <c r="L167" s="34">
        <f>HYPERLINK(Table65[[#This Row],[Column1]])</f>
        <v/>
      </c>
    </row>
    <row r="168" ht="45" customHeight="1" s="290">
      <c r="A168" s="30" t="n"/>
      <c r="B168" s="30" t="n"/>
      <c r="C168" s="30" t="n"/>
      <c r="D168" s="324" t="n"/>
      <c r="E168" s="53" t="n"/>
      <c r="F168" s="53" t="n"/>
      <c r="G168" s="55" t="n"/>
      <c r="H168" s="57" t="n"/>
      <c r="I168" s="55" t="n"/>
      <c r="J168" s="56" t="n"/>
      <c r="K168" s="56" t="n"/>
      <c r="L168" s="34">
        <f>HYPERLINK(Table65[[#This Row],[Column1]])</f>
        <v/>
      </c>
    </row>
    <row r="169" ht="45" customHeight="1" s="290">
      <c r="A169" s="30" t="n"/>
      <c r="B169" s="30" t="n"/>
      <c r="C169" s="30" t="n"/>
      <c r="D169" s="324" t="n"/>
      <c r="E169" s="53" t="n"/>
      <c r="F169" s="53" t="n"/>
      <c r="G169" s="55" t="n"/>
      <c r="H169" s="57" t="n"/>
      <c r="I169" s="55" t="n"/>
      <c r="J169" s="56" t="n"/>
      <c r="K169" s="56" t="n"/>
      <c r="L169" s="34">
        <f>HYPERLINK(Table65[[#This Row],[Column1]])</f>
        <v/>
      </c>
    </row>
    <row r="170" ht="30" customHeight="1" s="290">
      <c r="A170" s="30" t="n"/>
      <c r="B170" s="30" t="n"/>
      <c r="C170" s="30" t="n"/>
      <c r="D170" s="324" t="n"/>
      <c r="E170" s="53" t="n"/>
      <c r="F170" s="53" t="n"/>
      <c r="G170" s="55" t="n"/>
      <c r="H170" s="57" t="n"/>
      <c r="I170" s="55" t="n"/>
      <c r="J170" s="56" t="n"/>
      <c r="K170" s="56" t="n"/>
      <c r="L170" s="34">
        <f>HYPERLINK(Table65[[#This Row],[Column1]])</f>
        <v/>
      </c>
    </row>
    <row r="171" ht="45" customHeight="1" s="290">
      <c r="A171" s="30" t="n"/>
      <c r="B171" s="30" t="n"/>
      <c r="C171" s="30" t="n"/>
      <c r="D171" s="324" t="n"/>
      <c r="E171" s="53" t="n"/>
      <c r="F171" s="53" t="n"/>
      <c r="G171" s="55" t="n"/>
      <c r="H171" s="57" t="n"/>
      <c r="I171" s="55" t="n"/>
      <c r="J171" s="56" t="n"/>
      <c r="K171" s="56" t="n"/>
      <c r="L171" s="34">
        <f>HYPERLINK(Table65[[#This Row],[Column1]])</f>
        <v/>
      </c>
    </row>
    <row r="172" ht="45" customHeight="1" s="290">
      <c r="A172" s="30" t="n"/>
      <c r="B172" s="30" t="n"/>
      <c r="C172" s="30" t="n"/>
      <c r="D172" s="324" t="n"/>
      <c r="E172" s="53" t="n"/>
      <c r="F172" s="53" t="n"/>
      <c r="G172" s="55" t="n"/>
      <c r="H172" s="57" t="n"/>
      <c r="I172" s="55" t="n"/>
      <c r="J172" s="56" t="n"/>
      <c r="K172" s="56" t="n"/>
      <c r="L172" s="34">
        <f>HYPERLINK(Table65[[#This Row],[Column1]])</f>
        <v/>
      </c>
    </row>
    <row r="173" ht="45" customHeight="1" s="290">
      <c r="A173" s="30" t="n"/>
      <c r="B173" s="30" t="n"/>
      <c r="C173" s="30" t="n"/>
      <c r="D173" s="324" t="n"/>
      <c r="E173" s="53" t="n"/>
      <c r="F173" s="53" t="n"/>
      <c r="G173" s="55" t="n"/>
      <c r="H173" s="57" t="n"/>
      <c r="I173" s="55" t="n"/>
      <c r="J173" s="56" t="n"/>
      <c r="K173" s="56" t="n"/>
      <c r="L173" s="34">
        <f>HYPERLINK(Table65[[#This Row],[Column1]])</f>
        <v/>
      </c>
    </row>
    <row r="174" ht="45" customHeight="1" s="290">
      <c r="A174" s="30" t="n"/>
      <c r="B174" s="30" t="n"/>
      <c r="C174" s="30" t="n"/>
      <c r="D174" s="324" t="n"/>
      <c r="E174" s="53" t="n"/>
      <c r="F174" s="53" t="n"/>
      <c r="G174" s="55" t="n"/>
      <c r="H174" s="57" t="n"/>
      <c r="I174" s="55" t="n"/>
      <c r="J174" s="56" t="n"/>
      <c r="K174" s="56" t="n"/>
      <c r="L174" s="34">
        <f>HYPERLINK(Table65[[#This Row],[Column1]])</f>
        <v/>
      </c>
    </row>
    <row r="175" ht="45" customHeight="1" s="290">
      <c r="A175" s="30" t="n"/>
      <c r="B175" s="30" t="n"/>
      <c r="C175" s="30" t="n"/>
      <c r="D175" s="324" t="n"/>
      <c r="E175" s="53" t="n"/>
      <c r="F175" s="53" t="n"/>
      <c r="G175" s="55" t="n"/>
      <c r="H175" s="57" t="n"/>
      <c r="I175" s="55" t="n"/>
      <c r="J175" s="56" t="n"/>
      <c r="K175" s="56" t="n"/>
      <c r="L175" s="34">
        <f>HYPERLINK(Table65[[#This Row],[Column1]])</f>
        <v/>
      </c>
    </row>
    <row r="176" ht="60" customHeight="1" s="290">
      <c r="A176" s="30" t="n"/>
      <c r="B176" s="30" t="n"/>
      <c r="C176" s="30" t="n"/>
      <c r="D176" s="324" t="n"/>
      <c r="E176" s="53" t="n"/>
      <c r="F176" s="53" t="n"/>
      <c r="G176" s="55" t="n"/>
      <c r="H176" s="57" t="n"/>
      <c r="I176" s="55" t="n"/>
      <c r="J176" s="56" t="n"/>
      <c r="K176" s="56" t="n"/>
      <c r="L176" s="34">
        <f>HYPERLINK(Table65[[#This Row],[Column1]])</f>
        <v/>
      </c>
    </row>
    <row r="177" ht="45" customHeight="1" s="290">
      <c r="A177" s="30" t="n"/>
      <c r="B177" s="30" t="n"/>
      <c r="C177" s="30" t="n"/>
      <c r="D177" s="324" t="n"/>
      <c r="E177" s="53" t="n"/>
      <c r="F177" s="53" t="n"/>
      <c r="G177" s="55" t="n"/>
      <c r="H177" s="57" t="n"/>
      <c r="I177" s="55" t="n"/>
      <c r="J177" s="56" t="n"/>
      <c r="K177" s="56" t="n"/>
      <c r="L177" s="34">
        <f>HYPERLINK(Table65[[#This Row],[Column1]])</f>
        <v/>
      </c>
    </row>
    <row r="178" ht="45" customHeight="1" s="290">
      <c r="A178" s="30" t="n"/>
      <c r="B178" s="30" t="n"/>
      <c r="C178" s="30" t="n"/>
      <c r="D178" s="324" t="n"/>
      <c r="E178" s="53" t="n"/>
      <c r="F178" s="53" t="n"/>
      <c r="G178" s="55" t="n"/>
      <c r="H178" s="57" t="n"/>
      <c r="I178" s="55" t="n"/>
      <c r="J178" s="56" t="n"/>
      <c r="K178" s="56" t="n"/>
      <c r="L178" s="34">
        <f>HYPERLINK(Table65[[#This Row],[Column1]])</f>
        <v/>
      </c>
    </row>
    <row r="179" ht="30" customHeight="1" s="290">
      <c r="A179" s="30" t="n"/>
      <c r="B179" s="30" t="n"/>
      <c r="C179" s="30" t="n"/>
      <c r="D179" s="324" t="n"/>
      <c r="E179" s="53" t="n"/>
      <c r="F179" s="53" t="n"/>
      <c r="G179" s="55" t="n"/>
      <c r="H179" s="57" t="n"/>
      <c r="I179" s="55" t="n"/>
      <c r="J179" s="56" t="n"/>
      <c r="K179" s="56" t="n"/>
      <c r="L179" s="34">
        <f>HYPERLINK(Table65[[#This Row],[Column1]])</f>
        <v/>
      </c>
    </row>
    <row r="180" ht="45" customHeight="1" s="290">
      <c r="A180" s="30" t="n"/>
      <c r="B180" s="30" t="n"/>
      <c r="C180" s="30" t="n"/>
      <c r="D180" s="324" t="n"/>
      <c r="E180" s="53" t="n"/>
      <c r="F180" s="53" t="n"/>
      <c r="G180" s="55" t="n"/>
      <c r="H180" s="57" t="n"/>
      <c r="I180" s="55" t="n"/>
      <c r="J180" s="56" t="n"/>
      <c r="K180" s="56" t="n"/>
      <c r="L180" s="34">
        <f>HYPERLINK(Table65[[#This Row],[Column1]])</f>
        <v/>
      </c>
    </row>
    <row r="181" ht="45" customHeight="1" s="290">
      <c r="A181" s="30" t="n"/>
      <c r="B181" s="30" t="n"/>
      <c r="C181" s="30" t="n"/>
      <c r="D181" s="324" t="n"/>
      <c r="E181" s="53" t="n"/>
      <c r="F181" s="53" t="n"/>
      <c r="G181" s="55" t="n"/>
      <c r="H181" s="57" t="n"/>
      <c r="I181" s="55" t="n"/>
      <c r="J181" s="56" t="n"/>
      <c r="K181" s="56" t="n"/>
      <c r="L181" s="34">
        <f>HYPERLINK(Table65[[#This Row],[Column1]])</f>
        <v/>
      </c>
    </row>
    <row r="182" ht="45" customHeight="1" s="290">
      <c r="A182" s="30" t="n"/>
      <c r="B182" s="30" t="n"/>
      <c r="C182" s="30" t="n"/>
      <c r="D182" s="324" t="n"/>
      <c r="E182" s="53" t="n"/>
      <c r="F182" s="53" t="n"/>
      <c r="G182" s="55" t="n"/>
      <c r="H182" s="57" t="n"/>
      <c r="I182" s="55" t="n"/>
      <c r="J182" s="56" t="n"/>
      <c r="K182" s="56" t="n"/>
      <c r="L182" s="34">
        <f>HYPERLINK(Table65[[#This Row],[Column1]])</f>
        <v/>
      </c>
    </row>
    <row r="183" ht="45" customHeight="1" s="290">
      <c r="A183" s="30" t="n"/>
      <c r="B183" s="30" t="n"/>
      <c r="C183" s="30" t="n"/>
      <c r="D183" s="324" t="n"/>
      <c r="E183" s="53" t="n"/>
      <c r="F183" s="53" t="n"/>
      <c r="G183" s="55" t="n"/>
      <c r="H183" s="57" t="n"/>
      <c r="I183" s="55" t="n"/>
      <c r="J183" s="56" t="n"/>
      <c r="K183" s="56" t="n"/>
      <c r="L183" s="34">
        <f>HYPERLINK(Table65[[#This Row],[Column1]])</f>
        <v/>
      </c>
    </row>
    <row r="184" ht="45" customHeight="1" s="290">
      <c r="A184" s="30" t="n"/>
      <c r="B184" s="30" t="n"/>
      <c r="C184" s="30" t="n"/>
      <c r="D184" s="324" t="n"/>
      <c r="E184" s="53" t="n"/>
      <c r="F184" s="53" t="n"/>
      <c r="G184" s="55" t="n"/>
      <c r="H184" s="57" t="n"/>
      <c r="I184" s="55" t="n"/>
      <c r="J184" s="56" t="n"/>
      <c r="K184" s="56" t="n"/>
      <c r="L184" s="34">
        <f>HYPERLINK(Table65[[#This Row],[Column1]])</f>
        <v/>
      </c>
    </row>
    <row r="185" ht="45" customHeight="1" s="290">
      <c r="A185" s="30" t="n"/>
      <c r="B185" s="30" t="n"/>
      <c r="C185" s="30" t="n"/>
      <c r="D185" s="324" t="n"/>
      <c r="E185" s="53" t="n"/>
      <c r="F185" s="53" t="n"/>
      <c r="G185" s="55" t="n"/>
      <c r="H185" s="57" t="n"/>
      <c r="I185" s="55" t="n"/>
      <c r="J185" s="56" t="n"/>
      <c r="K185" s="56" t="n"/>
      <c r="L185" s="34">
        <f>HYPERLINK(Table65[[#This Row],[Column1]])</f>
        <v/>
      </c>
    </row>
    <row r="186" ht="60" customHeight="1" s="290">
      <c r="A186" s="30" t="n"/>
      <c r="B186" s="30" t="n"/>
      <c r="C186" s="30" t="n"/>
      <c r="D186" s="324" t="n"/>
      <c r="E186" s="53" t="n"/>
      <c r="F186" s="53" t="n"/>
      <c r="G186" s="55" t="n"/>
      <c r="H186" s="57" t="n"/>
      <c r="I186" s="55" t="n"/>
      <c r="J186" s="56" t="n"/>
      <c r="K186" s="56" t="n"/>
      <c r="L186" s="34">
        <f>HYPERLINK(Table65[[#This Row],[Column1]])</f>
        <v/>
      </c>
    </row>
    <row r="187" ht="45" customHeight="1" s="290">
      <c r="A187" s="30" t="n"/>
      <c r="B187" s="30" t="n"/>
      <c r="C187" s="30" t="n"/>
      <c r="D187" s="324" t="n"/>
      <c r="E187" s="53" t="n"/>
      <c r="F187" s="53" t="n"/>
      <c r="G187" s="55" t="n"/>
      <c r="H187" s="57" t="n"/>
      <c r="I187" s="55" t="n"/>
      <c r="J187" s="56" t="n"/>
      <c r="K187" s="56" t="n"/>
      <c r="L187" s="34">
        <f>HYPERLINK(Table65[[#This Row],[Column1]])</f>
        <v/>
      </c>
    </row>
    <row r="188" ht="45" customHeight="1" s="290">
      <c r="A188" s="30" t="n"/>
      <c r="B188" s="30" t="n"/>
      <c r="C188" s="30" t="n"/>
      <c r="D188" s="324" t="n"/>
      <c r="E188" s="53" t="n"/>
      <c r="F188" s="53" t="n"/>
      <c r="G188" s="55" t="n"/>
      <c r="H188" s="57" t="n"/>
      <c r="I188" s="55" t="n"/>
      <c r="J188" s="56" t="n"/>
      <c r="K188" s="56" t="n"/>
      <c r="L188" s="34">
        <f>HYPERLINK(Table65[[#This Row],[Column1]])</f>
        <v/>
      </c>
    </row>
    <row r="189" ht="45" customHeight="1" s="290">
      <c r="A189" s="30" t="n"/>
      <c r="B189" s="30" t="n"/>
      <c r="C189" s="30" t="n"/>
      <c r="D189" s="324" t="n"/>
      <c r="E189" s="53" t="n"/>
      <c r="F189" s="53" t="n"/>
      <c r="G189" s="55" t="n"/>
      <c r="H189" s="57" t="n"/>
      <c r="I189" s="55" t="n"/>
      <c r="J189" s="56" t="n"/>
      <c r="K189" s="56" t="n"/>
      <c r="L189" s="34">
        <f>HYPERLINK(Table65[[#This Row],[Column1]])</f>
        <v/>
      </c>
    </row>
    <row r="190" ht="60" customHeight="1" s="290">
      <c r="A190" s="30" t="n"/>
      <c r="B190" s="30" t="n"/>
      <c r="C190" s="30" t="n"/>
      <c r="D190" s="324" t="n"/>
      <c r="E190" s="53" t="n"/>
      <c r="F190" s="53" t="n"/>
      <c r="G190" s="55" t="n"/>
      <c r="H190" s="57" t="n"/>
      <c r="I190" s="55" t="n"/>
      <c r="J190" s="56" t="n"/>
      <c r="K190" s="56" t="n"/>
      <c r="L190" s="34">
        <f>HYPERLINK(Table65[[#This Row],[Column1]])</f>
        <v/>
      </c>
    </row>
    <row r="191" ht="45" customHeight="1" s="290">
      <c r="A191" s="30" t="n"/>
      <c r="B191" s="30" t="n"/>
      <c r="C191" s="30" t="n"/>
      <c r="D191" s="324" t="n"/>
      <c r="E191" s="53" t="n"/>
      <c r="F191" s="53" t="n"/>
      <c r="G191" s="55" t="n"/>
      <c r="H191" s="57" t="n"/>
      <c r="I191" s="55" t="n"/>
      <c r="J191" s="56" t="n"/>
      <c r="K191" s="56" t="n"/>
      <c r="L191" s="34">
        <f>HYPERLINK(Table65[[#This Row],[Column1]])</f>
        <v/>
      </c>
    </row>
    <row r="192" ht="45" customHeight="1" s="290">
      <c r="A192" s="30" t="n"/>
      <c r="B192" s="30" t="n"/>
      <c r="C192" s="30" t="n"/>
      <c r="D192" s="324" t="n"/>
      <c r="E192" s="53" t="n"/>
      <c r="F192" s="53" t="n"/>
      <c r="G192" s="55" t="n"/>
      <c r="H192" s="57" t="n"/>
      <c r="I192" s="55" t="n"/>
      <c r="J192" s="56" t="n"/>
      <c r="K192" s="56" t="n"/>
      <c r="L192" s="34">
        <f>HYPERLINK(Table65[[#This Row],[Column1]])</f>
        <v/>
      </c>
    </row>
    <row r="193" ht="60" customHeight="1" s="290">
      <c r="A193" s="30" t="n"/>
      <c r="B193" s="30" t="n"/>
      <c r="C193" s="30" t="n"/>
      <c r="D193" s="324" t="n"/>
      <c r="E193" s="53" t="n"/>
      <c r="F193" s="53" t="n"/>
      <c r="G193" s="55" t="n"/>
      <c r="H193" s="57" t="n"/>
      <c r="I193" s="55" t="n"/>
      <c r="J193" s="56" t="n"/>
      <c r="K193" s="56" t="n"/>
      <c r="L193" s="34">
        <f>HYPERLINK(Table65[[#This Row],[Column1]])</f>
        <v/>
      </c>
    </row>
    <row r="194" ht="45" customHeight="1" s="290">
      <c r="A194" s="30" t="n"/>
      <c r="B194" s="30" t="n"/>
      <c r="C194" s="30" t="n"/>
      <c r="D194" s="324" t="n"/>
      <c r="E194" s="53" t="n"/>
      <c r="F194" s="53" t="n"/>
      <c r="G194" s="55" t="n"/>
      <c r="H194" s="57" t="n"/>
      <c r="I194" s="55" t="n"/>
      <c r="J194" s="56" t="n"/>
      <c r="K194" s="56" t="n"/>
      <c r="L194" s="34">
        <f>HYPERLINK(Table65[[#This Row],[Column1]])</f>
        <v/>
      </c>
    </row>
    <row r="195" ht="45" customHeight="1" s="290">
      <c r="A195" s="30" t="n"/>
      <c r="B195" s="30" t="n"/>
      <c r="C195" s="30" t="n"/>
      <c r="D195" s="324" t="n"/>
      <c r="E195" s="53" t="n"/>
      <c r="F195" s="53" t="n"/>
      <c r="G195" s="55" t="n"/>
      <c r="H195" s="57" t="n"/>
      <c r="I195" s="55" t="n"/>
      <c r="J195" s="56" t="n"/>
      <c r="K195" s="56" t="n"/>
      <c r="L195" s="34">
        <f>HYPERLINK(Table65[[#This Row],[Column1]])</f>
        <v/>
      </c>
    </row>
    <row r="196" ht="45" customHeight="1" s="290">
      <c r="A196" s="30" t="n"/>
      <c r="B196" s="30" t="n"/>
      <c r="C196" s="30" t="n"/>
      <c r="D196" s="324" t="n"/>
      <c r="E196" s="53" t="n"/>
      <c r="F196" s="53" t="n"/>
      <c r="G196" s="55" t="n"/>
      <c r="H196" s="57" t="n"/>
      <c r="I196" s="55" t="n"/>
      <c r="J196" s="56" t="n"/>
      <c r="K196" s="56" t="n"/>
      <c r="L196" s="34">
        <f>HYPERLINK(Table65[[#This Row],[Column1]])</f>
        <v/>
      </c>
    </row>
    <row r="197" ht="45" customHeight="1" s="290">
      <c r="A197" s="30" t="n"/>
      <c r="B197" s="30" t="n"/>
      <c r="C197" s="30" t="n"/>
      <c r="D197" s="324" t="n"/>
      <c r="E197" s="53" t="n"/>
      <c r="F197" s="53" t="n"/>
      <c r="G197" s="55" t="n"/>
      <c r="H197" s="57" t="n"/>
      <c r="I197" s="55" t="n"/>
      <c r="J197" s="56" t="n"/>
      <c r="K197" s="56" t="n"/>
      <c r="L197" s="34">
        <f>HYPERLINK(Table65[[#This Row],[Column1]])</f>
        <v/>
      </c>
    </row>
    <row r="198" ht="45" customHeight="1" s="290">
      <c r="A198" s="30" t="n"/>
      <c r="B198" s="30" t="n"/>
      <c r="C198" s="30" t="n"/>
      <c r="D198" s="324" t="n"/>
      <c r="E198" s="53" t="n"/>
      <c r="F198" s="53" t="n"/>
      <c r="G198" s="55" t="n"/>
      <c r="H198" s="57" t="n"/>
      <c r="I198" s="55" t="n"/>
      <c r="J198" s="56" t="n"/>
      <c r="K198" s="56" t="n"/>
      <c r="L198" s="34">
        <f>HYPERLINK(Table65[[#This Row],[Column1]])</f>
        <v/>
      </c>
    </row>
    <row r="199" ht="45" customHeight="1" s="290">
      <c r="A199" s="30" t="n"/>
      <c r="B199" s="30" t="n"/>
      <c r="C199" s="30" t="n"/>
      <c r="D199" s="324" t="n"/>
      <c r="E199" s="53" t="n"/>
      <c r="F199" s="53" t="n"/>
      <c r="G199" s="55" t="n"/>
      <c r="H199" s="57" t="n"/>
      <c r="I199" s="55" t="n"/>
      <c r="J199" s="56" t="n"/>
      <c r="K199" s="56" t="n"/>
      <c r="L199" s="34">
        <f>HYPERLINK(Table65[[#This Row],[Column1]])</f>
        <v/>
      </c>
    </row>
    <row r="200" ht="45" customHeight="1" s="290">
      <c r="A200" s="30" t="n"/>
      <c r="B200" s="30" t="n"/>
      <c r="C200" s="30" t="n"/>
      <c r="D200" s="324" t="n"/>
      <c r="E200" s="53" t="n"/>
      <c r="F200" s="53" t="n"/>
      <c r="G200" s="55" t="n"/>
      <c r="H200" s="57" t="n"/>
      <c r="I200" s="55" t="n"/>
      <c r="J200" s="56" t="n"/>
      <c r="K200" s="56" t="n"/>
      <c r="L200" s="34">
        <f>HYPERLINK(Table65[[#This Row],[Column1]])</f>
        <v/>
      </c>
    </row>
    <row r="201" ht="45" customHeight="1" s="290">
      <c r="A201" s="30" t="n"/>
      <c r="B201" s="30" t="n"/>
      <c r="C201" s="30" t="n"/>
      <c r="D201" s="324" t="n"/>
      <c r="E201" s="53" t="n"/>
      <c r="F201" s="53" t="n"/>
      <c r="G201" s="55" t="n"/>
      <c r="H201" s="57" t="n"/>
      <c r="I201" s="55" t="n"/>
      <c r="J201" s="56" t="n"/>
      <c r="K201" s="56" t="n"/>
      <c r="L201" s="34">
        <f>HYPERLINK(Table65[[#This Row],[Column1]])</f>
        <v/>
      </c>
    </row>
    <row r="202" ht="45" customHeight="1" s="290">
      <c r="A202" s="30" t="n"/>
      <c r="B202" s="30" t="n"/>
      <c r="C202" s="30" t="n"/>
      <c r="D202" s="324" t="n"/>
      <c r="E202" s="53" t="n"/>
      <c r="F202" s="53" t="n"/>
      <c r="G202" s="55" t="n"/>
      <c r="H202" s="57" t="n"/>
      <c r="I202" s="55" t="n"/>
      <c r="J202" s="56" t="n"/>
      <c r="K202" s="56" t="n"/>
      <c r="L202" s="34">
        <f>HYPERLINK(Table65[[#This Row],[Column1]])</f>
        <v/>
      </c>
    </row>
    <row r="203" ht="45" customHeight="1" s="290">
      <c r="A203" s="30" t="n"/>
      <c r="B203" s="30" t="n"/>
      <c r="C203" s="30" t="n"/>
      <c r="D203" s="324" t="n"/>
      <c r="E203" s="53" t="n"/>
      <c r="F203" s="53" t="n"/>
      <c r="G203" s="55" t="n"/>
      <c r="H203" s="57" t="n"/>
      <c r="I203" s="55" t="n"/>
      <c r="J203" s="56" t="n"/>
      <c r="K203" s="56" t="n"/>
      <c r="L203" s="34">
        <f>HYPERLINK(Table65[[#This Row],[Column1]])</f>
        <v/>
      </c>
    </row>
    <row r="204" ht="17" customHeight="1" s="290">
      <c r="A204" s="30" t="n"/>
      <c r="B204" s="30" t="n"/>
      <c r="C204" s="30" t="n"/>
      <c r="D204" s="324" t="n"/>
      <c r="E204" s="53" t="n"/>
      <c r="F204" s="53" t="n"/>
      <c r="G204" s="55" t="n"/>
      <c r="H204" s="57" t="n"/>
      <c r="I204" s="55" t="n"/>
      <c r="J204" s="56" t="n"/>
      <c r="K204" s="56" t="n"/>
      <c r="L204" s="34">
        <f>HYPERLINK(Table65[[#This Row],[Column1]])</f>
        <v/>
      </c>
    </row>
    <row r="205" ht="30" customHeight="1" s="290">
      <c r="A205" s="30" t="n"/>
      <c r="B205" s="30" t="n"/>
      <c r="C205" s="30" t="n"/>
      <c r="D205" s="324" t="n"/>
      <c r="E205" s="53" t="n"/>
      <c r="F205" s="53" t="n"/>
      <c r="G205" s="55" t="n"/>
      <c r="H205" s="57" t="n"/>
      <c r="I205" s="55" t="n"/>
      <c r="J205" s="56" t="n"/>
      <c r="K205" s="56" t="n"/>
      <c r="L205" s="34">
        <f>HYPERLINK(Table65[[#This Row],[Column1]])</f>
        <v/>
      </c>
    </row>
    <row r="206" ht="45" customHeight="1" s="290">
      <c r="A206" s="30" t="n"/>
      <c r="B206" s="30" t="n"/>
      <c r="C206" s="30" t="n"/>
      <c r="D206" s="324" t="n"/>
      <c r="E206" s="53" t="n"/>
      <c r="F206" s="53" t="n"/>
      <c r="G206" s="55" t="n"/>
      <c r="H206" s="57" t="n"/>
      <c r="I206" s="55" t="n"/>
      <c r="J206" s="56" t="n"/>
      <c r="K206" s="56" t="n"/>
      <c r="L206" s="34">
        <f>HYPERLINK(Table65[[#This Row],[Column1]])</f>
        <v/>
      </c>
    </row>
    <row r="207" ht="45" customHeight="1" s="290">
      <c r="A207" s="30" t="n"/>
      <c r="B207" s="30" t="n"/>
      <c r="C207" s="30" t="n"/>
      <c r="D207" s="324" t="n"/>
      <c r="E207" s="53" t="n"/>
      <c r="F207" s="53" t="n"/>
      <c r="G207" s="55" t="n"/>
      <c r="H207" s="57" t="n"/>
      <c r="I207" s="55" t="n"/>
      <c r="J207" s="56" t="n"/>
      <c r="K207" s="56" t="n"/>
      <c r="L207" s="34">
        <f>HYPERLINK(Table65[[#This Row],[Column1]])</f>
        <v/>
      </c>
    </row>
    <row r="208" ht="17" customHeight="1" s="290">
      <c r="A208" s="33" t="inlineStr">
        <is>
          <t>Total</t>
        </is>
      </c>
      <c r="B208" s="32" t="n"/>
      <c r="C208" s="325" t="n"/>
      <c r="D208" s="59" t="n"/>
      <c r="E208" s="32" t="n"/>
      <c r="F208" s="32" t="n"/>
      <c r="G208" s="36">
        <f>SUM(G133:G207)</f>
        <v/>
      </c>
      <c r="H208" s="36">
        <f>SUM(H133:H207)</f>
        <v/>
      </c>
      <c r="I208" s="36" t="n"/>
      <c r="J208" s="167" t="n"/>
      <c r="K208" s="168" t="n"/>
      <c r="L208" s="32" t="n"/>
    </row>
  </sheetData>
  <mergeCells count="3">
    <mergeCell ref="A1:M5"/>
    <mergeCell ref="A131:L131"/>
    <mergeCell ref="A51:L51"/>
  </mergeCells>
  <pageMargins left="0.7" right="0.7" top="0.75" bottom="0.75" header="0.3" footer="0.3"/>
  <drawing xmlns:r="http://schemas.openxmlformats.org/officeDocument/2006/relationships" r:id="rId1"/>
  <tableParts count="2">
    <tablePart xmlns:r="http://schemas.openxmlformats.org/officeDocument/2006/relationships" r:id="rId2"/>
    <tablePart xmlns:r="http://schemas.openxmlformats.org/officeDocument/2006/relationships" r:id="rId3"/>
  </tableParts>
</worksheet>
</file>

<file path=xl/worksheets/sheet25.xml><?xml version="1.0" encoding="utf-8"?>
<worksheet xmlns="http://schemas.openxmlformats.org/spreadsheetml/2006/main">
  <sheetPr codeName="Sheet6">
    <outlinePr summaryBelow="1" summaryRight="1"/>
    <pageSetUpPr/>
  </sheetPr>
  <dimension ref="A1:Q208"/>
  <sheetViews>
    <sheetView workbookViewId="0">
      <selection activeCell="A1" sqref="A1"/>
    </sheetView>
  </sheetViews>
  <sheetFormatPr baseColWidth="10" defaultColWidth="10.83203125" defaultRowHeight="16"/>
  <cols>
    <col width="50.6640625" customWidth="1" style="284" min="1" max="1"/>
    <col width="12.6640625" customWidth="1" style="284" min="2" max="2"/>
    <col width="12.6640625" customWidth="1" style="320" min="3" max="3"/>
    <col width="11.1640625" customWidth="1" style="296" min="4" max="4"/>
    <col width="24.83203125" bestFit="1" customWidth="1" style="284" min="5" max="5"/>
    <col width="17.6640625" bestFit="1" customWidth="1" style="286" min="6" max="6"/>
    <col width="21.6640625" bestFit="1" customWidth="1" style="286" min="7" max="7"/>
    <col width="19.1640625" bestFit="1" customWidth="1" style="286" min="8" max="8"/>
    <col width="13.5" bestFit="1" customWidth="1" style="287" min="9" max="9"/>
    <col width="13" bestFit="1" customWidth="1" style="284" min="10" max="10"/>
    <col hidden="1" width="29" customWidth="1" style="284" min="11" max="11"/>
    <col width="35.6640625" customWidth="1" style="284" min="12" max="12"/>
    <col width="15.6640625" customWidth="1" style="284" min="13" max="13"/>
    <col width="10.83203125" customWidth="1" style="284" min="14" max="16384"/>
  </cols>
  <sheetData>
    <row r="1">
      <c r="A1" s="282" t="inlineStr">
        <is>
          <t>Diesel Laptops Monthly Summary</t>
        </is>
      </c>
    </row>
    <row r="2"/>
    <row r="3"/>
    <row r="4"/>
    <row r="5"/>
    <row r="6">
      <c r="A6" s="29" t="n"/>
      <c r="B6" s="29" t="n"/>
      <c r="C6" s="321" t="n"/>
      <c r="D6" s="47" t="n"/>
      <c r="E6" s="48" t="n"/>
      <c r="F6" s="48" t="n"/>
      <c r="G6" s="48" t="n"/>
      <c r="H6" s="48" t="n"/>
      <c r="I6" s="49" t="n"/>
      <c r="J6" s="50" t="n"/>
    </row>
    <row r="7" ht="32" customHeight="1" s="290">
      <c r="A7" s="80" t="n"/>
      <c r="B7" s="81" t="inlineStr">
        <is>
          <t>Avg Price</t>
        </is>
      </c>
      <c r="C7" s="81" t="inlineStr">
        <is>
          <t>Avg Price MoM</t>
        </is>
      </c>
      <c r="D7" s="82" t="inlineStr">
        <is>
          <t>Avg Price YoY</t>
        </is>
      </c>
      <c r="E7" s="81" t="inlineStr">
        <is>
          <t>Quantity/Mo</t>
        </is>
      </c>
      <c r="F7" s="84" t="inlineStr">
        <is>
          <t>Qty by %</t>
        </is>
      </c>
      <c r="G7" s="84" t="inlineStr">
        <is>
          <t>Qty MoM</t>
        </is>
      </c>
      <c r="H7" s="82" t="inlineStr">
        <is>
          <t>Qty YoY</t>
        </is>
      </c>
      <c r="I7" s="309" t="inlineStr">
        <is>
          <t>Revenue/Mo</t>
        </is>
      </c>
      <c r="J7" s="126" t="inlineStr">
        <is>
          <t>Revenue by %</t>
        </is>
      </c>
      <c r="K7" s="173" t="n"/>
      <c r="L7" s="126" t="inlineStr">
        <is>
          <t>Revenue MoM</t>
        </is>
      </c>
      <c r="M7" s="310" t="inlineStr">
        <is>
          <t>Revenue YoY</t>
        </is>
      </c>
      <c r="N7" s="286" t="n"/>
      <c r="O7" s="286" t="n"/>
      <c r="P7" s="49" t="n"/>
      <c r="Q7" s="50" t="n"/>
    </row>
    <row r="8">
      <c r="A8" s="93" t="inlineStr">
        <is>
          <t>Tablet $800+</t>
        </is>
      </c>
      <c r="B8" s="298" t="n"/>
      <c r="C8" s="270" t="n"/>
      <c r="D8" s="271" t="n"/>
      <c r="E8" s="269" t="n">
        <v>0</v>
      </c>
      <c r="F8" s="270" t="n">
        <v>0</v>
      </c>
      <c r="G8" s="270" t="n"/>
      <c r="H8" s="271" t="n"/>
      <c r="I8" s="95" t="n">
        <v>0</v>
      </c>
      <c r="J8" s="128" t="n">
        <v>0</v>
      </c>
      <c r="L8" s="169" t="n"/>
      <c r="M8" s="169" t="n"/>
      <c r="N8" s="286" t="n"/>
      <c r="O8" s="286" t="n"/>
      <c r="P8" s="49" t="n"/>
      <c r="Q8" s="50" t="n"/>
    </row>
    <row r="9">
      <c r="A9" s="93" t="inlineStr">
        <is>
          <t>Tablet $400-$800</t>
        </is>
      </c>
      <c r="B9" s="298" t="n"/>
      <c r="C9" s="270" t="n"/>
      <c r="D9" s="271" t="n"/>
      <c r="E9" s="269" t="n">
        <v>0</v>
      </c>
      <c r="F9" s="270" t="n">
        <v>0</v>
      </c>
      <c r="G9" s="270" t="n"/>
      <c r="H9" s="271" t="n"/>
      <c r="I9" s="95" t="n">
        <v>0</v>
      </c>
      <c r="J9" s="128" t="n">
        <v>0</v>
      </c>
      <c r="L9" s="169" t="n"/>
      <c r="M9" s="169" t="n"/>
      <c r="N9" s="286" t="n"/>
      <c r="O9" s="286" t="n"/>
      <c r="P9" s="49" t="n"/>
      <c r="Q9" s="50" t="n"/>
    </row>
    <row r="10">
      <c r="A10" s="96" t="inlineStr">
        <is>
          <t>Tablet $400-</t>
        </is>
      </c>
      <c r="B10" s="299" t="n"/>
      <c r="C10" s="274" t="n"/>
      <c r="D10" s="275" t="n"/>
      <c r="E10" s="273" t="n">
        <v>0</v>
      </c>
      <c r="F10" s="274" t="n">
        <v>0</v>
      </c>
      <c r="G10" s="274" t="n"/>
      <c r="H10" s="275" t="n"/>
      <c r="I10" s="98" t="n">
        <v>0</v>
      </c>
      <c r="J10" s="127" t="n">
        <v>0</v>
      </c>
      <c r="L10" s="171" t="n"/>
      <c r="M10" s="171" t="n"/>
      <c r="N10" s="286" t="n"/>
      <c r="O10" s="286" t="n"/>
      <c r="P10" s="49" t="n"/>
      <c r="Q10" s="50" t="n"/>
    </row>
    <row r="11">
      <c r="A11" s="101" t="inlineStr">
        <is>
          <t>Total Tablet</t>
        </is>
      </c>
      <c r="B11" s="300" t="n"/>
      <c r="C11" s="112" t="n"/>
      <c r="D11" s="104" t="n"/>
      <c r="E11" s="116" t="n">
        <v>0</v>
      </c>
      <c r="F11" s="112" t="n">
        <v>0</v>
      </c>
      <c r="G11" s="112" t="n"/>
      <c r="H11" s="104" t="n"/>
      <c r="I11" s="103" t="n">
        <v>0</v>
      </c>
      <c r="J11" s="129" t="n">
        <v>0</v>
      </c>
      <c r="L11" s="170" t="n"/>
      <c r="M11" s="170" t="n"/>
      <c r="N11" s="286" t="n"/>
      <c r="O11" s="286" t="n"/>
      <c r="P11" s="49" t="n"/>
      <c r="Q11" s="50" t="n"/>
    </row>
    <row r="12">
      <c r="A12" s="93" t="inlineStr">
        <is>
          <t>Handheld $75+</t>
        </is>
      </c>
      <c r="B12" s="298" t="n">
        <v>218.0884615384615</v>
      </c>
      <c r="C12" s="270" t="n">
        <v>-0.2526531386907492</v>
      </c>
      <c r="D12" s="271" t="n">
        <v>-0.6087315638017872</v>
      </c>
      <c r="E12" s="269" t="n">
        <v>13</v>
      </c>
      <c r="F12" s="270" t="n">
        <v>0.01088777219430486</v>
      </c>
      <c r="G12" s="270" t="n">
        <v>0</v>
      </c>
      <c r="H12" s="271" t="n">
        <v>1.166666666666667</v>
      </c>
      <c r="I12" s="95" t="n">
        <v>2835.15</v>
      </c>
      <c r="J12" s="128" t="n">
        <v>0.00356977733322656</v>
      </c>
      <c r="L12" s="169" t="n">
        <v>-0.2526531386907492</v>
      </c>
      <c r="M12" s="169" t="n">
        <v>-0.1522517215705389</v>
      </c>
      <c r="N12" s="286" t="n"/>
      <c r="O12" s="286" t="n"/>
      <c r="P12" s="49" t="n"/>
      <c r="Q12" s="50" t="n"/>
    </row>
    <row r="13">
      <c r="A13" s="96" t="inlineStr">
        <is>
          <t>Handheld $75-</t>
        </is>
      </c>
      <c r="B13" s="299" t="n"/>
      <c r="C13" s="274" t="n"/>
      <c r="D13" s="275" t="n"/>
      <c r="E13" s="273" t="n">
        <v>0</v>
      </c>
      <c r="F13" s="274" t="n">
        <v>0</v>
      </c>
      <c r="G13" s="274" t="n"/>
      <c r="H13" s="275" t="n"/>
      <c r="I13" s="98" t="n">
        <v>0</v>
      </c>
      <c r="J13" s="127" t="n">
        <v>0</v>
      </c>
      <c r="L13" s="171" t="n"/>
      <c r="M13" s="171" t="n"/>
      <c r="N13" s="286" t="n"/>
      <c r="O13" s="286" t="n"/>
      <c r="P13" s="49" t="n"/>
      <c r="Q13" s="50" t="n"/>
    </row>
    <row r="14">
      <c r="A14" s="101" t="inlineStr">
        <is>
          <t>Total Handheld</t>
        </is>
      </c>
      <c r="B14" s="300" t="n">
        <v>218.0884615384615</v>
      </c>
      <c r="C14" s="112" t="n">
        <v>-0.2526531386907492</v>
      </c>
      <c r="D14" s="104" t="n">
        <v>-0.6087315638017872</v>
      </c>
      <c r="E14" s="116" t="n">
        <v>13</v>
      </c>
      <c r="F14" s="112" t="n">
        <v>0.01088777219430486</v>
      </c>
      <c r="G14" s="112" t="n">
        <v>0</v>
      </c>
      <c r="H14" s="104" t="n">
        <v>1.166666666666667</v>
      </c>
      <c r="I14" s="103" t="n">
        <v>2835.15</v>
      </c>
      <c r="J14" s="129" t="n">
        <v>0.00356977733322656</v>
      </c>
      <c r="L14" s="170" t="n">
        <v>-0.2526531386907492</v>
      </c>
      <c r="M14" s="170" t="n">
        <v>-0.1522517215705389</v>
      </c>
      <c r="N14" s="286" t="n"/>
      <c r="O14" s="286" t="n"/>
      <c r="P14" s="49" t="n"/>
      <c r="Q14" s="50" t="n"/>
    </row>
    <row r="15">
      <c r="A15" s="78" t="inlineStr">
        <is>
          <t>Total Dongle</t>
        </is>
      </c>
      <c r="B15" s="301" t="n">
        <v>782.1805292479108</v>
      </c>
      <c r="C15" s="113" t="n">
        <v>0.00579720382207416</v>
      </c>
      <c r="D15" s="107" t="n">
        <v>1.28203973464402</v>
      </c>
      <c r="E15" s="99" t="n">
        <v>359</v>
      </c>
      <c r="F15" s="113" t="n">
        <v>0.3006700167504188</v>
      </c>
      <c r="G15" s="113" t="n">
        <v>0.1149068322981366</v>
      </c>
      <c r="H15" s="107" t="n">
        <v>12.80769230769231</v>
      </c>
      <c r="I15" s="76" t="n">
        <v>280802.81</v>
      </c>
      <c r="J15" s="130" t="n">
        <v>0.353562776658845</v>
      </c>
      <c r="L15" s="174" t="n">
        <v>0.1213701744475919</v>
      </c>
      <c r="M15" s="174" t="n">
        <v>30.50970248989242</v>
      </c>
      <c r="N15" s="286" t="n"/>
      <c r="O15" s="286" t="n"/>
      <c r="P15" s="49" t="n"/>
      <c r="Q15" s="50" t="n"/>
    </row>
    <row r="16">
      <c r="A16" s="78" t="inlineStr">
        <is>
          <t>Total Other Tools</t>
        </is>
      </c>
      <c r="B16" s="301" t="n">
        <v>621.132895377129</v>
      </c>
      <c r="C16" s="113" t="n">
        <v>-0.01031225611797981</v>
      </c>
      <c r="D16" s="107" t="n">
        <v>-0.1004043748760403</v>
      </c>
      <c r="E16" s="99" t="n">
        <v>822</v>
      </c>
      <c r="F16" s="113" t="n">
        <v>0.6884422110552764</v>
      </c>
      <c r="G16" s="113" t="n">
        <v>0.1229508196721312</v>
      </c>
      <c r="H16" s="107" t="n">
        <v>0.3151999999999999</v>
      </c>
      <c r="I16" s="76" t="n">
        <v>510571.24</v>
      </c>
      <c r="J16" s="130" t="n">
        <v>0.6428674460079283</v>
      </c>
      <c r="L16" s="174" t="n">
        <v>0.1113706632117768</v>
      </c>
      <c r="M16" s="174" t="n">
        <v>0.1831481661630319</v>
      </c>
      <c r="N16" s="286" t="n"/>
      <c r="O16" s="286" t="n"/>
      <c r="P16" s="49" t="n"/>
      <c r="Q16" s="50" t="n"/>
    </row>
    <row r="17">
      <c r="A17" s="86" t="inlineStr">
        <is>
          <t>Total</t>
        </is>
      </c>
      <c r="B17" s="302" t="n">
        <v>665.1668341708544</v>
      </c>
      <c r="C17" s="109" t="n">
        <v>-0.005434135188689515</v>
      </c>
      <c r="D17" s="108" t="n">
        <v>-0.01527185666187947</v>
      </c>
      <c r="E17" s="100" t="n">
        <v>1194</v>
      </c>
      <c r="F17" s="109" t="n">
        <v>1</v>
      </c>
      <c r="G17" s="109" t="n">
        <v>0.1190253045923149</v>
      </c>
      <c r="H17" s="108" t="n">
        <v>0.817351598173516</v>
      </c>
      <c r="I17" s="85" t="n">
        <v>794209.2000000001</v>
      </c>
      <c r="J17" s="109" t="n">
        <v>1</v>
      </c>
      <c r="L17" s="172" t="n">
        <v>0.1129443698075956</v>
      </c>
      <c r="M17" s="172" t="n">
        <v>0.7895972650619725</v>
      </c>
      <c r="N17" s="286" t="n"/>
      <c r="O17" s="286" t="n"/>
      <c r="P17" s="49" t="n"/>
      <c r="Q17" s="50" t="n"/>
    </row>
    <row r="18">
      <c r="A18" s="29" t="n"/>
      <c r="B18" s="29" t="n"/>
      <c r="C18" s="321" t="n"/>
      <c r="D18" s="47" t="n"/>
      <c r="E18" s="48" t="n"/>
      <c r="F18" s="48" t="n"/>
      <c r="G18" s="48" t="n"/>
      <c r="H18" s="48" t="n"/>
      <c r="I18" s="49" t="n"/>
      <c r="J18" s="50" t="n"/>
    </row>
    <row r="19">
      <c r="A19" s="29" t="n"/>
      <c r="B19" s="29" t="n"/>
      <c r="C19" s="321" t="n"/>
      <c r="D19" s="47" t="n"/>
      <c r="E19" s="48" t="n"/>
      <c r="F19" s="48" t="n"/>
      <c r="G19" s="48" t="n"/>
      <c r="H19" s="48" t="n"/>
      <c r="I19" s="49" t="n"/>
      <c r="J19" s="50" t="n"/>
    </row>
    <row r="20">
      <c r="A20" s="29" t="n"/>
      <c r="B20" s="29" t="n"/>
      <c r="C20" s="321" t="n"/>
      <c r="D20" s="47" t="n"/>
      <c r="E20" s="48" t="n"/>
      <c r="F20" s="48" t="n"/>
      <c r="G20" s="48" t="n"/>
      <c r="H20" s="48" t="n"/>
      <c r="I20" s="49" t="n"/>
      <c r="J20" s="50" t="n"/>
    </row>
    <row r="21">
      <c r="A21" s="29" t="n"/>
      <c r="B21" s="29" t="n"/>
      <c r="C21" s="321" t="n"/>
      <c r="D21" s="47" t="n"/>
      <c r="E21" s="48" t="n"/>
      <c r="F21" s="48" t="n"/>
      <c r="G21" s="48" t="n"/>
      <c r="H21" s="48" t="n"/>
      <c r="I21" s="49" t="n"/>
      <c r="J21" s="50" t="n"/>
    </row>
    <row r="22">
      <c r="A22" s="29" t="n"/>
      <c r="B22" s="29" t="n"/>
      <c r="C22" s="321" t="n"/>
      <c r="D22" s="47" t="n"/>
      <c r="E22" s="48" t="n"/>
      <c r="F22" s="48" t="n"/>
      <c r="G22" s="48" t="n"/>
      <c r="H22" s="48" t="n"/>
      <c r="I22" s="49" t="n"/>
      <c r="J22" s="50" t="n"/>
    </row>
    <row r="23">
      <c r="A23" s="29" t="n"/>
      <c r="B23" s="29" t="n"/>
      <c r="C23" s="321" t="n"/>
      <c r="D23" s="47" t="n"/>
      <c r="E23" s="48" t="n"/>
      <c r="F23" s="48" t="n"/>
      <c r="G23" s="48" t="n"/>
      <c r="H23" s="48" t="n"/>
      <c r="I23" s="49" t="n"/>
      <c r="J23" s="50" t="n"/>
    </row>
    <row r="24">
      <c r="A24" s="29" t="n"/>
      <c r="B24" s="29" t="n"/>
      <c r="C24" s="321" t="n"/>
      <c r="D24" s="47" t="n"/>
      <c r="E24" s="48" t="n"/>
      <c r="F24" s="48" t="n"/>
      <c r="G24" s="48" t="n"/>
      <c r="H24" s="48" t="n"/>
      <c r="I24" s="49" t="n"/>
      <c r="J24" s="50" t="n"/>
    </row>
    <row r="25">
      <c r="A25" s="29" t="n"/>
      <c r="B25" s="29" t="n"/>
      <c r="C25" s="321" t="n"/>
      <c r="D25" s="47" t="n"/>
      <c r="E25" s="48" t="n"/>
      <c r="F25" s="48" t="n"/>
      <c r="G25" s="48" t="n"/>
      <c r="H25" s="48" t="n"/>
      <c r="I25" s="49" t="n"/>
      <c r="J25" s="50" t="n"/>
    </row>
    <row r="26">
      <c r="A26" s="29" t="n"/>
      <c r="B26" s="29" t="n"/>
      <c r="C26" s="321" t="n"/>
      <c r="D26" s="47" t="n"/>
      <c r="E26" s="48" t="n"/>
      <c r="F26" s="48" t="n"/>
      <c r="G26" s="48" t="n"/>
      <c r="H26" s="48" t="n"/>
      <c r="I26" s="49" t="n"/>
      <c r="J26" s="50" t="n"/>
    </row>
    <row r="27">
      <c r="A27" s="29" t="n"/>
      <c r="B27" s="29" t="n"/>
      <c r="C27" s="321" t="n"/>
      <c r="D27" s="47" t="n"/>
      <c r="E27" s="48" t="n"/>
      <c r="F27" s="48" t="n"/>
      <c r="G27" s="48" t="n"/>
      <c r="H27" s="48" t="n"/>
      <c r="I27" s="49" t="n"/>
      <c r="J27" s="50" t="n"/>
    </row>
    <row r="28">
      <c r="A28" s="29" t="n"/>
      <c r="B28" s="29" t="n"/>
      <c r="C28" s="321" t="n"/>
      <c r="D28" s="47" t="n"/>
      <c r="E28" s="48" t="n"/>
      <c r="F28" s="48" t="n"/>
      <c r="G28" s="48" t="n"/>
      <c r="H28" s="48" t="n"/>
      <c r="I28" s="49" t="n"/>
      <c r="J28" s="50" t="n"/>
    </row>
    <row r="29">
      <c r="A29" s="29" t="n"/>
      <c r="B29" s="29" t="n"/>
      <c r="C29" s="321" t="n"/>
      <c r="D29" s="47" t="n"/>
      <c r="E29" s="48" t="n"/>
      <c r="F29" s="48" t="n"/>
      <c r="G29" s="48" t="n"/>
      <c r="H29" s="48" t="n"/>
      <c r="I29" s="49" t="n"/>
      <c r="J29" s="50" t="n"/>
    </row>
    <row r="30">
      <c r="A30" s="29" t="n"/>
      <c r="B30" s="29" t="n"/>
      <c r="C30" s="321" t="n"/>
      <c r="D30" s="47" t="n"/>
      <c r="E30" s="48" t="n"/>
      <c r="F30" s="48" t="n"/>
      <c r="G30" s="48" t="n"/>
      <c r="H30" s="48" t="n"/>
      <c r="I30" s="49" t="n"/>
      <c r="J30" s="50" t="n"/>
    </row>
    <row r="31">
      <c r="A31" s="29" t="n"/>
      <c r="B31" s="29" t="n"/>
      <c r="C31" s="321" t="n"/>
      <c r="D31" s="47" t="n"/>
      <c r="E31" s="48" t="n"/>
      <c r="F31" s="48" t="n"/>
      <c r="G31" s="48" t="n"/>
      <c r="H31" s="48" t="n"/>
      <c r="I31" s="49" t="n"/>
      <c r="J31" s="50" t="n"/>
    </row>
    <row r="32">
      <c r="A32" s="29" t="n"/>
      <c r="B32" s="29" t="n"/>
      <c r="C32" s="321" t="n"/>
      <c r="D32" s="47" t="n"/>
      <c r="E32" s="48" t="n"/>
      <c r="F32" s="48" t="n"/>
      <c r="G32" s="48" t="n"/>
      <c r="H32" s="48" t="n"/>
      <c r="I32" s="49" t="n"/>
      <c r="J32" s="50" t="n"/>
    </row>
    <row r="33">
      <c r="A33" s="29" t="n"/>
      <c r="B33" s="29" t="n"/>
      <c r="C33" s="321" t="n"/>
      <c r="D33" s="47" t="n"/>
      <c r="E33" s="48" t="n"/>
      <c r="F33" s="48" t="n"/>
      <c r="G33" s="48" t="n"/>
      <c r="H33" s="48" t="n"/>
      <c r="I33" s="49" t="n"/>
      <c r="J33" s="50" t="n"/>
    </row>
    <row r="49" ht="16" customHeight="1" s="290">
      <c r="C49" s="284" t="n"/>
      <c r="D49" s="284" t="n"/>
      <c r="F49" s="284" t="n"/>
      <c r="G49" s="284" t="n"/>
      <c r="H49" s="284" t="n"/>
      <c r="I49" s="284" t="n"/>
    </row>
    <row r="50">
      <c r="C50" s="284" t="n"/>
      <c r="D50" s="284" t="n"/>
      <c r="F50" s="284" t="n"/>
      <c r="G50" s="284" t="n"/>
      <c r="H50" s="284" t="n"/>
      <c r="I50" s="284" t="n"/>
    </row>
    <row r="51">
      <c r="A51" s="283" t="inlineStr">
        <is>
          <t xml:space="preserve">Rank by Revenue </t>
        </is>
      </c>
    </row>
    <row r="52" ht="17" customHeight="1" s="290">
      <c r="A52" s="38" t="inlineStr">
        <is>
          <t>Product Name</t>
        </is>
      </c>
      <c r="B52" s="39" t="inlineStr">
        <is>
          <t>ASIN</t>
        </is>
      </c>
      <c r="C52" s="39" t="inlineStr">
        <is>
          <t>Type</t>
        </is>
      </c>
      <c r="D52" s="322" t="inlineStr">
        <is>
          <t>Avg Price</t>
        </is>
      </c>
      <c r="E52" s="41" t="inlineStr">
        <is>
          <t>Estimated 12mo Revenue</t>
        </is>
      </c>
      <c r="F52" s="39" t="inlineStr">
        <is>
          <t>Monthly Rev</t>
        </is>
      </c>
      <c r="G52" s="42" t="inlineStr">
        <is>
          <t>Estimated 12mo Units</t>
        </is>
      </c>
      <c r="H52" s="45" t="inlineStr">
        <is>
          <t>Monthly Units</t>
        </is>
      </c>
      <c r="I52" s="42" t="inlineStr">
        <is>
          <t># of Reviews</t>
        </is>
      </c>
      <c r="J52" s="43" t="inlineStr">
        <is>
          <t xml:space="preserve">Tool Rating </t>
        </is>
      </c>
      <c r="K52" s="43" t="inlineStr">
        <is>
          <t>Column1</t>
        </is>
      </c>
      <c r="L52" s="323" t="inlineStr">
        <is>
          <t>Link</t>
        </is>
      </c>
    </row>
    <row r="53" ht="45" customHeight="1" s="290">
      <c r="A53" s="30" t="inlineStr">
        <is>
          <t>Diesel Laptops Nexiq USB Link 3 Wired Edition with Repair Information &amp; Diagnostic Software</t>
        </is>
      </c>
      <c r="B53" s="30" t="inlineStr">
        <is>
          <t>B0BPYPNDVP</t>
        </is>
      </c>
      <c r="C53" s="30" t="inlineStr">
        <is>
          <t>VCI</t>
        </is>
      </c>
      <c r="D53" s="324" t="n">
        <v>749.3213831478538</v>
      </c>
      <c r="E53" s="53" t="n">
        <v>5052000.44</v>
      </c>
      <c r="F53" s="54" t="n">
        <v>471323.15</v>
      </c>
      <c r="G53" s="55" t="n">
        <v>6628</v>
      </c>
      <c r="H53" s="55" t="n">
        <v>629</v>
      </c>
      <c r="I53" s="55" t="n">
        <v>252</v>
      </c>
      <c r="J53" s="56" t="n">
        <v>4.6</v>
      </c>
      <c r="K53" s="56" t="inlineStr">
        <is>
          <t>https://amazon.com/dp/B0BPYPNDVP</t>
        </is>
      </c>
      <c r="L53" s="34">
        <f>HYPERLINK(DieselLaptops_2[[#This Row],[Column1]])</f>
        <v/>
      </c>
    </row>
    <row r="54" ht="45" customHeight="1" s="290">
      <c r="A54" s="30" t="inlineStr">
        <is>
          <t>Diesel Laptops Nexiq USB Link 3 Wireless Edition with Repair Information &amp; Diagnostic Software Bluetooth WiFi</t>
        </is>
      </c>
      <c r="B54" s="30" t="inlineStr">
        <is>
          <t>B0BSFTHFC1</t>
        </is>
      </c>
      <c r="C54" s="30" t="inlineStr">
        <is>
          <t>Dongle</t>
        </is>
      </c>
      <c r="D54" s="324" t="n">
        <v>798.2018208092486</v>
      </c>
      <c r="E54" s="53" t="n">
        <v>2829290.381538461</v>
      </c>
      <c r="F54" s="54" t="n">
        <v>276177.83</v>
      </c>
      <c r="G54" s="55" t="n">
        <v>3213</v>
      </c>
      <c r="H54" s="55" t="n">
        <v>346</v>
      </c>
      <c r="I54" s="55" t="n">
        <v>130</v>
      </c>
      <c r="J54" s="56" t="n">
        <v>4.6</v>
      </c>
      <c r="K54" s="56" t="inlineStr">
        <is>
          <t>https://amazon.com/dp/B0BSFTHFC1</t>
        </is>
      </c>
      <c r="L54" s="34">
        <f>HYPERLINK(DieselLaptops_2[[#This Row],[Column1]])</f>
        <v/>
      </c>
    </row>
    <row r="55" ht="45" customHeight="1" s="290">
      <c r="A55" s="30" t="inlineStr">
        <is>
          <t>Diesel Laptops Nexiq USB Link 3 Wired Edition 121054</t>
        </is>
      </c>
      <c r="B55" s="30" t="inlineStr">
        <is>
          <t>B0GMJYHNW2</t>
        </is>
      </c>
      <c r="C55" s="30" t="inlineStr">
        <is>
          <t>Cable/Adapter</t>
        </is>
      </c>
      <c r="D55" s="324" t="n">
        <v>752.28125</v>
      </c>
      <c r="E55" s="53" t="n">
        <v>145363.8846153846</v>
      </c>
      <c r="F55" s="54" t="n">
        <v>12036.5</v>
      </c>
      <c r="G55" s="55" t="n">
        <v>16</v>
      </c>
      <c r="H55" s="55" t="n">
        <v>16</v>
      </c>
      <c r="I55" s="55" t="n"/>
      <c r="J55" s="56" t="n"/>
      <c r="K55" s="56" t="inlineStr">
        <is>
          <t>https://amazon.com/dp/B0GMJYHNW2</t>
        </is>
      </c>
      <c r="L55" s="34">
        <f>HYPERLINK(DieselLaptops_2[[#This Row],[Column1]])</f>
        <v/>
      </c>
    </row>
    <row r="56" ht="60" customHeight="1" s="290">
      <c r="A56" s="30" t="inlineStr">
        <is>
          <t>Diesel Laptops Nexiq 9 Pin Deutsch 1 Meter Adapter Cable for USB Link 2 and Link 3 with Diesel Explorer.</t>
        </is>
      </c>
      <c r="B56" s="30" t="inlineStr">
        <is>
          <t>B0BWL9PP5L</t>
        </is>
      </c>
      <c r="C56" s="30" t="inlineStr">
        <is>
          <t>Cable/Adapter</t>
        </is>
      </c>
      <c r="D56" s="324" t="n">
        <v>179.2094915254237</v>
      </c>
      <c r="E56" s="53" t="n">
        <v>106278.6646153846</v>
      </c>
      <c r="F56" s="54" t="n">
        <v>10573.36</v>
      </c>
      <c r="G56" s="55" t="n">
        <v>535</v>
      </c>
      <c r="H56" s="55" t="n">
        <v>59</v>
      </c>
      <c r="I56" s="55" t="n">
        <v>18</v>
      </c>
      <c r="J56" s="56" t="n">
        <v>4.4</v>
      </c>
      <c r="K56" s="56" t="inlineStr">
        <is>
          <t>https://amazon.com/dp/B0BWL9PP5L</t>
        </is>
      </c>
      <c r="L56" s="34">
        <f>HYPERLINK(DieselLaptops_2[[#This Row],[Column1]])</f>
        <v/>
      </c>
    </row>
    <row r="57" ht="45" customHeight="1" s="290">
      <c r="A57" s="30" t="inlineStr">
        <is>
          <t>Diesel Laptops Master Adapter &amp; Convertor Cable Set for 9-Pin, 6-Pin, OBDII, CAT9, CAN3, Paccar, &amp; More</t>
        </is>
      </c>
      <c r="B57" s="30" t="inlineStr">
        <is>
          <t>B0914WNM4R</t>
        </is>
      </c>
      <c r="C57" s="30" t="inlineStr">
        <is>
          <t>Cable/Adapter</t>
        </is>
      </c>
      <c r="D57" s="324" t="n">
        <v>252.4664516129032</v>
      </c>
      <c r="E57" s="53" t="n">
        <v>73890.21461538461</v>
      </c>
      <c r="F57" s="54" t="n">
        <v>7826.46</v>
      </c>
      <c r="G57" s="55" t="n">
        <v>266</v>
      </c>
      <c r="H57" s="55" t="n">
        <v>31</v>
      </c>
      <c r="I57" s="55" t="n">
        <v>20</v>
      </c>
      <c r="J57" s="56" t="n">
        <v>4.3</v>
      </c>
      <c r="K57" s="56" t="inlineStr">
        <is>
          <t>https://amazon.com/dp/B0914WNM4R</t>
        </is>
      </c>
      <c r="L57" s="34">
        <f>HYPERLINK(DieselLaptops_2[[#This Row],[Column1]])</f>
        <v/>
      </c>
    </row>
    <row r="58" ht="45" customHeight="1" s="290">
      <c r="A58" s="30" t="inlineStr">
        <is>
          <t>Diesel Laptops Heavy Duty Truck Scanner with DPF Regens Diesel Decoder Mobile Diagnostic Tool for Use with Cummins, Volvo, Paccar, International Vehicles and Repair Information for iOS &amp; Android</t>
        </is>
      </c>
      <c r="B58" s="30" t="inlineStr">
        <is>
          <t>B0BZQ4S8LN</t>
        </is>
      </c>
      <c r="C58" s="30" t="inlineStr">
        <is>
          <t>Dongle</t>
        </is>
      </c>
      <c r="D58" s="324" t="n">
        <v>355.7676923076923</v>
      </c>
      <c r="E58" s="53" t="n">
        <v>106867.93</v>
      </c>
      <c r="F58" s="54" t="n">
        <v>4624.98</v>
      </c>
      <c r="G58" s="55" t="n">
        <v>306</v>
      </c>
      <c r="H58" s="55" t="n">
        <v>13</v>
      </c>
      <c r="I58" s="55" t="n">
        <v>106</v>
      </c>
      <c r="J58" s="56" t="n">
        <v>3.3</v>
      </c>
      <c r="K58" s="56" t="inlineStr">
        <is>
          <t>https://amazon.com/dp/B0BZQ4S8LN</t>
        </is>
      </c>
      <c r="L58" s="34">
        <f>HYPERLINK(DieselLaptops_2[[#This Row],[Column1]])</f>
        <v/>
      </c>
    </row>
    <row r="59" ht="45" customHeight="1" s="290">
      <c r="A59" s="30" t="inlineStr">
        <is>
          <t>Diesel Laptops Nexiq Universal PLC Adapter for Trailers with Diesel Explorer</t>
        </is>
      </c>
      <c r="B59" s="30" t="inlineStr">
        <is>
          <t>B0BWYSR2XC</t>
        </is>
      </c>
      <c r="C59" s="30" t="inlineStr">
        <is>
          <t>Cable/Adapter</t>
        </is>
      </c>
      <c r="D59" s="324" t="n">
        <v>347.0671428571428</v>
      </c>
      <c r="E59" s="53" t="n">
        <v>7631.52</v>
      </c>
      <c r="F59" s="54" t="n">
        <v>2429.47</v>
      </c>
      <c r="G59" s="55" t="n">
        <v>22</v>
      </c>
      <c r="H59" s="55" t="n">
        <v>7</v>
      </c>
      <c r="I59" s="55" t="n"/>
      <c r="J59" s="56" t="n"/>
      <c r="K59" s="56" t="inlineStr">
        <is>
          <t>https://amazon.com/dp/B0BWYSR2XC</t>
        </is>
      </c>
      <c r="L59" s="34">
        <f>HYPERLINK(DieselLaptops_2[[#This Row],[Column1]])</f>
        <v/>
      </c>
    </row>
    <row r="60" ht="45" customHeight="1" s="290">
      <c r="A60" s="30" t="inlineStr">
        <is>
          <t>Diesel Laptops CAN3 to CAN1 Cross Over Converter Adapter</t>
        </is>
      </c>
      <c r="B60" s="30" t="inlineStr">
        <is>
          <t>B07JGCH2K2</t>
        </is>
      </c>
      <c r="C60" s="30" t="inlineStr">
        <is>
          <t>Cable/Adapter</t>
        </is>
      </c>
      <c r="D60" s="324" t="n">
        <v>59.88153846153846</v>
      </c>
      <c r="E60" s="53" t="n">
        <v>20442.73</v>
      </c>
      <c r="F60" s="54" t="n">
        <v>2335.38</v>
      </c>
      <c r="G60" s="55" t="n">
        <v>369</v>
      </c>
      <c r="H60" s="55" t="n">
        <v>39</v>
      </c>
      <c r="I60" s="55" t="n">
        <v>23</v>
      </c>
      <c r="J60" s="56" t="n">
        <v>4.4</v>
      </c>
      <c r="K60" s="56" t="inlineStr">
        <is>
          <t>https://amazon.com/dp/B07JGCH2K2</t>
        </is>
      </c>
      <c r="L60" s="34">
        <f>HYPERLINK(DieselLaptops_2[[#This Row],[Column1]])</f>
        <v/>
      </c>
    </row>
    <row r="61" ht="45" customHeight="1" s="290">
      <c r="A61" s="30" t="inlineStr">
        <is>
          <t>Diesel Laptops Handheld Heavy-Duty Diesel Diagnostic Scan Tool with DPF Regen</t>
        </is>
      </c>
      <c r="B61" s="30" t="inlineStr">
        <is>
          <t>B09MG9KMKZ</t>
        </is>
      </c>
      <c r="C61" s="30" t="inlineStr">
        <is>
          <t>Handheld</t>
        </is>
      </c>
      <c r="D61" s="324" t="n">
        <v>190.7825</v>
      </c>
      <c r="E61" s="53" t="n">
        <v>20298.73615384616</v>
      </c>
      <c r="F61" s="54" t="n">
        <v>2289.39</v>
      </c>
      <c r="G61" s="55" t="n">
        <v>46</v>
      </c>
      <c r="H61" s="55" t="n">
        <v>12</v>
      </c>
      <c r="I61" s="55" t="n">
        <v>59</v>
      </c>
      <c r="J61" s="56" t="n">
        <v>3.5</v>
      </c>
      <c r="K61" s="56" t="inlineStr">
        <is>
          <t>https://amazon.com/dp/B09MG9KMKZ</t>
        </is>
      </c>
      <c r="L61" s="34">
        <f>HYPERLINK(DieselLaptops_2[[#This Row],[Column1]])</f>
        <v/>
      </c>
    </row>
    <row r="62" ht="45" customHeight="1" s="290">
      <c r="A62" s="30" t="inlineStr">
        <is>
          <t>Diesel Laptops Nexiq CAN 3 to CAN 1 Crossover Cable for USB Link 2 and Link 3 with Diesel Explorer.</t>
        </is>
      </c>
      <c r="B62" s="30" t="inlineStr">
        <is>
          <t>B0BWNN673P</t>
        </is>
      </c>
      <c r="C62" s="30" t="inlineStr">
        <is>
          <t>Cable/Adapter</t>
        </is>
      </c>
      <c r="D62" s="324" t="n">
        <v>174.179</v>
      </c>
      <c r="E62" s="53" t="n">
        <v>14672.98</v>
      </c>
      <c r="F62" s="54" t="n">
        <v>1741.79</v>
      </c>
      <c r="G62" s="55" t="n">
        <v>85</v>
      </c>
      <c r="H62" s="55" t="n">
        <v>10</v>
      </c>
      <c r="I62" s="55" t="n">
        <v>5</v>
      </c>
      <c r="J62" s="56" t="n">
        <v>4.8</v>
      </c>
      <c r="K62" s="56" t="inlineStr">
        <is>
          <t>https://amazon.com/dp/B0BWNN673P</t>
        </is>
      </c>
      <c r="L62" s="34">
        <f>HYPERLINK(DieselLaptops_2[[#This Row],[Column1]])</f>
        <v/>
      </c>
    </row>
    <row r="63" ht="45" customHeight="1" s="290">
      <c r="A63" s="30" t="inlineStr">
        <is>
          <t>Diesel Laptops 9-Pin to Purple HD OBDII for Mack and Volvo Converter 10V</t>
        </is>
      </c>
      <c r="B63" s="30" t="inlineStr">
        <is>
          <t>B07JGCKP5F</t>
        </is>
      </c>
      <c r="C63" s="30" t="inlineStr">
        <is>
          <t>Cable/Adapter</t>
        </is>
      </c>
      <c r="D63" s="324" t="n">
        <v>60.00909090909091</v>
      </c>
      <c r="E63" s="53" t="n">
        <v>13673.13</v>
      </c>
      <c r="F63" s="54" t="n">
        <v>1320.2</v>
      </c>
      <c r="G63" s="55" t="n">
        <v>228</v>
      </c>
      <c r="H63" s="55" t="n">
        <v>22</v>
      </c>
      <c r="I63" s="55" t="n">
        <v>48</v>
      </c>
      <c r="J63" s="56" t="n">
        <v>4.3</v>
      </c>
      <c r="K63" s="56" t="inlineStr">
        <is>
          <t>https://amazon.com/dp/B07JGCKP5F</t>
        </is>
      </c>
      <c r="L63" s="34">
        <f>HYPERLINK(DieselLaptops_2[[#This Row],[Column1]])</f>
        <v/>
      </c>
    </row>
    <row r="64" ht="45" customHeight="1" s="290">
      <c r="A64" s="30" t="inlineStr">
        <is>
          <t>Diesel Handheld 2.0</t>
        </is>
      </c>
      <c r="B64" s="30" t="inlineStr">
        <is>
          <t>B0FCZRFPBD</t>
        </is>
      </c>
      <c r="C64" s="30" t="inlineStr">
        <is>
          <t>Handheld</t>
        </is>
      </c>
      <c r="D64" s="324" t="n">
        <v>545.76</v>
      </c>
      <c r="E64" s="53" t="n">
        <v>28754.85384615385</v>
      </c>
      <c r="F64" s="54" t="n">
        <v>545.76</v>
      </c>
      <c r="G64" s="55" t="n">
        <v>38</v>
      </c>
      <c r="H64" s="55" t="n">
        <v>1</v>
      </c>
      <c r="I64" s="55" t="n">
        <v>1</v>
      </c>
      <c r="J64" s="56" t="n">
        <v>5</v>
      </c>
      <c r="K64" s="56" t="inlineStr">
        <is>
          <t>https://amazon.com/dp/B0FCZRFPBD</t>
        </is>
      </c>
      <c r="L64" s="34">
        <f>HYPERLINK(DieselLaptops_2[[#This Row],[Column1]])</f>
        <v/>
      </c>
    </row>
    <row r="65" ht="45" customHeight="1" s="290">
      <c r="A65" s="30" t="inlineStr">
        <is>
          <t>Diesel Laptops 9-pin to Standard OBDII Converter Adapter</t>
        </is>
      </c>
      <c r="B65" s="30" t="inlineStr">
        <is>
          <t>B07JGCHBTG</t>
        </is>
      </c>
      <c r="C65" s="30" t="inlineStr">
        <is>
          <t>Cable/Adapter</t>
        </is>
      </c>
      <c r="D65" s="324" t="n">
        <v>58.33833333333333</v>
      </c>
      <c r="E65" s="53" t="n">
        <v>2948.11</v>
      </c>
      <c r="F65" s="54" t="n">
        <v>350.03</v>
      </c>
      <c r="G65" s="55" t="n">
        <v>49</v>
      </c>
      <c r="H65" s="55" t="n">
        <v>6</v>
      </c>
      <c r="I65" s="55" t="n">
        <v>16</v>
      </c>
      <c r="J65" s="56" t="n">
        <v>4.1</v>
      </c>
      <c r="K65" s="56" t="inlineStr">
        <is>
          <t>https://amazon.com/dp/B07JGCHBTG</t>
        </is>
      </c>
      <c r="L65" s="34">
        <f>HYPERLINK(DieselLaptops_2[[#This Row],[Column1]])</f>
        <v/>
      </c>
    </row>
    <row r="66" ht="45" customHeight="1" s="290">
      <c r="A66" s="30" t="inlineStr">
        <is>
          <t>Diesel Laptops Nexiq Detroit DDEC Marine 6 Pin Cable for USB Link 2 and Link 3 with Diesel Explorer</t>
        </is>
      </c>
      <c r="B66" s="30" t="inlineStr">
        <is>
          <t>B0BWK96V8H</t>
        </is>
      </c>
      <c r="C66" s="30" t="inlineStr">
        <is>
          <t>Cable/Adapter</t>
        </is>
      </c>
      <c r="D66" s="324" t="n">
        <v>253.64</v>
      </c>
      <c r="E66" s="53" t="n">
        <v>3505.28</v>
      </c>
      <c r="F66" s="54" t="n">
        <v>253.64</v>
      </c>
      <c r="G66" s="55" t="n">
        <v>19</v>
      </c>
      <c r="H66" s="55" t="n">
        <v>1</v>
      </c>
      <c r="I66" s="55" t="n">
        <v>1</v>
      </c>
      <c r="J66" s="56" t="n">
        <v>1</v>
      </c>
      <c r="K66" s="56" t="inlineStr">
        <is>
          <t>https://amazon.com/dp/B0BWK96V8H</t>
        </is>
      </c>
      <c r="L66" s="34">
        <f>HYPERLINK(DieselLaptops_2[[#This Row],[Column1]])</f>
        <v/>
      </c>
    </row>
    <row r="67" ht="45" customHeight="1" s="290">
      <c r="A67" s="30" t="inlineStr">
        <is>
          <t>Diesel Laptops Nexiq Volvo 14 Pin Cable for USB Link 2 and Link 3 with Diesel Explorer.</t>
        </is>
      </c>
      <c r="B67" s="30" t="inlineStr">
        <is>
          <t>B0BWKWQJJW</t>
        </is>
      </c>
      <c r="C67" s="30" t="inlineStr">
        <is>
          <t>Cable/Adapter</t>
        </is>
      </c>
      <c r="D67" s="324" t="n">
        <v>199</v>
      </c>
      <c r="E67" s="53" t="n">
        <v>1157.052307692308</v>
      </c>
      <c r="F67" s="54" t="n">
        <v>199</v>
      </c>
      <c r="G67" s="55" t="n">
        <v>5</v>
      </c>
      <c r="H67" s="55" t="n">
        <v>1</v>
      </c>
      <c r="I67" s="55" t="n"/>
      <c r="J67" s="56" t="n"/>
      <c r="K67" s="56" t="inlineStr">
        <is>
          <t>https://amazon.com/dp/B0BWKWQJJW</t>
        </is>
      </c>
      <c r="L67" s="34">
        <f>HYPERLINK(DieselLaptops_2[[#This Row],[Column1]])</f>
        <v/>
      </c>
    </row>
    <row r="68" ht="45" customHeight="1" s="290">
      <c r="A68" s="30" t="inlineStr">
        <is>
          <t>Diesel Laptops Nexiq 6 Pin to 9 Pin Deutsch Adapter for USB Link 2 and Link 3 with Diesel Explorer.</t>
        </is>
      </c>
      <c r="B68" s="30" t="inlineStr">
        <is>
          <t>B0BWNNVPH5</t>
        </is>
      </c>
      <c r="C68" s="30" t="inlineStr">
        <is>
          <t>Cable/Adapter</t>
        </is>
      </c>
      <c r="D68" s="324" t="n">
        <v>182.26</v>
      </c>
      <c r="E68" s="53" t="n">
        <v>2070.96</v>
      </c>
      <c r="F68" s="54" t="n">
        <v>182.26</v>
      </c>
      <c r="G68" s="55" t="n">
        <v>13</v>
      </c>
      <c r="H68" s="55" t="n">
        <v>1</v>
      </c>
      <c r="I68" s="55" t="n"/>
      <c r="J68" s="56" t="n"/>
      <c r="K68" s="56" t="inlineStr">
        <is>
          <t>https://amazon.com/dp/B0BWNNVPH5</t>
        </is>
      </c>
      <c r="L68" s="34">
        <f>HYPERLINK(DieselLaptops_2[[#This Row],[Column1]])</f>
        <v/>
      </c>
    </row>
    <row r="69" ht="60" customHeight="1" s="290">
      <c r="A69" s="30" t="inlineStr">
        <is>
          <t>Diesel Laptops Nexiq 9 Pin Deutsch Adapter for USB Link 2 and Link 3 with Diesel Explorer.</t>
        </is>
      </c>
      <c r="B69" s="30" t="inlineStr">
        <is>
          <t>B0BWNGNX8M</t>
        </is>
      </c>
      <c r="C69" s="30" t="inlineStr">
        <is>
          <t>Cable/Adapter</t>
        </is>
      </c>
      <c r="D69" s="324" t="n">
        <v>180</v>
      </c>
      <c r="E69" s="53" t="n">
        <v>4022.29</v>
      </c>
      <c r="F69" s="54" t="n">
        <v>0</v>
      </c>
      <c r="G69" s="55" t="n">
        <v>22</v>
      </c>
      <c r="H69" s="55" t="n">
        <v>0</v>
      </c>
      <c r="I69" s="55" t="n"/>
      <c r="J69" s="56" t="n"/>
      <c r="K69" s="56" t="inlineStr">
        <is>
          <t>https://amazon.com/dp/B0BWNGNX8M</t>
        </is>
      </c>
      <c r="L69" s="34">
        <f>HYPERLINK(DieselLaptops_2[[#This Row],[Column1]])</f>
        <v/>
      </c>
    </row>
    <row r="70" ht="45" customHeight="1" s="290">
      <c r="A70" s="30" t="inlineStr">
        <is>
          <t>Diesel Laptops Diesel Handheld Pro with Diesel Explorer</t>
        </is>
      </c>
      <c r="B70" s="30" t="inlineStr">
        <is>
          <t>B0BXZ87GYD</t>
        </is>
      </c>
      <c r="C70" s="30" t="inlineStr">
        <is>
          <t>Handheld</t>
        </is>
      </c>
      <c r="D70" s="324" t="n">
        <v>1387.7</v>
      </c>
      <c r="E70" s="53" t="n">
        <v>13778.19</v>
      </c>
      <c r="F70" s="54" t="n">
        <v>0</v>
      </c>
      <c r="G70" s="55" t="n">
        <v>10</v>
      </c>
      <c r="H70" s="55" t="n">
        <v>0</v>
      </c>
      <c r="I70" s="55" t="n">
        <v>1</v>
      </c>
      <c r="J70" s="56" t="n">
        <v>5</v>
      </c>
      <c r="K70" s="56" t="inlineStr">
        <is>
          <t>https://amazon.com/dp/B0BXZ87GYD</t>
        </is>
      </c>
      <c r="L70" s="34">
        <f>HYPERLINK(DieselLaptops_2[[#This Row],[Column1]])</f>
        <v/>
      </c>
    </row>
    <row r="71" ht="45" customHeight="1" s="290">
      <c r="A71" s="30" t="inlineStr">
        <is>
          <t>Diesel Laptops Nexiq USB Link 3 Wireless Bluetooth WiFi Edition 121052</t>
        </is>
      </c>
      <c r="B71" s="30" t="inlineStr">
        <is>
          <t>B0GMKLRFBP</t>
        </is>
      </c>
      <c r="C71" s="30" t="inlineStr">
        <is>
          <t>Cable/Adapter</t>
        </is>
      </c>
      <c r="D71" s="324" t="n">
        <v>799</v>
      </c>
      <c r="E71" s="53" t="n">
        <v>0</v>
      </c>
      <c r="F71" s="54" t="n">
        <v>0</v>
      </c>
      <c r="G71" s="55" t="n">
        <v>0</v>
      </c>
      <c r="H71" s="55" t="n">
        <v>0</v>
      </c>
      <c r="I71" s="55" t="n"/>
      <c r="J71" s="56" t="n"/>
      <c r="K71" s="56" t="inlineStr">
        <is>
          <t>https://amazon.com/dp/B0GMKLRFBP</t>
        </is>
      </c>
      <c r="L71" s="34">
        <f>HYPERLINK(DieselLaptops_2[[#This Row],[Column1]])</f>
        <v/>
      </c>
    </row>
    <row r="72" ht="45" customHeight="1" s="290">
      <c r="A72" s="30" t="inlineStr">
        <is>
          <t>Diesel Laptops 9 Pin to 6 Pin Converter Adapter with Diesel Explorer</t>
        </is>
      </c>
      <c r="B72" s="30" t="inlineStr">
        <is>
          <t>B0BXT1NHFY</t>
        </is>
      </c>
      <c r="C72" s="30" t="inlineStr">
        <is>
          <t>Other</t>
        </is>
      </c>
      <c r="D72" s="324" t="n">
        <v>74.89</v>
      </c>
      <c r="E72" s="53" t="n">
        <v>1477.705</v>
      </c>
      <c r="F72" s="54" t="n">
        <v>0</v>
      </c>
      <c r="G72" s="55" t="n">
        <v>19</v>
      </c>
      <c r="H72" s="55" t="n">
        <v>0</v>
      </c>
      <c r="I72" s="55" t="n">
        <v>3</v>
      </c>
      <c r="J72" s="56" t="n">
        <v>4.6</v>
      </c>
      <c r="K72" s="56" t="inlineStr">
        <is>
          <t>https://amazon.com/dp/B0BXT1NHFY</t>
        </is>
      </c>
      <c r="L72" s="34">
        <f>HYPERLINK(DieselLaptops_2[[#This Row],[Column1]])</f>
        <v/>
      </c>
    </row>
    <row r="73" ht="45" customHeight="1" s="290">
      <c r="A73" s="30" t="inlineStr">
        <is>
          <t>Diesel Laptops Bendix ABS Trailer Remote Diagnostic Unit (TRDU) with Diesel Explorer</t>
        </is>
      </c>
      <c r="B73" s="30" t="inlineStr">
        <is>
          <t>B0BXV8FS77</t>
        </is>
      </c>
      <c r="C73" s="30" t="inlineStr">
        <is>
          <t>Other</t>
        </is>
      </c>
      <c r="D73" s="324" t="n">
        <v>460.06</v>
      </c>
      <c r="E73" s="53" t="n">
        <v>1529.84</v>
      </c>
      <c r="F73" s="54" t="n">
        <v>0</v>
      </c>
      <c r="G73" s="55" t="n">
        <v>4</v>
      </c>
      <c r="H73" s="55" t="n">
        <v>0</v>
      </c>
      <c r="I73" s="55" t="n"/>
      <c r="J73" s="56" t="n"/>
      <c r="K73" s="56" t="inlineStr">
        <is>
          <t>https://amazon.com/dp/B0BXV8FS77</t>
        </is>
      </c>
      <c r="L73" s="34">
        <f>HYPERLINK(DieselLaptops_2[[#This Row],[Column1]])</f>
        <v/>
      </c>
    </row>
    <row r="74" ht="45" customHeight="1" s="290">
      <c r="A74" s="30" t="n"/>
      <c r="B74" s="30" t="n"/>
      <c r="C74" s="30" t="n"/>
      <c r="D74" s="324" t="n"/>
      <c r="E74" s="53" t="n"/>
      <c r="F74" s="54" t="n"/>
      <c r="G74" s="55" t="n"/>
      <c r="H74" s="55" t="n"/>
      <c r="I74" s="55" t="n"/>
      <c r="J74" s="56" t="n"/>
      <c r="K74" s="56" t="n"/>
      <c r="L74" s="34">
        <f>HYPERLINK(Table544[[#This Row],[Column1]])</f>
        <v/>
      </c>
    </row>
    <row r="75" ht="45" customHeight="1" s="290">
      <c r="A75" s="30" t="n"/>
      <c r="B75" s="30" t="n"/>
      <c r="C75" s="30" t="n"/>
      <c r="D75" s="324" t="n"/>
      <c r="E75" s="53" t="n"/>
      <c r="F75" s="54" t="n"/>
      <c r="G75" s="55" t="n"/>
      <c r="H75" s="55" t="n"/>
      <c r="I75" s="55" t="n"/>
      <c r="J75" s="56" t="n"/>
      <c r="K75" s="56" t="n"/>
      <c r="L75" s="34">
        <f>HYPERLINK(Table544[[#This Row],[Column1]])</f>
        <v/>
      </c>
    </row>
    <row r="76" ht="45" customHeight="1" s="290">
      <c r="A76" s="30" t="n"/>
      <c r="B76" s="30" t="n"/>
      <c r="C76" s="30" t="n"/>
      <c r="D76" s="324" t="n"/>
      <c r="E76" s="53" t="n"/>
      <c r="F76" s="54" t="n"/>
      <c r="G76" s="55" t="n"/>
      <c r="H76" s="55" t="n"/>
      <c r="I76" s="55" t="n"/>
      <c r="J76" s="56" t="n"/>
      <c r="K76" s="56" t="n"/>
      <c r="L76" s="34">
        <f>HYPERLINK(Table544[[#This Row],[Column1]])</f>
        <v/>
      </c>
    </row>
    <row r="77" ht="60" customHeight="1" s="290">
      <c r="A77" s="30" t="n"/>
      <c r="B77" s="30" t="n"/>
      <c r="C77" s="30" t="n"/>
      <c r="D77" s="324" t="n"/>
      <c r="E77" s="53" t="n"/>
      <c r="F77" s="54" t="n"/>
      <c r="G77" s="55" t="n"/>
      <c r="H77" s="55" t="n"/>
      <c r="I77" s="55" t="n"/>
      <c r="J77" s="56" t="n"/>
      <c r="K77" s="56" t="n"/>
      <c r="L77" s="34">
        <f>HYPERLINK(Table544[[#This Row],[Column1]])</f>
        <v/>
      </c>
    </row>
    <row r="78" ht="45" customHeight="1" s="290">
      <c r="A78" s="30" t="n"/>
      <c r="B78" s="30" t="n"/>
      <c r="C78" s="30" t="n"/>
      <c r="D78" s="324" t="n"/>
      <c r="E78" s="53" t="n"/>
      <c r="F78" s="54" t="n"/>
      <c r="G78" s="55" t="n"/>
      <c r="H78" s="55" t="n"/>
      <c r="I78" s="55" t="n"/>
      <c r="J78" s="56" t="n"/>
      <c r="K78" s="56" t="n"/>
      <c r="L78" s="34">
        <f>HYPERLINK(Table544[[#This Row],[Column1]])</f>
        <v/>
      </c>
    </row>
    <row r="79" ht="45" customHeight="1" s="290">
      <c r="A79" s="30" t="n"/>
      <c r="B79" s="30" t="n"/>
      <c r="C79" s="30" t="n"/>
      <c r="D79" s="324" t="n"/>
      <c r="E79" s="53" t="n"/>
      <c r="F79" s="54" t="n"/>
      <c r="G79" s="55" t="n"/>
      <c r="H79" s="55" t="n"/>
      <c r="I79" s="55" t="n"/>
      <c r="J79" s="56" t="n"/>
      <c r="K79" s="56" t="n"/>
      <c r="L79" s="34">
        <f>HYPERLINK(Table544[[#This Row],[Column1]])</f>
        <v/>
      </c>
    </row>
    <row r="80" ht="45" customHeight="1" s="290">
      <c r="A80" s="30" t="n"/>
      <c r="B80" s="30" t="n"/>
      <c r="C80" s="30" t="n"/>
      <c r="D80" s="324" t="n"/>
      <c r="E80" s="53" t="n"/>
      <c r="F80" s="54" t="n"/>
      <c r="G80" s="55" t="n"/>
      <c r="H80" s="55" t="n"/>
      <c r="I80" s="55" t="n"/>
      <c r="J80" s="56" t="n"/>
      <c r="K80" s="56" t="n"/>
      <c r="L80" s="34">
        <f>HYPERLINK(Table544[[#This Row],[Column1]])</f>
        <v/>
      </c>
    </row>
    <row r="81" ht="45" customHeight="1" s="290">
      <c r="A81" s="30" t="n"/>
      <c r="B81" s="30" t="n"/>
      <c r="C81" s="30" t="n"/>
      <c r="D81" s="324" t="n"/>
      <c r="E81" s="53" t="n"/>
      <c r="F81" s="54" t="n"/>
      <c r="G81" s="55" t="n"/>
      <c r="H81" s="55" t="n"/>
      <c r="I81" s="55" t="n"/>
      <c r="J81" s="56" t="n"/>
      <c r="K81" s="56" t="n"/>
      <c r="L81" s="34">
        <f>HYPERLINK(Table544[[#This Row],[Column1]])</f>
        <v/>
      </c>
    </row>
    <row r="82" ht="45" customHeight="1" s="290">
      <c r="A82" s="30" t="n"/>
      <c r="B82" s="30" t="n"/>
      <c r="C82" s="30" t="n"/>
      <c r="D82" s="324" t="n"/>
      <c r="E82" s="53" t="n"/>
      <c r="F82" s="54" t="n"/>
      <c r="G82" s="55" t="n"/>
      <c r="H82" s="55" t="n"/>
      <c r="I82" s="55" t="n"/>
      <c r="J82" s="56" t="n"/>
      <c r="K82" s="56" t="n"/>
      <c r="L82" s="34">
        <f>HYPERLINK(Table544[[#This Row],[Column1]])</f>
        <v/>
      </c>
    </row>
    <row r="83" ht="30" customHeight="1" s="290">
      <c r="A83" s="30" t="n"/>
      <c r="B83" s="30" t="n"/>
      <c r="C83" s="30" t="n"/>
      <c r="D83" s="324" t="n"/>
      <c r="E83" s="53" t="n"/>
      <c r="F83" s="54" t="n"/>
      <c r="G83" s="55" t="n"/>
      <c r="H83" s="55" t="n"/>
      <c r="I83" s="55" t="n"/>
      <c r="J83" s="56" t="n"/>
      <c r="K83" s="56" t="n"/>
      <c r="L83" s="34">
        <f>HYPERLINK(Table544[[#This Row],[Column1]])</f>
        <v/>
      </c>
    </row>
    <row r="84" ht="45" customHeight="1" s="290">
      <c r="A84" s="30" t="n"/>
      <c r="B84" s="30" t="n"/>
      <c r="C84" s="30" t="n"/>
      <c r="D84" s="324" t="n"/>
      <c r="E84" s="53" t="n"/>
      <c r="F84" s="54" t="n"/>
      <c r="G84" s="55" t="n"/>
      <c r="H84" s="55" t="n"/>
      <c r="I84" s="55" t="n"/>
      <c r="J84" s="56" t="n"/>
      <c r="K84" s="56" t="n"/>
      <c r="L84" s="34">
        <f>HYPERLINK(Table544[[#This Row],[Column1]])</f>
        <v/>
      </c>
    </row>
    <row r="85" ht="45" customHeight="1" s="290">
      <c r="A85" s="30" t="n"/>
      <c r="B85" s="30" t="n"/>
      <c r="C85" s="30" t="n"/>
      <c r="D85" s="324" t="n"/>
      <c r="E85" s="53" t="n"/>
      <c r="F85" s="54" t="n"/>
      <c r="G85" s="55" t="n"/>
      <c r="H85" s="55" t="n"/>
      <c r="I85" s="55" t="n"/>
      <c r="J85" s="56" t="n"/>
      <c r="K85" s="56" t="n"/>
      <c r="L85" s="34">
        <f>HYPERLINK(Table544[[#This Row],[Column1]])</f>
        <v/>
      </c>
    </row>
    <row r="86" ht="45" customHeight="1" s="290">
      <c r="A86" s="30" t="n"/>
      <c r="B86" s="30" t="n"/>
      <c r="C86" s="30" t="n"/>
      <c r="D86" s="324" t="n"/>
      <c r="E86" s="53" t="n"/>
      <c r="F86" s="54" t="n"/>
      <c r="G86" s="55" t="n"/>
      <c r="H86" s="55" t="n"/>
      <c r="I86" s="55" t="n"/>
      <c r="J86" s="56" t="n"/>
      <c r="K86" s="56" t="n"/>
      <c r="L86" s="34">
        <f>HYPERLINK(Table544[[#This Row],[Column1]])</f>
        <v/>
      </c>
    </row>
    <row r="87" ht="45" customHeight="1" s="290">
      <c r="A87" s="30" t="n"/>
      <c r="B87" s="30" t="n"/>
      <c r="C87" s="30" t="n"/>
      <c r="D87" s="324" t="n"/>
      <c r="E87" s="53" t="n"/>
      <c r="F87" s="54" t="n"/>
      <c r="G87" s="55" t="n"/>
      <c r="H87" s="55" t="n"/>
      <c r="I87" s="55" t="n"/>
      <c r="J87" s="56" t="n"/>
      <c r="K87" s="56" t="n"/>
      <c r="L87" s="34">
        <f>HYPERLINK(Table544[[#This Row],[Column1]])</f>
        <v/>
      </c>
    </row>
    <row r="88" ht="45" customHeight="1" s="290">
      <c r="A88" s="30" t="n"/>
      <c r="B88" s="30" t="n"/>
      <c r="C88" s="30" t="n"/>
      <c r="D88" s="324" t="n"/>
      <c r="E88" s="53" t="n"/>
      <c r="F88" s="54" t="n"/>
      <c r="G88" s="55" t="n"/>
      <c r="H88" s="55" t="n"/>
      <c r="I88" s="55" t="n"/>
      <c r="J88" s="56" t="n"/>
      <c r="K88" s="56" t="n"/>
      <c r="L88" s="34">
        <f>HYPERLINK(Table544[[#This Row],[Column1]])</f>
        <v/>
      </c>
    </row>
    <row r="89" ht="45" customHeight="1" s="290">
      <c r="A89" s="30" t="n"/>
      <c r="B89" s="30" t="n"/>
      <c r="C89" s="30" t="n"/>
      <c r="D89" s="324" t="n"/>
      <c r="E89" s="53" t="n"/>
      <c r="F89" s="54" t="n"/>
      <c r="G89" s="55" t="n"/>
      <c r="H89" s="55" t="n"/>
      <c r="I89" s="55" t="n"/>
      <c r="J89" s="56" t="n"/>
      <c r="K89" s="56" t="n"/>
      <c r="L89" s="34">
        <f>HYPERLINK(Table544[[#This Row],[Column1]])</f>
        <v/>
      </c>
    </row>
    <row r="90" ht="45" customHeight="1" s="290">
      <c r="A90" s="30" t="n"/>
      <c r="B90" s="30" t="n"/>
      <c r="C90" s="30" t="n"/>
      <c r="D90" s="324" t="n"/>
      <c r="E90" s="53" t="n"/>
      <c r="F90" s="54" t="n"/>
      <c r="G90" s="55" t="n"/>
      <c r="H90" s="55" t="n"/>
      <c r="I90" s="55" t="n"/>
      <c r="J90" s="56" t="n"/>
      <c r="K90" s="56" t="n"/>
      <c r="L90" s="34">
        <f>HYPERLINK(Table544[[#This Row],[Column1]])</f>
        <v/>
      </c>
    </row>
    <row r="91" ht="45" customHeight="1" s="290">
      <c r="A91" s="30" t="n"/>
      <c r="B91" s="30" t="n"/>
      <c r="C91" s="30" t="n"/>
      <c r="D91" s="324" t="n"/>
      <c r="E91" s="53" t="n"/>
      <c r="F91" s="54" t="n"/>
      <c r="G91" s="55" t="n"/>
      <c r="H91" s="55" t="n"/>
      <c r="I91" s="55" t="n"/>
      <c r="J91" s="56" t="n"/>
      <c r="K91" s="56" t="n"/>
      <c r="L91" s="34">
        <f>HYPERLINK(Table544[[#This Row],[Column1]])</f>
        <v/>
      </c>
    </row>
    <row r="92" ht="45" customHeight="1" s="290">
      <c r="A92" s="30" t="n"/>
      <c r="B92" s="30" t="n"/>
      <c r="C92" s="30" t="n"/>
      <c r="D92" s="324" t="n"/>
      <c r="E92" s="53" t="n"/>
      <c r="F92" s="54" t="n"/>
      <c r="G92" s="55" t="n"/>
      <c r="H92" s="55" t="n"/>
      <c r="I92" s="55" t="n"/>
      <c r="J92" s="56" t="n"/>
      <c r="K92" s="56" t="n"/>
      <c r="L92" s="34">
        <f>HYPERLINK(Table544[[#This Row],[Column1]])</f>
        <v/>
      </c>
    </row>
    <row r="93" ht="45" customHeight="1" s="290">
      <c r="A93" s="30" t="n"/>
      <c r="B93" s="30" t="n"/>
      <c r="C93" s="30" t="n"/>
      <c r="D93" s="324" t="n"/>
      <c r="E93" s="53" t="n"/>
      <c r="F93" s="54" t="n"/>
      <c r="G93" s="55" t="n"/>
      <c r="H93" s="55" t="n"/>
      <c r="I93" s="55" t="n"/>
      <c r="J93" s="56" t="n"/>
      <c r="K93" s="56" t="n"/>
      <c r="L93" s="34">
        <f>HYPERLINK(Table544[[#This Row],[Column1]])</f>
        <v/>
      </c>
    </row>
    <row r="94" ht="60" customHeight="1" s="290">
      <c r="A94" s="30" t="n"/>
      <c r="B94" s="30" t="n"/>
      <c r="C94" s="30" t="n"/>
      <c r="D94" s="324" t="n"/>
      <c r="E94" s="53" t="n"/>
      <c r="F94" s="54" t="n"/>
      <c r="G94" s="55" t="n"/>
      <c r="H94" s="55" t="n"/>
      <c r="I94" s="55" t="n"/>
      <c r="J94" s="56" t="n"/>
      <c r="K94" s="56" t="n"/>
      <c r="L94" s="34">
        <f>HYPERLINK(Table544[[#This Row],[Column1]])</f>
        <v/>
      </c>
    </row>
    <row r="95" ht="45" customHeight="1" s="290">
      <c r="A95" s="30" t="n"/>
      <c r="B95" s="30" t="n"/>
      <c r="C95" s="30" t="n"/>
      <c r="D95" s="324" t="n"/>
      <c r="E95" s="53" t="n"/>
      <c r="F95" s="54" t="n"/>
      <c r="G95" s="55" t="n"/>
      <c r="H95" s="55" t="n"/>
      <c r="I95" s="55" t="n"/>
      <c r="J95" s="56" t="n"/>
      <c r="K95" s="56" t="n"/>
      <c r="L95" s="34">
        <f>HYPERLINK(Table544[[#This Row],[Column1]])</f>
        <v/>
      </c>
    </row>
    <row r="96" ht="45" customHeight="1" s="290">
      <c r="A96" s="30" t="n"/>
      <c r="B96" s="30" t="n"/>
      <c r="C96" s="30" t="n"/>
      <c r="D96" s="324" t="n"/>
      <c r="E96" s="53" t="n"/>
      <c r="F96" s="54" t="n"/>
      <c r="G96" s="55" t="n"/>
      <c r="H96" s="55" t="n"/>
      <c r="I96" s="55" t="n"/>
      <c r="J96" s="56" t="n"/>
      <c r="K96" s="56" t="n"/>
      <c r="L96" s="34">
        <f>HYPERLINK(Table544[[#This Row],[Column1]])</f>
        <v/>
      </c>
    </row>
    <row r="97" ht="45" customHeight="1" s="290">
      <c r="A97" s="30" t="n"/>
      <c r="B97" s="30" t="n"/>
      <c r="C97" s="30" t="n"/>
      <c r="D97" s="324" t="n"/>
      <c r="E97" s="53" t="n"/>
      <c r="F97" s="54" t="n"/>
      <c r="G97" s="55" t="n"/>
      <c r="H97" s="55" t="n"/>
      <c r="I97" s="55" t="n"/>
      <c r="J97" s="56" t="n"/>
      <c r="K97" s="56" t="n"/>
      <c r="L97" s="34">
        <f>HYPERLINK(Table544[[#This Row],[Column1]])</f>
        <v/>
      </c>
    </row>
    <row r="98" ht="60" customHeight="1" s="290">
      <c r="A98" s="30" t="n"/>
      <c r="B98" s="30" t="n"/>
      <c r="C98" s="30" t="n"/>
      <c r="D98" s="324" t="n"/>
      <c r="E98" s="53" t="n"/>
      <c r="F98" s="54" t="n"/>
      <c r="G98" s="55" t="n"/>
      <c r="H98" s="55" t="n"/>
      <c r="I98" s="55" t="n"/>
      <c r="J98" s="56" t="n"/>
      <c r="K98" s="56" t="n"/>
      <c r="L98" s="34">
        <f>HYPERLINK(Table544[[#This Row],[Column1]])</f>
        <v/>
      </c>
    </row>
    <row r="99" ht="45" customHeight="1" s="290">
      <c r="A99" s="30" t="n"/>
      <c r="B99" s="30" t="n"/>
      <c r="C99" s="30" t="n"/>
      <c r="D99" s="324" t="n"/>
      <c r="E99" s="53" t="n"/>
      <c r="F99" s="54" t="n"/>
      <c r="G99" s="55" t="n"/>
      <c r="H99" s="55" t="n"/>
      <c r="I99" s="55" t="n"/>
      <c r="J99" s="56" t="n"/>
      <c r="K99" s="56" t="n"/>
      <c r="L99" s="34">
        <f>HYPERLINK(Table544[[#This Row],[Column1]])</f>
        <v/>
      </c>
    </row>
    <row r="100" ht="45" customHeight="1" s="290">
      <c r="A100" s="30" t="n"/>
      <c r="B100" s="30" t="n"/>
      <c r="C100" s="30" t="n"/>
      <c r="D100" s="324" t="n"/>
      <c r="E100" s="53" t="n"/>
      <c r="F100" s="54" t="n"/>
      <c r="G100" s="55" t="n"/>
      <c r="H100" s="55" t="n"/>
      <c r="I100" s="55" t="n"/>
      <c r="J100" s="56" t="n"/>
      <c r="K100" s="56" t="n"/>
      <c r="L100" s="34">
        <f>HYPERLINK(Table544[[#This Row],[Column1]])</f>
        <v/>
      </c>
    </row>
    <row r="101" ht="45" customHeight="1" s="290">
      <c r="A101" s="30" t="n"/>
      <c r="B101" s="30" t="n"/>
      <c r="C101" s="30" t="n"/>
      <c r="D101" s="324" t="n"/>
      <c r="E101" s="53" t="n"/>
      <c r="F101" s="54" t="n"/>
      <c r="G101" s="55" t="n"/>
      <c r="H101" s="55" t="n"/>
      <c r="I101" s="55" t="n"/>
      <c r="J101" s="56" t="n"/>
      <c r="K101" s="56" t="n"/>
      <c r="L101" s="34">
        <f>HYPERLINK(Table544[[#This Row],[Column1]])</f>
        <v/>
      </c>
    </row>
    <row r="102" ht="45" customHeight="1" s="290">
      <c r="A102" s="30" t="n"/>
      <c r="B102" s="30" t="n"/>
      <c r="C102" s="30" t="n"/>
      <c r="D102" s="324" t="n"/>
      <c r="E102" s="53" t="n"/>
      <c r="F102" s="54" t="n"/>
      <c r="G102" s="55" t="n"/>
      <c r="H102" s="55" t="n"/>
      <c r="I102" s="55" t="n"/>
      <c r="J102" s="56" t="n"/>
      <c r="K102" s="56" t="n"/>
      <c r="L102" s="34">
        <f>HYPERLINK(Table544[[#This Row],[Column1]])</f>
        <v/>
      </c>
    </row>
    <row r="103" ht="45" customHeight="1" s="290">
      <c r="A103" s="30" t="n"/>
      <c r="B103" s="30" t="n"/>
      <c r="C103" s="30" t="n"/>
      <c r="D103" s="324" t="n"/>
      <c r="E103" s="53" t="n"/>
      <c r="F103" s="54" t="n"/>
      <c r="G103" s="55" t="n"/>
      <c r="H103" s="55" t="n"/>
      <c r="I103" s="55" t="n"/>
      <c r="J103" s="56" t="n"/>
      <c r="K103" s="56" t="n"/>
      <c r="L103" s="34">
        <f>HYPERLINK(Table544[[#This Row],[Column1]])</f>
        <v/>
      </c>
    </row>
    <row r="104" ht="45" customHeight="1" s="290">
      <c r="A104" s="30" t="n"/>
      <c r="B104" s="30" t="n"/>
      <c r="C104" s="30" t="n"/>
      <c r="D104" s="324" t="n"/>
      <c r="E104" s="53" t="n"/>
      <c r="F104" s="54" t="n"/>
      <c r="G104" s="55" t="n"/>
      <c r="H104" s="55" t="n"/>
      <c r="I104" s="55" t="n"/>
      <c r="J104" s="56" t="n"/>
      <c r="K104" s="56" t="n"/>
      <c r="L104" s="34">
        <f>HYPERLINK(Table544[[#This Row],[Column1]])</f>
        <v/>
      </c>
    </row>
    <row r="105" ht="45" customHeight="1" s="290">
      <c r="A105" s="30" t="n"/>
      <c r="B105" s="30" t="n"/>
      <c r="C105" s="30" t="n"/>
      <c r="D105" s="324" t="n"/>
      <c r="E105" s="53" t="n"/>
      <c r="F105" s="54" t="n"/>
      <c r="G105" s="55" t="n"/>
      <c r="H105" s="55" t="n"/>
      <c r="I105" s="55" t="n"/>
      <c r="J105" s="56" t="n"/>
      <c r="K105" s="56" t="n"/>
      <c r="L105" s="34">
        <f>HYPERLINK(Table544[[#This Row],[Column1]])</f>
        <v/>
      </c>
    </row>
    <row r="106" ht="45" customHeight="1" s="290">
      <c r="A106" s="30" t="n"/>
      <c r="B106" s="30" t="n"/>
      <c r="C106" s="30" t="n"/>
      <c r="D106" s="324" t="n"/>
      <c r="E106" s="53" t="n"/>
      <c r="F106" s="54" t="n"/>
      <c r="G106" s="55" t="n"/>
      <c r="H106" s="55" t="n"/>
      <c r="I106" s="55" t="n"/>
      <c r="J106" s="56" t="n"/>
      <c r="K106" s="56" t="n"/>
      <c r="L106" s="34">
        <f>HYPERLINK(Table544[[#This Row],[Column1]])</f>
        <v/>
      </c>
    </row>
    <row r="107" ht="60" customHeight="1" s="290">
      <c r="A107" s="30" t="n"/>
      <c r="B107" s="30" t="n"/>
      <c r="C107" s="30" t="n"/>
      <c r="D107" s="324" t="n"/>
      <c r="E107" s="53" t="n"/>
      <c r="F107" s="54" t="n"/>
      <c r="G107" s="55" t="n"/>
      <c r="H107" s="55" t="n"/>
      <c r="I107" s="55" t="n"/>
      <c r="J107" s="56" t="n"/>
      <c r="K107" s="56" t="n"/>
      <c r="L107" s="34">
        <f>HYPERLINK(Table544[[#This Row],[Column1]])</f>
        <v/>
      </c>
    </row>
    <row r="108" ht="45" customHeight="1" s="290">
      <c r="A108" s="30" t="n"/>
      <c r="B108" s="30" t="n"/>
      <c r="C108" s="30" t="n"/>
      <c r="D108" s="324" t="n"/>
      <c r="E108" s="53" t="n"/>
      <c r="F108" s="54" t="n"/>
      <c r="G108" s="55" t="n"/>
      <c r="H108" s="55" t="n"/>
      <c r="I108" s="55" t="n"/>
      <c r="J108" s="56" t="n"/>
      <c r="K108" s="56" t="n"/>
      <c r="L108" s="34">
        <f>HYPERLINK(Table544[[#This Row],[Column1]])</f>
        <v/>
      </c>
    </row>
    <row r="109" ht="45" customHeight="1" s="290">
      <c r="A109" s="30" t="n"/>
      <c r="B109" s="30" t="n"/>
      <c r="C109" s="30" t="n"/>
      <c r="D109" s="324" t="n"/>
      <c r="E109" s="53" t="n"/>
      <c r="F109" s="54" t="n"/>
      <c r="G109" s="55" t="n"/>
      <c r="H109" s="55" t="n"/>
      <c r="I109" s="55" t="n"/>
      <c r="J109" s="56" t="n"/>
      <c r="K109" s="56" t="n"/>
      <c r="L109" s="34">
        <f>HYPERLINK(Table544[[#This Row],[Column1]])</f>
        <v/>
      </c>
    </row>
    <row r="110" ht="45" customHeight="1" s="290">
      <c r="A110" s="30" t="n"/>
      <c r="B110" s="30" t="n"/>
      <c r="C110" s="30" t="n"/>
      <c r="D110" s="324" t="n"/>
      <c r="E110" s="53" t="n"/>
      <c r="F110" s="54" t="n"/>
      <c r="G110" s="55" t="n"/>
      <c r="H110" s="55" t="n"/>
      <c r="I110" s="55" t="n"/>
      <c r="J110" s="56" t="n"/>
      <c r="K110" s="56" t="n"/>
      <c r="L110" s="34">
        <f>HYPERLINK(Table544[[#This Row],[Column1]])</f>
        <v/>
      </c>
    </row>
    <row r="111" ht="45" customHeight="1" s="290">
      <c r="A111" s="30" t="n"/>
      <c r="B111" s="30" t="n"/>
      <c r="C111" s="30" t="n"/>
      <c r="D111" s="324" t="n"/>
      <c r="E111" s="53" t="n"/>
      <c r="F111" s="54" t="n"/>
      <c r="G111" s="55" t="n"/>
      <c r="H111" s="55" t="n"/>
      <c r="I111" s="55" t="n"/>
      <c r="J111" s="56" t="n"/>
      <c r="K111" s="56" t="n"/>
      <c r="L111" s="34">
        <f>HYPERLINK(Table544[[#This Row],[Column1]])</f>
        <v/>
      </c>
    </row>
    <row r="112" ht="45" customHeight="1" s="290">
      <c r="A112" s="30" t="n"/>
      <c r="B112" s="30" t="n"/>
      <c r="C112" s="30" t="n"/>
      <c r="D112" s="324" t="n"/>
      <c r="E112" s="53" t="n"/>
      <c r="F112" s="54" t="n"/>
      <c r="G112" s="55" t="n"/>
      <c r="H112" s="55" t="n"/>
      <c r="I112" s="55" t="n"/>
      <c r="J112" s="56" t="n"/>
      <c r="K112" s="56" t="n"/>
      <c r="L112" s="34">
        <f>HYPERLINK(Table544[[#This Row],[Column1]])</f>
        <v/>
      </c>
    </row>
    <row r="113" ht="45" customHeight="1" s="290">
      <c r="A113" s="30" t="n"/>
      <c r="B113" s="30" t="n"/>
      <c r="C113" s="30" t="n"/>
      <c r="D113" s="324" t="n"/>
      <c r="E113" s="53" t="n"/>
      <c r="F113" s="54" t="n"/>
      <c r="G113" s="55" t="n"/>
      <c r="H113" s="55" t="n"/>
      <c r="I113" s="55" t="n"/>
      <c r="J113" s="56" t="n"/>
      <c r="K113" s="56" t="n"/>
      <c r="L113" s="34">
        <f>HYPERLINK(Table544[[#This Row],[Column1]])</f>
        <v/>
      </c>
    </row>
    <row r="114" ht="45" customHeight="1" s="290">
      <c r="A114" s="30" t="n"/>
      <c r="B114" s="30" t="n"/>
      <c r="C114" s="30" t="n"/>
      <c r="D114" s="324" t="n"/>
      <c r="E114" s="53" t="n"/>
      <c r="F114" s="54" t="n"/>
      <c r="G114" s="55" t="n"/>
      <c r="H114" s="55" t="n"/>
      <c r="I114" s="55" t="n"/>
      <c r="J114" s="56" t="n"/>
      <c r="K114" s="56" t="n"/>
      <c r="L114" s="34">
        <f>HYPERLINK(Table544[[#This Row],[Column1]])</f>
        <v/>
      </c>
    </row>
    <row r="115" ht="45" customHeight="1" s="290">
      <c r="A115" s="30" t="n"/>
      <c r="B115" s="30" t="n"/>
      <c r="C115" s="30" t="n"/>
      <c r="D115" s="324" t="n"/>
      <c r="E115" s="53" t="n"/>
      <c r="F115" s="54" t="n"/>
      <c r="G115" s="55" t="n"/>
      <c r="H115" s="55" t="n"/>
      <c r="I115" s="55" t="n"/>
      <c r="J115" s="56" t="n"/>
      <c r="K115" s="56" t="n"/>
      <c r="L115" s="34">
        <f>HYPERLINK(Table544[[#This Row],[Column1]])</f>
        <v/>
      </c>
    </row>
    <row r="116" ht="30" customHeight="1" s="290">
      <c r="A116" s="30" t="n"/>
      <c r="B116" s="30" t="n"/>
      <c r="C116" s="30" t="n"/>
      <c r="D116" s="324" t="n"/>
      <c r="E116" s="53" t="n"/>
      <c r="F116" s="54" t="n"/>
      <c r="G116" s="55" t="n"/>
      <c r="H116" s="55" t="n"/>
      <c r="I116" s="55" t="n"/>
      <c r="J116" s="56" t="n"/>
      <c r="K116" s="56" t="n"/>
      <c r="L116" s="34">
        <f>HYPERLINK(Table544[[#This Row],[Column1]])</f>
        <v/>
      </c>
    </row>
    <row r="117" ht="30" customHeight="1" s="290">
      <c r="A117" s="30" t="n"/>
      <c r="B117" s="30" t="n"/>
      <c r="C117" s="30" t="n"/>
      <c r="D117" s="324" t="n"/>
      <c r="E117" s="53" t="n"/>
      <c r="F117" s="54" t="n"/>
      <c r="G117" s="55" t="n"/>
      <c r="H117" s="55" t="n"/>
      <c r="I117" s="55" t="n"/>
      <c r="J117" s="56" t="n"/>
      <c r="K117" s="56" t="n"/>
      <c r="L117" s="34">
        <f>HYPERLINK(Table544[[#This Row],[Column1]])</f>
        <v/>
      </c>
    </row>
    <row r="118" ht="45" customHeight="1" s="290">
      <c r="A118" s="30" t="n"/>
      <c r="B118" s="30" t="n"/>
      <c r="C118" s="30" t="n"/>
      <c r="D118" s="324" t="n"/>
      <c r="E118" s="53" t="n"/>
      <c r="F118" s="54" t="n"/>
      <c r="G118" s="55" t="n"/>
      <c r="H118" s="55" t="n"/>
      <c r="I118" s="55" t="n"/>
      <c r="J118" s="56" t="n"/>
      <c r="K118" s="56" t="n"/>
      <c r="L118" s="34">
        <f>HYPERLINK(Table544[[#This Row],[Column1]])</f>
        <v/>
      </c>
    </row>
    <row r="119" ht="45" customHeight="1" s="290">
      <c r="A119" s="30" t="n"/>
      <c r="B119" s="30" t="n"/>
      <c r="C119" s="30" t="n"/>
      <c r="D119" s="324" t="n"/>
      <c r="E119" s="53" t="n"/>
      <c r="F119" s="54" t="n"/>
      <c r="G119" s="55" t="n"/>
      <c r="H119" s="55" t="n"/>
      <c r="I119" s="55" t="n"/>
      <c r="J119" s="56" t="n"/>
      <c r="K119" s="56" t="n"/>
      <c r="L119" s="34">
        <f>HYPERLINK(Table544[[#This Row],[Column1]])</f>
        <v/>
      </c>
    </row>
    <row r="120" ht="60" customHeight="1" s="290">
      <c r="A120" s="30" t="n"/>
      <c r="B120" s="30" t="n"/>
      <c r="C120" s="30" t="n"/>
      <c r="D120" s="324" t="n"/>
      <c r="E120" s="53" t="n"/>
      <c r="F120" s="54" t="n"/>
      <c r="G120" s="55" t="n"/>
      <c r="H120" s="55" t="n"/>
      <c r="I120" s="55" t="n"/>
      <c r="J120" s="56" t="n"/>
      <c r="K120" s="56" t="n"/>
      <c r="L120" s="34">
        <f>HYPERLINK(Table544[[#This Row],[Column1]])</f>
        <v/>
      </c>
    </row>
    <row r="121" ht="45" customHeight="1" s="290">
      <c r="A121" s="30" t="n"/>
      <c r="B121" s="30" t="n"/>
      <c r="C121" s="30" t="n"/>
      <c r="D121" s="324" t="n"/>
      <c r="E121" s="53" t="n"/>
      <c r="F121" s="54" t="n"/>
      <c r="G121" s="55" t="n"/>
      <c r="H121" s="55" t="n"/>
      <c r="I121" s="55" t="n"/>
      <c r="J121" s="56" t="n"/>
      <c r="K121" s="56" t="n"/>
      <c r="L121" s="34">
        <f>HYPERLINK(Table544[[#This Row],[Column1]])</f>
        <v/>
      </c>
    </row>
    <row r="122" ht="45" customHeight="1" s="290">
      <c r="A122" s="30" t="n"/>
      <c r="B122" s="30" t="n"/>
      <c r="C122" s="30" t="n"/>
      <c r="D122" s="324" t="n"/>
      <c r="E122" s="53" t="n"/>
      <c r="F122" s="54" t="n"/>
      <c r="G122" s="55" t="n"/>
      <c r="H122" s="55" t="n"/>
      <c r="I122" s="55" t="n"/>
      <c r="J122" s="56" t="n"/>
      <c r="K122" s="56" t="n"/>
      <c r="L122" s="34">
        <f>HYPERLINK(Table544[[#This Row],[Column1]])</f>
        <v/>
      </c>
    </row>
    <row r="123" ht="45" customHeight="1" s="290">
      <c r="A123" s="30" t="n"/>
      <c r="B123" s="30" t="n"/>
      <c r="C123" s="30" t="n"/>
      <c r="D123" s="324" t="n"/>
      <c r="E123" s="53" t="n"/>
      <c r="F123" s="54" t="n"/>
      <c r="G123" s="55" t="n"/>
      <c r="H123" s="55" t="n"/>
      <c r="I123" s="55" t="n"/>
      <c r="J123" s="56" t="n"/>
      <c r="K123" s="56" t="n"/>
      <c r="L123" s="34">
        <f>HYPERLINK(Table544[[#This Row],[Column1]])</f>
        <v/>
      </c>
    </row>
    <row r="124" ht="17" customHeight="1" s="290">
      <c r="A124" s="30" t="n"/>
      <c r="B124" s="30" t="n"/>
      <c r="C124" s="30" t="n"/>
      <c r="D124" s="324" t="n"/>
      <c r="E124" s="53" t="n"/>
      <c r="F124" s="54" t="n"/>
      <c r="G124" s="55" t="n"/>
      <c r="H124" s="55" t="n"/>
      <c r="I124" s="55" t="n"/>
      <c r="J124" s="56" t="n"/>
      <c r="K124" s="56" t="n"/>
      <c r="L124" s="34">
        <f>HYPERLINK(Table544[[#This Row],[Column1]])</f>
        <v/>
      </c>
    </row>
    <row r="125" ht="30" customHeight="1" s="290">
      <c r="A125" s="30" t="n"/>
      <c r="B125" s="30" t="n"/>
      <c r="C125" s="30" t="n"/>
      <c r="D125" s="324" t="n"/>
      <c r="E125" s="53" t="n"/>
      <c r="F125" s="54" t="n"/>
      <c r="G125" s="55" t="n"/>
      <c r="H125" s="55" t="n"/>
      <c r="I125" s="55" t="n"/>
      <c r="J125" s="56" t="n"/>
      <c r="K125" s="56" t="n"/>
      <c r="L125" s="34">
        <f>HYPERLINK(Table544[[#This Row],[Column1]])</f>
        <v/>
      </c>
    </row>
    <row r="126" ht="45" customHeight="1" s="290">
      <c r="A126" s="30" t="n"/>
      <c r="B126" s="30" t="n"/>
      <c r="C126" s="30" t="n"/>
      <c r="D126" s="324" t="n"/>
      <c r="E126" s="53" t="n"/>
      <c r="F126" s="54" t="n"/>
      <c r="G126" s="55" t="n"/>
      <c r="H126" s="55" t="n"/>
      <c r="I126" s="55" t="n"/>
      <c r="J126" s="56" t="n"/>
      <c r="K126" s="56" t="n"/>
      <c r="L126" s="34">
        <f>HYPERLINK(Table544[[#This Row],[Column1]])</f>
        <v/>
      </c>
    </row>
    <row r="127" ht="45" customHeight="1" s="290">
      <c r="A127" s="30" t="n"/>
      <c r="B127" s="30" t="n"/>
      <c r="C127" s="30" t="n"/>
      <c r="D127" s="324" t="n"/>
      <c r="E127" s="53" t="n"/>
      <c r="F127" s="54" t="n"/>
      <c r="G127" s="55" t="n"/>
      <c r="H127" s="55" t="n"/>
      <c r="I127" s="55" t="n"/>
      <c r="J127" s="56" t="n"/>
      <c r="K127" s="56" t="n"/>
      <c r="L127" s="34">
        <f>HYPERLINK(Table544[[#This Row],[Column1]])</f>
        <v/>
      </c>
    </row>
    <row r="128" ht="17" customHeight="1" s="290">
      <c r="A128" s="33" t="inlineStr">
        <is>
          <t>Total</t>
        </is>
      </c>
      <c r="B128" s="32" t="n"/>
      <c r="C128" s="325" t="n"/>
      <c r="D128" s="325" t="n"/>
      <c r="E128" s="59">
        <f>SUM(Table544[Estimated 12mo Revenue])</f>
        <v/>
      </c>
      <c r="F128" s="59">
        <f>SUM(Table544[Monthly Rev])</f>
        <v/>
      </c>
      <c r="I128" s="286" t="n"/>
      <c r="J128" s="287" t="n"/>
    </row>
    <row r="131">
      <c r="A131" s="283" t="inlineStr">
        <is>
          <t>Rank by Units</t>
        </is>
      </c>
    </row>
    <row r="132" ht="17" customHeight="1" s="290">
      <c r="A132" s="38" t="inlineStr">
        <is>
          <t>Product Name</t>
        </is>
      </c>
      <c r="B132" s="39" t="inlineStr">
        <is>
          <t>ASIN</t>
        </is>
      </c>
      <c r="C132" s="39" t="inlineStr">
        <is>
          <t>Type</t>
        </is>
      </c>
      <c r="D132" s="322" t="inlineStr">
        <is>
          <t>Avg Price</t>
        </is>
      </c>
      <c r="E132" s="41" t="inlineStr">
        <is>
          <t>Estimated 12mo Revenue</t>
        </is>
      </c>
      <c r="F132" s="39" t="inlineStr">
        <is>
          <t>Monthly Rev</t>
        </is>
      </c>
      <c r="G132" s="42" t="inlineStr">
        <is>
          <t>Estimated 12mo Units</t>
        </is>
      </c>
      <c r="H132" s="45" t="inlineStr">
        <is>
          <t>Monthly Units</t>
        </is>
      </c>
      <c r="I132" s="42" t="inlineStr">
        <is>
          <t># of Reviews</t>
        </is>
      </c>
      <c r="J132" s="43" t="inlineStr">
        <is>
          <t xml:space="preserve">Tool Rating </t>
        </is>
      </c>
      <c r="K132" s="43" t="inlineStr">
        <is>
          <t>Column1</t>
        </is>
      </c>
      <c r="L132" s="323" t="inlineStr">
        <is>
          <t>Link</t>
        </is>
      </c>
    </row>
    <row r="133" ht="45" customHeight="1" s="290">
      <c r="A133" s="30" t="inlineStr">
        <is>
          <t>Diesel Laptops Nexiq USB Link 3 Wired Edition with Repair Information &amp; Diagnostic Software</t>
        </is>
      </c>
      <c r="B133" s="30" t="inlineStr">
        <is>
          <t>B0BPYPNDVP</t>
        </is>
      </c>
      <c r="C133" s="30" t="inlineStr">
        <is>
          <t>VCI</t>
        </is>
      </c>
      <c r="D133" s="324" t="n">
        <v>749.3213831478538</v>
      </c>
      <c r="E133" s="53" t="n">
        <v>5052000.44</v>
      </c>
      <c r="F133" s="53" t="n">
        <v>471323.15</v>
      </c>
      <c r="G133" s="55" t="n">
        <v>6628</v>
      </c>
      <c r="H133" s="57" t="n">
        <v>629</v>
      </c>
      <c r="I133" s="55" t="n">
        <v>252</v>
      </c>
      <c r="J133" s="56" t="n">
        <v>4.6</v>
      </c>
      <c r="K133" s="56" t="inlineStr">
        <is>
          <t>https://amazon.com/dp/B0BPYPNDVP</t>
        </is>
      </c>
      <c r="L133" s="34">
        <f>HYPERLINK(DieselLaptops_1[[#This Row],[Column1]])</f>
        <v/>
      </c>
    </row>
    <row r="134" ht="45" customHeight="1" s="290">
      <c r="A134" s="30" t="inlineStr">
        <is>
          <t>Diesel Laptops Nexiq USB Link 3 Wireless Edition with Repair Information &amp; Diagnostic Software Bluetooth WiFi</t>
        </is>
      </c>
      <c r="B134" s="30" t="inlineStr">
        <is>
          <t>B0BSFTHFC1</t>
        </is>
      </c>
      <c r="C134" s="30" t="inlineStr">
        <is>
          <t>Dongle</t>
        </is>
      </c>
      <c r="D134" s="324" t="n">
        <v>798.2018208092486</v>
      </c>
      <c r="E134" s="53" t="n">
        <v>2829290.381538461</v>
      </c>
      <c r="F134" s="53" t="n">
        <v>276177.83</v>
      </c>
      <c r="G134" s="55" t="n">
        <v>3213</v>
      </c>
      <c r="H134" s="57" t="n">
        <v>346</v>
      </c>
      <c r="I134" s="55" t="n">
        <v>130</v>
      </c>
      <c r="J134" s="56" t="n">
        <v>4.6</v>
      </c>
      <c r="K134" s="56" t="inlineStr">
        <is>
          <t>https://amazon.com/dp/B0BSFTHFC1</t>
        </is>
      </c>
      <c r="L134" s="34">
        <f>HYPERLINK(DieselLaptops_1[[#This Row],[Column1]])</f>
        <v/>
      </c>
    </row>
    <row r="135" ht="45" customHeight="1" s="290">
      <c r="A135" s="30" t="inlineStr">
        <is>
          <t>Diesel Laptops Nexiq 9 Pin Deutsch 1 Meter Adapter Cable for USB Link 2 and Link 3 with Diesel Explorer.</t>
        </is>
      </c>
      <c r="B135" s="30" t="inlineStr">
        <is>
          <t>B0BWL9PP5L</t>
        </is>
      </c>
      <c r="C135" s="30" t="inlineStr">
        <is>
          <t>Cable/Adapter</t>
        </is>
      </c>
      <c r="D135" s="324" t="n">
        <v>179.2094915254237</v>
      </c>
      <c r="E135" s="53" t="n">
        <v>106278.6646153846</v>
      </c>
      <c r="F135" s="53" t="n">
        <v>10573.36</v>
      </c>
      <c r="G135" s="55" t="n">
        <v>535</v>
      </c>
      <c r="H135" s="57" t="n">
        <v>59</v>
      </c>
      <c r="I135" s="55" t="n">
        <v>18</v>
      </c>
      <c r="J135" s="56" t="n">
        <v>4.4</v>
      </c>
      <c r="K135" s="56" t="inlineStr">
        <is>
          <t>https://amazon.com/dp/B0BWL9PP5L</t>
        </is>
      </c>
      <c r="L135" s="34">
        <f>HYPERLINK(DieselLaptops_1[[#This Row],[Column1]])</f>
        <v/>
      </c>
    </row>
    <row r="136" ht="45" customHeight="1" s="290">
      <c r="A136" s="30" t="inlineStr">
        <is>
          <t>Diesel Laptops CAN3 to CAN1 Cross Over Converter Adapter</t>
        </is>
      </c>
      <c r="B136" s="30" t="inlineStr">
        <is>
          <t>B07JGCH2K2</t>
        </is>
      </c>
      <c r="C136" s="30" t="inlineStr">
        <is>
          <t>Cable/Adapter</t>
        </is>
      </c>
      <c r="D136" s="324" t="n">
        <v>59.88153846153846</v>
      </c>
      <c r="E136" s="53" t="n">
        <v>20442.73</v>
      </c>
      <c r="F136" s="53" t="n">
        <v>2335.38</v>
      </c>
      <c r="G136" s="55" t="n">
        <v>369</v>
      </c>
      <c r="H136" s="57" t="n">
        <v>39</v>
      </c>
      <c r="I136" s="55" t="n">
        <v>23</v>
      </c>
      <c r="J136" s="56" t="n">
        <v>4.4</v>
      </c>
      <c r="K136" s="56" t="inlineStr">
        <is>
          <t>https://amazon.com/dp/B07JGCH2K2</t>
        </is>
      </c>
      <c r="L136" s="34">
        <f>HYPERLINK(DieselLaptops_1[[#This Row],[Column1]])</f>
        <v/>
      </c>
    </row>
    <row r="137" ht="45" customHeight="1" s="290">
      <c r="A137" s="30" t="inlineStr">
        <is>
          <t>Diesel Laptops Master Adapter &amp; Convertor Cable Set for 9-Pin, 6-Pin, OBDII, CAT9, CAN3, Paccar, &amp; More</t>
        </is>
      </c>
      <c r="B137" s="30" t="inlineStr">
        <is>
          <t>B0914WNM4R</t>
        </is>
      </c>
      <c r="C137" s="30" t="inlineStr">
        <is>
          <t>Cable/Adapter</t>
        </is>
      </c>
      <c r="D137" s="324" t="n">
        <v>252.4664516129032</v>
      </c>
      <c r="E137" s="53" t="n">
        <v>73890.21461538461</v>
      </c>
      <c r="F137" s="53" t="n">
        <v>7826.46</v>
      </c>
      <c r="G137" s="55" t="n">
        <v>266</v>
      </c>
      <c r="H137" s="57" t="n">
        <v>31</v>
      </c>
      <c r="I137" s="55" t="n">
        <v>20</v>
      </c>
      <c r="J137" s="56" t="n">
        <v>4.3</v>
      </c>
      <c r="K137" s="56" t="inlineStr">
        <is>
          <t>https://amazon.com/dp/B0914WNM4R</t>
        </is>
      </c>
      <c r="L137" s="34">
        <f>HYPERLINK(DieselLaptops_1[[#This Row],[Column1]])</f>
        <v/>
      </c>
    </row>
    <row r="138" ht="45" customHeight="1" s="290">
      <c r="A138" s="30" t="inlineStr">
        <is>
          <t>Diesel Laptops 9-Pin to Purple HD OBDII for Mack and Volvo Converter 10V</t>
        </is>
      </c>
      <c r="B138" s="30" t="inlineStr">
        <is>
          <t>B07JGCKP5F</t>
        </is>
      </c>
      <c r="C138" s="30" t="inlineStr">
        <is>
          <t>Cable/Adapter</t>
        </is>
      </c>
      <c r="D138" s="324" t="n">
        <v>60.00909090909091</v>
      </c>
      <c r="E138" s="53" t="n">
        <v>13673.13</v>
      </c>
      <c r="F138" s="53" t="n">
        <v>1320.2</v>
      </c>
      <c r="G138" s="55" t="n">
        <v>228</v>
      </c>
      <c r="H138" s="57" t="n">
        <v>22</v>
      </c>
      <c r="I138" s="55" t="n">
        <v>48</v>
      </c>
      <c r="J138" s="56" t="n">
        <v>4.3</v>
      </c>
      <c r="K138" s="56" t="inlineStr">
        <is>
          <t>https://amazon.com/dp/B07JGCKP5F</t>
        </is>
      </c>
      <c r="L138" s="34">
        <f>HYPERLINK(DieselLaptops_1[[#This Row],[Column1]])</f>
        <v/>
      </c>
    </row>
    <row r="139" ht="45" customHeight="1" s="290">
      <c r="A139" s="30" t="inlineStr">
        <is>
          <t>Diesel Laptops Nexiq USB Link 3 Wired Edition 121054</t>
        </is>
      </c>
      <c r="B139" s="30" t="inlineStr">
        <is>
          <t>B0GMJYHNW2</t>
        </is>
      </c>
      <c r="C139" s="30" t="inlineStr">
        <is>
          <t>Cable/Adapter</t>
        </is>
      </c>
      <c r="D139" s="324" t="n">
        <v>752.28125</v>
      </c>
      <c r="E139" s="53" t="n">
        <v>145363.8846153846</v>
      </c>
      <c r="F139" s="53" t="n">
        <v>12036.5</v>
      </c>
      <c r="G139" s="55" t="n">
        <v>16</v>
      </c>
      <c r="H139" s="57" t="n">
        <v>16</v>
      </c>
      <c r="I139" s="55" t="n"/>
      <c r="J139" s="56" t="n"/>
      <c r="K139" s="56" t="inlineStr">
        <is>
          <t>https://amazon.com/dp/B0GMJYHNW2</t>
        </is>
      </c>
      <c r="L139" s="34">
        <f>HYPERLINK(DieselLaptops_1[[#This Row],[Column1]])</f>
        <v/>
      </c>
    </row>
    <row r="140" ht="45" customHeight="1" s="290">
      <c r="A140" s="30" t="inlineStr">
        <is>
          <t>Diesel Laptops Heavy Duty Truck Scanner with DPF Regens Diesel Decoder Mobile Diagnostic Tool for Use with Cummins, Volvo, Paccar, International Vehicles and Repair Information for iOS &amp; Android</t>
        </is>
      </c>
      <c r="B140" s="30" t="inlineStr">
        <is>
          <t>B0BZQ4S8LN</t>
        </is>
      </c>
      <c r="C140" s="30" t="inlineStr">
        <is>
          <t>Dongle</t>
        </is>
      </c>
      <c r="D140" s="324" t="n">
        <v>355.7676923076923</v>
      </c>
      <c r="E140" s="53" t="n">
        <v>106867.93</v>
      </c>
      <c r="F140" s="53" t="n">
        <v>4624.98</v>
      </c>
      <c r="G140" s="55" t="n">
        <v>306</v>
      </c>
      <c r="H140" s="57" t="n">
        <v>13</v>
      </c>
      <c r="I140" s="55" t="n">
        <v>106</v>
      </c>
      <c r="J140" s="56" t="n">
        <v>3.3</v>
      </c>
      <c r="K140" s="56" t="inlineStr">
        <is>
          <t>https://amazon.com/dp/B0BZQ4S8LN</t>
        </is>
      </c>
      <c r="L140" s="34">
        <f>HYPERLINK(DieselLaptops_1[[#This Row],[Column1]])</f>
        <v/>
      </c>
    </row>
    <row r="141" ht="30" customHeight="1" s="290">
      <c r="A141" s="30" t="inlineStr">
        <is>
          <t>Diesel Laptops Handheld Heavy-Duty Diesel Diagnostic Scan Tool with DPF Regen</t>
        </is>
      </c>
      <c r="B141" s="30" t="inlineStr">
        <is>
          <t>B09MG9KMKZ</t>
        </is>
      </c>
      <c r="C141" s="30" t="inlineStr">
        <is>
          <t>Handheld</t>
        </is>
      </c>
      <c r="D141" s="324" t="n">
        <v>190.7825</v>
      </c>
      <c r="E141" s="53" t="n">
        <v>20298.73615384616</v>
      </c>
      <c r="F141" s="53" t="n">
        <v>2289.39</v>
      </c>
      <c r="G141" s="55" t="n">
        <v>46</v>
      </c>
      <c r="H141" s="57" t="n">
        <v>12</v>
      </c>
      <c r="I141" s="55" t="n">
        <v>59</v>
      </c>
      <c r="J141" s="56" t="n">
        <v>3.5</v>
      </c>
      <c r="K141" s="56" t="inlineStr">
        <is>
          <t>https://amazon.com/dp/B09MG9KMKZ</t>
        </is>
      </c>
      <c r="L141" s="34">
        <f>HYPERLINK(DieselLaptops_1[[#This Row],[Column1]])</f>
        <v/>
      </c>
    </row>
    <row r="142" ht="45" customHeight="1" s="290">
      <c r="A142" s="30" t="inlineStr">
        <is>
          <t>Diesel Laptops Nexiq CAN 3 to CAN 1 Crossover Cable for USB Link 2 and Link 3 with Diesel Explorer.</t>
        </is>
      </c>
      <c r="B142" s="30" t="inlineStr">
        <is>
          <t>B0BWNN673P</t>
        </is>
      </c>
      <c r="C142" s="30" t="inlineStr">
        <is>
          <t>Cable/Adapter</t>
        </is>
      </c>
      <c r="D142" s="324" t="n">
        <v>174.179</v>
      </c>
      <c r="E142" s="53" t="n">
        <v>14672.98</v>
      </c>
      <c r="F142" s="53" t="n">
        <v>1741.79</v>
      </c>
      <c r="G142" s="55" t="n">
        <v>85</v>
      </c>
      <c r="H142" s="57" t="n">
        <v>10</v>
      </c>
      <c r="I142" s="55" t="n">
        <v>5</v>
      </c>
      <c r="J142" s="56" t="n">
        <v>4.8</v>
      </c>
      <c r="K142" s="56" t="inlineStr">
        <is>
          <t>https://amazon.com/dp/B0BWNN673P</t>
        </is>
      </c>
      <c r="L142" s="34">
        <f>HYPERLINK(DieselLaptops_1[[#This Row],[Column1]])</f>
        <v/>
      </c>
    </row>
    <row r="143" ht="45" customHeight="1" s="290">
      <c r="A143" s="30" t="inlineStr">
        <is>
          <t>Diesel Laptops Nexiq Universal PLC Adapter for Trailers with Diesel Explorer</t>
        </is>
      </c>
      <c r="B143" s="30" t="inlineStr">
        <is>
          <t>B0BWYSR2XC</t>
        </is>
      </c>
      <c r="C143" s="30" t="inlineStr">
        <is>
          <t>Cable/Adapter</t>
        </is>
      </c>
      <c r="D143" s="324" t="n">
        <v>347.0671428571428</v>
      </c>
      <c r="E143" s="53" t="n">
        <v>7631.52</v>
      </c>
      <c r="F143" s="53" t="n">
        <v>2429.47</v>
      </c>
      <c r="G143" s="55" t="n">
        <v>22</v>
      </c>
      <c r="H143" s="57" t="n">
        <v>7</v>
      </c>
      <c r="I143" s="55" t="n"/>
      <c r="J143" s="56" t="n"/>
      <c r="K143" s="56" t="inlineStr">
        <is>
          <t>https://amazon.com/dp/B0BWYSR2XC</t>
        </is>
      </c>
      <c r="L143" s="34">
        <f>HYPERLINK(DieselLaptops_1[[#This Row],[Column1]])</f>
        <v/>
      </c>
    </row>
    <row r="144" ht="45" customHeight="1" s="290">
      <c r="A144" s="30" t="inlineStr">
        <is>
          <t>Diesel Laptops 9-pin to Standard OBDII Converter Adapter</t>
        </is>
      </c>
      <c r="B144" s="30" t="inlineStr">
        <is>
          <t>B07JGCHBTG</t>
        </is>
      </c>
      <c r="C144" s="30" t="inlineStr">
        <is>
          <t>Cable/Adapter</t>
        </is>
      </c>
      <c r="D144" s="324" t="n">
        <v>58.33833333333333</v>
      </c>
      <c r="E144" s="53" t="n">
        <v>2948.11</v>
      </c>
      <c r="F144" s="53" t="n">
        <v>350.03</v>
      </c>
      <c r="G144" s="55" t="n">
        <v>49</v>
      </c>
      <c r="H144" s="57" t="n">
        <v>6</v>
      </c>
      <c r="I144" s="55" t="n">
        <v>16</v>
      </c>
      <c r="J144" s="56" t="n">
        <v>4.1</v>
      </c>
      <c r="K144" s="56" t="inlineStr">
        <is>
          <t>https://amazon.com/dp/B07JGCHBTG</t>
        </is>
      </c>
      <c r="L144" s="34">
        <f>HYPERLINK(DieselLaptops_1[[#This Row],[Column1]])</f>
        <v/>
      </c>
    </row>
    <row r="145" ht="45" customHeight="1" s="290">
      <c r="A145" s="30" t="inlineStr">
        <is>
          <t>Diesel Laptops Nexiq Volvo 14 Pin Cable for USB Link 2 and Link 3 with Diesel Explorer.</t>
        </is>
      </c>
      <c r="B145" s="30" t="inlineStr">
        <is>
          <t>B0BWKWQJJW</t>
        </is>
      </c>
      <c r="C145" s="30" t="inlineStr">
        <is>
          <t>Cable/Adapter</t>
        </is>
      </c>
      <c r="D145" s="324" t="n">
        <v>199</v>
      </c>
      <c r="E145" s="53" t="n">
        <v>1157.052307692308</v>
      </c>
      <c r="F145" s="53" t="n">
        <v>199</v>
      </c>
      <c r="G145" s="55" t="n">
        <v>5</v>
      </c>
      <c r="H145" s="57" t="n">
        <v>1</v>
      </c>
      <c r="I145" s="55" t="n"/>
      <c r="J145" s="56" t="n"/>
      <c r="K145" s="56" t="inlineStr">
        <is>
          <t>https://amazon.com/dp/B0BWKWQJJW</t>
        </is>
      </c>
      <c r="L145" s="34">
        <f>HYPERLINK(DieselLaptops_1[[#This Row],[Column1]])</f>
        <v/>
      </c>
    </row>
    <row r="146" ht="60" customHeight="1" s="290">
      <c r="A146" s="30" t="inlineStr">
        <is>
          <t>Diesel Laptops Nexiq Detroit DDEC Marine 6 Pin Cable for USB Link 2 and Link 3 with Diesel Explorer</t>
        </is>
      </c>
      <c r="B146" s="30" t="inlineStr">
        <is>
          <t>B0BWK96V8H</t>
        </is>
      </c>
      <c r="C146" s="30" t="inlineStr">
        <is>
          <t>Cable/Adapter</t>
        </is>
      </c>
      <c r="D146" s="324" t="n">
        <v>253.64</v>
      </c>
      <c r="E146" s="53" t="n">
        <v>3505.28</v>
      </c>
      <c r="F146" s="53" t="n">
        <v>253.64</v>
      </c>
      <c r="G146" s="55" t="n">
        <v>19</v>
      </c>
      <c r="H146" s="57" t="n">
        <v>1</v>
      </c>
      <c r="I146" s="55" t="n">
        <v>1</v>
      </c>
      <c r="J146" s="56" t="n">
        <v>1</v>
      </c>
      <c r="K146" s="56" t="inlineStr">
        <is>
          <t>https://amazon.com/dp/B0BWK96V8H</t>
        </is>
      </c>
      <c r="L146" s="34">
        <f>HYPERLINK(DieselLaptops_1[[#This Row],[Column1]])</f>
        <v/>
      </c>
    </row>
    <row r="147" ht="45" customHeight="1" s="290">
      <c r="A147" s="30" t="inlineStr">
        <is>
          <t>Diesel Laptops Nexiq 6 Pin to 9 Pin Deutsch Adapter for USB Link 2 and Link 3 with Diesel Explorer.</t>
        </is>
      </c>
      <c r="B147" s="30" t="inlineStr">
        <is>
          <t>B0BWNNVPH5</t>
        </is>
      </c>
      <c r="C147" s="30" t="inlineStr">
        <is>
          <t>Cable/Adapter</t>
        </is>
      </c>
      <c r="D147" s="324" t="n">
        <v>182.26</v>
      </c>
      <c r="E147" s="53" t="n">
        <v>2070.96</v>
      </c>
      <c r="F147" s="53" t="n">
        <v>182.26</v>
      </c>
      <c r="G147" s="55" t="n">
        <v>13</v>
      </c>
      <c r="H147" s="57" t="n">
        <v>1</v>
      </c>
      <c r="I147" s="55" t="n"/>
      <c r="J147" s="56" t="n"/>
      <c r="K147" s="56" t="inlineStr">
        <is>
          <t>https://amazon.com/dp/B0BWNNVPH5</t>
        </is>
      </c>
      <c r="L147" s="34">
        <f>HYPERLINK(DieselLaptops_1[[#This Row],[Column1]])</f>
        <v/>
      </c>
    </row>
    <row r="148" ht="45" customHeight="1" s="290">
      <c r="A148" s="30" t="inlineStr">
        <is>
          <t>Diesel Handheld 2.0</t>
        </is>
      </c>
      <c r="B148" s="30" t="inlineStr">
        <is>
          <t>B0FCZRFPBD</t>
        </is>
      </c>
      <c r="C148" s="30" t="inlineStr">
        <is>
          <t>Handheld</t>
        </is>
      </c>
      <c r="D148" s="324" t="n">
        <v>545.76</v>
      </c>
      <c r="E148" s="53" t="n">
        <v>28754.85384615385</v>
      </c>
      <c r="F148" s="53" t="n">
        <v>545.76</v>
      </c>
      <c r="G148" s="55" t="n">
        <v>38</v>
      </c>
      <c r="H148" s="57" t="n">
        <v>1</v>
      </c>
      <c r="I148" s="55" t="n">
        <v>1</v>
      </c>
      <c r="J148" s="56" t="n">
        <v>5</v>
      </c>
      <c r="K148" s="56" t="inlineStr">
        <is>
          <t>https://amazon.com/dp/B0FCZRFPBD</t>
        </is>
      </c>
      <c r="L148" s="34">
        <f>HYPERLINK(DieselLaptops_1[[#This Row],[Column1]])</f>
        <v/>
      </c>
    </row>
    <row r="149" ht="45" customHeight="1" s="290">
      <c r="A149" s="30" t="inlineStr">
        <is>
          <t>Diesel Laptops Nexiq 9 Pin Deutsch Adapter for USB Link 2 and Link 3 with Diesel Explorer.</t>
        </is>
      </c>
      <c r="B149" s="30" t="inlineStr">
        <is>
          <t>B0BWNGNX8M</t>
        </is>
      </c>
      <c r="C149" s="30" t="inlineStr">
        <is>
          <t>Cable/Adapter</t>
        </is>
      </c>
      <c r="D149" s="324" t="n">
        <v>180</v>
      </c>
      <c r="E149" s="53" t="n">
        <v>4022.29</v>
      </c>
      <c r="F149" s="53" t="n">
        <v>0</v>
      </c>
      <c r="G149" s="55" t="n">
        <v>22</v>
      </c>
      <c r="H149" s="57" t="n">
        <v>0</v>
      </c>
      <c r="I149" s="55" t="n"/>
      <c r="J149" s="56" t="n"/>
      <c r="K149" s="56" t="inlineStr">
        <is>
          <t>https://amazon.com/dp/B0BWNGNX8M</t>
        </is>
      </c>
      <c r="L149" s="34">
        <f>HYPERLINK(DieselLaptops_1[[#This Row],[Column1]])</f>
        <v/>
      </c>
    </row>
    <row r="150" ht="45" customHeight="1" s="290">
      <c r="A150" s="30" t="inlineStr">
        <is>
          <t>Diesel Laptops Diesel Handheld Pro with Diesel Explorer</t>
        </is>
      </c>
      <c r="B150" s="30" t="inlineStr">
        <is>
          <t>B0BXZ87GYD</t>
        </is>
      </c>
      <c r="C150" s="30" t="inlineStr">
        <is>
          <t>Handheld</t>
        </is>
      </c>
      <c r="D150" s="324" t="n">
        <v>1387.7</v>
      </c>
      <c r="E150" s="53" t="n">
        <v>13778.19</v>
      </c>
      <c r="F150" s="53" t="n">
        <v>0</v>
      </c>
      <c r="G150" s="55" t="n">
        <v>10</v>
      </c>
      <c r="H150" s="57" t="n">
        <v>0</v>
      </c>
      <c r="I150" s="55" t="n">
        <v>1</v>
      </c>
      <c r="J150" s="56" t="n">
        <v>5</v>
      </c>
      <c r="K150" s="56" t="inlineStr">
        <is>
          <t>https://amazon.com/dp/B0BXZ87GYD</t>
        </is>
      </c>
      <c r="L150" s="34">
        <f>HYPERLINK(DieselLaptops_1[[#This Row],[Column1]])</f>
        <v/>
      </c>
    </row>
    <row r="151" ht="45" customHeight="1" s="290">
      <c r="A151" s="30" t="inlineStr">
        <is>
          <t>Diesel Laptops Nexiq USB Link 3 Wireless Bluetooth WiFi Edition 121052</t>
        </is>
      </c>
      <c r="B151" s="30" t="inlineStr">
        <is>
          <t>B0GMKLRFBP</t>
        </is>
      </c>
      <c r="C151" s="30" t="inlineStr">
        <is>
          <t>Cable/Adapter</t>
        </is>
      </c>
      <c r="D151" s="324" t="n">
        <v>799</v>
      </c>
      <c r="E151" s="53" t="n">
        <v>0</v>
      </c>
      <c r="F151" s="53" t="n">
        <v>0</v>
      </c>
      <c r="G151" s="55" t="n">
        <v>0</v>
      </c>
      <c r="H151" s="57" t="n">
        <v>0</v>
      </c>
      <c r="I151" s="55" t="n"/>
      <c r="J151" s="56" t="n"/>
      <c r="K151" s="56" t="inlineStr">
        <is>
          <t>https://amazon.com/dp/B0GMKLRFBP</t>
        </is>
      </c>
      <c r="L151" s="34">
        <f>HYPERLINK(DieselLaptops_1[[#This Row],[Column1]])</f>
        <v/>
      </c>
    </row>
    <row r="152" ht="45" customHeight="1" s="290">
      <c r="A152" s="30" t="inlineStr">
        <is>
          <t>Diesel Laptops 9 Pin to 6 Pin Converter Adapter with Diesel Explorer</t>
        </is>
      </c>
      <c r="B152" s="30" t="inlineStr">
        <is>
          <t>B0BXT1NHFY</t>
        </is>
      </c>
      <c r="C152" s="30" t="inlineStr">
        <is>
          <t>Other</t>
        </is>
      </c>
      <c r="D152" s="324" t="n">
        <v>74.89</v>
      </c>
      <c r="E152" s="53" t="n">
        <v>1477.705</v>
      </c>
      <c r="F152" s="53" t="n">
        <v>0</v>
      </c>
      <c r="G152" s="55" t="n">
        <v>19</v>
      </c>
      <c r="H152" s="57" t="n">
        <v>0</v>
      </c>
      <c r="I152" s="55" t="n">
        <v>3</v>
      </c>
      <c r="J152" s="56" t="n">
        <v>4.6</v>
      </c>
      <c r="K152" s="56" t="inlineStr">
        <is>
          <t>https://amazon.com/dp/B0BXT1NHFY</t>
        </is>
      </c>
      <c r="L152" s="34">
        <f>HYPERLINK(DieselLaptops_1[[#This Row],[Column1]])</f>
        <v/>
      </c>
    </row>
    <row r="153" ht="60" customHeight="1" s="290">
      <c r="A153" s="30" t="inlineStr">
        <is>
          <t>Diesel Laptops Bendix ABS Trailer Remote Diagnostic Unit (TRDU) with Diesel Explorer</t>
        </is>
      </c>
      <c r="B153" s="30" t="inlineStr">
        <is>
          <t>B0BXV8FS77</t>
        </is>
      </c>
      <c r="C153" s="30" t="inlineStr">
        <is>
          <t>Other</t>
        </is>
      </c>
      <c r="D153" s="324" t="n">
        <v>460.06</v>
      </c>
      <c r="E153" s="53" t="n">
        <v>1529.84</v>
      </c>
      <c r="F153" s="53" t="n">
        <v>0</v>
      </c>
      <c r="G153" s="55" t="n">
        <v>4</v>
      </c>
      <c r="H153" s="57" t="n">
        <v>0</v>
      </c>
      <c r="I153" s="55" t="n"/>
      <c r="J153" s="56" t="n"/>
      <c r="K153" s="56" t="inlineStr">
        <is>
          <t>https://amazon.com/dp/B0BXV8FS77</t>
        </is>
      </c>
      <c r="L153" s="34">
        <f>HYPERLINK(DieselLaptops_1[[#This Row],[Column1]])</f>
        <v/>
      </c>
    </row>
    <row r="154" ht="45" customHeight="1" s="290">
      <c r="A154" s="30" t="n"/>
      <c r="B154" s="30" t="n"/>
      <c r="C154" s="30" t="n"/>
      <c r="D154" s="324" t="n"/>
      <c r="E154" s="53" t="n"/>
      <c r="F154" s="53" t="n"/>
      <c r="G154" s="55" t="n"/>
      <c r="H154" s="57" t="n"/>
      <c r="I154" s="55" t="n"/>
      <c r="J154" s="56" t="n"/>
      <c r="K154" s="56" t="n"/>
      <c r="L154" s="34">
        <f>HYPERLINK(Table65[[#This Row],[Column1]])</f>
        <v/>
      </c>
    </row>
    <row r="155" ht="45" customHeight="1" s="290">
      <c r="A155" s="30" t="n"/>
      <c r="B155" s="30" t="n"/>
      <c r="C155" s="30" t="n"/>
      <c r="D155" s="324" t="n"/>
      <c r="E155" s="53" t="n"/>
      <c r="F155" s="53" t="n"/>
      <c r="G155" s="55" t="n"/>
      <c r="H155" s="57" t="n"/>
      <c r="I155" s="55" t="n"/>
      <c r="J155" s="56" t="n"/>
      <c r="K155" s="56" t="n"/>
      <c r="L155" s="34">
        <f>HYPERLINK(Table65[[#This Row],[Column1]])</f>
        <v/>
      </c>
    </row>
    <row r="156" ht="45" customHeight="1" s="290">
      <c r="A156" s="30" t="n"/>
      <c r="B156" s="30" t="n"/>
      <c r="C156" s="30" t="n"/>
      <c r="D156" s="324" t="n"/>
      <c r="E156" s="53" t="n"/>
      <c r="F156" s="53" t="n"/>
      <c r="G156" s="55" t="n"/>
      <c r="H156" s="57" t="n"/>
      <c r="I156" s="55" t="n"/>
      <c r="J156" s="56" t="n"/>
      <c r="K156" s="56" t="n"/>
      <c r="L156" s="34">
        <f>HYPERLINK(Table65[[#This Row],[Column1]])</f>
        <v/>
      </c>
    </row>
    <row r="157" ht="45" customHeight="1" s="290">
      <c r="A157" s="30" t="n"/>
      <c r="B157" s="30" t="n"/>
      <c r="C157" s="30" t="n"/>
      <c r="D157" s="324" t="n"/>
      <c r="E157" s="53" t="n"/>
      <c r="F157" s="53" t="n"/>
      <c r="G157" s="55" t="n"/>
      <c r="H157" s="57" t="n"/>
      <c r="I157" s="55" t="n"/>
      <c r="J157" s="56" t="n"/>
      <c r="K157" s="56" t="n"/>
      <c r="L157" s="34">
        <f>HYPERLINK(Table65[[#This Row],[Column1]])</f>
        <v/>
      </c>
    </row>
    <row r="158" ht="45" customHeight="1" s="290">
      <c r="A158" s="30" t="n"/>
      <c r="B158" s="30" t="n"/>
      <c r="C158" s="30" t="n"/>
      <c r="D158" s="324" t="n"/>
      <c r="E158" s="53" t="n"/>
      <c r="F158" s="53" t="n"/>
      <c r="G158" s="55" t="n"/>
      <c r="H158" s="57" t="n"/>
      <c r="I158" s="55" t="n"/>
      <c r="J158" s="56" t="n"/>
      <c r="K158" s="56" t="n"/>
      <c r="L158" s="34">
        <f>HYPERLINK(Table65[[#This Row],[Column1]])</f>
        <v/>
      </c>
    </row>
    <row r="159" ht="45" customHeight="1" s="290">
      <c r="A159" s="30" t="n"/>
      <c r="B159" s="30" t="n"/>
      <c r="C159" s="30" t="n"/>
      <c r="D159" s="324" t="n"/>
      <c r="E159" s="53" t="n"/>
      <c r="F159" s="53" t="n"/>
      <c r="G159" s="55" t="n"/>
      <c r="H159" s="57" t="n"/>
      <c r="I159" s="55" t="n"/>
      <c r="J159" s="56" t="n"/>
      <c r="K159" s="56" t="n"/>
      <c r="L159" s="34">
        <f>HYPERLINK(Table65[[#This Row],[Column1]])</f>
        <v/>
      </c>
    </row>
    <row r="160" ht="45" customHeight="1" s="290">
      <c r="A160" s="30" t="n"/>
      <c r="B160" s="30" t="n"/>
      <c r="C160" s="30" t="n"/>
      <c r="D160" s="324" t="n"/>
      <c r="E160" s="53" t="n"/>
      <c r="F160" s="53" t="n"/>
      <c r="G160" s="55" t="n"/>
      <c r="H160" s="57" t="n"/>
      <c r="I160" s="55" t="n"/>
      <c r="J160" s="56" t="n"/>
      <c r="K160" s="56" t="n"/>
      <c r="L160" s="34">
        <f>HYPERLINK(Table65[[#This Row],[Column1]])</f>
        <v/>
      </c>
    </row>
    <row r="161" ht="60" customHeight="1" s="290">
      <c r="A161" s="30" t="n"/>
      <c r="B161" s="30" t="n"/>
      <c r="C161" s="30" t="n"/>
      <c r="D161" s="324" t="n"/>
      <c r="E161" s="53" t="n"/>
      <c r="F161" s="53" t="n"/>
      <c r="G161" s="55" t="n"/>
      <c r="H161" s="57" t="n"/>
      <c r="I161" s="55" t="n"/>
      <c r="J161" s="56" t="n"/>
      <c r="K161" s="56" t="n"/>
      <c r="L161" s="34">
        <f>HYPERLINK(Table65[[#This Row],[Column1]])</f>
        <v/>
      </c>
    </row>
    <row r="162" ht="45" customHeight="1" s="290">
      <c r="A162" s="30" t="n"/>
      <c r="B162" s="30" t="n"/>
      <c r="C162" s="30" t="n"/>
      <c r="D162" s="324" t="n"/>
      <c r="E162" s="53" t="n"/>
      <c r="F162" s="53" t="n"/>
      <c r="G162" s="55" t="n"/>
      <c r="H162" s="57" t="n"/>
      <c r="I162" s="55" t="n"/>
      <c r="J162" s="56" t="n"/>
      <c r="K162" s="56" t="n"/>
      <c r="L162" s="34">
        <f>HYPERLINK(Table65[[#This Row],[Column1]])</f>
        <v/>
      </c>
    </row>
    <row r="163" ht="45" customHeight="1" s="290">
      <c r="A163" s="30" t="n"/>
      <c r="B163" s="30" t="n"/>
      <c r="C163" s="30" t="n"/>
      <c r="D163" s="324" t="n"/>
      <c r="E163" s="53" t="n"/>
      <c r="F163" s="53" t="n"/>
      <c r="G163" s="55" t="n"/>
      <c r="H163" s="57" t="n"/>
      <c r="I163" s="55" t="n"/>
      <c r="J163" s="56" t="n"/>
      <c r="K163" s="56" t="n"/>
      <c r="L163" s="34">
        <f>HYPERLINK(Table65[[#This Row],[Column1]])</f>
        <v/>
      </c>
    </row>
    <row r="164" ht="45" customHeight="1" s="290">
      <c r="A164" s="30" t="n"/>
      <c r="B164" s="30" t="n"/>
      <c r="C164" s="30" t="n"/>
      <c r="D164" s="324" t="n"/>
      <c r="E164" s="53" t="n"/>
      <c r="F164" s="53" t="n"/>
      <c r="G164" s="55" t="n"/>
      <c r="H164" s="57" t="n"/>
      <c r="I164" s="55" t="n"/>
      <c r="J164" s="56" t="n"/>
      <c r="K164" s="56" t="n"/>
      <c r="L164" s="34">
        <f>HYPERLINK(Table65[[#This Row],[Column1]])</f>
        <v/>
      </c>
    </row>
    <row r="165" ht="45" customHeight="1" s="290">
      <c r="A165" s="30" t="n"/>
      <c r="B165" s="30" t="n"/>
      <c r="C165" s="30" t="n"/>
      <c r="D165" s="324" t="n"/>
      <c r="E165" s="53" t="n"/>
      <c r="F165" s="53" t="n"/>
      <c r="G165" s="55" t="n"/>
      <c r="H165" s="57" t="n"/>
      <c r="I165" s="55" t="n"/>
      <c r="J165" s="56" t="n"/>
      <c r="K165" s="56" t="n"/>
      <c r="L165" s="34">
        <f>HYPERLINK(Table65[[#This Row],[Column1]])</f>
        <v/>
      </c>
    </row>
    <row r="166" ht="45" customHeight="1" s="290">
      <c r="A166" s="30" t="n"/>
      <c r="B166" s="30" t="n"/>
      <c r="C166" s="30" t="n"/>
      <c r="D166" s="324" t="n"/>
      <c r="E166" s="53" t="n"/>
      <c r="F166" s="53" t="n"/>
      <c r="G166" s="55" t="n"/>
      <c r="H166" s="57" t="n"/>
      <c r="I166" s="55" t="n"/>
      <c r="J166" s="56" t="n"/>
      <c r="K166" s="56" t="n"/>
      <c r="L166" s="34">
        <f>HYPERLINK(Table65[[#This Row],[Column1]])</f>
        <v/>
      </c>
    </row>
    <row r="167" ht="45" customHeight="1" s="290">
      <c r="A167" s="30" t="n"/>
      <c r="B167" s="30" t="n"/>
      <c r="C167" s="30" t="n"/>
      <c r="D167" s="324" t="n"/>
      <c r="E167" s="53" t="n"/>
      <c r="F167" s="53" t="n"/>
      <c r="G167" s="55" t="n"/>
      <c r="H167" s="57" t="n"/>
      <c r="I167" s="55" t="n"/>
      <c r="J167" s="56" t="n"/>
      <c r="K167" s="56" t="n"/>
      <c r="L167" s="34">
        <f>HYPERLINK(Table65[[#This Row],[Column1]])</f>
        <v/>
      </c>
    </row>
    <row r="168" ht="45" customHeight="1" s="290">
      <c r="A168" s="30" t="n"/>
      <c r="B168" s="30" t="n"/>
      <c r="C168" s="30" t="n"/>
      <c r="D168" s="324" t="n"/>
      <c r="E168" s="53" t="n"/>
      <c r="F168" s="53" t="n"/>
      <c r="G168" s="55" t="n"/>
      <c r="H168" s="57" t="n"/>
      <c r="I168" s="55" t="n"/>
      <c r="J168" s="56" t="n"/>
      <c r="K168" s="56" t="n"/>
      <c r="L168" s="34">
        <f>HYPERLINK(Table65[[#This Row],[Column1]])</f>
        <v/>
      </c>
    </row>
    <row r="169" ht="45" customHeight="1" s="290">
      <c r="A169" s="30" t="n"/>
      <c r="B169" s="30" t="n"/>
      <c r="C169" s="30" t="n"/>
      <c r="D169" s="324" t="n"/>
      <c r="E169" s="53" t="n"/>
      <c r="F169" s="53" t="n"/>
      <c r="G169" s="55" t="n"/>
      <c r="H169" s="57" t="n"/>
      <c r="I169" s="55" t="n"/>
      <c r="J169" s="56" t="n"/>
      <c r="K169" s="56" t="n"/>
      <c r="L169" s="34">
        <f>HYPERLINK(Table65[[#This Row],[Column1]])</f>
        <v/>
      </c>
    </row>
    <row r="170" ht="30" customHeight="1" s="290">
      <c r="A170" s="30" t="n"/>
      <c r="B170" s="30" t="n"/>
      <c r="C170" s="30" t="n"/>
      <c r="D170" s="324" t="n"/>
      <c r="E170" s="53" t="n"/>
      <c r="F170" s="53" t="n"/>
      <c r="G170" s="55" t="n"/>
      <c r="H170" s="57" t="n"/>
      <c r="I170" s="55" t="n"/>
      <c r="J170" s="56" t="n"/>
      <c r="K170" s="56" t="n"/>
      <c r="L170" s="34">
        <f>HYPERLINK(Table65[[#This Row],[Column1]])</f>
        <v/>
      </c>
    </row>
    <row r="171" ht="45" customHeight="1" s="290">
      <c r="A171" s="30" t="n"/>
      <c r="B171" s="30" t="n"/>
      <c r="C171" s="30" t="n"/>
      <c r="D171" s="324" t="n"/>
      <c r="E171" s="53" t="n"/>
      <c r="F171" s="53" t="n"/>
      <c r="G171" s="55" t="n"/>
      <c r="H171" s="57" t="n"/>
      <c r="I171" s="55" t="n"/>
      <c r="J171" s="56" t="n"/>
      <c r="K171" s="56" t="n"/>
      <c r="L171" s="34">
        <f>HYPERLINK(Table65[[#This Row],[Column1]])</f>
        <v/>
      </c>
    </row>
    <row r="172" ht="45" customHeight="1" s="290">
      <c r="A172" s="30" t="n"/>
      <c r="B172" s="30" t="n"/>
      <c r="C172" s="30" t="n"/>
      <c r="D172" s="324" t="n"/>
      <c r="E172" s="53" t="n"/>
      <c r="F172" s="53" t="n"/>
      <c r="G172" s="55" t="n"/>
      <c r="H172" s="57" t="n"/>
      <c r="I172" s="55" t="n"/>
      <c r="J172" s="56" t="n"/>
      <c r="K172" s="56" t="n"/>
      <c r="L172" s="34">
        <f>HYPERLINK(Table65[[#This Row],[Column1]])</f>
        <v/>
      </c>
    </row>
    <row r="173" ht="45" customHeight="1" s="290">
      <c r="A173" s="30" t="n"/>
      <c r="B173" s="30" t="n"/>
      <c r="C173" s="30" t="n"/>
      <c r="D173" s="324" t="n"/>
      <c r="E173" s="53" t="n"/>
      <c r="F173" s="53" t="n"/>
      <c r="G173" s="55" t="n"/>
      <c r="H173" s="57" t="n"/>
      <c r="I173" s="55" t="n"/>
      <c r="J173" s="56" t="n"/>
      <c r="K173" s="56" t="n"/>
      <c r="L173" s="34">
        <f>HYPERLINK(Table65[[#This Row],[Column1]])</f>
        <v/>
      </c>
    </row>
    <row r="174" ht="45" customHeight="1" s="290">
      <c r="A174" s="30" t="n"/>
      <c r="B174" s="30" t="n"/>
      <c r="C174" s="30" t="n"/>
      <c r="D174" s="324" t="n"/>
      <c r="E174" s="53" t="n"/>
      <c r="F174" s="53" t="n"/>
      <c r="G174" s="55" t="n"/>
      <c r="H174" s="57" t="n"/>
      <c r="I174" s="55" t="n"/>
      <c r="J174" s="56" t="n"/>
      <c r="K174" s="56" t="n"/>
      <c r="L174" s="34">
        <f>HYPERLINK(Table65[[#This Row],[Column1]])</f>
        <v/>
      </c>
    </row>
    <row r="175" ht="45" customHeight="1" s="290">
      <c r="A175" s="30" t="n"/>
      <c r="B175" s="30" t="n"/>
      <c r="C175" s="30" t="n"/>
      <c r="D175" s="324" t="n"/>
      <c r="E175" s="53" t="n"/>
      <c r="F175" s="53" t="n"/>
      <c r="G175" s="55" t="n"/>
      <c r="H175" s="57" t="n"/>
      <c r="I175" s="55" t="n"/>
      <c r="J175" s="56" t="n"/>
      <c r="K175" s="56" t="n"/>
      <c r="L175" s="34">
        <f>HYPERLINK(Table65[[#This Row],[Column1]])</f>
        <v/>
      </c>
    </row>
    <row r="176" ht="60" customHeight="1" s="290">
      <c r="A176" s="30" t="n"/>
      <c r="B176" s="30" t="n"/>
      <c r="C176" s="30" t="n"/>
      <c r="D176" s="324" t="n"/>
      <c r="E176" s="53" t="n"/>
      <c r="F176" s="53" t="n"/>
      <c r="G176" s="55" t="n"/>
      <c r="H176" s="57" t="n"/>
      <c r="I176" s="55" t="n"/>
      <c r="J176" s="56" t="n"/>
      <c r="K176" s="56" t="n"/>
      <c r="L176" s="34">
        <f>HYPERLINK(Table65[[#This Row],[Column1]])</f>
        <v/>
      </c>
    </row>
    <row r="177" ht="45" customHeight="1" s="290">
      <c r="A177" s="30" t="n"/>
      <c r="B177" s="30" t="n"/>
      <c r="C177" s="30" t="n"/>
      <c r="D177" s="324" t="n"/>
      <c r="E177" s="53" t="n"/>
      <c r="F177" s="53" t="n"/>
      <c r="G177" s="55" t="n"/>
      <c r="H177" s="57" t="n"/>
      <c r="I177" s="55" t="n"/>
      <c r="J177" s="56" t="n"/>
      <c r="K177" s="56" t="n"/>
      <c r="L177" s="34">
        <f>HYPERLINK(Table65[[#This Row],[Column1]])</f>
        <v/>
      </c>
    </row>
    <row r="178" ht="45" customHeight="1" s="290">
      <c r="A178" s="30" t="n"/>
      <c r="B178" s="30" t="n"/>
      <c r="C178" s="30" t="n"/>
      <c r="D178" s="324" t="n"/>
      <c r="E178" s="53" t="n"/>
      <c r="F178" s="53" t="n"/>
      <c r="G178" s="55" t="n"/>
      <c r="H178" s="57" t="n"/>
      <c r="I178" s="55" t="n"/>
      <c r="J178" s="56" t="n"/>
      <c r="K178" s="56" t="n"/>
      <c r="L178" s="34">
        <f>HYPERLINK(Table65[[#This Row],[Column1]])</f>
        <v/>
      </c>
    </row>
    <row r="179" ht="30" customHeight="1" s="290">
      <c r="A179" s="30" t="n"/>
      <c r="B179" s="30" t="n"/>
      <c r="C179" s="30" t="n"/>
      <c r="D179" s="324" t="n"/>
      <c r="E179" s="53" t="n"/>
      <c r="F179" s="53" t="n"/>
      <c r="G179" s="55" t="n"/>
      <c r="H179" s="57" t="n"/>
      <c r="I179" s="55" t="n"/>
      <c r="J179" s="56" t="n"/>
      <c r="K179" s="56" t="n"/>
      <c r="L179" s="34">
        <f>HYPERLINK(Table65[[#This Row],[Column1]])</f>
        <v/>
      </c>
    </row>
    <row r="180" ht="45" customHeight="1" s="290">
      <c r="A180" s="30" t="n"/>
      <c r="B180" s="30" t="n"/>
      <c r="C180" s="30" t="n"/>
      <c r="D180" s="324" t="n"/>
      <c r="E180" s="53" t="n"/>
      <c r="F180" s="53" t="n"/>
      <c r="G180" s="55" t="n"/>
      <c r="H180" s="57" t="n"/>
      <c r="I180" s="55" t="n"/>
      <c r="J180" s="56" t="n"/>
      <c r="K180" s="56" t="n"/>
      <c r="L180" s="34">
        <f>HYPERLINK(Table65[[#This Row],[Column1]])</f>
        <v/>
      </c>
    </row>
    <row r="181" ht="45" customHeight="1" s="290">
      <c r="A181" s="30" t="n"/>
      <c r="B181" s="30" t="n"/>
      <c r="C181" s="30" t="n"/>
      <c r="D181" s="324" t="n"/>
      <c r="E181" s="53" t="n"/>
      <c r="F181" s="53" t="n"/>
      <c r="G181" s="55" t="n"/>
      <c r="H181" s="57" t="n"/>
      <c r="I181" s="55" t="n"/>
      <c r="J181" s="56" t="n"/>
      <c r="K181" s="56" t="n"/>
      <c r="L181" s="34">
        <f>HYPERLINK(Table65[[#This Row],[Column1]])</f>
        <v/>
      </c>
    </row>
    <row r="182" ht="45" customHeight="1" s="290">
      <c r="A182" s="30" t="n"/>
      <c r="B182" s="30" t="n"/>
      <c r="C182" s="30" t="n"/>
      <c r="D182" s="324" t="n"/>
      <c r="E182" s="53" t="n"/>
      <c r="F182" s="53" t="n"/>
      <c r="G182" s="55" t="n"/>
      <c r="H182" s="57" t="n"/>
      <c r="I182" s="55" t="n"/>
      <c r="J182" s="56" t="n"/>
      <c r="K182" s="56" t="n"/>
      <c r="L182" s="34">
        <f>HYPERLINK(Table65[[#This Row],[Column1]])</f>
        <v/>
      </c>
    </row>
    <row r="183" ht="45" customHeight="1" s="290">
      <c r="A183" s="30" t="n"/>
      <c r="B183" s="30" t="n"/>
      <c r="C183" s="30" t="n"/>
      <c r="D183" s="324" t="n"/>
      <c r="E183" s="53" t="n"/>
      <c r="F183" s="53" t="n"/>
      <c r="G183" s="55" t="n"/>
      <c r="H183" s="57" t="n"/>
      <c r="I183" s="55" t="n"/>
      <c r="J183" s="56" t="n"/>
      <c r="K183" s="56" t="n"/>
      <c r="L183" s="34">
        <f>HYPERLINK(Table65[[#This Row],[Column1]])</f>
        <v/>
      </c>
    </row>
    <row r="184" ht="45" customHeight="1" s="290">
      <c r="A184" s="30" t="n"/>
      <c r="B184" s="30" t="n"/>
      <c r="C184" s="30" t="n"/>
      <c r="D184" s="324" t="n"/>
      <c r="E184" s="53" t="n"/>
      <c r="F184" s="53" t="n"/>
      <c r="G184" s="55" t="n"/>
      <c r="H184" s="57" t="n"/>
      <c r="I184" s="55" t="n"/>
      <c r="J184" s="56" t="n"/>
      <c r="K184" s="56" t="n"/>
      <c r="L184" s="34">
        <f>HYPERLINK(Table65[[#This Row],[Column1]])</f>
        <v/>
      </c>
    </row>
    <row r="185" ht="45" customHeight="1" s="290">
      <c r="A185" s="30" t="n"/>
      <c r="B185" s="30" t="n"/>
      <c r="C185" s="30" t="n"/>
      <c r="D185" s="324" t="n"/>
      <c r="E185" s="53" t="n"/>
      <c r="F185" s="53" t="n"/>
      <c r="G185" s="55" t="n"/>
      <c r="H185" s="57" t="n"/>
      <c r="I185" s="55" t="n"/>
      <c r="J185" s="56" t="n"/>
      <c r="K185" s="56" t="n"/>
      <c r="L185" s="34">
        <f>HYPERLINK(Table65[[#This Row],[Column1]])</f>
        <v/>
      </c>
    </row>
    <row r="186" ht="60" customHeight="1" s="290">
      <c r="A186" s="30" t="n"/>
      <c r="B186" s="30" t="n"/>
      <c r="C186" s="30" t="n"/>
      <c r="D186" s="324" t="n"/>
      <c r="E186" s="53" t="n"/>
      <c r="F186" s="53" t="n"/>
      <c r="G186" s="55" t="n"/>
      <c r="H186" s="57" t="n"/>
      <c r="I186" s="55" t="n"/>
      <c r="J186" s="56" t="n"/>
      <c r="K186" s="56" t="n"/>
      <c r="L186" s="34">
        <f>HYPERLINK(Table65[[#This Row],[Column1]])</f>
        <v/>
      </c>
    </row>
    <row r="187" ht="45" customHeight="1" s="290">
      <c r="A187" s="30" t="n"/>
      <c r="B187" s="30" t="n"/>
      <c r="C187" s="30" t="n"/>
      <c r="D187" s="324" t="n"/>
      <c r="E187" s="53" t="n"/>
      <c r="F187" s="53" t="n"/>
      <c r="G187" s="55" t="n"/>
      <c r="H187" s="57" t="n"/>
      <c r="I187" s="55" t="n"/>
      <c r="J187" s="56" t="n"/>
      <c r="K187" s="56" t="n"/>
      <c r="L187" s="34">
        <f>HYPERLINK(Table65[[#This Row],[Column1]])</f>
        <v/>
      </c>
    </row>
    <row r="188" ht="45" customHeight="1" s="290">
      <c r="A188" s="30" t="n"/>
      <c r="B188" s="30" t="n"/>
      <c r="C188" s="30" t="n"/>
      <c r="D188" s="324" t="n"/>
      <c r="E188" s="53" t="n"/>
      <c r="F188" s="53" t="n"/>
      <c r="G188" s="55" t="n"/>
      <c r="H188" s="57" t="n"/>
      <c r="I188" s="55" t="n"/>
      <c r="J188" s="56" t="n"/>
      <c r="K188" s="56" t="n"/>
      <c r="L188" s="34">
        <f>HYPERLINK(Table65[[#This Row],[Column1]])</f>
        <v/>
      </c>
    </row>
    <row r="189" ht="45" customHeight="1" s="290">
      <c r="A189" s="30" t="n"/>
      <c r="B189" s="30" t="n"/>
      <c r="C189" s="30" t="n"/>
      <c r="D189" s="324" t="n"/>
      <c r="E189" s="53" t="n"/>
      <c r="F189" s="53" t="n"/>
      <c r="G189" s="55" t="n"/>
      <c r="H189" s="57" t="n"/>
      <c r="I189" s="55" t="n"/>
      <c r="J189" s="56" t="n"/>
      <c r="K189" s="56" t="n"/>
      <c r="L189" s="34">
        <f>HYPERLINK(Table65[[#This Row],[Column1]])</f>
        <v/>
      </c>
    </row>
    <row r="190" ht="60" customHeight="1" s="290">
      <c r="A190" s="30" t="n"/>
      <c r="B190" s="30" t="n"/>
      <c r="C190" s="30" t="n"/>
      <c r="D190" s="324" t="n"/>
      <c r="E190" s="53" t="n"/>
      <c r="F190" s="53" t="n"/>
      <c r="G190" s="55" t="n"/>
      <c r="H190" s="57" t="n"/>
      <c r="I190" s="55" t="n"/>
      <c r="J190" s="56" t="n"/>
      <c r="K190" s="56" t="n"/>
      <c r="L190" s="34">
        <f>HYPERLINK(Table65[[#This Row],[Column1]])</f>
        <v/>
      </c>
    </row>
    <row r="191" ht="45" customHeight="1" s="290">
      <c r="A191" s="30" t="n"/>
      <c r="B191" s="30" t="n"/>
      <c r="C191" s="30" t="n"/>
      <c r="D191" s="324" t="n"/>
      <c r="E191" s="53" t="n"/>
      <c r="F191" s="53" t="n"/>
      <c r="G191" s="55" t="n"/>
      <c r="H191" s="57" t="n"/>
      <c r="I191" s="55" t="n"/>
      <c r="J191" s="56" t="n"/>
      <c r="K191" s="56" t="n"/>
      <c r="L191" s="34">
        <f>HYPERLINK(Table65[[#This Row],[Column1]])</f>
        <v/>
      </c>
    </row>
    <row r="192" ht="45" customHeight="1" s="290">
      <c r="A192" s="30" t="n"/>
      <c r="B192" s="30" t="n"/>
      <c r="C192" s="30" t="n"/>
      <c r="D192" s="324" t="n"/>
      <c r="E192" s="53" t="n"/>
      <c r="F192" s="53" t="n"/>
      <c r="G192" s="55" t="n"/>
      <c r="H192" s="57" t="n"/>
      <c r="I192" s="55" t="n"/>
      <c r="J192" s="56" t="n"/>
      <c r="K192" s="56" t="n"/>
      <c r="L192" s="34">
        <f>HYPERLINK(Table65[[#This Row],[Column1]])</f>
        <v/>
      </c>
    </row>
    <row r="193" ht="60" customHeight="1" s="290">
      <c r="A193" s="30" t="n"/>
      <c r="B193" s="30" t="n"/>
      <c r="C193" s="30" t="n"/>
      <c r="D193" s="324" t="n"/>
      <c r="E193" s="53" t="n"/>
      <c r="F193" s="53" t="n"/>
      <c r="G193" s="55" t="n"/>
      <c r="H193" s="57" t="n"/>
      <c r="I193" s="55" t="n"/>
      <c r="J193" s="56" t="n"/>
      <c r="K193" s="56" t="n"/>
      <c r="L193" s="34">
        <f>HYPERLINK(Table65[[#This Row],[Column1]])</f>
        <v/>
      </c>
    </row>
    <row r="194" ht="45" customHeight="1" s="290">
      <c r="A194" s="30" t="n"/>
      <c r="B194" s="30" t="n"/>
      <c r="C194" s="30" t="n"/>
      <c r="D194" s="324" t="n"/>
      <c r="E194" s="53" t="n"/>
      <c r="F194" s="53" t="n"/>
      <c r="G194" s="55" t="n"/>
      <c r="H194" s="57" t="n"/>
      <c r="I194" s="55" t="n"/>
      <c r="J194" s="56" t="n"/>
      <c r="K194" s="56" t="n"/>
      <c r="L194" s="34">
        <f>HYPERLINK(Table65[[#This Row],[Column1]])</f>
        <v/>
      </c>
    </row>
    <row r="195" ht="45" customHeight="1" s="290">
      <c r="A195" s="30" t="n"/>
      <c r="B195" s="30" t="n"/>
      <c r="C195" s="30" t="n"/>
      <c r="D195" s="324" t="n"/>
      <c r="E195" s="53" t="n"/>
      <c r="F195" s="53" t="n"/>
      <c r="G195" s="55" t="n"/>
      <c r="H195" s="57" t="n"/>
      <c r="I195" s="55" t="n"/>
      <c r="J195" s="56" t="n"/>
      <c r="K195" s="56" t="n"/>
      <c r="L195" s="34">
        <f>HYPERLINK(Table65[[#This Row],[Column1]])</f>
        <v/>
      </c>
    </row>
    <row r="196" ht="45" customHeight="1" s="290">
      <c r="A196" s="30" t="n"/>
      <c r="B196" s="30" t="n"/>
      <c r="C196" s="30" t="n"/>
      <c r="D196" s="324" t="n"/>
      <c r="E196" s="53" t="n"/>
      <c r="F196" s="53" t="n"/>
      <c r="G196" s="55" t="n"/>
      <c r="H196" s="57" t="n"/>
      <c r="I196" s="55" t="n"/>
      <c r="J196" s="56" t="n"/>
      <c r="K196" s="56" t="n"/>
      <c r="L196" s="34">
        <f>HYPERLINK(Table65[[#This Row],[Column1]])</f>
        <v/>
      </c>
    </row>
    <row r="197" ht="45" customHeight="1" s="290">
      <c r="A197" s="30" t="n"/>
      <c r="B197" s="30" t="n"/>
      <c r="C197" s="30" t="n"/>
      <c r="D197" s="324" t="n"/>
      <c r="E197" s="53" t="n"/>
      <c r="F197" s="53" t="n"/>
      <c r="G197" s="55" t="n"/>
      <c r="H197" s="57" t="n"/>
      <c r="I197" s="55" t="n"/>
      <c r="J197" s="56" t="n"/>
      <c r="K197" s="56" t="n"/>
      <c r="L197" s="34">
        <f>HYPERLINK(Table65[[#This Row],[Column1]])</f>
        <v/>
      </c>
    </row>
    <row r="198" ht="45" customHeight="1" s="290">
      <c r="A198" s="30" t="n"/>
      <c r="B198" s="30" t="n"/>
      <c r="C198" s="30" t="n"/>
      <c r="D198" s="324" t="n"/>
      <c r="E198" s="53" t="n"/>
      <c r="F198" s="53" t="n"/>
      <c r="G198" s="55" t="n"/>
      <c r="H198" s="57" t="n"/>
      <c r="I198" s="55" t="n"/>
      <c r="J198" s="56" t="n"/>
      <c r="K198" s="56" t="n"/>
      <c r="L198" s="34">
        <f>HYPERLINK(Table65[[#This Row],[Column1]])</f>
        <v/>
      </c>
    </row>
    <row r="199" ht="45" customHeight="1" s="290">
      <c r="A199" s="30" t="n"/>
      <c r="B199" s="30" t="n"/>
      <c r="C199" s="30" t="n"/>
      <c r="D199" s="324" t="n"/>
      <c r="E199" s="53" t="n"/>
      <c r="F199" s="53" t="n"/>
      <c r="G199" s="55" t="n"/>
      <c r="H199" s="57" t="n"/>
      <c r="I199" s="55" t="n"/>
      <c r="J199" s="56" t="n"/>
      <c r="K199" s="56" t="n"/>
      <c r="L199" s="34">
        <f>HYPERLINK(Table65[[#This Row],[Column1]])</f>
        <v/>
      </c>
    </row>
    <row r="200" ht="45" customHeight="1" s="290">
      <c r="A200" s="30" t="n"/>
      <c r="B200" s="30" t="n"/>
      <c r="C200" s="30" t="n"/>
      <c r="D200" s="324" t="n"/>
      <c r="E200" s="53" t="n"/>
      <c r="F200" s="53" t="n"/>
      <c r="G200" s="55" t="n"/>
      <c r="H200" s="57" t="n"/>
      <c r="I200" s="55" t="n"/>
      <c r="J200" s="56" t="n"/>
      <c r="K200" s="56" t="n"/>
      <c r="L200" s="34">
        <f>HYPERLINK(Table65[[#This Row],[Column1]])</f>
        <v/>
      </c>
    </row>
    <row r="201" ht="45" customHeight="1" s="290">
      <c r="A201" s="30" t="n"/>
      <c r="B201" s="30" t="n"/>
      <c r="C201" s="30" t="n"/>
      <c r="D201" s="324" t="n"/>
      <c r="E201" s="53" t="n"/>
      <c r="F201" s="53" t="n"/>
      <c r="G201" s="55" t="n"/>
      <c r="H201" s="57" t="n"/>
      <c r="I201" s="55" t="n"/>
      <c r="J201" s="56" t="n"/>
      <c r="K201" s="56" t="n"/>
      <c r="L201" s="34">
        <f>HYPERLINK(Table65[[#This Row],[Column1]])</f>
        <v/>
      </c>
    </row>
    <row r="202" ht="45" customHeight="1" s="290">
      <c r="A202" s="30" t="n"/>
      <c r="B202" s="30" t="n"/>
      <c r="C202" s="30" t="n"/>
      <c r="D202" s="324" t="n"/>
      <c r="E202" s="53" t="n"/>
      <c r="F202" s="53" t="n"/>
      <c r="G202" s="55" t="n"/>
      <c r="H202" s="57" t="n"/>
      <c r="I202" s="55" t="n"/>
      <c r="J202" s="56" t="n"/>
      <c r="K202" s="56" t="n"/>
      <c r="L202" s="34">
        <f>HYPERLINK(Table65[[#This Row],[Column1]])</f>
        <v/>
      </c>
    </row>
    <row r="203" ht="45" customHeight="1" s="290">
      <c r="A203" s="30" t="n"/>
      <c r="B203" s="30" t="n"/>
      <c r="C203" s="30" t="n"/>
      <c r="D203" s="324" t="n"/>
      <c r="E203" s="53" t="n"/>
      <c r="F203" s="53" t="n"/>
      <c r="G203" s="55" t="n"/>
      <c r="H203" s="57" t="n"/>
      <c r="I203" s="55" t="n"/>
      <c r="J203" s="56" t="n"/>
      <c r="K203" s="56" t="n"/>
      <c r="L203" s="34">
        <f>HYPERLINK(Table65[[#This Row],[Column1]])</f>
        <v/>
      </c>
    </row>
    <row r="204" ht="17" customHeight="1" s="290">
      <c r="A204" s="30" t="n"/>
      <c r="B204" s="30" t="n"/>
      <c r="C204" s="30" t="n"/>
      <c r="D204" s="324" t="n"/>
      <c r="E204" s="53" t="n"/>
      <c r="F204" s="53" t="n"/>
      <c r="G204" s="55" t="n"/>
      <c r="H204" s="57" t="n"/>
      <c r="I204" s="55" t="n"/>
      <c r="J204" s="56" t="n"/>
      <c r="K204" s="56" t="n"/>
      <c r="L204" s="34">
        <f>HYPERLINK(Table65[[#This Row],[Column1]])</f>
        <v/>
      </c>
    </row>
    <row r="205" ht="30" customHeight="1" s="290">
      <c r="A205" s="30" t="n"/>
      <c r="B205" s="30" t="n"/>
      <c r="C205" s="30" t="n"/>
      <c r="D205" s="324" t="n"/>
      <c r="E205" s="53" t="n"/>
      <c r="F205" s="53" t="n"/>
      <c r="G205" s="55" t="n"/>
      <c r="H205" s="57" t="n"/>
      <c r="I205" s="55" t="n"/>
      <c r="J205" s="56" t="n"/>
      <c r="K205" s="56" t="n"/>
      <c r="L205" s="34">
        <f>HYPERLINK(Table65[[#This Row],[Column1]])</f>
        <v/>
      </c>
    </row>
    <row r="206" ht="45" customHeight="1" s="290">
      <c r="A206" s="30" t="n"/>
      <c r="B206" s="30" t="n"/>
      <c r="C206" s="30" t="n"/>
      <c r="D206" s="324" t="n"/>
      <c r="E206" s="53" t="n"/>
      <c r="F206" s="53" t="n"/>
      <c r="G206" s="55" t="n"/>
      <c r="H206" s="57" t="n"/>
      <c r="I206" s="55" t="n"/>
      <c r="J206" s="56" t="n"/>
      <c r="K206" s="56" t="n"/>
      <c r="L206" s="34">
        <f>HYPERLINK(Table65[[#This Row],[Column1]])</f>
        <v/>
      </c>
    </row>
    <row r="207" ht="45" customHeight="1" s="290">
      <c r="A207" s="30" t="n"/>
      <c r="B207" s="30" t="n"/>
      <c r="C207" s="30" t="n"/>
      <c r="D207" s="324" t="n"/>
      <c r="E207" s="53" t="n"/>
      <c r="F207" s="53" t="n"/>
      <c r="G207" s="55" t="n"/>
      <c r="H207" s="57" t="n"/>
      <c r="I207" s="55" t="n"/>
      <c r="J207" s="56" t="n"/>
      <c r="K207" s="56" t="n"/>
      <c r="L207" s="34">
        <f>HYPERLINK(Table65[[#This Row],[Column1]])</f>
        <v/>
      </c>
    </row>
    <row r="208" ht="17" customHeight="1" s="290">
      <c r="A208" s="33" t="inlineStr">
        <is>
          <t>Total</t>
        </is>
      </c>
      <c r="B208" s="32" t="n"/>
      <c r="C208" s="325" t="n"/>
      <c r="D208" s="59" t="n"/>
      <c r="E208" s="32" t="n"/>
      <c r="F208" s="32" t="n"/>
      <c r="G208" s="36">
        <f>SUM(G133:G207)</f>
        <v/>
      </c>
      <c r="H208" s="36">
        <f>SUM(H133:H207)</f>
        <v/>
      </c>
      <c r="I208" s="36" t="n"/>
      <c r="J208" s="167" t="n"/>
      <c r="K208" s="168" t="n"/>
      <c r="L208" s="32" t="n"/>
    </row>
  </sheetData>
  <mergeCells count="3">
    <mergeCell ref="A1:M5"/>
    <mergeCell ref="A131:L131"/>
    <mergeCell ref="A51:L51"/>
  </mergeCells>
  <pageMargins left="0.7" right="0.7" top="0.75" bottom="0.75" header="0.3" footer="0.3"/>
  <drawing xmlns:r="http://schemas.openxmlformats.org/officeDocument/2006/relationships" r:id="rId1"/>
  <tableParts count="2">
    <tablePart xmlns:r="http://schemas.openxmlformats.org/officeDocument/2006/relationships" r:id="rId2"/>
    <tablePart xmlns:r="http://schemas.openxmlformats.org/officeDocument/2006/relationships" r:id="rId3"/>
  </tableParts>
</worksheet>
</file>

<file path=xl/worksheets/sheet26.xml><?xml version="1.0" encoding="utf-8"?>
<worksheet xmlns="http://schemas.openxmlformats.org/spreadsheetml/2006/main">
  <sheetPr codeName="Sheet6">
    <outlinePr summaryBelow="1" summaryRight="1"/>
    <pageSetUpPr/>
  </sheetPr>
  <dimension ref="A1:Q208"/>
  <sheetViews>
    <sheetView workbookViewId="0">
      <selection activeCell="A1" sqref="A1"/>
    </sheetView>
  </sheetViews>
  <sheetFormatPr baseColWidth="10" defaultColWidth="10.83203125" defaultRowHeight="16"/>
  <cols>
    <col width="50.6640625" customWidth="1" style="284" min="1" max="1"/>
    <col width="12.6640625" customWidth="1" style="284" min="2" max="2"/>
    <col width="12.6640625" customWidth="1" style="320" min="3" max="3"/>
    <col width="11.1640625" customWidth="1" style="296" min="4" max="4"/>
    <col width="24.83203125" bestFit="1" customWidth="1" style="284" min="5" max="5"/>
    <col width="17.6640625" bestFit="1" customWidth="1" style="286" min="6" max="6"/>
    <col width="21.6640625" bestFit="1" customWidth="1" style="286" min="7" max="7"/>
    <col width="19.1640625" bestFit="1" customWidth="1" style="286" min="8" max="8"/>
    <col width="13.5" bestFit="1" customWidth="1" style="287" min="9" max="9"/>
    <col width="13" bestFit="1" customWidth="1" style="284" min="10" max="10"/>
    <col hidden="1" width="29" customWidth="1" style="284" min="11" max="11"/>
    <col width="35.6640625" customWidth="1" style="284" min="12" max="12"/>
    <col width="15.6640625" customWidth="1" style="284" min="13" max="13"/>
    <col width="10.83203125" customWidth="1" style="284" min="14" max="16384"/>
  </cols>
  <sheetData>
    <row r="1">
      <c r="A1" s="282" t="inlineStr">
        <is>
          <t>Edge Monthly Summary</t>
        </is>
      </c>
    </row>
    <row r="2"/>
    <row r="3"/>
    <row r="4"/>
    <row r="5"/>
    <row r="6">
      <c r="A6" s="29" t="n"/>
      <c r="B6" s="29" t="n"/>
      <c r="C6" s="321" t="n"/>
      <c r="D6" s="47" t="n"/>
      <c r="E6" s="48" t="n"/>
      <c r="F6" s="48" t="n"/>
      <c r="G6" s="48" t="n"/>
      <c r="H6" s="48" t="n"/>
      <c r="I6" s="49" t="n"/>
      <c r="J6" s="50" t="n"/>
    </row>
    <row r="7" ht="32" customHeight="1" s="290">
      <c r="A7" s="80" t="n"/>
      <c r="B7" s="81" t="inlineStr">
        <is>
          <t>Avg Price</t>
        </is>
      </c>
      <c r="C7" s="81" t="inlineStr">
        <is>
          <t>Avg Price MoM</t>
        </is>
      </c>
      <c r="D7" s="82" t="inlineStr">
        <is>
          <t>Avg Price YoY</t>
        </is>
      </c>
      <c r="E7" s="81" t="inlineStr">
        <is>
          <t>Quantity/Mo</t>
        </is>
      </c>
      <c r="F7" s="84" t="inlineStr">
        <is>
          <t>Qty by %</t>
        </is>
      </c>
      <c r="G7" s="84" t="inlineStr">
        <is>
          <t>Qty MoM</t>
        </is>
      </c>
      <c r="H7" s="82" t="inlineStr">
        <is>
          <t>Qty YoY</t>
        </is>
      </c>
      <c r="I7" s="309" t="inlineStr">
        <is>
          <t>Revenue/Mo</t>
        </is>
      </c>
      <c r="J7" s="126" t="inlineStr">
        <is>
          <t>Revenue by %</t>
        </is>
      </c>
      <c r="K7" s="173" t="n"/>
      <c r="L7" s="126" t="inlineStr">
        <is>
          <t>Revenue MoM</t>
        </is>
      </c>
      <c r="M7" s="310" t="inlineStr">
        <is>
          <t>Revenue YoY</t>
        </is>
      </c>
      <c r="N7" s="286" t="n"/>
      <c r="O7" s="286" t="n"/>
      <c r="P7" s="49" t="n"/>
      <c r="Q7" s="50" t="n"/>
    </row>
    <row r="8">
      <c r="A8" s="93" t="inlineStr">
        <is>
          <t>Tablet $800+</t>
        </is>
      </c>
      <c r="B8" s="298" t="n"/>
      <c r="C8" s="270" t="n"/>
      <c r="D8" s="271" t="n"/>
      <c r="E8" s="269" t="n">
        <v>0</v>
      </c>
      <c r="F8" s="270" t="n">
        <v>0</v>
      </c>
      <c r="G8" s="270" t="n"/>
      <c r="H8" s="271" t="n"/>
      <c r="I8" s="95" t="n">
        <v>0</v>
      </c>
      <c r="J8" s="128" t="n">
        <v>0</v>
      </c>
      <c r="L8" s="169" t="n"/>
      <c r="M8" s="169" t="n"/>
      <c r="N8" s="286" t="n"/>
      <c r="O8" s="286" t="n"/>
      <c r="P8" s="49" t="n"/>
      <c r="Q8" s="50" t="n"/>
    </row>
    <row r="9">
      <c r="A9" s="93" t="inlineStr">
        <is>
          <t>Tablet $400-$800</t>
        </is>
      </c>
      <c r="B9" s="298" t="n"/>
      <c r="C9" s="270" t="n"/>
      <c r="D9" s="271" t="n"/>
      <c r="E9" s="269" t="n">
        <v>0</v>
      </c>
      <c r="F9" s="270" t="n">
        <v>0</v>
      </c>
      <c r="G9" s="270" t="n"/>
      <c r="H9" s="271" t="n"/>
      <c r="I9" s="95" t="n">
        <v>0</v>
      </c>
      <c r="J9" s="128" t="n">
        <v>0</v>
      </c>
      <c r="L9" s="169" t="n"/>
      <c r="M9" s="169" t="n"/>
      <c r="N9" s="286" t="n"/>
      <c r="O9" s="286" t="n"/>
      <c r="P9" s="49" t="n"/>
      <c r="Q9" s="50" t="n"/>
    </row>
    <row r="10">
      <c r="A10" s="96" t="inlineStr">
        <is>
          <t>Tablet $400-</t>
        </is>
      </c>
      <c r="B10" s="299" t="n"/>
      <c r="C10" s="274" t="n"/>
      <c r="D10" s="275" t="n"/>
      <c r="E10" s="273" t="n">
        <v>0</v>
      </c>
      <c r="F10" s="274" t="n">
        <v>0</v>
      </c>
      <c r="G10" s="274" t="n"/>
      <c r="H10" s="275" t="n"/>
      <c r="I10" s="98" t="n">
        <v>0</v>
      </c>
      <c r="J10" s="127" t="n">
        <v>0</v>
      </c>
      <c r="L10" s="171" t="n"/>
      <c r="M10" s="171" t="n"/>
      <c r="N10" s="286" t="n"/>
      <c r="O10" s="286" t="n"/>
      <c r="P10" s="49" t="n"/>
      <c r="Q10" s="50" t="n"/>
    </row>
    <row r="11">
      <c r="A11" s="101" t="inlineStr">
        <is>
          <t>Total Tablet</t>
        </is>
      </c>
      <c r="B11" s="300" t="n"/>
      <c r="C11" s="112" t="n"/>
      <c r="D11" s="104" t="n"/>
      <c r="E11" s="116" t="n">
        <v>0</v>
      </c>
      <c r="F11" s="112" t="n">
        <v>0</v>
      </c>
      <c r="G11" s="112" t="n"/>
      <c r="H11" s="104" t="n"/>
      <c r="I11" s="103" t="n">
        <v>0</v>
      </c>
      <c r="J11" s="129" t="n">
        <v>0</v>
      </c>
      <c r="L11" s="170" t="n"/>
      <c r="M11" s="170" t="n"/>
      <c r="N11" s="286" t="n"/>
      <c r="O11" s="286" t="n"/>
      <c r="P11" s="49" t="n"/>
      <c r="Q11" s="50" t="n"/>
    </row>
    <row r="12">
      <c r="A12" s="93" t="inlineStr">
        <is>
          <t>Handheld $75+</t>
        </is>
      </c>
      <c r="B12" s="298" t="n"/>
      <c r="C12" s="270" t="n"/>
      <c r="D12" s="271" t="n"/>
      <c r="E12" s="269" t="n">
        <v>0</v>
      </c>
      <c r="F12" s="270" t="n">
        <v>0</v>
      </c>
      <c r="G12" s="270" t="n"/>
      <c r="H12" s="271" t="n"/>
      <c r="I12" s="95" t="n">
        <v>0</v>
      </c>
      <c r="J12" s="128" t="n">
        <v>0</v>
      </c>
      <c r="L12" s="169" t="n"/>
      <c r="M12" s="169" t="n"/>
      <c r="N12" s="286" t="n"/>
      <c r="O12" s="286" t="n"/>
      <c r="P12" s="49" t="n"/>
      <c r="Q12" s="50" t="n"/>
    </row>
    <row r="13">
      <c r="A13" s="96" t="inlineStr">
        <is>
          <t>Handheld $75-</t>
        </is>
      </c>
      <c r="B13" s="299" t="n"/>
      <c r="C13" s="274" t="n"/>
      <c r="D13" s="275" t="n"/>
      <c r="E13" s="273" t="n">
        <v>0</v>
      </c>
      <c r="F13" s="274" t="n">
        <v>0</v>
      </c>
      <c r="G13" s="274" t="n"/>
      <c r="H13" s="275" t="n"/>
      <c r="I13" s="98" t="n">
        <v>0</v>
      </c>
      <c r="J13" s="127" t="n">
        <v>0</v>
      </c>
      <c r="L13" s="171" t="n"/>
      <c r="M13" s="171" t="n"/>
      <c r="N13" s="286" t="n"/>
      <c r="O13" s="286" t="n"/>
      <c r="P13" s="49" t="n"/>
      <c r="Q13" s="50" t="n"/>
    </row>
    <row r="14">
      <c r="A14" s="101" t="inlineStr">
        <is>
          <t>Total Handheld</t>
        </is>
      </c>
      <c r="B14" s="300" t="n"/>
      <c r="C14" s="112" t="n"/>
      <c r="D14" s="104" t="n"/>
      <c r="E14" s="116" t="n">
        <v>0</v>
      </c>
      <c r="F14" s="112" t="n">
        <v>0</v>
      </c>
      <c r="G14" s="112" t="n"/>
      <c r="H14" s="104" t="n"/>
      <c r="I14" s="103" t="n">
        <v>0</v>
      </c>
      <c r="J14" s="129" t="n">
        <v>0</v>
      </c>
      <c r="L14" s="170" t="n"/>
      <c r="M14" s="170" t="n"/>
      <c r="N14" s="286" t="n"/>
      <c r="O14" s="286" t="n"/>
      <c r="P14" s="49" t="n"/>
      <c r="Q14" s="50" t="n"/>
    </row>
    <row r="15">
      <c r="A15" s="78" t="inlineStr">
        <is>
          <t>Total Dongle</t>
        </is>
      </c>
      <c r="B15" s="301" t="n"/>
      <c r="C15" s="113" t="n"/>
      <c r="D15" s="107" t="n"/>
      <c r="E15" s="99" t="n">
        <v>0</v>
      </c>
      <c r="F15" s="113" t="n">
        <v>0</v>
      </c>
      <c r="G15" s="113" t="n"/>
      <c r="H15" s="107" t="n"/>
      <c r="I15" s="76" t="n">
        <v>0</v>
      </c>
      <c r="J15" s="130" t="n">
        <v>0</v>
      </c>
      <c r="L15" s="174" t="n"/>
      <c r="M15" s="174" t="n"/>
      <c r="N15" s="286" t="n"/>
      <c r="O15" s="286" t="n"/>
      <c r="P15" s="49" t="n"/>
      <c r="Q15" s="50" t="n"/>
    </row>
    <row r="16">
      <c r="A16" s="78" t="inlineStr">
        <is>
          <t>Total Other Tools</t>
        </is>
      </c>
      <c r="B16" s="301" t="n">
        <v>446.7409403669724</v>
      </c>
      <c r="C16" s="113" t="n">
        <v>0.03156209569084267</v>
      </c>
      <c r="D16" s="107" t="n"/>
      <c r="E16" s="99" t="n">
        <v>436</v>
      </c>
      <c r="F16" s="113" t="n">
        <v>1</v>
      </c>
      <c r="G16" s="113" t="n">
        <v>-0.1880819366852886</v>
      </c>
      <c r="H16" s="107" t="n"/>
      <c r="I16" s="76" t="n">
        <v>194779.05</v>
      </c>
      <c r="J16" s="130" t="n">
        <v>1</v>
      </c>
      <c r="L16" s="174" t="n">
        <v>-0.162456101077826</v>
      </c>
      <c r="M16" s="174" t="n"/>
      <c r="N16" s="286" t="n"/>
      <c r="O16" s="286" t="n"/>
      <c r="P16" s="49" t="n"/>
      <c r="Q16" s="50" t="n"/>
    </row>
    <row r="17">
      <c r="A17" s="86" t="inlineStr">
        <is>
          <t>Total</t>
        </is>
      </c>
      <c r="B17" s="302" t="n">
        <v>446.7409403669724</v>
      </c>
      <c r="C17" s="109" t="n">
        <v>0.03156209569084267</v>
      </c>
      <c r="D17" s="108" t="n"/>
      <c r="E17" s="100" t="n">
        <v>436</v>
      </c>
      <c r="F17" s="109" t="n">
        <v>1</v>
      </c>
      <c r="G17" s="109" t="n">
        <v>-0.1880819366852886</v>
      </c>
      <c r="H17" s="108" t="n"/>
      <c r="I17" s="85" t="n">
        <v>194779.05</v>
      </c>
      <c r="J17" s="109" t="n">
        <v>1</v>
      </c>
      <c r="L17" s="172" t="n">
        <v>-0.162456101077826</v>
      </c>
      <c r="M17" s="172" t="n"/>
      <c r="N17" s="286" t="n"/>
      <c r="O17" s="286" t="n"/>
      <c r="P17" s="49" t="n"/>
      <c r="Q17" s="50" t="n"/>
    </row>
    <row r="18">
      <c r="A18" s="29" t="n"/>
      <c r="B18" s="29" t="n"/>
      <c r="C18" s="321" t="n"/>
      <c r="D18" s="47" t="n"/>
      <c r="E18" s="48" t="n"/>
      <c r="F18" s="48" t="n"/>
      <c r="G18" s="48" t="n"/>
      <c r="H18" s="48" t="n"/>
      <c r="I18" s="49" t="n"/>
      <c r="J18" s="50" t="n"/>
    </row>
    <row r="19">
      <c r="A19" s="29" t="n"/>
      <c r="B19" s="29" t="n"/>
      <c r="C19" s="321" t="n"/>
      <c r="D19" s="47" t="n"/>
      <c r="E19" s="48" t="n"/>
      <c r="F19" s="48" t="n"/>
      <c r="G19" s="48" t="n"/>
      <c r="H19" s="48" t="n"/>
      <c r="I19" s="49" t="n"/>
      <c r="J19" s="50" t="n"/>
    </row>
    <row r="20">
      <c r="A20" s="29" t="n"/>
      <c r="B20" s="29" t="n"/>
      <c r="C20" s="321" t="n"/>
      <c r="D20" s="47" t="n"/>
      <c r="E20" s="48" t="n"/>
      <c r="F20" s="48" t="n"/>
      <c r="G20" s="48" t="n"/>
      <c r="H20" s="48" t="n"/>
      <c r="I20" s="49" t="n"/>
      <c r="J20" s="50" t="n"/>
    </row>
    <row r="21">
      <c r="A21" s="29" t="n"/>
      <c r="B21" s="29" t="n"/>
      <c r="C21" s="321" t="n"/>
      <c r="D21" s="47" t="n"/>
      <c r="E21" s="48" t="n"/>
      <c r="F21" s="48" t="n"/>
      <c r="G21" s="48" t="n"/>
      <c r="H21" s="48" t="n"/>
      <c r="I21" s="49" t="n"/>
      <c r="J21" s="50" t="n"/>
    </row>
    <row r="22">
      <c r="A22" s="29" t="n"/>
      <c r="B22" s="29" t="n"/>
      <c r="C22" s="321" t="n"/>
      <c r="D22" s="47" t="n"/>
      <c r="E22" s="48" t="n"/>
      <c r="F22" s="48" t="n"/>
      <c r="G22" s="48" t="n"/>
      <c r="H22" s="48" t="n"/>
      <c r="I22" s="49" t="n"/>
      <c r="J22" s="50" t="n"/>
    </row>
    <row r="23">
      <c r="A23" s="29" t="n"/>
      <c r="B23" s="29" t="n"/>
      <c r="C23" s="321" t="n"/>
      <c r="D23" s="47" t="n"/>
      <c r="E23" s="48" t="n"/>
      <c r="F23" s="48" t="n"/>
      <c r="G23" s="48" t="n"/>
      <c r="H23" s="48" t="n"/>
      <c r="I23" s="49" t="n"/>
      <c r="J23" s="50" t="n"/>
    </row>
    <row r="24">
      <c r="A24" s="29" t="n"/>
      <c r="B24" s="29" t="n"/>
      <c r="C24" s="321" t="n"/>
      <c r="D24" s="47" t="n"/>
      <c r="E24" s="48" t="n"/>
      <c r="F24" s="48" t="n"/>
      <c r="G24" s="48" t="n"/>
      <c r="H24" s="48" t="n"/>
      <c r="I24" s="49" t="n"/>
      <c r="J24" s="50" t="n"/>
    </row>
    <row r="25">
      <c r="A25" s="29" t="n"/>
      <c r="B25" s="29" t="n"/>
      <c r="C25" s="321" t="n"/>
      <c r="D25" s="47" t="n"/>
      <c r="E25" s="48" t="n"/>
      <c r="F25" s="48" t="n"/>
      <c r="G25" s="48" t="n"/>
      <c r="H25" s="48" t="n"/>
      <c r="I25" s="49" t="n"/>
      <c r="J25" s="50" t="n"/>
    </row>
    <row r="26">
      <c r="A26" s="29" t="n"/>
      <c r="B26" s="29" t="n"/>
      <c r="C26" s="321" t="n"/>
      <c r="D26" s="47" t="n"/>
      <c r="E26" s="48" t="n"/>
      <c r="F26" s="48" t="n"/>
      <c r="G26" s="48" t="n"/>
      <c r="H26" s="48" t="n"/>
      <c r="I26" s="49" t="n"/>
      <c r="J26" s="50" t="n"/>
    </row>
    <row r="27">
      <c r="A27" s="29" t="n"/>
      <c r="B27" s="29" t="n"/>
      <c r="C27" s="321" t="n"/>
      <c r="D27" s="47" t="n"/>
      <c r="E27" s="48" t="n"/>
      <c r="F27" s="48" t="n"/>
      <c r="G27" s="48" t="n"/>
      <c r="H27" s="48" t="n"/>
      <c r="I27" s="49" t="n"/>
      <c r="J27" s="50" t="n"/>
    </row>
    <row r="28">
      <c r="A28" s="29" t="n"/>
      <c r="B28" s="29" t="n"/>
      <c r="C28" s="321" t="n"/>
      <c r="D28" s="47" t="n"/>
      <c r="E28" s="48" t="n"/>
      <c r="F28" s="48" t="n"/>
      <c r="G28" s="48" t="n"/>
      <c r="H28" s="48" t="n"/>
      <c r="I28" s="49" t="n"/>
      <c r="J28" s="50" t="n"/>
    </row>
    <row r="29">
      <c r="A29" s="29" t="n"/>
      <c r="B29" s="29" t="n"/>
      <c r="C29" s="321" t="n"/>
      <c r="D29" s="47" t="n"/>
      <c r="E29" s="48" t="n"/>
      <c r="F29" s="48" t="n"/>
      <c r="G29" s="48" t="n"/>
      <c r="H29" s="48" t="n"/>
      <c r="I29" s="49" t="n"/>
      <c r="J29" s="50" t="n"/>
    </row>
    <row r="30">
      <c r="A30" s="29" t="n"/>
      <c r="B30" s="29" t="n"/>
      <c r="C30" s="321" t="n"/>
      <c r="D30" s="47" t="n"/>
      <c r="E30" s="48" t="n"/>
      <c r="F30" s="48" t="n"/>
      <c r="G30" s="48" t="n"/>
      <c r="H30" s="48" t="n"/>
      <c r="I30" s="49" t="n"/>
      <c r="J30" s="50" t="n"/>
    </row>
    <row r="31">
      <c r="A31" s="29" t="n"/>
      <c r="B31" s="29" t="n"/>
      <c r="C31" s="321" t="n"/>
      <c r="D31" s="47" t="n"/>
      <c r="E31" s="48" t="n"/>
      <c r="F31" s="48" t="n"/>
      <c r="G31" s="48" t="n"/>
      <c r="H31" s="48" t="n"/>
      <c r="I31" s="49" t="n"/>
      <c r="J31" s="50" t="n"/>
    </row>
    <row r="32">
      <c r="A32" s="29" t="n"/>
      <c r="B32" s="29" t="n"/>
      <c r="C32" s="321" t="n"/>
      <c r="D32" s="47" t="n"/>
      <c r="E32" s="48" t="n"/>
      <c r="F32" s="48" t="n"/>
      <c r="G32" s="48" t="n"/>
      <c r="H32" s="48" t="n"/>
      <c r="I32" s="49" t="n"/>
      <c r="J32" s="50" t="n"/>
    </row>
    <row r="33">
      <c r="A33" s="29" t="n"/>
      <c r="B33" s="29" t="n"/>
      <c r="C33" s="321" t="n"/>
      <c r="D33" s="47" t="n"/>
      <c r="E33" s="48" t="n"/>
      <c r="F33" s="48" t="n"/>
      <c r="G33" s="48" t="n"/>
      <c r="H33" s="48" t="n"/>
      <c r="I33" s="49" t="n"/>
      <c r="J33" s="50" t="n"/>
    </row>
    <row r="49" ht="16" customHeight="1" s="290">
      <c r="C49" s="284" t="n"/>
      <c r="D49" s="284" t="n"/>
      <c r="F49" s="284" t="n"/>
      <c r="G49" s="284" t="n"/>
      <c r="H49" s="284" t="n"/>
      <c r="I49" s="284" t="n"/>
    </row>
    <row r="50">
      <c r="C50" s="284" t="n"/>
      <c r="D50" s="284" t="n"/>
      <c r="F50" s="284" t="n"/>
      <c r="G50" s="284" t="n"/>
      <c r="H50" s="284" t="n"/>
      <c r="I50" s="284" t="n"/>
    </row>
    <row r="51">
      <c r="A51" s="283" t="inlineStr">
        <is>
          <t xml:space="preserve">Rank by Revenue </t>
        </is>
      </c>
    </row>
    <row r="52" ht="17" customHeight="1" s="290">
      <c r="A52" s="38" t="inlineStr">
        <is>
          <t>Product Name</t>
        </is>
      </c>
      <c r="B52" s="39" t="inlineStr">
        <is>
          <t>ASIN</t>
        </is>
      </c>
      <c r="C52" s="39" t="inlineStr">
        <is>
          <t>Type</t>
        </is>
      </c>
      <c r="D52" s="322" t="inlineStr">
        <is>
          <t>Avg Price</t>
        </is>
      </c>
      <c r="E52" s="41" t="inlineStr">
        <is>
          <t>Estimated 12mo Revenue</t>
        </is>
      </c>
      <c r="F52" s="39" t="inlineStr">
        <is>
          <t>Monthly Rev</t>
        </is>
      </c>
      <c r="G52" s="42" t="inlineStr">
        <is>
          <t>Estimated 12mo Units</t>
        </is>
      </c>
      <c r="H52" s="45" t="inlineStr">
        <is>
          <t>Monthly Units</t>
        </is>
      </c>
      <c r="I52" s="42" t="inlineStr">
        <is>
          <t># of Reviews</t>
        </is>
      </c>
      <c r="J52" s="43" t="inlineStr">
        <is>
          <t xml:space="preserve">Tool Rating </t>
        </is>
      </c>
      <c r="K52" s="43" t="inlineStr">
        <is>
          <t>Column1</t>
        </is>
      </c>
      <c r="L52" s="323" t="inlineStr">
        <is>
          <t>Link</t>
        </is>
      </c>
    </row>
    <row r="53" ht="45" customHeight="1" s="290">
      <c r="A53" s="30" t="inlineStr">
        <is>
          <t>Krazy On Highways Edge Insight CTS3 Digital Gauge, Compatible with 1996 &amp; Up OBD-II Vehicles. 84130-3</t>
        </is>
      </c>
      <c r="B53" s="30" t="inlineStr">
        <is>
          <t>B087WMGLF1</t>
        </is>
      </c>
      <c r="C53" s="30" t="inlineStr">
        <is>
          <t>Other</t>
        </is>
      </c>
      <c r="D53" s="324" t="n">
        <v>446.7409403669724</v>
      </c>
      <c r="E53" s="53" t="n">
        <v>3122152.482307692</v>
      </c>
      <c r="F53" s="54" t="n">
        <v>194779.05</v>
      </c>
      <c r="G53" s="55" t="n">
        <v>6572</v>
      </c>
      <c r="H53" s="55" t="n">
        <v>436</v>
      </c>
      <c r="I53" s="55" t="n">
        <v>1055</v>
      </c>
      <c r="J53" s="56" t="n">
        <v>4.3</v>
      </c>
      <c r="K53" s="56" t="inlineStr">
        <is>
          <t>https://amazon.com/dp/B087WMGLF1</t>
        </is>
      </c>
      <c r="L53" s="34">
        <f>HYPERLINK(Edge_2[[#This Row],[Column1]])</f>
        <v/>
      </c>
    </row>
    <row r="54" ht="45" customHeight="1" s="290">
      <c r="A54" s="30" t="n"/>
      <c r="B54" s="30" t="n"/>
      <c r="C54" s="30" t="n"/>
      <c r="D54" s="324" t="n"/>
      <c r="E54" s="53" t="n"/>
      <c r="F54" s="54" t="n"/>
      <c r="G54" s="55" t="n"/>
      <c r="H54" s="55" t="n"/>
      <c r="I54" s="55" t="n"/>
      <c r="J54" s="56" t="n"/>
      <c r="K54" s="56" t="n"/>
      <c r="L54" s="34">
        <f>HYPERLINK(Table544[[#This Row],[Column1]])</f>
        <v/>
      </c>
    </row>
    <row r="55" ht="45" customHeight="1" s="290">
      <c r="A55" s="30" t="n"/>
      <c r="B55" s="30" t="n"/>
      <c r="C55" s="30" t="n"/>
      <c r="D55" s="324" t="n"/>
      <c r="E55" s="53" t="n"/>
      <c r="F55" s="54" t="n"/>
      <c r="G55" s="55" t="n"/>
      <c r="H55" s="55" t="n"/>
      <c r="I55" s="55" t="n"/>
      <c r="J55" s="56" t="n"/>
      <c r="K55" s="56" t="n"/>
      <c r="L55" s="34">
        <f>HYPERLINK(Table544[[#This Row],[Column1]])</f>
        <v/>
      </c>
    </row>
    <row r="56" ht="60" customHeight="1" s="290">
      <c r="A56" s="30" t="n"/>
      <c r="B56" s="30" t="n"/>
      <c r="C56" s="30" t="n"/>
      <c r="D56" s="324" t="n"/>
      <c r="E56" s="53" t="n"/>
      <c r="F56" s="54" t="n"/>
      <c r="G56" s="55" t="n"/>
      <c r="H56" s="55" t="n"/>
      <c r="I56" s="55" t="n"/>
      <c r="J56" s="56" t="n"/>
      <c r="K56" s="56" t="n"/>
      <c r="L56" s="34">
        <f>HYPERLINK(Table544[[#This Row],[Column1]])</f>
        <v/>
      </c>
    </row>
    <row r="57" ht="45" customHeight="1" s="290">
      <c r="A57" s="30" t="n"/>
      <c r="B57" s="30" t="n"/>
      <c r="C57" s="30" t="n"/>
      <c r="D57" s="324" t="n"/>
      <c r="E57" s="53" t="n"/>
      <c r="F57" s="54" t="n"/>
      <c r="G57" s="55" t="n"/>
      <c r="H57" s="55" t="n"/>
      <c r="I57" s="55" t="n"/>
      <c r="J57" s="56" t="n"/>
      <c r="K57" s="56" t="n"/>
      <c r="L57" s="34">
        <f>HYPERLINK(Table544[[#This Row],[Column1]])</f>
        <v/>
      </c>
    </row>
    <row r="58" ht="45" customHeight="1" s="290">
      <c r="A58" s="30" t="n"/>
      <c r="B58" s="30" t="n"/>
      <c r="C58" s="30" t="n"/>
      <c r="D58" s="324" t="n"/>
      <c r="E58" s="53" t="n"/>
      <c r="F58" s="54" t="n"/>
      <c r="G58" s="55" t="n"/>
      <c r="H58" s="55" t="n"/>
      <c r="I58" s="55" t="n"/>
      <c r="J58" s="56" t="n"/>
      <c r="K58" s="56" t="n"/>
      <c r="L58" s="34">
        <f>HYPERLINK(Table544[[#This Row],[Column1]])</f>
        <v/>
      </c>
    </row>
    <row r="59" ht="45" customHeight="1" s="290">
      <c r="A59" s="30" t="n"/>
      <c r="B59" s="30" t="n"/>
      <c r="C59" s="30" t="n"/>
      <c r="D59" s="324" t="n"/>
      <c r="E59" s="53" t="n"/>
      <c r="F59" s="54" t="n"/>
      <c r="G59" s="55" t="n"/>
      <c r="H59" s="55" t="n"/>
      <c r="I59" s="55" t="n"/>
      <c r="J59" s="56" t="n"/>
      <c r="K59" s="56" t="n"/>
      <c r="L59" s="34">
        <f>HYPERLINK(Table544[[#This Row],[Column1]])</f>
        <v/>
      </c>
    </row>
    <row r="60" ht="45" customHeight="1" s="290">
      <c r="A60" s="30" t="n"/>
      <c r="B60" s="30" t="n"/>
      <c r="C60" s="30" t="n"/>
      <c r="D60" s="324" t="n"/>
      <c r="E60" s="53" t="n"/>
      <c r="F60" s="54" t="n"/>
      <c r="G60" s="55" t="n"/>
      <c r="H60" s="55" t="n"/>
      <c r="I60" s="55" t="n"/>
      <c r="J60" s="56" t="n"/>
      <c r="K60" s="56" t="n"/>
      <c r="L60" s="34">
        <f>HYPERLINK(Table544[[#This Row],[Column1]])</f>
        <v/>
      </c>
    </row>
    <row r="61" ht="45" customHeight="1" s="290">
      <c r="A61" s="30" t="n"/>
      <c r="B61" s="30" t="n"/>
      <c r="C61" s="30" t="n"/>
      <c r="D61" s="324" t="n"/>
      <c r="E61" s="53" t="n"/>
      <c r="F61" s="54" t="n"/>
      <c r="G61" s="55" t="n"/>
      <c r="H61" s="55" t="n"/>
      <c r="I61" s="55" t="n"/>
      <c r="J61" s="56" t="n"/>
      <c r="K61" s="56" t="n"/>
      <c r="L61" s="34">
        <f>HYPERLINK(Table544[[#This Row],[Column1]])</f>
        <v/>
      </c>
    </row>
    <row r="62" ht="45" customHeight="1" s="290">
      <c r="A62" s="30" t="n"/>
      <c r="B62" s="30" t="n"/>
      <c r="C62" s="30" t="n"/>
      <c r="D62" s="324" t="n"/>
      <c r="E62" s="53" t="n"/>
      <c r="F62" s="54" t="n"/>
      <c r="G62" s="55" t="n"/>
      <c r="H62" s="55" t="n"/>
      <c r="I62" s="55" t="n"/>
      <c r="J62" s="56" t="n"/>
      <c r="K62" s="56" t="n"/>
      <c r="L62" s="34">
        <f>HYPERLINK(Table544[[#This Row],[Column1]])</f>
        <v/>
      </c>
    </row>
    <row r="63" ht="45" customHeight="1" s="290">
      <c r="A63" s="30" t="n"/>
      <c r="B63" s="30" t="n"/>
      <c r="C63" s="30" t="n"/>
      <c r="D63" s="324" t="n"/>
      <c r="E63" s="53" t="n"/>
      <c r="F63" s="54" t="n"/>
      <c r="G63" s="55" t="n"/>
      <c r="H63" s="55" t="n"/>
      <c r="I63" s="55" t="n"/>
      <c r="J63" s="56" t="n"/>
      <c r="K63" s="56" t="n"/>
      <c r="L63" s="34">
        <f>HYPERLINK(Table544[[#This Row],[Column1]])</f>
        <v/>
      </c>
    </row>
    <row r="64" ht="45" customHeight="1" s="290">
      <c r="A64" s="30" t="n"/>
      <c r="B64" s="30" t="n"/>
      <c r="C64" s="30" t="n"/>
      <c r="D64" s="324" t="n"/>
      <c r="E64" s="53" t="n"/>
      <c r="F64" s="54" t="n"/>
      <c r="G64" s="55" t="n"/>
      <c r="H64" s="55" t="n"/>
      <c r="I64" s="55" t="n"/>
      <c r="J64" s="56" t="n"/>
      <c r="K64" s="56" t="n"/>
      <c r="L64" s="34">
        <f>HYPERLINK(Table544[[#This Row],[Column1]])</f>
        <v/>
      </c>
    </row>
    <row r="65" ht="45" customHeight="1" s="290">
      <c r="A65" s="30" t="n"/>
      <c r="B65" s="30" t="n"/>
      <c r="C65" s="30" t="n"/>
      <c r="D65" s="324" t="n"/>
      <c r="E65" s="53" t="n"/>
      <c r="F65" s="54" t="n"/>
      <c r="G65" s="55" t="n"/>
      <c r="H65" s="55" t="n"/>
      <c r="I65" s="55" t="n"/>
      <c r="J65" s="56" t="n"/>
      <c r="K65" s="56" t="n"/>
      <c r="L65" s="34">
        <f>HYPERLINK(Table544[[#This Row],[Column1]])</f>
        <v/>
      </c>
    </row>
    <row r="66" ht="45" customHeight="1" s="290">
      <c r="A66" s="30" t="n"/>
      <c r="B66" s="30" t="n"/>
      <c r="C66" s="30" t="n"/>
      <c r="D66" s="324" t="n"/>
      <c r="E66" s="53" t="n"/>
      <c r="F66" s="54" t="n"/>
      <c r="G66" s="55" t="n"/>
      <c r="H66" s="55" t="n"/>
      <c r="I66" s="55" t="n"/>
      <c r="J66" s="56" t="n"/>
      <c r="K66" s="56" t="n"/>
      <c r="L66" s="34">
        <f>HYPERLINK(Table544[[#This Row],[Column1]])</f>
        <v/>
      </c>
    </row>
    <row r="67" ht="45" customHeight="1" s="290">
      <c r="A67" s="30" t="n"/>
      <c r="B67" s="30" t="n"/>
      <c r="C67" s="30" t="n"/>
      <c r="D67" s="324" t="n"/>
      <c r="E67" s="53" t="n"/>
      <c r="F67" s="54" t="n"/>
      <c r="G67" s="55" t="n"/>
      <c r="H67" s="55" t="n"/>
      <c r="I67" s="55" t="n"/>
      <c r="J67" s="56" t="n"/>
      <c r="K67" s="56" t="n"/>
      <c r="L67" s="34">
        <f>HYPERLINK(Table544[[#This Row],[Column1]])</f>
        <v/>
      </c>
    </row>
    <row r="68" ht="45" customHeight="1" s="290">
      <c r="A68" s="30" t="n"/>
      <c r="B68" s="30" t="n"/>
      <c r="C68" s="30" t="n"/>
      <c r="D68" s="324" t="n"/>
      <c r="E68" s="53" t="n"/>
      <c r="F68" s="54" t="n"/>
      <c r="G68" s="55" t="n"/>
      <c r="H68" s="55" t="n"/>
      <c r="I68" s="55" t="n"/>
      <c r="J68" s="56" t="n"/>
      <c r="K68" s="56" t="n"/>
      <c r="L68" s="34">
        <f>HYPERLINK(Table544[[#This Row],[Column1]])</f>
        <v/>
      </c>
    </row>
    <row r="69" ht="60" customHeight="1" s="290">
      <c r="A69" s="30" t="n"/>
      <c r="B69" s="30" t="n"/>
      <c r="C69" s="30" t="n"/>
      <c r="D69" s="324" t="n"/>
      <c r="E69" s="53" t="n"/>
      <c r="F69" s="54" t="n"/>
      <c r="G69" s="55" t="n"/>
      <c r="H69" s="55" t="n"/>
      <c r="I69" s="55" t="n"/>
      <c r="J69" s="56" t="n"/>
      <c r="K69" s="56" t="n"/>
      <c r="L69" s="34">
        <f>HYPERLINK(Table544[[#This Row],[Column1]])</f>
        <v/>
      </c>
    </row>
    <row r="70" ht="45" customHeight="1" s="290">
      <c r="A70" s="30" t="n"/>
      <c r="B70" s="30" t="n"/>
      <c r="C70" s="30" t="n"/>
      <c r="D70" s="324" t="n"/>
      <c r="E70" s="53" t="n"/>
      <c r="F70" s="54" t="n"/>
      <c r="G70" s="55" t="n"/>
      <c r="H70" s="55" t="n"/>
      <c r="I70" s="55" t="n"/>
      <c r="J70" s="56" t="n"/>
      <c r="K70" s="56" t="n"/>
      <c r="L70" s="34">
        <f>HYPERLINK(Table544[[#This Row],[Column1]])</f>
        <v/>
      </c>
    </row>
    <row r="71" ht="45" customHeight="1" s="290">
      <c r="A71" s="30" t="n"/>
      <c r="B71" s="30" t="n"/>
      <c r="C71" s="30" t="n"/>
      <c r="D71" s="324" t="n"/>
      <c r="E71" s="53" t="n"/>
      <c r="F71" s="54" t="n"/>
      <c r="G71" s="55" t="n"/>
      <c r="H71" s="55" t="n"/>
      <c r="I71" s="55" t="n"/>
      <c r="J71" s="56" t="n"/>
      <c r="K71" s="56" t="n"/>
      <c r="L71" s="34">
        <f>HYPERLINK(Table544[[#This Row],[Column1]])</f>
        <v/>
      </c>
    </row>
    <row r="72" ht="45" customHeight="1" s="290">
      <c r="A72" s="30" t="n"/>
      <c r="B72" s="30" t="n"/>
      <c r="C72" s="30" t="n"/>
      <c r="D72" s="324" t="n"/>
      <c r="E72" s="53" t="n"/>
      <c r="F72" s="54" t="n"/>
      <c r="G72" s="55" t="n"/>
      <c r="H72" s="55" t="n"/>
      <c r="I72" s="55" t="n"/>
      <c r="J72" s="56" t="n"/>
      <c r="K72" s="56" t="n"/>
      <c r="L72" s="34">
        <f>HYPERLINK(Table544[[#This Row],[Column1]])</f>
        <v/>
      </c>
    </row>
    <row r="73" ht="45" customHeight="1" s="290">
      <c r="A73" s="30" t="n"/>
      <c r="B73" s="30" t="n"/>
      <c r="C73" s="30" t="n"/>
      <c r="D73" s="324" t="n"/>
      <c r="E73" s="53" t="n"/>
      <c r="F73" s="54" t="n"/>
      <c r="G73" s="55" t="n"/>
      <c r="H73" s="55" t="n"/>
      <c r="I73" s="55" t="n"/>
      <c r="J73" s="56" t="n"/>
      <c r="K73" s="56" t="n"/>
      <c r="L73" s="34">
        <f>HYPERLINK(Table544[[#This Row],[Column1]])</f>
        <v/>
      </c>
    </row>
    <row r="74" ht="45" customHeight="1" s="290">
      <c r="A74" s="30" t="n"/>
      <c r="B74" s="30" t="n"/>
      <c r="C74" s="30" t="n"/>
      <c r="D74" s="324" t="n"/>
      <c r="E74" s="53" t="n"/>
      <c r="F74" s="54" t="n"/>
      <c r="G74" s="55" t="n"/>
      <c r="H74" s="55" t="n"/>
      <c r="I74" s="55" t="n"/>
      <c r="J74" s="56" t="n"/>
      <c r="K74" s="56" t="n"/>
      <c r="L74" s="34">
        <f>HYPERLINK(Table544[[#This Row],[Column1]])</f>
        <v/>
      </c>
    </row>
    <row r="75" ht="45" customHeight="1" s="290">
      <c r="A75" s="30" t="n"/>
      <c r="B75" s="30" t="n"/>
      <c r="C75" s="30" t="n"/>
      <c r="D75" s="324" t="n"/>
      <c r="E75" s="53" t="n"/>
      <c r="F75" s="54" t="n"/>
      <c r="G75" s="55" t="n"/>
      <c r="H75" s="55" t="n"/>
      <c r="I75" s="55" t="n"/>
      <c r="J75" s="56" t="n"/>
      <c r="K75" s="56" t="n"/>
      <c r="L75" s="34">
        <f>HYPERLINK(Table544[[#This Row],[Column1]])</f>
        <v/>
      </c>
    </row>
    <row r="76" ht="45" customHeight="1" s="290">
      <c r="A76" s="30" t="n"/>
      <c r="B76" s="30" t="n"/>
      <c r="C76" s="30" t="n"/>
      <c r="D76" s="324" t="n"/>
      <c r="E76" s="53" t="n"/>
      <c r="F76" s="54" t="n"/>
      <c r="G76" s="55" t="n"/>
      <c r="H76" s="55" t="n"/>
      <c r="I76" s="55" t="n"/>
      <c r="J76" s="56" t="n"/>
      <c r="K76" s="56" t="n"/>
      <c r="L76" s="34">
        <f>HYPERLINK(Table544[[#This Row],[Column1]])</f>
        <v/>
      </c>
    </row>
    <row r="77" ht="60" customHeight="1" s="290">
      <c r="A77" s="30" t="n"/>
      <c r="B77" s="30" t="n"/>
      <c r="C77" s="30" t="n"/>
      <c r="D77" s="324" t="n"/>
      <c r="E77" s="53" t="n"/>
      <c r="F77" s="54" t="n"/>
      <c r="G77" s="55" t="n"/>
      <c r="H77" s="55" t="n"/>
      <c r="I77" s="55" t="n"/>
      <c r="J77" s="56" t="n"/>
      <c r="K77" s="56" t="n"/>
      <c r="L77" s="34">
        <f>HYPERLINK(Table544[[#This Row],[Column1]])</f>
        <v/>
      </c>
    </row>
    <row r="78" ht="45" customHeight="1" s="290">
      <c r="A78" s="30" t="n"/>
      <c r="B78" s="30" t="n"/>
      <c r="C78" s="30" t="n"/>
      <c r="D78" s="324" t="n"/>
      <c r="E78" s="53" t="n"/>
      <c r="F78" s="54" t="n"/>
      <c r="G78" s="55" t="n"/>
      <c r="H78" s="55" t="n"/>
      <c r="I78" s="55" t="n"/>
      <c r="J78" s="56" t="n"/>
      <c r="K78" s="56" t="n"/>
      <c r="L78" s="34">
        <f>HYPERLINK(Table544[[#This Row],[Column1]])</f>
        <v/>
      </c>
    </row>
    <row r="79" ht="45" customHeight="1" s="290">
      <c r="A79" s="30" t="n"/>
      <c r="B79" s="30" t="n"/>
      <c r="C79" s="30" t="n"/>
      <c r="D79" s="324" t="n"/>
      <c r="E79" s="53" t="n"/>
      <c r="F79" s="54" t="n"/>
      <c r="G79" s="55" t="n"/>
      <c r="H79" s="55" t="n"/>
      <c r="I79" s="55" t="n"/>
      <c r="J79" s="56" t="n"/>
      <c r="K79" s="56" t="n"/>
      <c r="L79" s="34">
        <f>HYPERLINK(Table544[[#This Row],[Column1]])</f>
        <v/>
      </c>
    </row>
    <row r="80" ht="45" customHeight="1" s="290">
      <c r="A80" s="30" t="n"/>
      <c r="B80" s="30" t="n"/>
      <c r="C80" s="30" t="n"/>
      <c r="D80" s="324" t="n"/>
      <c r="E80" s="53" t="n"/>
      <c r="F80" s="54" t="n"/>
      <c r="G80" s="55" t="n"/>
      <c r="H80" s="55" t="n"/>
      <c r="I80" s="55" t="n"/>
      <c r="J80" s="56" t="n"/>
      <c r="K80" s="56" t="n"/>
      <c r="L80" s="34">
        <f>HYPERLINK(Table544[[#This Row],[Column1]])</f>
        <v/>
      </c>
    </row>
    <row r="81" ht="45" customHeight="1" s="290">
      <c r="A81" s="30" t="n"/>
      <c r="B81" s="30" t="n"/>
      <c r="C81" s="30" t="n"/>
      <c r="D81" s="324" t="n"/>
      <c r="E81" s="53" t="n"/>
      <c r="F81" s="54" t="n"/>
      <c r="G81" s="55" t="n"/>
      <c r="H81" s="55" t="n"/>
      <c r="I81" s="55" t="n"/>
      <c r="J81" s="56" t="n"/>
      <c r="K81" s="56" t="n"/>
      <c r="L81" s="34">
        <f>HYPERLINK(Table544[[#This Row],[Column1]])</f>
        <v/>
      </c>
    </row>
    <row r="82" ht="45" customHeight="1" s="290">
      <c r="A82" s="30" t="n"/>
      <c r="B82" s="30" t="n"/>
      <c r="C82" s="30" t="n"/>
      <c r="D82" s="324" t="n"/>
      <c r="E82" s="53" t="n"/>
      <c r="F82" s="54" t="n"/>
      <c r="G82" s="55" t="n"/>
      <c r="H82" s="55" t="n"/>
      <c r="I82" s="55" t="n"/>
      <c r="J82" s="56" t="n"/>
      <c r="K82" s="56" t="n"/>
      <c r="L82" s="34">
        <f>HYPERLINK(Table544[[#This Row],[Column1]])</f>
        <v/>
      </c>
    </row>
    <row r="83" ht="30" customHeight="1" s="290">
      <c r="A83" s="30" t="n"/>
      <c r="B83" s="30" t="n"/>
      <c r="C83" s="30" t="n"/>
      <c r="D83" s="324" t="n"/>
      <c r="E83" s="53" t="n"/>
      <c r="F83" s="54" t="n"/>
      <c r="G83" s="55" t="n"/>
      <c r="H83" s="55" t="n"/>
      <c r="I83" s="55" t="n"/>
      <c r="J83" s="56" t="n"/>
      <c r="K83" s="56" t="n"/>
      <c r="L83" s="34">
        <f>HYPERLINK(Table544[[#This Row],[Column1]])</f>
        <v/>
      </c>
    </row>
    <row r="84" ht="45" customHeight="1" s="290">
      <c r="A84" s="30" t="n"/>
      <c r="B84" s="30" t="n"/>
      <c r="C84" s="30" t="n"/>
      <c r="D84" s="324" t="n"/>
      <c r="E84" s="53" t="n"/>
      <c r="F84" s="54" t="n"/>
      <c r="G84" s="55" t="n"/>
      <c r="H84" s="55" t="n"/>
      <c r="I84" s="55" t="n"/>
      <c r="J84" s="56" t="n"/>
      <c r="K84" s="56" t="n"/>
      <c r="L84" s="34">
        <f>HYPERLINK(Table544[[#This Row],[Column1]])</f>
        <v/>
      </c>
    </row>
    <row r="85" ht="45" customHeight="1" s="290">
      <c r="A85" s="30" t="n"/>
      <c r="B85" s="30" t="n"/>
      <c r="C85" s="30" t="n"/>
      <c r="D85" s="324" t="n"/>
      <c r="E85" s="53" t="n"/>
      <c r="F85" s="54" t="n"/>
      <c r="G85" s="55" t="n"/>
      <c r="H85" s="55" t="n"/>
      <c r="I85" s="55" t="n"/>
      <c r="J85" s="56" t="n"/>
      <c r="K85" s="56" t="n"/>
      <c r="L85" s="34">
        <f>HYPERLINK(Table544[[#This Row],[Column1]])</f>
        <v/>
      </c>
    </row>
    <row r="86" ht="45" customHeight="1" s="290">
      <c r="A86" s="30" t="n"/>
      <c r="B86" s="30" t="n"/>
      <c r="C86" s="30" t="n"/>
      <c r="D86" s="324" t="n"/>
      <c r="E86" s="53" t="n"/>
      <c r="F86" s="54" t="n"/>
      <c r="G86" s="55" t="n"/>
      <c r="H86" s="55" t="n"/>
      <c r="I86" s="55" t="n"/>
      <c r="J86" s="56" t="n"/>
      <c r="K86" s="56" t="n"/>
      <c r="L86" s="34">
        <f>HYPERLINK(Table544[[#This Row],[Column1]])</f>
        <v/>
      </c>
    </row>
    <row r="87" ht="45" customHeight="1" s="290">
      <c r="A87" s="30" t="n"/>
      <c r="B87" s="30" t="n"/>
      <c r="C87" s="30" t="n"/>
      <c r="D87" s="324" t="n"/>
      <c r="E87" s="53" t="n"/>
      <c r="F87" s="54" t="n"/>
      <c r="G87" s="55" t="n"/>
      <c r="H87" s="55" t="n"/>
      <c r="I87" s="55" t="n"/>
      <c r="J87" s="56" t="n"/>
      <c r="K87" s="56" t="n"/>
      <c r="L87" s="34">
        <f>HYPERLINK(Table544[[#This Row],[Column1]])</f>
        <v/>
      </c>
    </row>
    <row r="88" ht="45" customHeight="1" s="290">
      <c r="A88" s="30" t="n"/>
      <c r="B88" s="30" t="n"/>
      <c r="C88" s="30" t="n"/>
      <c r="D88" s="324" t="n"/>
      <c r="E88" s="53" t="n"/>
      <c r="F88" s="54" t="n"/>
      <c r="G88" s="55" t="n"/>
      <c r="H88" s="55" t="n"/>
      <c r="I88" s="55" t="n"/>
      <c r="J88" s="56" t="n"/>
      <c r="K88" s="56" t="n"/>
      <c r="L88" s="34">
        <f>HYPERLINK(Table544[[#This Row],[Column1]])</f>
        <v/>
      </c>
    </row>
    <row r="89" ht="45" customHeight="1" s="290">
      <c r="A89" s="30" t="n"/>
      <c r="B89" s="30" t="n"/>
      <c r="C89" s="30" t="n"/>
      <c r="D89" s="324" t="n"/>
      <c r="E89" s="53" t="n"/>
      <c r="F89" s="54" t="n"/>
      <c r="G89" s="55" t="n"/>
      <c r="H89" s="55" t="n"/>
      <c r="I89" s="55" t="n"/>
      <c r="J89" s="56" t="n"/>
      <c r="K89" s="56" t="n"/>
      <c r="L89" s="34">
        <f>HYPERLINK(Table544[[#This Row],[Column1]])</f>
        <v/>
      </c>
    </row>
    <row r="90" ht="45" customHeight="1" s="290">
      <c r="A90" s="30" t="n"/>
      <c r="B90" s="30" t="n"/>
      <c r="C90" s="30" t="n"/>
      <c r="D90" s="324" t="n"/>
      <c r="E90" s="53" t="n"/>
      <c r="F90" s="54" t="n"/>
      <c r="G90" s="55" t="n"/>
      <c r="H90" s="55" t="n"/>
      <c r="I90" s="55" t="n"/>
      <c r="J90" s="56" t="n"/>
      <c r="K90" s="56" t="n"/>
      <c r="L90" s="34">
        <f>HYPERLINK(Table544[[#This Row],[Column1]])</f>
        <v/>
      </c>
    </row>
    <row r="91" ht="45" customHeight="1" s="290">
      <c r="A91" s="30" t="n"/>
      <c r="B91" s="30" t="n"/>
      <c r="C91" s="30" t="n"/>
      <c r="D91" s="324" t="n"/>
      <c r="E91" s="53" t="n"/>
      <c r="F91" s="54" t="n"/>
      <c r="G91" s="55" t="n"/>
      <c r="H91" s="55" t="n"/>
      <c r="I91" s="55" t="n"/>
      <c r="J91" s="56" t="n"/>
      <c r="K91" s="56" t="n"/>
      <c r="L91" s="34">
        <f>HYPERLINK(Table544[[#This Row],[Column1]])</f>
        <v/>
      </c>
    </row>
    <row r="92" ht="45" customHeight="1" s="290">
      <c r="A92" s="30" t="n"/>
      <c r="B92" s="30" t="n"/>
      <c r="C92" s="30" t="n"/>
      <c r="D92" s="324" t="n"/>
      <c r="E92" s="53" t="n"/>
      <c r="F92" s="54" t="n"/>
      <c r="G92" s="55" t="n"/>
      <c r="H92" s="55" t="n"/>
      <c r="I92" s="55" t="n"/>
      <c r="J92" s="56" t="n"/>
      <c r="K92" s="56" t="n"/>
      <c r="L92" s="34">
        <f>HYPERLINK(Table544[[#This Row],[Column1]])</f>
        <v/>
      </c>
    </row>
    <row r="93" ht="45" customHeight="1" s="290">
      <c r="A93" s="30" t="n"/>
      <c r="B93" s="30" t="n"/>
      <c r="C93" s="30" t="n"/>
      <c r="D93" s="324" t="n"/>
      <c r="E93" s="53" t="n"/>
      <c r="F93" s="54" t="n"/>
      <c r="G93" s="55" t="n"/>
      <c r="H93" s="55" t="n"/>
      <c r="I93" s="55" t="n"/>
      <c r="J93" s="56" t="n"/>
      <c r="K93" s="56" t="n"/>
      <c r="L93" s="34">
        <f>HYPERLINK(Table544[[#This Row],[Column1]])</f>
        <v/>
      </c>
    </row>
    <row r="94" ht="60" customHeight="1" s="290">
      <c r="A94" s="30" t="n"/>
      <c r="B94" s="30" t="n"/>
      <c r="C94" s="30" t="n"/>
      <c r="D94" s="324" t="n"/>
      <c r="E94" s="53" t="n"/>
      <c r="F94" s="54" t="n"/>
      <c r="G94" s="55" t="n"/>
      <c r="H94" s="55" t="n"/>
      <c r="I94" s="55" t="n"/>
      <c r="J94" s="56" t="n"/>
      <c r="K94" s="56" t="n"/>
      <c r="L94" s="34">
        <f>HYPERLINK(Table544[[#This Row],[Column1]])</f>
        <v/>
      </c>
    </row>
    <row r="95" ht="45" customHeight="1" s="290">
      <c r="A95" s="30" t="n"/>
      <c r="B95" s="30" t="n"/>
      <c r="C95" s="30" t="n"/>
      <c r="D95" s="324" t="n"/>
      <c r="E95" s="53" t="n"/>
      <c r="F95" s="54" t="n"/>
      <c r="G95" s="55" t="n"/>
      <c r="H95" s="55" t="n"/>
      <c r="I95" s="55" t="n"/>
      <c r="J95" s="56" t="n"/>
      <c r="K95" s="56" t="n"/>
      <c r="L95" s="34">
        <f>HYPERLINK(Table544[[#This Row],[Column1]])</f>
        <v/>
      </c>
    </row>
    <row r="96" ht="45" customHeight="1" s="290">
      <c r="A96" s="30" t="n"/>
      <c r="B96" s="30" t="n"/>
      <c r="C96" s="30" t="n"/>
      <c r="D96" s="324" t="n"/>
      <c r="E96" s="53" t="n"/>
      <c r="F96" s="54" t="n"/>
      <c r="G96" s="55" t="n"/>
      <c r="H96" s="55" t="n"/>
      <c r="I96" s="55" t="n"/>
      <c r="J96" s="56" t="n"/>
      <c r="K96" s="56" t="n"/>
      <c r="L96" s="34">
        <f>HYPERLINK(Table544[[#This Row],[Column1]])</f>
        <v/>
      </c>
    </row>
    <row r="97" ht="45" customHeight="1" s="290">
      <c r="A97" s="30" t="n"/>
      <c r="B97" s="30" t="n"/>
      <c r="C97" s="30" t="n"/>
      <c r="D97" s="324" t="n"/>
      <c r="E97" s="53" t="n"/>
      <c r="F97" s="54" t="n"/>
      <c r="G97" s="55" t="n"/>
      <c r="H97" s="55" t="n"/>
      <c r="I97" s="55" t="n"/>
      <c r="J97" s="56" t="n"/>
      <c r="K97" s="56" t="n"/>
      <c r="L97" s="34">
        <f>HYPERLINK(Table544[[#This Row],[Column1]])</f>
        <v/>
      </c>
    </row>
    <row r="98" ht="60" customHeight="1" s="290">
      <c r="A98" s="30" t="n"/>
      <c r="B98" s="30" t="n"/>
      <c r="C98" s="30" t="n"/>
      <c r="D98" s="324" t="n"/>
      <c r="E98" s="53" t="n"/>
      <c r="F98" s="54" t="n"/>
      <c r="G98" s="55" t="n"/>
      <c r="H98" s="55" t="n"/>
      <c r="I98" s="55" t="n"/>
      <c r="J98" s="56" t="n"/>
      <c r="K98" s="56" t="n"/>
      <c r="L98" s="34">
        <f>HYPERLINK(Table544[[#This Row],[Column1]])</f>
        <v/>
      </c>
    </row>
    <row r="99" ht="45" customHeight="1" s="290">
      <c r="A99" s="30" t="n"/>
      <c r="B99" s="30" t="n"/>
      <c r="C99" s="30" t="n"/>
      <c r="D99" s="324" t="n"/>
      <c r="E99" s="53" t="n"/>
      <c r="F99" s="54" t="n"/>
      <c r="G99" s="55" t="n"/>
      <c r="H99" s="55" t="n"/>
      <c r="I99" s="55" t="n"/>
      <c r="J99" s="56" t="n"/>
      <c r="K99" s="56" t="n"/>
      <c r="L99" s="34">
        <f>HYPERLINK(Table544[[#This Row],[Column1]])</f>
        <v/>
      </c>
    </row>
    <row r="100" ht="45" customHeight="1" s="290">
      <c r="A100" s="30" t="n"/>
      <c r="B100" s="30" t="n"/>
      <c r="C100" s="30" t="n"/>
      <c r="D100" s="324" t="n"/>
      <c r="E100" s="53" t="n"/>
      <c r="F100" s="54" t="n"/>
      <c r="G100" s="55" t="n"/>
      <c r="H100" s="55" t="n"/>
      <c r="I100" s="55" t="n"/>
      <c r="J100" s="56" t="n"/>
      <c r="K100" s="56" t="n"/>
      <c r="L100" s="34">
        <f>HYPERLINK(Table544[[#This Row],[Column1]])</f>
        <v/>
      </c>
    </row>
    <row r="101" ht="45" customHeight="1" s="290">
      <c r="A101" s="30" t="n"/>
      <c r="B101" s="30" t="n"/>
      <c r="C101" s="30" t="n"/>
      <c r="D101" s="324" t="n"/>
      <c r="E101" s="53" t="n"/>
      <c r="F101" s="54" t="n"/>
      <c r="G101" s="55" t="n"/>
      <c r="H101" s="55" t="n"/>
      <c r="I101" s="55" t="n"/>
      <c r="J101" s="56" t="n"/>
      <c r="K101" s="56" t="n"/>
      <c r="L101" s="34">
        <f>HYPERLINK(Table544[[#This Row],[Column1]])</f>
        <v/>
      </c>
    </row>
    <row r="102" ht="45" customHeight="1" s="290">
      <c r="A102" s="30" t="n"/>
      <c r="B102" s="30" t="n"/>
      <c r="C102" s="30" t="n"/>
      <c r="D102" s="324" t="n"/>
      <c r="E102" s="53" t="n"/>
      <c r="F102" s="54" t="n"/>
      <c r="G102" s="55" t="n"/>
      <c r="H102" s="55" t="n"/>
      <c r="I102" s="55" t="n"/>
      <c r="J102" s="56" t="n"/>
      <c r="K102" s="56" t="n"/>
      <c r="L102" s="34">
        <f>HYPERLINK(Table544[[#This Row],[Column1]])</f>
        <v/>
      </c>
    </row>
    <row r="103" ht="45" customHeight="1" s="290">
      <c r="A103" s="30" t="n"/>
      <c r="B103" s="30" t="n"/>
      <c r="C103" s="30" t="n"/>
      <c r="D103" s="324" t="n"/>
      <c r="E103" s="53" t="n"/>
      <c r="F103" s="54" t="n"/>
      <c r="G103" s="55" t="n"/>
      <c r="H103" s="55" t="n"/>
      <c r="I103" s="55" t="n"/>
      <c r="J103" s="56" t="n"/>
      <c r="K103" s="56" t="n"/>
      <c r="L103" s="34">
        <f>HYPERLINK(Table544[[#This Row],[Column1]])</f>
        <v/>
      </c>
    </row>
    <row r="104" ht="45" customHeight="1" s="290">
      <c r="A104" s="30" t="n"/>
      <c r="B104" s="30" t="n"/>
      <c r="C104" s="30" t="n"/>
      <c r="D104" s="324" t="n"/>
      <c r="E104" s="53" t="n"/>
      <c r="F104" s="54" t="n"/>
      <c r="G104" s="55" t="n"/>
      <c r="H104" s="55" t="n"/>
      <c r="I104" s="55" t="n"/>
      <c r="J104" s="56" t="n"/>
      <c r="K104" s="56" t="n"/>
      <c r="L104" s="34">
        <f>HYPERLINK(Table544[[#This Row],[Column1]])</f>
        <v/>
      </c>
    </row>
    <row r="105" ht="45" customHeight="1" s="290">
      <c r="A105" s="30" t="n"/>
      <c r="B105" s="30" t="n"/>
      <c r="C105" s="30" t="n"/>
      <c r="D105" s="324" t="n"/>
      <c r="E105" s="53" t="n"/>
      <c r="F105" s="54" t="n"/>
      <c r="G105" s="55" t="n"/>
      <c r="H105" s="55" t="n"/>
      <c r="I105" s="55" t="n"/>
      <c r="J105" s="56" t="n"/>
      <c r="K105" s="56" t="n"/>
      <c r="L105" s="34">
        <f>HYPERLINK(Table544[[#This Row],[Column1]])</f>
        <v/>
      </c>
    </row>
    <row r="106" ht="45" customHeight="1" s="290">
      <c r="A106" s="30" t="n"/>
      <c r="B106" s="30" t="n"/>
      <c r="C106" s="30" t="n"/>
      <c r="D106" s="324" t="n"/>
      <c r="E106" s="53" t="n"/>
      <c r="F106" s="54" t="n"/>
      <c r="G106" s="55" t="n"/>
      <c r="H106" s="55" t="n"/>
      <c r="I106" s="55" t="n"/>
      <c r="J106" s="56" t="n"/>
      <c r="K106" s="56" t="n"/>
      <c r="L106" s="34">
        <f>HYPERLINK(Table544[[#This Row],[Column1]])</f>
        <v/>
      </c>
    </row>
    <row r="107" ht="60" customHeight="1" s="290">
      <c r="A107" s="30" t="n"/>
      <c r="B107" s="30" t="n"/>
      <c r="C107" s="30" t="n"/>
      <c r="D107" s="324" t="n"/>
      <c r="E107" s="53" t="n"/>
      <c r="F107" s="54" t="n"/>
      <c r="G107" s="55" t="n"/>
      <c r="H107" s="55" t="n"/>
      <c r="I107" s="55" t="n"/>
      <c r="J107" s="56" t="n"/>
      <c r="K107" s="56" t="n"/>
      <c r="L107" s="34">
        <f>HYPERLINK(Table544[[#This Row],[Column1]])</f>
        <v/>
      </c>
    </row>
    <row r="108" ht="45" customHeight="1" s="290">
      <c r="A108" s="30" t="n"/>
      <c r="B108" s="30" t="n"/>
      <c r="C108" s="30" t="n"/>
      <c r="D108" s="324" t="n"/>
      <c r="E108" s="53" t="n"/>
      <c r="F108" s="54" t="n"/>
      <c r="G108" s="55" t="n"/>
      <c r="H108" s="55" t="n"/>
      <c r="I108" s="55" t="n"/>
      <c r="J108" s="56" t="n"/>
      <c r="K108" s="56" t="n"/>
      <c r="L108" s="34">
        <f>HYPERLINK(Table544[[#This Row],[Column1]])</f>
        <v/>
      </c>
    </row>
    <row r="109" ht="45" customHeight="1" s="290">
      <c r="A109" s="30" t="n"/>
      <c r="B109" s="30" t="n"/>
      <c r="C109" s="30" t="n"/>
      <c r="D109" s="324" t="n"/>
      <c r="E109" s="53" t="n"/>
      <c r="F109" s="54" t="n"/>
      <c r="G109" s="55" t="n"/>
      <c r="H109" s="55" t="n"/>
      <c r="I109" s="55" t="n"/>
      <c r="J109" s="56" t="n"/>
      <c r="K109" s="56" t="n"/>
      <c r="L109" s="34">
        <f>HYPERLINK(Table544[[#This Row],[Column1]])</f>
        <v/>
      </c>
    </row>
    <row r="110" ht="45" customHeight="1" s="290">
      <c r="A110" s="30" t="n"/>
      <c r="B110" s="30" t="n"/>
      <c r="C110" s="30" t="n"/>
      <c r="D110" s="324" t="n"/>
      <c r="E110" s="53" t="n"/>
      <c r="F110" s="54" t="n"/>
      <c r="G110" s="55" t="n"/>
      <c r="H110" s="55" t="n"/>
      <c r="I110" s="55" t="n"/>
      <c r="J110" s="56" t="n"/>
      <c r="K110" s="56" t="n"/>
      <c r="L110" s="34">
        <f>HYPERLINK(Table544[[#This Row],[Column1]])</f>
        <v/>
      </c>
    </row>
    <row r="111" ht="45" customHeight="1" s="290">
      <c r="A111" s="30" t="n"/>
      <c r="B111" s="30" t="n"/>
      <c r="C111" s="30" t="n"/>
      <c r="D111" s="324" t="n"/>
      <c r="E111" s="53" t="n"/>
      <c r="F111" s="54" t="n"/>
      <c r="G111" s="55" t="n"/>
      <c r="H111" s="55" t="n"/>
      <c r="I111" s="55" t="n"/>
      <c r="J111" s="56" t="n"/>
      <c r="K111" s="56" t="n"/>
      <c r="L111" s="34">
        <f>HYPERLINK(Table544[[#This Row],[Column1]])</f>
        <v/>
      </c>
    </row>
    <row r="112" ht="45" customHeight="1" s="290">
      <c r="A112" s="30" t="n"/>
      <c r="B112" s="30" t="n"/>
      <c r="C112" s="30" t="n"/>
      <c r="D112" s="324" t="n"/>
      <c r="E112" s="53" t="n"/>
      <c r="F112" s="54" t="n"/>
      <c r="G112" s="55" t="n"/>
      <c r="H112" s="55" t="n"/>
      <c r="I112" s="55" t="n"/>
      <c r="J112" s="56" t="n"/>
      <c r="K112" s="56" t="n"/>
      <c r="L112" s="34">
        <f>HYPERLINK(Table544[[#This Row],[Column1]])</f>
        <v/>
      </c>
    </row>
    <row r="113" ht="45" customHeight="1" s="290">
      <c r="A113" s="30" t="n"/>
      <c r="B113" s="30" t="n"/>
      <c r="C113" s="30" t="n"/>
      <c r="D113" s="324" t="n"/>
      <c r="E113" s="53" t="n"/>
      <c r="F113" s="54" t="n"/>
      <c r="G113" s="55" t="n"/>
      <c r="H113" s="55" t="n"/>
      <c r="I113" s="55" t="n"/>
      <c r="J113" s="56" t="n"/>
      <c r="K113" s="56" t="n"/>
      <c r="L113" s="34">
        <f>HYPERLINK(Table544[[#This Row],[Column1]])</f>
        <v/>
      </c>
    </row>
    <row r="114" ht="45" customHeight="1" s="290">
      <c r="A114" s="30" t="n"/>
      <c r="B114" s="30" t="n"/>
      <c r="C114" s="30" t="n"/>
      <c r="D114" s="324" t="n"/>
      <c r="E114" s="53" t="n"/>
      <c r="F114" s="54" t="n"/>
      <c r="G114" s="55" t="n"/>
      <c r="H114" s="55" t="n"/>
      <c r="I114" s="55" t="n"/>
      <c r="J114" s="56" t="n"/>
      <c r="K114" s="56" t="n"/>
      <c r="L114" s="34">
        <f>HYPERLINK(Table544[[#This Row],[Column1]])</f>
        <v/>
      </c>
    </row>
    <row r="115" ht="45" customHeight="1" s="290">
      <c r="A115" s="30" t="n"/>
      <c r="B115" s="30" t="n"/>
      <c r="C115" s="30" t="n"/>
      <c r="D115" s="324" t="n"/>
      <c r="E115" s="53" t="n"/>
      <c r="F115" s="54" t="n"/>
      <c r="G115" s="55" t="n"/>
      <c r="H115" s="55" t="n"/>
      <c r="I115" s="55" t="n"/>
      <c r="J115" s="56" t="n"/>
      <c r="K115" s="56" t="n"/>
      <c r="L115" s="34">
        <f>HYPERLINK(Table544[[#This Row],[Column1]])</f>
        <v/>
      </c>
    </row>
    <row r="116" ht="30" customHeight="1" s="290">
      <c r="A116" s="30" t="n"/>
      <c r="B116" s="30" t="n"/>
      <c r="C116" s="30" t="n"/>
      <c r="D116" s="324" t="n"/>
      <c r="E116" s="53" t="n"/>
      <c r="F116" s="54" t="n"/>
      <c r="G116" s="55" t="n"/>
      <c r="H116" s="55" t="n"/>
      <c r="I116" s="55" t="n"/>
      <c r="J116" s="56" t="n"/>
      <c r="K116" s="56" t="n"/>
      <c r="L116" s="34">
        <f>HYPERLINK(Table544[[#This Row],[Column1]])</f>
        <v/>
      </c>
    </row>
    <row r="117" ht="30" customHeight="1" s="290">
      <c r="A117" s="30" t="n"/>
      <c r="B117" s="30" t="n"/>
      <c r="C117" s="30" t="n"/>
      <c r="D117" s="324" t="n"/>
      <c r="E117" s="53" t="n"/>
      <c r="F117" s="54" t="n"/>
      <c r="G117" s="55" t="n"/>
      <c r="H117" s="55" t="n"/>
      <c r="I117" s="55" t="n"/>
      <c r="J117" s="56" t="n"/>
      <c r="K117" s="56" t="n"/>
      <c r="L117" s="34">
        <f>HYPERLINK(Table544[[#This Row],[Column1]])</f>
        <v/>
      </c>
    </row>
    <row r="118" ht="45" customHeight="1" s="290">
      <c r="A118" s="30" t="n"/>
      <c r="B118" s="30" t="n"/>
      <c r="C118" s="30" t="n"/>
      <c r="D118" s="324" t="n"/>
      <c r="E118" s="53" t="n"/>
      <c r="F118" s="54" t="n"/>
      <c r="G118" s="55" t="n"/>
      <c r="H118" s="55" t="n"/>
      <c r="I118" s="55" t="n"/>
      <c r="J118" s="56" t="n"/>
      <c r="K118" s="56" t="n"/>
      <c r="L118" s="34">
        <f>HYPERLINK(Table544[[#This Row],[Column1]])</f>
        <v/>
      </c>
    </row>
    <row r="119" ht="45" customHeight="1" s="290">
      <c r="A119" s="30" t="n"/>
      <c r="B119" s="30" t="n"/>
      <c r="C119" s="30" t="n"/>
      <c r="D119" s="324" t="n"/>
      <c r="E119" s="53" t="n"/>
      <c r="F119" s="54" t="n"/>
      <c r="G119" s="55" t="n"/>
      <c r="H119" s="55" t="n"/>
      <c r="I119" s="55" t="n"/>
      <c r="J119" s="56" t="n"/>
      <c r="K119" s="56" t="n"/>
      <c r="L119" s="34">
        <f>HYPERLINK(Table544[[#This Row],[Column1]])</f>
        <v/>
      </c>
    </row>
    <row r="120" ht="60" customHeight="1" s="290">
      <c r="A120" s="30" t="n"/>
      <c r="B120" s="30" t="n"/>
      <c r="C120" s="30" t="n"/>
      <c r="D120" s="324" t="n"/>
      <c r="E120" s="53" t="n"/>
      <c r="F120" s="54" t="n"/>
      <c r="G120" s="55" t="n"/>
      <c r="H120" s="55" t="n"/>
      <c r="I120" s="55" t="n"/>
      <c r="J120" s="56" t="n"/>
      <c r="K120" s="56" t="n"/>
      <c r="L120" s="34">
        <f>HYPERLINK(Table544[[#This Row],[Column1]])</f>
        <v/>
      </c>
    </row>
    <row r="121" ht="45" customHeight="1" s="290">
      <c r="A121" s="30" t="n"/>
      <c r="B121" s="30" t="n"/>
      <c r="C121" s="30" t="n"/>
      <c r="D121" s="324" t="n"/>
      <c r="E121" s="53" t="n"/>
      <c r="F121" s="54" t="n"/>
      <c r="G121" s="55" t="n"/>
      <c r="H121" s="55" t="n"/>
      <c r="I121" s="55" t="n"/>
      <c r="J121" s="56" t="n"/>
      <c r="K121" s="56" t="n"/>
      <c r="L121" s="34">
        <f>HYPERLINK(Table544[[#This Row],[Column1]])</f>
        <v/>
      </c>
    </row>
    <row r="122" ht="45" customHeight="1" s="290">
      <c r="A122" s="30" t="n"/>
      <c r="B122" s="30" t="n"/>
      <c r="C122" s="30" t="n"/>
      <c r="D122" s="324" t="n"/>
      <c r="E122" s="53" t="n"/>
      <c r="F122" s="54" t="n"/>
      <c r="G122" s="55" t="n"/>
      <c r="H122" s="55" t="n"/>
      <c r="I122" s="55" t="n"/>
      <c r="J122" s="56" t="n"/>
      <c r="K122" s="56" t="n"/>
      <c r="L122" s="34">
        <f>HYPERLINK(Table544[[#This Row],[Column1]])</f>
        <v/>
      </c>
    </row>
    <row r="123" ht="45" customHeight="1" s="290">
      <c r="A123" s="30" t="n"/>
      <c r="B123" s="30" t="n"/>
      <c r="C123" s="30" t="n"/>
      <c r="D123" s="324" t="n"/>
      <c r="E123" s="53" t="n"/>
      <c r="F123" s="54" t="n"/>
      <c r="G123" s="55" t="n"/>
      <c r="H123" s="55" t="n"/>
      <c r="I123" s="55" t="n"/>
      <c r="J123" s="56" t="n"/>
      <c r="K123" s="56" t="n"/>
      <c r="L123" s="34">
        <f>HYPERLINK(Table544[[#This Row],[Column1]])</f>
        <v/>
      </c>
    </row>
    <row r="124" ht="17" customHeight="1" s="290">
      <c r="A124" s="30" t="n"/>
      <c r="B124" s="30" t="n"/>
      <c r="C124" s="30" t="n"/>
      <c r="D124" s="324" t="n"/>
      <c r="E124" s="53" t="n"/>
      <c r="F124" s="54" t="n"/>
      <c r="G124" s="55" t="n"/>
      <c r="H124" s="55" t="n"/>
      <c r="I124" s="55" t="n"/>
      <c r="J124" s="56" t="n"/>
      <c r="K124" s="56" t="n"/>
      <c r="L124" s="34">
        <f>HYPERLINK(Table544[[#This Row],[Column1]])</f>
        <v/>
      </c>
    </row>
    <row r="125" ht="30" customHeight="1" s="290">
      <c r="A125" s="30" t="n"/>
      <c r="B125" s="30" t="n"/>
      <c r="C125" s="30" t="n"/>
      <c r="D125" s="324" t="n"/>
      <c r="E125" s="53" t="n"/>
      <c r="F125" s="54" t="n"/>
      <c r="G125" s="55" t="n"/>
      <c r="H125" s="55" t="n"/>
      <c r="I125" s="55" t="n"/>
      <c r="J125" s="56" t="n"/>
      <c r="K125" s="56" t="n"/>
      <c r="L125" s="34">
        <f>HYPERLINK(Table544[[#This Row],[Column1]])</f>
        <v/>
      </c>
    </row>
    <row r="126" ht="45" customHeight="1" s="290">
      <c r="A126" s="30" t="n"/>
      <c r="B126" s="30" t="n"/>
      <c r="C126" s="30" t="n"/>
      <c r="D126" s="324" t="n"/>
      <c r="E126" s="53" t="n"/>
      <c r="F126" s="54" t="n"/>
      <c r="G126" s="55" t="n"/>
      <c r="H126" s="55" t="n"/>
      <c r="I126" s="55" t="n"/>
      <c r="J126" s="56" t="n"/>
      <c r="K126" s="56" t="n"/>
      <c r="L126" s="34">
        <f>HYPERLINK(Table544[[#This Row],[Column1]])</f>
        <v/>
      </c>
    </row>
    <row r="127" ht="45" customHeight="1" s="290">
      <c r="A127" s="30" t="n"/>
      <c r="B127" s="30" t="n"/>
      <c r="C127" s="30" t="n"/>
      <c r="D127" s="324" t="n"/>
      <c r="E127" s="53" t="n"/>
      <c r="F127" s="54" t="n"/>
      <c r="G127" s="55" t="n"/>
      <c r="H127" s="55" t="n"/>
      <c r="I127" s="55" t="n"/>
      <c r="J127" s="56" t="n"/>
      <c r="K127" s="56" t="n"/>
      <c r="L127" s="34">
        <f>HYPERLINK(Table544[[#This Row],[Column1]])</f>
        <v/>
      </c>
    </row>
    <row r="128" ht="17" customHeight="1" s="290">
      <c r="A128" s="33" t="inlineStr">
        <is>
          <t>Total</t>
        </is>
      </c>
      <c r="B128" s="32" t="n"/>
      <c r="C128" s="325" t="n"/>
      <c r="D128" s="325" t="n"/>
      <c r="E128" s="59">
        <f>SUM(Table544[Estimated 12mo Revenue])</f>
        <v/>
      </c>
      <c r="F128" s="59">
        <f>SUM(Table544[Monthly Rev])</f>
        <v/>
      </c>
      <c r="I128" s="286" t="n"/>
      <c r="J128" s="287" t="n"/>
    </row>
    <row r="131">
      <c r="A131" s="283" t="inlineStr">
        <is>
          <t>Rank by Units</t>
        </is>
      </c>
    </row>
    <row r="132" ht="17" customHeight="1" s="290">
      <c r="A132" s="38" t="inlineStr">
        <is>
          <t>Product Name</t>
        </is>
      </c>
      <c r="B132" s="39" t="inlineStr">
        <is>
          <t>ASIN</t>
        </is>
      </c>
      <c r="C132" s="39" t="inlineStr">
        <is>
          <t>Type</t>
        </is>
      </c>
      <c r="D132" s="322" t="inlineStr">
        <is>
          <t>Avg Price</t>
        </is>
      </c>
      <c r="E132" s="41" t="inlineStr">
        <is>
          <t>Estimated 12mo Revenue</t>
        </is>
      </c>
      <c r="F132" s="39" t="inlineStr">
        <is>
          <t>Monthly Rev</t>
        </is>
      </c>
      <c r="G132" s="42" t="inlineStr">
        <is>
          <t>Estimated 12mo Units</t>
        </is>
      </c>
      <c r="H132" s="45" t="inlineStr">
        <is>
          <t>Monthly Units</t>
        </is>
      </c>
      <c r="I132" s="42" t="inlineStr">
        <is>
          <t># of Reviews</t>
        </is>
      </c>
      <c r="J132" s="43" t="inlineStr">
        <is>
          <t xml:space="preserve">Tool Rating </t>
        </is>
      </c>
      <c r="K132" s="43" t="inlineStr">
        <is>
          <t>Column1</t>
        </is>
      </c>
      <c r="L132" s="323" t="inlineStr">
        <is>
          <t>Link</t>
        </is>
      </c>
    </row>
    <row r="133" ht="45" customHeight="1" s="290">
      <c r="A133" s="30" t="inlineStr">
        <is>
          <t>Krazy On Highways Edge Insight CTS3 Digital Gauge, Compatible with 1996 &amp; Up OBD-II Vehicles. 84130-3</t>
        </is>
      </c>
      <c r="B133" s="30" t="inlineStr">
        <is>
          <t>B087WMGLF1</t>
        </is>
      </c>
      <c r="C133" s="30" t="inlineStr">
        <is>
          <t>Other</t>
        </is>
      </c>
      <c r="D133" s="324" t="n">
        <v>446.7409403669724</v>
      </c>
      <c r="E133" s="53" t="n">
        <v>3122152.482307692</v>
      </c>
      <c r="F133" s="53" t="n">
        <v>194779.05</v>
      </c>
      <c r="G133" s="55" t="n">
        <v>6572</v>
      </c>
      <c r="H133" s="57" t="n">
        <v>436</v>
      </c>
      <c r="I133" s="55" t="n">
        <v>1055</v>
      </c>
      <c r="J133" s="56" t="n">
        <v>4.3</v>
      </c>
      <c r="K133" s="56" t="inlineStr">
        <is>
          <t>https://amazon.com/dp/B087WMGLF1</t>
        </is>
      </c>
      <c r="L133" s="34">
        <f>HYPERLINK(Edge_1[[#This Row],[Column1]])</f>
        <v/>
      </c>
    </row>
    <row r="134" ht="45" customHeight="1" s="290">
      <c r="A134" s="30" t="n"/>
      <c r="B134" s="30" t="n"/>
      <c r="C134" s="30" t="n"/>
      <c r="D134" s="324" t="n"/>
      <c r="E134" s="53" t="n"/>
      <c r="F134" s="53" t="n"/>
      <c r="G134" s="55" t="n"/>
      <c r="H134" s="57" t="n"/>
      <c r="I134" s="55" t="n"/>
      <c r="J134" s="56" t="n"/>
      <c r="K134" s="56" t="n"/>
      <c r="L134" s="34">
        <f>HYPERLINK(Table65[[#This Row],[Column1]])</f>
        <v/>
      </c>
    </row>
    <row r="135" ht="45" customHeight="1" s="290">
      <c r="A135" s="30" t="n"/>
      <c r="B135" s="30" t="n"/>
      <c r="C135" s="30" t="n"/>
      <c r="D135" s="324" t="n"/>
      <c r="E135" s="53" t="n"/>
      <c r="F135" s="53" t="n"/>
      <c r="G135" s="55" t="n"/>
      <c r="H135" s="57" t="n"/>
      <c r="I135" s="55" t="n"/>
      <c r="J135" s="56" t="n"/>
      <c r="K135" s="56" t="n"/>
      <c r="L135" s="34">
        <f>HYPERLINK(Table65[[#This Row],[Column1]])</f>
        <v/>
      </c>
    </row>
    <row r="136" ht="45" customHeight="1" s="290">
      <c r="A136" s="30" t="n"/>
      <c r="B136" s="30" t="n"/>
      <c r="C136" s="30" t="n"/>
      <c r="D136" s="324" t="n"/>
      <c r="E136" s="53" t="n"/>
      <c r="F136" s="53" t="n"/>
      <c r="G136" s="55" t="n"/>
      <c r="H136" s="57" t="n"/>
      <c r="I136" s="55" t="n"/>
      <c r="J136" s="56" t="n"/>
      <c r="K136" s="56" t="n"/>
      <c r="L136" s="34">
        <f>HYPERLINK(Table65[[#This Row],[Column1]])</f>
        <v/>
      </c>
    </row>
    <row r="137" ht="45" customHeight="1" s="290">
      <c r="A137" s="30" t="n"/>
      <c r="B137" s="30" t="n"/>
      <c r="C137" s="30" t="n"/>
      <c r="D137" s="324" t="n"/>
      <c r="E137" s="53" t="n"/>
      <c r="F137" s="53" t="n"/>
      <c r="G137" s="55" t="n"/>
      <c r="H137" s="57" t="n"/>
      <c r="I137" s="55" t="n"/>
      <c r="J137" s="56" t="n"/>
      <c r="K137" s="56" t="n"/>
      <c r="L137" s="34">
        <f>HYPERLINK(Table65[[#This Row],[Column1]])</f>
        <v/>
      </c>
    </row>
    <row r="138" ht="45" customHeight="1" s="290">
      <c r="A138" s="30" t="n"/>
      <c r="B138" s="30" t="n"/>
      <c r="C138" s="30" t="n"/>
      <c r="D138" s="324" t="n"/>
      <c r="E138" s="53" t="n"/>
      <c r="F138" s="53" t="n"/>
      <c r="G138" s="55" t="n"/>
      <c r="H138" s="57" t="n"/>
      <c r="I138" s="55" t="n"/>
      <c r="J138" s="56" t="n"/>
      <c r="K138" s="56" t="n"/>
      <c r="L138" s="34">
        <f>HYPERLINK(Table65[[#This Row],[Column1]])</f>
        <v/>
      </c>
    </row>
    <row r="139" ht="45" customHeight="1" s="290">
      <c r="A139" s="30" t="n"/>
      <c r="B139" s="30" t="n"/>
      <c r="C139" s="30" t="n"/>
      <c r="D139" s="324" t="n"/>
      <c r="E139" s="53" t="n"/>
      <c r="F139" s="53" t="n"/>
      <c r="G139" s="55" t="n"/>
      <c r="H139" s="57" t="n"/>
      <c r="I139" s="55" t="n"/>
      <c r="J139" s="56" t="n"/>
      <c r="K139" s="56" t="n"/>
      <c r="L139" s="34">
        <f>HYPERLINK(Table65[[#This Row],[Column1]])</f>
        <v/>
      </c>
    </row>
    <row r="140" ht="45" customHeight="1" s="290">
      <c r="A140" s="30" t="n"/>
      <c r="B140" s="30" t="n"/>
      <c r="C140" s="30" t="n"/>
      <c r="D140" s="324" t="n"/>
      <c r="E140" s="53" t="n"/>
      <c r="F140" s="53" t="n"/>
      <c r="G140" s="55" t="n"/>
      <c r="H140" s="57" t="n"/>
      <c r="I140" s="55" t="n"/>
      <c r="J140" s="56" t="n"/>
      <c r="K140" s="56" t="n"/>
      <c r="L140" s="34">
        <f>HYPERLINK(Table65[[#This Row],[Column1]])</f>
        <v/>
      </c>
    </row>
    <row r="141" ht="30" customHeight="1" s="290">
      <c r="A141" s="30" t="n"/>
      <c r="B141" s="30" t="n"/>
      <c r="C141" s="30" t="n"/>
      <c r="D141" s="324" t="n"/>
      <c r="E141" s="53" t="n"/>
      <c r="F141" s="53" t="n"/>
      <c r="G141" s="55" t="n"/>
      <c r="H141" s="57" t="n"/>
      <c r="I141" s="55" t="n"/>
      <c r="J141" s="56" t="n"/>
      <c r="K141" s="56" t="n"/>
      <c r="L141" s="34">
        <f>HYPERLINK(Table65[[#This Row],[Column1]])</f>
        <v/>
      </c>
    </row>
    <row r="142" ht="45" customHeight="1" s="290">
      <c r="A142" s="30" t="n"/>
      <c r="B142" s="30" t="n"/>
      <c r="C142" s="30" t="n"/>
      <c r="D142" s="324" t="n"/>
      <c r="E142" s="53" t="n"/>
      <c r="F142" s="53" t="n"/>
      <c r="G142" s="55" t="n"/>
      <c r="H142" s="57" t="n"/>
      <c r="I142" s="55" t="n"/>
      <c r="J142" s="56" t="n"/>
      <c r="K142" s="56" t="n"/>
      <c r="L142" s="34">
        <f>HYPERLINK(Table65[[#This Row],[Column1]])</f>
        <v/>
      </c>
    </row>
    <row r="143" ht="45" customHeight="1" s="290">
      <c r="A143" s="30" t="n"/>
      <c r="B143" s="30" t="n"/>
      <c r="C143" s="30" t="n"/>
      <c r="D143" s="324" t="n"/>
      <c r="E143" s="53" t="n"/>
      <c r="F143" s="53" t="n"/>
      <c r="G143" s="55" t="n"/>
      <c r="H143" s="57" t="n"/>
      <c r="I143" s="55" t="n"/>
      <c r="J143" s="56" t="n"/>
      <c r="K143" s="56" t="n"/>
      <c r="L143" s="34">
        <f>HYPERLINK(Table65[[#This Row],[Column1]])</f>
        <v/>
      </c>
    </row>
    <row r="144" ht="45" customHeight="1" s="290">
      <c r="A144" s="30" t="n"/>
      <c r="B144" s="30" t="n"/>
      <c r="C144" s="30" t="n"/>
      <c r="D144" s="324" t="n"/>
      <c r="E144" s="53" t="n"/>
      <c r="F144" s="53" t="n"/>
      <c r="G144" s="55" t="n"/>
      <c r="H144" s="57" t="n"/>
      <c r="I144" s="55" t="n"/>
      <c r="J144" s="56" t="n"/>
      <c r="K144" s="56" t="n"/>
      <c r="L144" s="34">
        <f>HYPERLINK(Table65[[#This Row],[Column1]])</f>
        <v/>
      </c>
    </row>
    <row r="145" ht="45" customHeight="1" s="290">
      <c r="A145" s="30" t="n"/>
      <c r="B145" s="30" t="n"/>
      <c r="C145" s="30" t="n"/>
      <c r="D145" s="324" t="n"/>
      <c r="E145" s="53" t="n"/>
      <c r="F145" s="53" t="n"/>
      <c r="G145" s="55" t="n"/>
      <c r="H145" s="57" t="n"/>
      <c r="I145" s="55" t="n"/>
      <c r="J145" s="56" t="n"/>
      <c r="K145" s="56" t="n"/>
      <c r="L145" s="34">
        <f>HYPERLINK(Table65[[#This Row],[Column1]])</f>
        <v/>
      </c>
    </row>
    <row r="146" ht="60" customHeight="1" s="290">
      <c r="A146" s="30" t="n"/>
      <c r="B146" s="30" t="n"/>
      <c r="C146" s="30" t="n"/>
      <c r="D146" s="324" t="n"/>
      <c r="E146" s="53" t="n"/>
      <c r="F146" s="53" t="n"/>
      <c r="G146" s="55" t="n"/>
      <c r="H146" s="57" t="n"/>
      <c r="I146" s="55" t="n"/>
      <c r="J146" s="56" t="n"/>
      <c r="K146" s="56" t="n"/>
      <c r="L146" s="34">
        <f>HYPERLINK(Table65[[#This Row],[Column1]])</f>
        <v/>
      </c>
    </row>
    <row r="147" ht="45" customHeight="1" s="290">
      <c r="A147" s="30" t="n"/>
      <c r="B147" s="30" t="n"/>
      <c r="C147" s="30" t="n"/>
      <c r="D147" s="324" t="n"/>
      <c r="E147" s="53" t="n"/>
      <c r="F147" s="53" t="n"/>
      <c r="G147" s="55" t="n"/>
      <c r="H147" s="57" t="n"/>
      <c r="I147" s="55" t="n"/>
      <c r="J147" s="56" t="n"/>
      <c r="K147" s="56" t="n"/>
      <c r="L147" s="34">
        <f>HYPERLINK(Table65[[#This Row],[Column1]])</f>
        <v/>
      </c>
    </row>
    <row r="148" ht="45" customHeight="1" s="290">
      <c r="A148" s="30" t="n"/>
      <c r="B148" s="30" t="n"/>
      <c r="C148" s="30" t="n"/>
      <c r="D148" s="324" t="n"/>
      <c r="E148" s="53" t="n"/>
      <c r="F148" s="53" t="n"/>
      <c r="G148" s="55" t="n"/>
      <c r="H148" s="57" t="n"/>
      <c r="I148" s="55" t="n"/>
      <c r="J148" s="56" t="n"/>
      <c r="K148" s="56" t="n"/>
      <c r="L148" s="34">
        <f>HYPERLINK(Table65[[#This Row],[Column1]])</f>
        <v/>
      </c>
    </row>
    <row r="149" ht="45" customHeight="1" s="290">
      <c r="A149" s="30" t="n"/>
      <c r="B149" s="30" t="n"/>
      <c r="C149" s="30" t="n"/>
      <c r="D149" s="324" t="n"/>
      <c r="E149" s="53" t="n"/>
      <c r="F149" s="53" t="n"/>
      <c r="G149" s="55" t="n"/>
      <c r="H149" s="57" t="n"/>
      <c r="I149" s="55" t="n"/>
      <c r="J149" s="56" t="n"/>
      <c r="K149" s="56" t="n"/>
      <c r="L149" s="34">
        <f>HYPERLINK(Table65[[#This Row],[Column1]])</f>
        <v/>
      </c>
    </row>
    <row r="150" ht="45" customHeight="1" s="290">
      <c r="A150" s="30" t="n"/>
      <c r="B150" s="30" t="n"/>
      <c r="C150" s="30" t="n"/>
      <c r="D150" s="324" t="n"/>
      <c r="E150" s="53" t="n"/>
      <c r="F150" s="53" t="n"/>
      <c r="G150" s="55" t="n"/>
      <c r="H150" s="57" t="n"/>
      <c r="I150" s="55" t="n"/>
      <c r="J150" s="56" t="n"/>
      <c r="K150" s="56" t="n"/>
      <c r="L150" s="34">
        <f>HYPERLINK(Table65[[#This Row],[Column1]])</f>
        <v/>
      </c>
    </row>
    <row r="151" ht="45" customHeight="1" s="290">
      <c r="A151" s="30" t="n"/>
      <c r="B151" s="30" t="n"/>
      <c r="C151" s="30" t="n"/>
      <c r="D151" s="324" t="n"/>
      <c r="E151" s="53" t="n"/>
      <c r="F151" s="53" t="n"/>
      <c r="G151" s="55" t="n"/>
      <c r="H151" s="57" t="n"/>
      <c r="I151" s="55" t="n"/>
      <c r="J151" s="56" t="n"/>
      <c r="K151" s="56" t="n"/>
      <c r="L151" s="34">
        <f>HYPERLINK(Table65[[#This Row],[Column1]])</f>
        <v/>
      </c>
    </row>
    <row r="152" ht="45" customHeight="1" s="290">
      <c r="A152" s="30" t="n"/>
      <c r="B152" s="30" t="n"/>
      <c r="C152" s="30" t="n"/>
      <c r="D152" s="324" t="n"/>
      <c r="E152" s="53" t="n"/>
      <c r="F152" s="53" t="n"/>
      <c r="G152" s="55" t="n"/>
      <c r="H152" s="57" t="n"/>
      <c r="I152" s="55" t="n"/>
      <c r="J152" s="56" t="n"/>
      <c r="K152" s="56" t="n"/>
      <c r="L152" s="34">
        <f>HYPERLINK(Table65[[#This Row],[Column1]])</f>
        <v/>
      </c>
    </row>
    <row r="153" ht="60" customHeight="1" s="290">
      <c r="A153" s="30" t="n"/>
      <c r="B153" s="30" t="n"/>
      <c r="C153" s="30" t="n"/>
      <c r="D153" s="324" t="n"/>
      <c r="E153" s="53" t="n"/>
      <c r="F153" s="53" t="n"/>
      <c r="G153" s="55" t="n"/>
      <c r="H153" s="57" t="n"/>
      <c r="I153" s="55" t="n"/>
      <c r="J153" s="56" t="n"/>
      <c r="K153" s="56" t="n"/>
      <c r="L153" s="34">
        <f>HYPERLINK(Table65[[#This Row],[Column1]])</f>
        <v/>
      </c>
    </row>
    <row r="154" ht="45" customHeight="1" s="290">
      <c r="A154" s="30" t="n"/>
      <c r="B154" s="30" t="n"/>
      <c r="C154" s="30" t="n"/>
      <c r="D154" s="324" t="n"/>
      <c r="E154" s="53" t="n"/>
      <c r="F154" s="53" t="n"/>
      <c r="G154" s="55" t="n"/>
      <c r="H154" s="57" t="n"/>
      <c r="I154" s="55" t="n"/>
      <c r="J154" s="56" t="n"/>
      <c r="K154" s="56" t="n"/>
      <c r="L154" s="34">
        <f>HYPERLINK(Table65[[#This Row],[Column1]])</f>
        <v/>
      </c>
    </row>
    <row r="155" ht="45" customHeight="1" s="290">
      <c r="A155" s="30" t="n"/>
      <c r="B155" s="30" t="n"/>
      <c r="C155" s="30" t="n"/>
      <c r="D155" s="324" t="n"/>
      <c r="E155" s="53" t="n"/>
      <c r="F155" s="53" t="n"/>
      <c r="G155" s="55" t="n"/>
      <c r="H155" s="57" t="n"/>
      <c r="I155" s="55" t="n"/>
      <c r="J155" s="56" t="n"/>
      <c r="K155" s="56" t="n"/>
      <c r="L155" s="34">
        <f>HYPERLINK(Table65[[#This Row],[Column1]])</f>
        <v/>
      </c>
    </row>
    <row r="156" ht="45" customHeight="1" s="290">
      <c r="A156" s="30" t="n"/>
      <c r="B156" s="30" t="n"/>
      <c r="C156" s="30" t="n"/>
      <c r="D156" s="324" t="n"/>
      <c r="E156" s="53" t="n"/>
      <c r="F156" s="53" t="n"/>
      <c r="G156" s="55" t="n"/>
      <c r="H156" s="57" t="n"/>
      <c r="I156" s="55" t="n"/>
      <c r="J156" s="56" t="n"/>
      <c r="K156" s="56" t="n"/>
      <c r="L156" s="34">
        <f>HYPERLINK(Table65[[#This Row],[Column1]])</f>
        <v/>
      </c>
    </row>
    <row r="157" ht="45" customHeight="1" s="290">
      <c r="A157" s="30" t="n"/>
      <c r="B157" s="30" t="n"/>
      <c r="C157" s="30" t="n"/>
      <c r="D157" s="324" t="n"/>
      <c r="E157" s="53" t="n"/>
      <c r="F157" s="53" t="n"/>
      <c r="G157" s="55" t="n"/>
      <c r="H157" s="57" t="n"/>
      <c r="I157" s="55" t="n"/>
      <c r="J157" s="56" t="n"/>
      <c r="K157" s="56" t="n"/>
      <c r="L157" s="34">
        <f>HYPERLINK(Table65[[#This Row],[Column1]])</f>
        <v/>
      </c>
    </row>
    <row r="158" ht="45" customHeight="1" s="290">
      <c r="A158" s="30" t="n"/>
      <c r="B158" s="30" t="n"/>
      <c r="C158" s="30" t="n"/>
      <c r="D158" s="324" t="n"/>
      <c r="E158" s="53" t="n"/>
      <c r="F158" s="53" t="n"/>
      <c r="G158" s="55" t="n"/>
      <c r="H158" s="57" t="n"/>
      <c r="I158" s="55" t="n"/>
      <c r="J158" s="56" t="n"/>
      <c r="K158" s="56" t="n"/>
      <c r="L158" s="34">
        <f>HYPERLINK(Table65[[#This Row],[Column1]])</f>
        <v/>
      </c>
    </row>
    <row r="159" ht="45" customHeight="1" s="290">
      <c r="A159" s="30" t="n"/>
      <c r="B159" s="30" t="n"/>
      <c r="C159" s="30" t="n"/>
      <c r="D159" s="324" t="n"/>
      <c r="E159" s="53" t="n"/>
      <c r="F159" s="53" t="n"/>
      <c r="G159" s="55" t="n"/>
      <c r="H159" s="57" t="n"/>
      <c r="I159" s="55" t="n"/>
      <c r="J159" s="56" t="n"/>
      <c r="K159" s="56" t="n"/>
      <c r="L159" s="34">
        <f>HYPERLINK(Table65[[#This Row],[Column1]])</f>
        <v/>
      </c>
    </row>
    <row r="160" ht="45" customHeight="1" s="290">
      <c r="A160" s="30" t="n"/>
      <c r="B160" s="30" t="n"/>
      <c r="C160" s="30" t="n"/>
      <c r="D160" s="324" t="n"/>
      <c r="E160" s="53" t="n"/>
      <c r="F160" s="53" t="n"/>
      <c r="G160" s="55" t="n"/>
      <c r="H160" s="57" t="n"/>
      <c r="I160" s="55" t="n"/>
      <c r="J160" s="56" t="n"/>
      <c r="K160" s="56" t="n"/>
      <c r="L160" s="34">
        <f>HYPERLINK(Table65[[#This Row],[Column1]])</f>
        <v/>
      </c>
    </row>
    <row r="161" ht="60" customHeight="1" s="290">
      <c r="A161" s="30" t="n"/>
      <c r="B161" s="30" t="n"/>
      <c r="C161" s="30" t="n"/>
      <c r="D161" s="324" t="n"/>
      <c r="E161" s="53" t="n"/>
      <c r="F161" s="53" t="n"/>
      <c r="G161" s="55" t="n"/>
      <c r="H161" s="57" t="n"/>
      <c r="I161" s="55" t="n"/>
      <c r="J161" s="56" t="n"/>
      <c r="K161" s="56" t="n"/>
      <c r="L161" s="34">
        <f>HYPERLINK(Table65[[#This Row],[Column1]])</f>
        <v/>
      </c>
    </row>
    <row r="162" ht="45" customHeight="1" s="290">
      <c r="A162" s="30" t="n"/>
      <c r="B162" s="30" t="n"/>
      <c r="C162" s="30" t="n"/>
      <c r="D162" s="324" t="n"/>
      <c r="E162" s="53" t="n"/>
      <c r="F162" s="53" t="n"/>
      <c r="G162" s="55" t="n"/>
      <c r="H162" s="57" t="n"/>
      <c r="I162" s="55" t="n"/>
      <c r="J162" s="56" t="n"/>
      <c r="K162" s="56" t="n"/>
      <c r="L162" s="34">
        <f>HYPERLINK(Table65[[#This Row],[Column1]])</f>
        <v/>
      </c>
    </row>
    <row r="163" ht="45" customHeight="1" s="290">
      <c r="A163" s="30" t="n"/>
      <c r="B163" s="30" t="n"/>
      <c r="C163" s="30" t="n"/>
      <c r="D163" s="324" t="n"/>
      <c r="E163" s="53" t="n"/>
      <c r="F163" s="53" t="n"/>
      <c r="G163" s="55" t="n"/>
      <c r="H163" s="57" t="n"/>
      <c r="I163" s="55" t="n"/>
      <c r="J163" s="56" t="n"/>
      <c r="K163" s="56" t="n"/>
      <c r="L163" s="34">
        <f>HYPERLINK(Table65[[#This Row],[Column1]])</f>
        <v/>
      </c>
    </row>
    <row r="164" ht="45" customHeight="1" s="290">
      <c r="A164" s="30" t="n"/>
      <c r="B164" s="30" t="n"/>
      <c r="C164" s="30" t="n"/>
      <c r="D164" s="324" t="n"/>
      <c r="E164" s="53" t="n"/>
      <c r="F164" s="53" t="n"/>
      <c r="G164" s="55" t="n"/>
      <c r="H164" s="57" t="n"/>
      <c r="I164" s="55" t="n"/>
      <c r="J164" s="56" t="n"/>
      <c r="K164" s="56" t="n"/>
      <c r="L164" s="34">
        <f>HYPERLINK(Table65[[#This Row],[Column1]])</f>
        <v/>
      </c>
    </row>
    <row r="165" ht="45" customHeight="1" s="290">
      <c r="A165" s="30" t="n"/>
      <c r="B165" s="30" t="n"/>
      <c r="C165" s="30" t="n"/>
      <c r="D165" s="324" t="n"/>
      <c r="E165" s="53" t="n"/>
      <c r="F165" s="53" t="n"/>
      <c r="G165" s="55" t="n"/>
      <c r="H165" s="57" t="n"/>
      <c r="I165" s="55" t="n"/>
      <c r="J165" s="56" t="n"/>
      <c r="K165" s="56" t="n"/>
      <c r="L165" s="34">
        <f>HYPERLINK(Table65[[#This Row],[Column1]])</f>
        <v/>
      </c>
    </row>
    <row r="166" ht="45" customHeight="1" s="290">
      <c r="A166" s="30" t="n"/>
      <c r="B166" s="30" t="n"/>
      <c r="C166" s="30" t="n"/>
      <c r="D166" s="324" t="n"/>
      <c r="E166" s="53" t="n"/>
      <c r="F166" s="53" t="n"/>
      <c r="G166" s="55" t="n"/>
      <c r="H166" s="57" t="n"/>
      <c r="I166" s="55" t="n"/>
      <c r="J166" s="56" t="n"/>
      <c r="K166" s="56" t="n"/>
      <c r="L166" s="34">
        <f>HYPERLINK(Table65[[#This Row],[Column1]])</f>
        <v/>
      </c>
    </row>
    <row r="167" ht="45" customHeight="1" s="290">
      <c r="A167" s="30" t="n"/>
      <c r="B167" s="30" t="n"/>
      <c r="C167" s="30" t="n"/>
      <c r="D167" s="324" t="n"/>
      <c r="E167" s="53" t="n"/>
      <c r="F167" s="53" t="n"/>
      <c r="G167" s="55" t="n"/>
      <c r="H167" s="57" t="n"/>
      <c r="I167" s="55" t="n"/>
      <c r="J167" s="56" t="n"/>
      <c r="K167" s="56" t="n"/>
      <c r="L167" s="34">
        <f>HYPERLINK(Table65[[#This Row],[Column1]])</f>
        <v/>
      </c>
    </row>
    <row r="168" ht="45" customHeight="1" s="290">
      <c r="A168" s="30" t="n"/>
      <c r="B168" s="30" t="n"/>
      <c r="C168" s="30" t="n"/>
      <c r="D168" s="324" t="n"/>
      <c r="E168" s="53" t="n"/>
      <c r="F168" s="53" t="n"/>
      <c r="G168" s="55" t="n"/>
      <c r="H168" s="57" t="n"/>
      <c r="I168" s="55" t="n"/>
      <c r="J168" s="56" t="n"/>
      <c r="K168" s="56" t="n"/>
      <c r="L168" s="34">
        <f>HYPERLINK(Table65[[#This Row],[Column1]])</f>
        <v/>
      </c>
    </row>
    <row r="169" ht="45" customHeight="1" s="290">
      <c r="A169" s="30" t="n"/>
      <c r="B169" s="30" t="n"/>
      <c r="C169" s="30" t="n"/>
      <c r="D169" s="324" t="n"/>
      <c r="E169" s="53" t="n"/>
      <c r="F169" s="53" t="n"/>
      <c r="G169" s="55" t="n"/>
      <c r="H169" s="57" t="n"/>
      <c r="I169" s="55" t="n"/>
      <c r="J169" s="56" t="n"/>
      <c r="K169" s="56" t="n"/>
      <c r="L169" s="34">
        <f>HYPERLINK(Table65[[#This Row],[Column1]])</f>
        <v/>
      </c>
    </row>
    <row r="170" ht="30" customHeight="1" s="290">
      <c r="A170" s="30" t="n"/>
      <c r="B170" s="30" t="n"/>
      <c r="C170" s="30" t="n"/>
      <c r="D170" s="324" t="n"/>
      <c r="E170" s="53" t="n"/>
      <c r="F170" s="53" t="n"/>
      <c r="G170" s="55" t="n"/>
      <c r="H170" s="57" t="n"/>
      <c r="I170" s="55" t="n"/>
      <c r="J170" s="56" t="n"/>
      <c r="K170" s="56" t="n"/>
      <c r="L170" s="34">
        <f>HYPERLINK(Table65[[#This Row],[Column1]])</f>
        <v/>
      </c>
    </row>
    <row r="171" ht="45" customHeight="1" s="290">
      <c r="A171" s="30" t="n"/>
      <c r="B171" s="30" t="n"/>
      <c r="C171" s="30" t="n"/>
      <c r="D171" s="324" t="n"/>
      <c r="E171" s="53" t="n"/>
      <c r="F171" s="53" t="n"/>
      <c r="G171" s="55" t="n"/>
      <c r="H171" s="57" t="n"/>
      <c r="I171" s="55" t="n"/>
      <c r="J171" s="56" t="n"/>
      <c r="K171" s="56" t="n"/>
      <c r="L171" s="34">
        <f>HYPERLINK(Table65[[#This Row],[Column1]])</f>
        <v/>
      </c>
    </row>
    <row r="172" ht="45" customHeight="1" s="290">
      <c r="A172" s="30" t="n"/>
      <c r="B172" s="30" t="n"/>
      <c r="C172" s="30" t="n"/>
      <c r="D172" s="324" t="n"/>
      <c r="E172" s="53" t="n"/>
      <c r="F172" s="53" t="n"/>
      <c r="G172" s="55" t="n"/>
      <c r="H172" s="57" t="n"/>
      <c r="I172" s="55" t="n"/>
      <c r="J172" s="56" t="n"/>
      <c r="K172" s="56" t="n"/>
      <c r="L172" s="34">
        <f>HYPERLINK(Table65[[#This Row],[Column1]])</f>
        <v/>
      </c>
    </row>
    <row r="173" ht="45" customHeight="1" s="290">
      <c r="A173" s="30" t="n"/>
      <c r="B173" s="30" t="n"/>
      <c r="C173" s="30" t="n"/>
      <c r="D173" s="324" t="n"/>
      <c r="E173" s="53" t="n"/>
      <c r="F173" s="53" t="n"/>
      <c r="G173" s="55" t="n"/>
      <c r="H173" s="57" t="n"/>
      <c r="I173" s="55" t="n"/>
      <c r="J173" s="56" t="n"/>
      <c r="K173" s="56" t="n"/>
      <c r="L173" s="34">
        <f>HYPERLINK(Table65[[#This Row],[Column1]])</f>
        <v/>
      </c>
    </row>
    <row r="174" ht="45" customHeight="1" s="290">
      <c r="A174" s="30" t="n"/>
      <c r="B174" s="30" t="n"/>
      <c r="C174" s="30" t="n"/>
      <c r="D174" s="324" t="n"/>
      <c r="E174" s="53" t="n"/>
      <c r="F174" s="53" t="n"/>
      <c r="G174" s="55" t="n"/>
      <c r="H174" s="57" t="n"/>
      <c r="I174" s="55" t="n"/>
      <c r="J174" s="56" t="n"/>
      <c r="K174" s="56" t="n"/>
      <c r="L174" s="34">
        <f>HYPERLINK(Table65[[#This Row],[Column1]])</f>
        <v/>
      </c>
    </row>
    <row r="175" ht="45" customHeight="1" s="290">
      <c r="A175" s="30" t="n"/>
      <c r="B175" s="30" t="n"/>
      <c r="C175" s="30" t="n"/>
      <c r="D175" s="324" t="n"/>
      <c r="E175" s="53" t="n"/>
      <c r="F175" s="53" t="n"/>
      <c r="G175" s="55" t="n"/>
      <c r="H175" s="57" t="n"/>
      <c r="I175" s="55" t="n"/>
      <c r="J175" s="56" t="n"/>
      <c r="K175" s="56" t="n"/>
      <c r="L175" s="34">
        <f>HYPERLINK(Table65[[#This Row],[Column1]])</f>
        <v/>
      </c>
    </row>
    <row r="176" ht="60" customHeight="1" s="290">
      <c r="A176" s="30" t="n"/>
      <c r="B176" s="30" t="n"/>
      <c r="C176" s="30" t="n"/>
      <c r="D176" s="324" t="n"/>
      <c r="E176" s="53" t="n"/>
      <c r="F176" s="53" t="n"/>
      <c r="G176" s="55" t="n"/>
      <c r="H176" s="57" t="n"/>
      <c r="I176" s="55" t="n"/>
      <c r="J176" s="56" t="n"/>
      <c r="K176" s="56" t="n"/>
      <c r="L176" s="34">
        <f>HYPERLINK(Table65[[#This Row],[Column1]])</f>
        <v/>
      </c>
    </row>
    <row r="177" ht="45" customHeight="1" s="290">
      <c r="A177" s="30" t="n"/>
      <c r="B177" s="30" t="n"/>
      <c r="C177" s="30" t="n"/>
      <c r="D177" s="324" t="n"/>
      <c r="E177" s="53" t="n"/>
      <c r="F177" s="53" t="n"/>
      <c r="G177" s="55" t="n"/>
      <c r="H177" s="57" t="n"/>
      <c r="I177" s="55" t="n"/>
      <c r="J177" s="56" t="n"/>
      <c r="K177" s="56" t="n"/>
      <c r="L177" s="34">
        <f>HYPERLINK(Table65[[#This Row],[Column1]])</f>
        <v/>
      </c>
    </row>
    <row r="178" ht="45" customHeight="1" s="290">
      <c r="A178" s="30" t="n"/>
      <c r="B178" s="30" t="n"/>
      <c r="C178" s="30" t="n"/>
      <c r="D178" s="324" t="n"/>
      <c r="E178" s="53" t="n"/>
      <c r="F178" s="53" t="n"/>
      <c r="G178" s="55" t="n"/>
      <c r="H178" s="57" t="n"/>
      <c r="I178" s="55" t="n"/>
      <c r="J178" s="56" t="n"/>
      <c r="K178" s="56" t="n"/>
      <c r="L178" s="34">
        <f>HYPERLINK(Table65[[#This Row],[Column1]])</f>
        <v/>
      </c>
    </row>
    <row r="179" ht="30" customHeight="1" s="290">
      <c r="A179" s="30" t="n"/>
      <c r="B179" s="30" t="n"/>
      <c r="C179" s="30" t="n"/>
      <c r="D179" s="324" t="n"/>
      <c r="E179" s="53" t="n"/>
      <c r="F179" s="53" t="n"/>
      <c r="G179" s="55" t="n"/>
      <c r="H179" s="57" t="n"/>
      <c r="I179" s="55" t="n"/>
      <c r="J179" s="56" t="n"/>
      <c r="K179" s="56" t="n"/>
      <c r="L179" s="34">
        <f>HYPERLINK(Table65[[#This Row],[Column1]])</f>
        <v/>
      </c>
    </row>
    <row r="180" ht="45" customHeight="1" s="290">
      <c r="A180" s="30" t="n"/>
      <c r="B180" s="30" t="n"/>
      <c r="C180" s="30" t="n"/>
      <c r="D180" s="324" t="n"/>
      <c r="E180" s="53" t="n"/>
      <c r="F180" s="53" t="n"/>
      <c r="G180" s="55" t="n"/>
      <c r="H180" s="57" t="n"/>
      <c r="I180" s="55" t="n"/>
      <c r="J180" s="56" t="n"/>
      <c r="K180" s="56" t="n"/>
      <c r="L180" s="34">
        <f>HYPERLINK(Table65[[#This Row],[Column1]])</f>
        <v/>
      </c>
    </row>
    <row r="181" ht="45" customHeight="1" s="290">
      <c r="A181" s="30" t="n"/>
      <c r="B181" s="30" t="n"/>
      <c r="C181" s="30" t="n"/>
      <c r="D181" s="324" t="n"/>
      <c r="E181" s="53" t="n"/>
      <c r="F181" s="53" t="n"/>
      <c r="G181" s="55" t="n"/>
      <c r="H181" s="57" t="n"/>
      <c r="I181" s="55" t="n"/>
      <c r="J181" s="56" t="n"/>
      <c r="K181" s="56" t="n"/>
      <c r="L181" s="34">
        <f>HYPERLINK(Table65[[#This Row],[Column1]])</f>
        <v/>
      </c>
    </row>
    <row r="182" ht="45" customHeight="1" s="290">
      <c r="A182" s="30" t="n"/>
      <c r="B182" s="30" t="n"/>
      <c r="C182" s="30" t="n"/>
      <c r="D182" s="324" t="n"/>
      <c r="E182" s="53" t="n"/>
      <c r="F182" s="53" t="n"/>
      <c r="G182" s="55" t="n"/>
      <c r="H182" s="57" t="n"/>
      <c r="I182" s="55" t="n"/>
      <c r="J182" s="56" t="n"/>
      <c r="K182" s="56" t="n"/>
      <c r="L182" s="34">
        <f>HYPERLINK(Table65[[#This Row],[Column1]])</f>
        <v/>
      </c>
    </row>
    <row r="183" ht="45" customHeight="1" s="290">
      <c r="A183" s="30" t="n"/>
      <c r="B183" s="30" t="n"/>
      <c r="C183" s="30" t="n"/>
      <c r="D183" s="324" t="n"/>
      <c r="E183" s="53" t="n"/>
      <c r="F183" s="53" t="n"/>
      <c r="G183" s="55" t="n"/>
      <c r="H183" s="57" t="n"/>
      <c r="I183" s="55" t="n"/>
      <c r="J183" s="56" t="n"/>
      <c r="K183" s="56" t="n"/>
      <c r="L183" s="34">
        <f>HYPERLINK(Table65[[#This Row],[Column1]])</f>
        <v/>
      </c>
    </row>
    <row r="184" ht="45" customHeight="1" s="290">
      <c r="A184" s="30" t="n"/>
      <c r="B184" s="30" t="n"/>
      <c r="C184" s="30" t="n"/>
      <c r="D184" s="324" t="n"/>
      <c r="E184" s="53" t="n"/>
      <c r="F184" s="53" t="n"/>
      <c r="G184" s="55" t="n"/>
      <c r="H184" s="57" t="n"/>
      <c r="I184" s="55" t="n"/>
      <c r="J184" s="56" t="n"/>
      <c r="K184" s="56" t="n"/>
      <c r="L184" s="34">
        <f>HYPERLINK(Table65[[#This Row],[Column1]])</f>
        <v/>
      </c>
    </row>
    <row r="185" ht="45" customHeight="1" s="290">
      <c r="A185" s="30" t="n"/>
      <c r="B185" s="30" t="n"/>
      <c r="C185" s="30" t="n"/>
      <c r="D185" s="324" t="n"/>
      <c r="E185" s="53" t="n"/>
      <c r="F185" s="53" t="n"/>
      <c r="G185" s="55" t="n"/>
      <c r="H185" s="57" t="n"/>
      <c r="I185" s="55" t="n"/>
      <c r="J185" s="56" t="n"/>
      <c r="K185" s="56" t="n"/>
      <c r="L185" s="34">
        <f>HYPERLINK(Table65[[#This Row],[Column1]])</f>
        <v/>
      </c>
    </row>
    <row r="186" ht="60" customHeight="1" s="290">
      <c r="A186" s="30" t="n"/>
      <c r="B186" s="30" t="n"/>
      <c r="C186" s="30" t="n"/>
      <c r="D186" s="324" t="n"/>
      <c r="E186" s="53" t="n"/>
      <c r="F186" s="53" t="n"/>
      <c r="G186" s="55" t="n"/>
      <c r="H186" s="57" t="n"/>
      <c r="I186" s="55" t="n"/>
      <c r="J186" s="56" t="n"/>
      <c r="K186" s="56" t="n"/>
      <c r="L186" s="34">
        <f>HYPERLINK(Table65[[#This Row],[Column1]])</f>
        <v/>
      </c>
    </row>
    <row r="187" ht="45" customHeight="1" s="290">
      <c r="A187" s="30" t="n"/>
      <c r="B187" s="30" t="n"/>
      <c r="C187" s="30" t="n"/>
      <c r="D187" s="324" t="n"/>
      <c r="E187" s="53" t="n"/>
      <c r="F187" s="53" t="n"/>
      <c r="G187" s="55" t="n"/>
      <c r="H187" s="57" t="n"/>
      <c r="I187" s="55" t="n"/>
      <c r="J187" s="56" t="n"/>
      <c r="K187" s="56" t="n"/>
      <c r="L187" s="34">
        <f>HYPERLINK(Table65[[#This Row],[Column1]])</f>
        <v/>
      </c>
    </row>
    <row r="188" ht="45" customHeight="1" s="290">
      <c r="A188" s="30" t="n"/>
      <c r="B188" s="30" t="n"/>
      <c r="C188" s="30" t="n"/>
      <c r="D188" s="324" t="n"/>
      <c r="E188" s="53" t="n"/>
      <c r="F188" s="53" t="n"/>
      <c r="G188" s="55" t="n"/>
      <c r="H188" s="57" t="n"/>
      <c r="I188" s="55" t="n"/>
      <c r="J188" s="56" t="n"/>
      <c r="K188" s="56" t="n"/>
      <c r="L188" s="34">
        <f>HYPERLINK(Table65[[#This Row],[Column1]])</f>
        <v/>
      </c>
    </row>
    <row r="189" ht="45" customHeight="1" s="290">
      <c r="A189" s="30" t="n"/>
      <c r="B189" s="30" t="n"/>
      <c r="C189" s="30" t="n"/>
      <c r="D189" s="324" t="n"/>
      <c r="E189" s="53" t="n"/>
      <c r="F189" s="53" t="n"/>
      <c r="G189" s="55" t="n"/>
      <c r="H189" s="57" t="n"/>
      <c r="I189" s="55" t="n"/>
      <c r="J189" s="56" t="n"/>
      <c r="K189" s="56" t="n"/>
      <c r="L189" s="34">
        <f>HYPERLINK(Table65[[#This Row],[Column1]])</f>
        <v/>
      </c>
    </row>
    <row r="190" ht="60" customHeight="1" s="290">
      <c r="A190" s="30" t="n"/>
      <c r="B190" s="30" t="n"/>
      <c r="C190" s="30" t="n"/>
      <c r="D190" s="324" t="n"/>
      <c r="E190" s="53" t="n"/>
      <c r="F190" s="53" t="n"/>
      <c r="G190" s="55" t="n"/>
      <c r="H190" s="57" t="n"/>
      <c r="I190" s="55" t="n"/>
      <c r="J190" s="56" t="n"/>
      <c r="K190" s="56" t="n"/>
      <c r="L190" s="34">
        <f>HYPERLINK(Table65[[#This Row],[Column1]])</f>
        <v/>
      </c>
    </row>
    <row r="191" ht="45" customHeight="1" s="290">
      <c r="A191" s="30" t="n"/>
      <c r="B191" s="30" t="n"/>
      <c r="C191" s="30" t="n"/>
      <c r="D191" s="324" t="n"/>
      <c r="E191" s="53" t="n"/>
      <c r="F191" s="53" t="n"/>
      <c r="G191" s="55" t="n"/>
      <c r="H191" s="57" t="n"/>
      <c r="I191" s="55" t="n"/>
      <c r="J191" s="56" t="n"/>
      <c r="K191" s="56" t="n"/>
      <c r="L191" s="34">
        <f>HYPERLINK(Table65[[#This Row],[Column1]])</f>
        <v/>
      </c>
    </row>
    <row r="192" ht="45" customHeight="1" s="290">
      <c r="A192" s="30" t="n"/>
      <c r="B192" s="30" t="n"/>
      <c r="C192" s="30" t="n"/>
      <c r="D192" s="324" t="n"/>
      <c r="E192" s="53" t="n"/>
      <c r="F192" s="53" t="n"/>
      <c r="G192" s="55" t="n"/>
      <c r="H192" s="57" t="n"/>
      <c r="I192" s="55" t="n"/>
      <c r="J192" s="56" t="n"/>
      <c r="K192" s="56" t="n"/>
      <c r="L192" s="34">
        <f>HYPERLINK(Table65[[#This Row],[Column1]])</f>
        <v/>
      </c>
    </row>
    <row r="193" ht="60" customHeight="1" s="290">
      <c r="A193" s="30" t="n"/>
      <c r="B193" s="30" t="n"/>
      <c r="C193" s="30" t="n"/>
      <c r="D193" s="324" t="n"/>
      <c r="E193" s="53" t="n"/>
      <c r="F193" s="53" t="n"/>
      <c r="G193" s="55" t="n"/>
      <c r="H193" s="57" t="n"/>
      <c r="I193" s="55" t="n"/>
      <c r="J193" s="56" t="n"/>
      <c r="K193" s="56" t="n"/>
      <c r="L193" s="34">
        <f>HYPERLINK(Table65[[#This Row],[Column1]])</f>
        <v/>
      </c>
    </row>
    <row r="194" ht="45" customHeight="1" s="290">
      <c r="A194" s="30" t="n"/>
      <c r="B194" s="30" t="n"/>
      <c r="C194" s="30" t="n"/>
      <c r="D194" s="324" t="n"/>
      <c r="E194" s="53" t="n"/>
      <c r="F194" s="53" t="n"/>
      <c r="G194" s="55" t="n"/>
      <c r="H194" s="57" t="n"/>
      <c r="I194" s="55" t="n"/>
      <c r="J194" s="56" t="n"/>
      <c r="K194" s="56" t="n"/>
      <c r="L194" s="34">
        <f>HYPERLINK(Table65[[#This Row],[Column1]])</f>
        <v/>
      </c>
    </row>
    <row r="195" ht="45" customHeight="1" s="290">
      <c r="A195" s="30" t="n"/>
      <c r="B195" s="30" t="n"/>
      <c r="C195" s="30" t="n"/>
      <c r="D195" s="324" t="n"/>
      <c r="E195" s="53" t="n"/>
      <c r="F195" s="53" t="n"/>
      <c r="G195" s="55" t="n"/>
      <c r="H195" s="57" t="n"/>
      <c r="I195" s="55" t="n"/>
      <c r="J195" s="56" t="n"/>
      <c r="K195" s="56" t="n"/>
      <c r="L195" s="34">
        <f>HYPERLINK(Table65[[#This Row],[Column1]])</f>
        <v/>
      </c>
    </row>
    <row r="196" ht="45" customHeight="1" s="290">
      <c r="A196" s="30" t="n"/>
      <c r="B196" s="30" t="n"/>
      <c r="C196" s="30" t="n"/>
      <c r="D196" s="324" t="n"/>
      <c r="E196" s="53" t="n"/>
      <c r="F196" s="53" t="n"/>
      <c r="G196" s="55" t="n"/>
      <c r="H196" s="57" t="n"/>
      <c r="I196" s="55" t="n"/>
      <c r="J196" s="56" t="n"/>
      <c r="K196" s="56" t="n"/>
      <c r="L196" s="34">
        <f>HYPERLINK(Table65[[#This Row],[Column1]])</f>
        <v/>
      </c>
    </row>
    <row r="197" ht="45" customHeight="1" s="290">
      <c r="A197" s="30" t="n"/>
      <c r="B197" s="30" t="n"/>
      <c r="C197" s="30" t="n"/>
      <c r="D197" s="324" t="n"/>
      <c r="E197" s="53" t="n"/>
      <c r="F197" s="53" t="n"/>
      <c r="G197" s="55" t="n"/>
      <c r="H197" s="57" t="n"/>
      <c r="I197" s="55" t="n"/>
      <c r="J197" s="56" t="n"/>
      <c r="K197" s="56" t="n"/>
      <c r="L197" s="34">
        <f>HYPERLINK(Table65[[#This Row],[Column1]])</f>
        <v/>
      </c>
    </row>
    <row r="198" ht="45" customHeight="1" s="290">
      <c r="A198" s="30" t="n"/>
      <c r="B198" s="30" t="n"/>
      <c r="C198" s="30" t="n"/>
      <c r="D198" s="324" t="n"/>
      <c r="E198" s="53" t="n"/>
      <c r="F198" s="53" t="n"/>
      <c r="G198" s="55" t="n"/>
      <c r="H198" s="57" t="n"/>
      <c r="I198" s="55" t="n"/>
      <c r="J198" s="56" t="n"/>
      <c r="K198" s="56" t="n"/>
      <c r="L198" s="34">
        <f>HYPERLINK(Table65[[#This Row],[Column1]])</f>
        <v/>
      </c>
    </row>
    <row r="199" ht="45" customHeight="1" s="290">
      <c r="A199" s="30" t="n"/>
      <c r="B199" s="30" t="n"/>
      <c r="C199" s="30" t="n"/>
      <c r="D199" s="324" t="n"/>
      <c r="E199" s="53" t="n"/>
      <c r="F199" s="53" t="n"/>
      <c r="G199" s="55" t="n"/>
      <c r="H199" s="57" t="n"/>
      <c r="I199" s="55" t="n"/>
      <c r="J199" s="56" t="n"/>
      <c r="K199" s="56" t="n"/>
      <c r="L199" s="34">
        <f>HYPERLINK(Table65[[#This Row],[Column1]])</f>
        <v/>
      </c>
    </row>
    <row r="200" ht="45" customHeight="1" s="290">
      <c r="A200" s="30" t="n"/>
      <c r="B200" s="30" t="n"/>
      <c r="C200" s="30" t="n"/>
      <c r="D200" s="324" t="n"/>
      <c r="E200" s="53" t="n"/>
      <c r="F200" s="53" t="n"/>
      <c r="G200" s="55" t="n"/>
      <c r="H200" s="57" t="n"/>
      <c r="I200" s="55" t="n"/>
      <c r="J200" s="56" t="n"/>
      <c r="K200" s="56" t="n"/>
      <c r="L200" s="34">
        <f>HYPERLINK(Table65[[#This Row],[Column1]])</f>
        <v/>
      </c>
    </row>
    <row r="201" ht="45" customHeight="1" s="290">
      <c r="A201" s="30" t="n"/>
      <c r="B201" s="30" t="n"/>
      <c r="C201" s="30" t="n"/>
      <c r="D201" s="324" t="n"/>
      <c r="E201" s="53" t="n"/>
      <c r="F201" s="53" t="n"/>
      <c r="G201" s="55" t="n"/>
      <c r="H201" s="57" t="n"/>
      <c r="I201" s="55" t="n"/>
      <c r="J201" s="56" t="n"/>
      <c r="K201" s="56" t="n"/>
      <c r="L201" s="34">
        <f>HYPERLINK(Table65[[#This Row],[Column1]])</f>
        <v/>
      </c>
    </row>
    <row r="202" ht="45" customHeight="1" s="290">
      <c r="A202" s="30" t="n"/>
      <c r="B202" s="30" t="n"/>
      <c r="C202" s="30" t="n"/>
      <c r="D202" s="324" t="n"/>
      <c r="E202" s="53" t="n"/>
      <c r="F202" s="53" t="n"/>
      <c r="G202" s="55" t="n"/>
      <c r="H202" s="57" t="n"/>
      <c r="I202" s="55" t="n"/>
      <c r="J202" s="56" t="n"/>
      <c r="K202" s="56" t="n"/>
      <c r="L202" s="34">
        <f>HYPERLINK(Table65[[#This Row],[Column1]])</f>
        <v/>
      </c>
    </row>
    <row r="203" ht="45" customHeight="1" s="290">
      <c r="A203" s="30" t="n"/>
      <c r="B203" s="30" t="n"/>
      <c r="C203" s="30" t="n"/>
      <c r="D203" s="324" t="n"/>
      <c r="E203" s="53" t="n"/>
      <c r="F203" s="53" t="n"/>
      <c r="G203" s="55" t="n"/>
      <c r="H203" s="57" t="n"/>
      <c r="I203" s="55" t="n"/>
      <c r="J203" s="56" t="n"/>
      <c r="K203" s="56" t="n"/>
      <c r="L203" s="34">
        <f>HYPERLINK(Table65[[#This Row],[Column1]])</f>
        <v/>
      </c>
    </row>
    <row r="204" ht="17" customHeight="1" s="290">
      <c r="A204" s="30" t="n"/>
      <c r="B204" s="30" t="n"/>
      <c r="C204" s="30" t="n"/>
      <c r="D204" s="324" t="n"/>
      <c r="E204" s="53" t="n"/>
      <c r="F204" s="53" t="n"/>
      <c r="G204" s="55" t="n"/>
      <c r="H204" s="57" t="n"/>
      <c r="I204" s="55" t="n"/>
      <c r="J204" s="56" t="n"/>
      <c r="K204" s="56" t="n"/>
      <c r="L204" s="34">
        <f>HYPERLINK(Table65[[#This Row],[Column1]])</f>
        <v/>
      </c>
    </row>
    <row r="205" ht="30" customHeight="1" s="290">
      <c r="A205" s="30" t="n"/>
      <c r="B205" s="30" t="n"/>
      <c r="C205" s="30" t="n"/>
      <c r="D205" s="324" t="n"/>
      <c r="E205" s="53" t="n"/>
      <c r="F205" s="53" t="n"/>
      <c r="G205" s="55" t="n"/>
      <c r="H205" s="57" t="n"/>
      <c r="I205" s="55" t="n"/>
      <c r="J205" s="56" t="n"/>
      <c r="K205" s="56" t="n"/>
      <c r="L205" s="34">
        <f>HYPERLINK(Table65[[#This Row],[Column1]])</f>
        <v/>
      </c>
    </row>
    <row r="206" ht="45" customHeight="1" s="290">
      <c r="A206" s="30" t="n"/>
      <c r="B206" s="30" t="n"/>
      <c r="C206" s="30" t="n"/>
      <c r="D206" s="324" t="n"/>
      <c r="E206" s="53" t="n"/>
      <c r="F206" s="53" t="n"/>
      <c r="G206" s="55" t="n"/>
      <c r="H206" s="57" t="n"/>
      <c r="I206" s="55" t="n"/>
      <c r="J206" s="56" t="n"/>
      <c r="K206" s="56" t="n"/>
      <c r="L206" s="34">
        <f>HYPERLINK(Table65[[#This Row],[Column1]])</f>
        <v/>
      </c>
    </row>
    <row r="207" ht="45" customHeight="1" s="290">
      <c r="A207" s="30" t="n"/>
      <c r="B207" s="30" t="n"/>
      <c r="C207" s="30" t="n"/>
      <c r="D207" s="324" t="n"/>
      <c r="E207" s="53" t="n"/>
      <c r="F207" s="53" t="n"/>
      <c r="G207" s="55" t="n"/>
      <c r="H207" s="57" t="n"/>
      <c r="I207" s="55" t="n"/>
      <c r="J207" s="56" t="n"/>
      <c r="K207" s="56" t="n"/>
      <c r="L207" s="34">
        <f>HYPERLINK(Table65[[#This Row],[Column1]])</f>
        <v/>
      </c>
    </row>
    <row r="208" ht="17" customHeight="1" s="290">
      <c r="A208" s="33" t="inlineStr">
        <is>
          <t>Total</t>
        </is>
      </c>
      <c r="B208" s="32" t="n"/>
      <c r="C208" s="325" t="n"/>
      <c r="D208" s="59" t="n"/>
      <c r="E208" s="32" t="n"/>
      <c r="F208" s="32" t="n"/>
      <c r="G208" s="36">
        <f>SUM(G133:G207)</f>
        <v/>
      </c>
      <c r="H208" s="36">
        <f>SUM(H133:H207)</f>
        <v/>
      </c>
      <c r="I208" s="36" t="n"/>
      <c r="J208" s="167" t="n"/>
      <c r="K208" s="168" t="n"/>
      <c r="L208" s="32" t="n"/>
    </row>
  </sheetData>
  <mergeCells count="3">
    <mergeCell ref="A1:M5"/>
    <mergeCell ref="A131:L131"/>
    <mergeCell ref="A51:L51"/>
  </mergeCells>
  <pageMargins left="0.7" right="0.7" top="0.75" bottom="0.75" header="0.3" footer="0.3"/>
  <drawing xmlns:r="http://schemas.openxmlformats.org/officeDocument/2006/relationships" r:id="rId1"/>
  <tableParts count="2">
    <tablePart xmlns:r="http://schemas.openxmlformats.org/officeDocument/2006/relationships" r:id="rId2"/>
    <tablePart xmlns:r="http://schemas.openxmlformats.org/officeDocument/2006/relationships" r:id="rId3"/>
  </tableParts>
</worksheet>
</file>

<file path=xl/worksheets/sheet27.xml><?xml version="1.0" encoding="utf-8"?>
<worksheet xmlns="http://schemas.openxmlformats.org/spreadsheetml/2006/main">
  <sheetPr codeName="Sheet6">
    <outlinePr summaryBelow="1" summaryRight="1"/>
    <pageSetUpPr/>
  </sheetPr>
  <dimension ref="A1:Q208"/>
  <sheetViews>
    <sheetView workbookViewId="0">
      <selection activeCell="A1" sqref="A1"/>
    </sheetView>
  </sheetViews>
  <sheetFormatPr baseColWidth="10" defaultColWidth="10.83203125" defaultRowHeight="16"/>
  <cols>
    <col width="50.6640625" customWidth="1" style="284" min="1" max="1"/>
    <col width="12.6640625" customWidth="1" style="284" min="2" max="2"/>
    <col width="12.6640625" customWidth="1" style="320" min="3" max="3"/>
    <col width="11.1640625" customWidth="1" style="296" min="4" max="4"/>
    <col width="24.83203125" bestFit="1" customWidth="1" style="284" min="5" max="5"/>
    <col width="17.6640625" bestFit="1" customWidth="1" style="286" min="6" max="6"/>
    <col width="21.6640625" bestFit="1" customWidth="1" style="286" min="7" max="7"/>
    <col width="19.1640625" bestFit="1" customWidth="1" style="286" min="8" max="8"/>
    <col width="13.5" bestFit="1" customWidth="1" style="287" min="9" max="9"/>
    <col width="13" bestFit="1" customWidth="1" style="284" min="10" max="10"/>
    <col hidden="1" width="29" customWidth="1" style="284" min="11" max="11"/>
    <col width="35.6640625" customWidth="1" style="284" min="12" max="12"/>
    <col width="15.6640625" customWidth="1" style="284" min="13" max="13"/>
    <col width="10.83203125" customWidth="1" style="284" min="14" max="16384"/>
  </cols>
  <sheetData>
    <row r="1">
      <c r="A1" s="282" t="inlineStr">
        <is>
          <t>FIXD Monthly Summary</t>
        </is>
      </c>
    </row>
    <row r="2"/>
    <row r="3"/>
    <row r="4"/>
    <row r="5"/>
    <row r="6">
      <c r="A6" s="29" t="n"/>
      <c r="B6" s="29" t="n"/>
      <c r="C6" s="321" t="n"/>
      <c r="D6" s="47" t="n"/>
      <c r="E6" s="48" t="n"/>
      <c r="F6" s="48" t="n"/>
      <c r="G6" s="48" t="n"/>
      <c r="H6" s="48" t="n"/>
      <c r="I6" s="49" t="n"/>
      <c r="J6" s="50" t="n"/>
    </row>
    <row r="7" ht="32" customHeight="1" s="290">
      <c r="A7" s="80" t="n"/>
      <c r="B7" s="81" t="inlineStr">
        <is>
          <t>Avg Price</t>
        </is>
      </c>
      <c r="C7" s="81" t="inlineStr">
        <is>
          <t>Avg Price MoM</t>
        </is>
      </c>
      <c r="D7" s="82" t="inlineStr">
        <is>
          <t>Avg Price YoY</t>
        </is>
      </c>
      <c r="E7" s="81" t="inlineStr">
        <is>
          <t>Quantity/Mo</t>
        </is>
      </c>
      <c r="F7" s="84" t="inlineStr">
        <is>
          <t>Qty by %</t>
        </is>
      </c>
      <c r="G7" s="84" t="inlineStr">
        <is>
          <t>Qty MoM</t>
        </is>
      </c>
      <c r="H7" s="82" t="inlineStr">
        <is>
          <t>Qty YoY</t>
        </is>
      </c>
      <c r="I7" s="309" t="inlineStr">
        <is>
          <t>Revenue/Mo</t>
        </is>
      </c>
      <c r="J7" s="126" t="inlineStr">
        <is>
          <t>Revenue by %</t>
        </is>
      </c>
      <c r="K7" s="173" t="n"/>
      <c r="L7" s="126" t="inlineStr">
        <is>
          <t>Revenue MoM</t>
        </is>
      </c>
      <c r="M7" s="310" t="inlineStr">
        <is>
          <t>Revenue YoY</t>
        </is>
      </c>
      <c r="N7" s="286" t="n"/>
      <c r="O7" s="286" t="n"/>
      <c r="P7" s="49" t="n"/>
      <c r="Q7" s="50" t="n"/>
    </row>
    <row r="8">
      <c r="A8" s="93" t="inlineStr">
        <is>
          <t>Tablet $800+</t>
        </is>
      </c>
      <c r="B8" s="298" t="n"/>
      <c r="C8" s="270" t="n"/>
      <c r="D8" s="271" t="n"/>
      <c r="E8" s="269" t="n">
        <v>0</v>
      </c>
      <c r="F8" s="270" t="n">
        <v>0</v>
      </c>
      <c r="G8" s="270" t="n"/>
      <c r="H8" s="271" t="n"/>
      <c r="I8" s="95" t="n">
        <v>0</v>
      </c>
      <c r="J8" s="128" t="n">
        <v>0</v>
      </c>
      <c r="L8" s="169" t="n"/>
      <c r="M8" s="169" t="n"/>
      <c r="N8" s="286" t="n"/>
      <c r="O8" s="286" t="n"/>
      <c r="P8" s="49" t="n"/>
      <c r="Q8" s="50" t="n"/>
    </row>
    <row r="9">
      <c r="A9" s="93" t="inlineStr">
        <is>
          <t>Tablet $400-$800</t>
        </is>
      </c>
      <c r="B9" s="298" t="n"/>
      <c r="C9" s="270" t="n"/>
      <c r="D9" s="271" t="n"/>
      <c r="E9" s="269" t="n">
        <v>0</v>
      </c>
      <c r="F9" s="270" t="n">
        <v>0</v>
      </c>
      <c r="G9" s="270" t="n"/>
      <c r="H9" s="271" t="n"/>
      <c r="I9" s="95" t="n">
        <v>0</v>
      </c>
      <c r="J9" s="128" t="n">
        <v>0</v>
      </c>
      <c r="L9" s="169" t="n"/>
      <c r="M9" s="169" t="n"/>
      <c r="N9" s="286" t="n"/>
      <c r="O9" s="286" t="n"/>
      <c r="P9" s="49" t="n"/>
      <c r="Q9" s="50" t="n"/>
    </row>
    <row r="10">
      <c r="A10" s="96" t="inlineStr">
        <is>
          <t>Tablet $400-</t>
        </is>
      </c>
      <c r="B10" s="299" t="n"/>
      <c r="C10" s="274" t="n"/>
      <c r="D10" s="275" t="n"/>
      <c r="E10" s="273" t="n">
        <v>0</v>
      </c>
      <c r="F10" s="274" t="n">
        <v>0</v>
      </c>
      <c r="G10" s="274" t="n"/>
      <c r="H10" s="275" t="n"/>
      <c r="I10" s="98" t="n">
        <v>0</v>
      </c>
      <c r="J10" s="127" t="n">
        <v>0</v>
      </c>
      <c r="L10" s="171" t="n"/>
      <c r="M10" s="171" t="n"/>
      <c r="N10" s="286" t="n"/>
      <c r="O10" s="286" t="n"/>
      <c r="P10" s="49" t="n"/>
      <c r="Q10" s="50" t="n"/>
    </row>
    <row r="11">
      <c r="A11" s="101" t="inlineStr">
        <is>
          <t>Total Tablet</t>
        </is>
      </c>
      <c r="B11" s="300" t="n"/>
      <c r="C11" s="112" t="n"/>
      <c r="D11" s="104" t="n"/>
      <c r="E11" s="116" t="n">
        <v>0</v>
      </c>
      <c r="F11" s="112" t="n">
        <v>0</v>
      </c>
      <c r="G11" s="112" t="n"/>
      <c r="H11" s="104" t="n"/>
      <c r="I11" s="103" t="n">
        <v>0</v>
      </c>
      <c r="J11" s="129" t="n">
        <v>0</v>
      </c>
      <c r="L11" s="170" t="n"/>
      <c r="M11" s="170" t="n"/>
      <c r="N11" s="286" t="n"/>
      <c r="O11" s="286" t="n"/>
      <c r="P11" s="49" t="n"/>
      <c r="Q11" s="50" t="n"/>
    </row>
    <row r="12">
      <c r="A12" s="93" t="inlineStr">
        <is>
          <t>Handheld $75+</t>
        </is>
      </c>
      <c r="B12" s="298" t="n"/>
      <c r="C12" s="270" t="n"/>
      <c r="D12" s="271" t="n"/>
      <c r="E12" s="269" t="n">
        <v>0</v>
      </c>
      <c r="F12" s="270" t="n">
        <v>0</v>
      </c>
      <c r="G12" s="270" t="n"/>
      <c r="H12" s="271" t="n"/>
      <c r="I12" s="95" t="n">
        <v>0</v>
      </c>
      <c r="J12" s="128" t="n">
        <v>0</v>
      </c>
      <c r="L12" s="169" t="n"/>
      <c r="M12" s="169" t="n"/>
      <c r="N12" s="286" t="n"/>
      <c r="O12" s="286" t="n"/>
      <c r="P12" s="49" t="n"/>
      <c r="Q12" s="50" t="n"/>
    </row>
    <row r="13">
      <c r="A13" s="96" t="inlineStr">
        <is>
          <t>Handheld $75-</t>
        </is>
      </c>
      <c r="B13" s="299" t="n"/>
      <c r="C13" s="274" t="n"/>
      <c r="D13" s="275" t="n"/>
      <c r="E13" s="273" t="n">
        <v>0</v>
      </c>
      <c r="F13" s="274" t="n">
        <v>0</v>
      </c>
      <c r="G13" s="274" t="n"/>
      <c r="H13" s="275" t="n"/>
      <c r="I13" s="98" t="n">
        <v>0</v>
      </c>
      <c r="J13" s="127" t="n">
        <v>0</v>
      </c>
      <c r="L13" s="171" t="n"/>
      <c r="M13" s="171" t="n"/>
      <c r="N13" s="286" t="n"/>
      <c r="O13" s="286" t="n"/>
      <c r="P13" s="49" t="n"/>
      <c r="Q13" s="50" t="n"/>
    </row>
    <row r="14">
      <c r="A14" s="101" t="inlineStr">
        <is>
          <t>Total Handheld</t>
        </is>
      </c>
      <c r="B14" s="300" t="n"/>
      <c r="C14" s="112" t="n"/>
      <c r="D14" s="104" t="n"/>
      <c r="E14" s="116" t="n">
        <v>0</v>
      </c>
      <c r="F14" s="112" t="n">
        <v>0</v>
      </c>
      <c r="G14" s="112" t="n"/>
      <c r="H14" s="104" t="n"/>
      <c r="I14" s="103" t="n">
        <v>0</v>
      </c>
      <c r="J14" s="129" t="n">
        <v>0</v>
      </c>
      <c r="L14" s="170" t="n"/>
      <c r="M14" s="170" t="n"/>
      <c r="N14" s="286" t="n"/>
      <c r="O14" s="286" t="n"/>
      <c r="P14" s="49" t="n"/>
      <c r="Q14" s="50" t="n"/>
    </row>
    <row r="15">
      <c r="A15" s="78" t="inlineStr">
        <is>
          <t>Total Dongle</t>
        </is>
      </c>
      <c r="B15" s="301" t="n">
        <v>73.3887341772152</v>
      </c>
      <c r="C15" s="113" t="n">
        <v>-0.08533597968186701</v>
      </c>
      <c r="D15" s="107" t="n">
        <v>0.6276644731853764</v>
      </c>
      <c r="E15" s="99" t="n">
        <v>6873</v>
      </c>
      <c r="F15" s="113" t="n">
        <v>1</v>
      </c>
      <c r="G15" s="113" t="n">
        <v>-0.0759612799139554</v>
      </c>
      <c r="H15" s="107" t="n">
        <v>-0.4003664281975222</v>
      </c>
      <c r="I15" s="76" t="n">
        <v>504400.77</v>
      </c>
      <c r="J15" s="130" t="n">
        <v>1</v>
      </c>
      <c r="L15" s="174" t="n">
        <v>-0.1548150293564765</v>
      </c>
      <c r="M15" s="174" t="n">
        <v>-0.02399773824785445</v>
      </c>
      <c r="N15" s="286" t="n"/>
      <c r="O15" s="286" t="n"/>
      <c r="P15" s="49" t="n"/>
      <c r="Q15" s="50" t="n"/>
    </row>
    <row r="16">
      <c r="A16" s="78" t="inlineStr">
        <is>
          <t>Total Other Tools</t>
        </is>
      </c>
      <c r="B16" s="301" t="n"/>
      <c r="C16" s="113" t="n"/>
      <c r="D16" s="107" t="n"/>
      <c r="E16" s="99" t="n">
        <v>0</v>
      </c>
      <c r="F16" s="113" t="n">
        <v>0</v>
      </c>
      <c r="G16" s="113" t="n"/>
      <c r="H16" s="107" t="n"/>
      <c r="I16" s="76" t="n">
        <v>0</v>
      </c>
      <c r="J16" s="130" t="n">
        <v>0</v>
      </c>
      <c r="L16" s="174" t="n"/>
      <c r="M16" s="174" t="n"/>
      <c r="N16" s="286" t="n"/>
      <c r="O16" s="286" t="n"/>
      <c r="P16" s="49" t="n"/>
      <c r="Q16" s="50" t="n"/>
    </row>
    <row r="17">
      <c r="A17" s="86" t="inlineStr">
        <is>
          <t>Total</t>
        </is>
      </c>
      <c r="B17" s="302" t="n">
        <v>73.3887341772152</v>
      </c>
      <c r="C17" s="109" t="n">
        <v>-0.08533597968186701</v>
      </c>
      <c r="D17" s="108" t="n">
        <v>0.6276644731853764</v>
      </c>
      <c r="E17" s="100" t="n">
        <v>6873</v>
      </c>
      <c r="F17" s="109" t="n">
        <v>1</v>
      </c>
      <c r="G17" s="109" t="n">
        <v>-0.0759612799139554</v>
      </c>
      <c r="H17" s="108" t="n">
        <v>-0.4003664281975222</v>
      </c>
      <c r="I17" s="85" t="n">
        <v>504400.77</v>
      </c>
      <c r="J17" s="109" t="n">
        <v>1</v>
      </c>
      <c r="L17" s="172" t="n">
        <v>-0.1548150293564765</v>
      </c>
      <c r="M17" s="172" t="n">
        <v>-0.02399773824785445</v>
      </c>
      <c r="N17" s="286" t="n"/>
      <c r="O17" s="286" t="n"/>
      <c r="P17" s="49" t="n"/>
      <c r="Q17" s="50" t="n"/>
    </row>
    <row r="18">
      <c r="A18" s="29" t="n"/>
      <c r="B18" s="29" t="n"/>
      <c r="C18" s="321" t="n"/>
      <c r="D18" s="47" t="n"/>
      <c r="E18" s="48" t="n"/>
      <c r="F18" s="48" t="n"/>
      <c r="G18" s="48" t="n"/>
      <c r="H18" s="48" t="n"/>
      <c r="I18" s="49" t="n"/>
      <c r="J18" s="50" t="n"/>
    </row>
    <row r="19">
      <c r="A19" s="29" t="n"/>
      <c r="B19" s="29" t="n"/>
      <c r="C19" s="321" t="n"/>
      <c r="D19" s="47" t="n"/>
      <c r="E19" s="48" t="n"/>
      <c r="F19" s="48" t="n"/>
      <c r="G19" s="48" t="n"/>
      <c r="H19" s="48" t="n"/>
      <c r="I19" s="49" t="n"/>
      <c r="J19" s="50" t="n"/>
    </row>
    <row r="20">
      <c r="A20" s="29" t="n"/>
      <c r="B20" s="29" t="n"/>
      <c r="C20" s="321" t="n"/>
      <c r="D20" s="47" t="n"/>
      <c r="E20" s="48" t="n"/>
      <c r="F20" s="48" t="n"/>
      <c r="G20" s="48" t="n"/>
      <c r="H20" s="48" t="n"/>
      <c r="I20" s="49" t="n"/>
      <c r="J20" s="50" t="n"/>
    </row>
    <row r="21">
      <c r="A21" s="29" t="n"/>
      <c r="B21" s="29" t="n"/>
      <c r="C21" s="321" t="n"/>
      <c r="D21" s="47" t="n"/>
      <c r="E21" s="48" t="n"/>
      <c r="F21" s="48" t="n"/>
      <c r="G21" s="48" t="n"/>
      <c r="H21" s="48" t="n"/>
      <c r="I21" s="49" t="n"/>
      <c r="J21" s="50" t="n"/>
    </row>
    <row r="22">
      <c r="A22" s="29" t="n"/>
      <c r="B22" s="29" t="n"/>
      <c r="C22" s="321" t="n"/>
      <c r="D22" s="47" t="n"/>
      <c r="E22" s="48" t="n"/>
      <c r="F22" s="48" t="n"/>
      <c r="G22" s="48" t="n"/>
      <c r="H22" s="48" t="n"/>
      <c r="I22" s="49" t="n"/>
      <c r="J22" s="50" t="n"/>
    </row>
    <row r="23">
      <c r="A23" s="29" t="n"/>
      <c r="B23" s="29" t="n"/>
      <c r="C23" s="321" t="n"/>
      <c r="D23" s="47" t="n"/>
      <c r="E23" s="48" t="n"/>
      <c r="F23" s="48" t="n"/>
      <c r="G23" s="48" t="n"/>
      <c r="H23" s="48" t="n"/>
      <c r="I23" s="49" t="n"/>
      <c r="J23" s="50" t="n"/>
    </row>
    <row r="24">
      <c r="A24" s="29" t="n"/>
      <c r="B24" s="29" t="n"/>
      <c r="C24" s="321" t="n"/>
      <c r="D24" s="47" t="n"/>
      <c r="E24" s="48" t="n"/>
      <c r="F24" s="48" t="n"/>
      <c r="G24" s="48" t="n"/>
      <c r="H24" s="48" t="n"/>
      <c r="I24" s="49" t="n"/>
      <c r="J24" s="50" t="n"/>
    </row>
    <row r="25">
      <c r="A25" s="29" t="n"/>
      <c r="B25" s="29" t="n"/>
      <c r="C25" s="321" t="n"/>
      <c r="D25" s="47" t="n"/>
      <c r="E25" s="48" t="n"/>
      <c r="F25" s="48" t="n"/>
      <c r="G25" s="48" t="n"/>
      <c r="H25" s="48" t="n"/>
      <c r="I25" s="49" t="n"/>
      <c r="J25" s="50" t="n"/>
    </row>
    <row r="26">
      <c r="A26" s="29" t="n"/>
      <c r="B26" s="29" t="n"/>
      <c r="C26" s="321" t="n"/>
      <c r="D26" s="47" t="n"/>
      <c r="E26" s="48" t="n"/>
      <c r="F26" s="48" t="n"/>
      <c r="G26" s="48" t="n"/>
      <c r="H26" s="48" t="n"/>
      <c r="I26" s="49" t="n"/>
      <c r="J26" s="50" t="n"/>
    </row>
    <row r="27">
      <c r="A27" s="29" t="n"/>
      <c r="B27" s="29" t="n"/>
      <c r="C27" s="321" t="n"/>
      <c r="D27" s="47" t="n"/>
      <c r="E27" s="48" t="n"/>
      <c r="F27" s="48" t="n"/>
      <c r="G27" s="48" t="n"/>
      <c r="H27" s="48" t="n"/>
      <c r="I27" s="49" t="n"/>
      <c r="J27" s="50" t="n"/>
    </row>
    <row r="28">
      <c r="A28" s="29" t="n"/>
      <c r="B28" s="29" t="n"/>
      <c r="C28" s="321" t="n"/>
      <c r="D28" s="47" t="n"/>
      <c r="E28" s="48" t="n"/>
      <c r="F28" s="48" t="n"/>
      <c r="G28" s="48" t="n"/>
      <c r="H28" s="48" t="n"/>
      <c r="I28" s="49" t="n"/>
      <c r="J28" s="50" t="n"/>
    </row>
    <row r="29">
      <c r="A29" s="29" t="n"/>
      <c r="B29" s="29" t="n"/>
      <c r="C29" s="321" t="n"/>
      <c r="D29" s="47" t="n"/>
      <c r="E29" s="48" t="n"/>
      <c r="F29" s="48" t="n"/>
      <c r="G29" s="48" t="n"/>
      <c r="H29" s="48" t="n"/>
      <c r="I29" s="49" t="n"/>
      <c r="J29" s="50" t="n"/>
    </row>
    <row r="30">
      <c r="A30" s="29" t="n"/>
      <c r="B30" s="29" t="n"/>
      <c r="C30" s="321" t="n"/>
      <c r="D30" s="47" t="n"/>
      <c r="E30" s="48" t="n"/>
      <c r="F30" s="48" t="n"/>
      <c r="G30" s="48" t="n"/>
      <c r="H30" s="48" t="n"/>
      <c r="I30" s="49" t="n"/>
      <c r="J30" s="50" t="n"/>
    </row>
    <row r="31">
      <c r="A31" s="29" t="n"/>
      <c r="B31" s="29" t="n"/>
      <c r="C31" s="321" t="n"/>
      <c r="D31" s="47" t="n"/>
      <c r="E31" s="48" t="n"/>
      <c r="F31" s="48" t="n"/>
      <c r="G31" s="48" t="n"/>
      <c r="H31" s="48" t="n"/>
      <c r="I31" s="49" t="n"/>
      <c r="J31" s="50" t="n"/>
    </row>
    <row r="32">
      <c r="A32" s="29" t="n"/>
      <c r="B32" s="29" t="n"/>
      <c r="C32" s="321" t="n"/>
      <c r="D32" s="47" t="n"/>
      <c r="E32" s="48" t="n"/>
      <c r="F32" s="48" t="n"/>
      <c r="G32" s="48" t="n"/>
      <c r="H32" s="48" t="n"/>
      <c r="I32" s="49" t="n"/>
      <c r="J32" s="50" t="n"/>
    </row>
    <row r="33">
      <c r="A33" s="29" t="n"/>
      <c r="B33" s="29" t="n"/>
      <c r="C33" s="321" t="n"/>
      <c r="D33" s="47" t="n"/>
      <c r="E33" s="48" t="n"/>
      <c r="F33" s="48" t="n"/>
      <c r="G33" s="48" t="n"/>
      <c r="H33" s="48" t="n"/>
      <c r="I33" s="49" t="n"/>
      <c r="J33" s="50" t="n"/>
    </row>
    <row r="49" ht="16" customHeight="1" s="290">
      <c r="C49" s="284" t="n"/>
      <c r="D49" s="284" t="n"/>
      <c r="F49" s="284" t="n"/>
      <c r="G49" s="284" t="n"/>
      <c r="H49" s="284" t="n"/>
      <c r="I49" s="284" t="n"/>
    </row>
    <row r="50">
      <c r="C50" s="284" t="n"/>
      <c r="D50" s="284" t="n"/>
      <c r="F50" s="284" t="n"/>
      <c r="G50" s="284" t="n"/>
      <c r="H50" s="284" t="n"/>
      <c r="I50" s="284" t="n"/>
    </row>
    <row r="51">
      <c r="A51" s="283" t="inlineStr">
        <is>
          <t xml:space="preserve">Rank by Revenue </t>
        </is>
      </c>
    </row>
    <row r="52" ht="17" customHeight="1" s="290">
      <c r="A52" s="38" t="inlineStr">
        <is>
          <t>Product Name</t>
        </is>
      </c>
      <c r="B52" s="39" t="inlineStr">
        <is>
          <t>ASIN</t>
        </is>
      </c>
      <c r="C52" s="39" t="inlineStr">
        <is>
          <t>Type</t>
        </is>
      </c>
      <c r="D52" s="322" t="inlineStr">
        <is>
          <t>Avg Price</t>
        </is>
      </c>
      <c r="E52" s="41" t="inlineStr">
        <is>
          <t>Estimated 12mo Revenue</t>
        </is>
      </c>
      <c r="F52" s="39" t="inlineStr">
        <is>
          <t>Monthly Rev</t>
        </is>
      </c>
      <c r="G52" s="42" t="inlineStr">
        <is>
          <t>Estimated 12mo Units</t>
        </is>
      </c>
      <c r="H52" s="45" t="inlineStr">
        <is>
          <t>Monthly Units</t>
        </is>
      </c>
      <c r="I52" s="42" t="inlineStr">
        <is>
          <t># of Reviews</t>
        </is>
      </c>
      <c r="J52" s="43" t="inlineStr">
        <is>
          <t xml:space="preserve">Tool Rating </t>
        </is>
      </c>
      <c r="K52" s="43" t="inlineStr">
        <is>
          <t>Column1</t>
        </is>
      </c>
      <c r="L52" s="323" t="inlineStr">
        <is>
          <t>Link</t>
        </is>
      </c>
    </row>
    <row r="53" ht="45" customHeight="1" s="290">
      <c r="A53" s="30" t="inlineStr">
        <is>
          <t>FIXD Bluetooth OBD2 Scanner for iPhone &amp; Android - Diagnostic Scan Tool for Repairs and Car Buying - Check Engine Code Reader &amp; Enhanced Codes - (2 Pack w/Free 14-Day FIXD Premium Bundle)</t>
        </is>
      </c>
      <c r="B53" s="30" t="inlineStr">
        <is>
          <t>B07CFVD2P3</t>
        </is>
      </c>
      <c r="C53" s="30" t="inlineStr">
        <is>
          <t>Dongle</t>
        </is>
      </c>
      <c r="D53" s="324" t="n">
        <v>97.98624688722876</v>
      </c>
      <c r="E53" s="53" t="n">
        <v>1525458.27</v>
      </c>
      <c r="F53" s="54" t="n">
        <v>275439.34</v>
      </c>
      <c r="G53" s="55" t="n">
        <v>17036</v>
      </c>
      <c r="H53" s="55" t="n">
        <v>2811</v>
      </c>
      <c r="I53" s="55" t="n">
        <v>1243</v>
      </c>
      <c r="J53" s="56" t="n">
        <v>4.1</v>
      </c>
      <c r="K53" s="56" t="inlineStr">
        <is>
          <t>https://amazon.com/dp/B07CFVD2P3</t>
        </is>
      </c>
      <c r="L53" s="34">
        <f>HYPERLINK(FIXD_2[[#This Row],[Column1]])</f>
        <v/>
      </c>
    </row>
    <row r="54" ht="45" customHeight="1" s="290">
      <c r="A54" s="30" t="inlineStr">
        <is>
          <t>FIXD Bluetooth OBD2 Scanner for iPhone &amp; Android - Diagnostic Scan Tool for Repairs and Car Buying - Check Engine Code Reader &amp; Enhanced Codes - (1 Pack w/Free 14-Day FIXD Premium Bundle)</t>
        </is>
      </c>
      <c r="B54" s="30" t="inlineStr">
        <is>
          <t>B013RIQMEO</t>
        </is>
      </c>
      <c r="C54" s="30" t="inlineStr">
        <is>
          <t>Dongle</t>
        </is>
      </c>
      <c r="D54" s="324" t="n">
        <v>39.98986600186974</v>
      </c>
      <c r="E54" s="53" t="n">
        <v>3901998.4</v>
      </c>
      <c r="F54" s="54" t="n">
        <v>128327.48</v>
      </c>
      <c r="G54" s="55" t="n">
        <v>97575</v>
      </c>
      <c r="H54" s="55" t="n">
        <v>3209</v>
      </c>
      <c r="I54" s="55" t="n">
        <v>35039</v>
      </c>
      <c r="J54" s="56" t="n">
        <v>4.2</v>
      </c>
      <c r="K54" s="56" t="inlineStr">
        <is>
          <t>https://amazon.com/dp/B013RIQMEO</t>
        </is>
      </c>
      <c r="L54" s="34">
        <f>HYPERLINK(FIXD_2[[#This Row],[Column1]])</f>
        <v/>
      </c>
    </row>
    <row r="55" ht="45" customHeight="1" s="290">
      <c r="A55" s="30" t="inlineStr">
        <is>
          <t>FIXD Bluetooth OBD2 Scanner for iPhone &amp; Android - Diagnostic Scan Tool for Repairs and Car Buying - Check Engine Code Reader &amp; Enhanced Codes - (3 Pack w/Free 14-Day FIXD Premium Bundle)</t>
        </is>
      </c>
      <c r="B55" s="30" t="inlineStr">
        <is>
          <t>B07C472G5Z</t>
        </is>
      </c>
      <c r="C55" s="30" t="inlineStr">
        <is>
          <t>Dongle</t>
        </is>
      </c>
      <c r="D55" s="324" t="n">
        <v>117.9764947245017</v>
      </c>
      <c r="E55" s="53" t="n">
        <v>611232.586923077</v>
      </c>
      <c r="F55" s="54" t="n">
        <v>100633.95</v>
      </c>
      <c r="G55" s="55" t="n">
        <v>4393</v>
      </c>
      <c r="H55" s="55" t="n">
        <v>853</v>
      </c>
      <c r="I55" s="55" t="n">
        <v>1243</v>
      </c>
      <c r="J55" s="56" t="n">
        <v>4.1</v>
      </c>
      <c r="K55" s="56" t="inlineStr">
        <is>
          <t>https://amazon.com/dp/B07C472G5Z</t>
        </is>
      </c>
      <c r="L55" s="34">
        <f>HYPERLINK(FIXD_2[[#This Row],[Column1]])</f>
        <v/>
      </c>
    </row>
    <row r="56" ht="60" customHeight="1" s="290">
      <c r="A56" s="30" t="n"/>
      <c r="B56" s="30" t="n"/>
      <c r="C56" s="30" t="n"/>
      <c r="D56" s="324" t="n"/>
      <c r="E56" s="53" t="n"/>
      <c r="F56" s="54" t="n"/>
      <c r="G56" s="55" t="n"/>
      <c r="H56" s="55" t="n"/>
      <c r="I56" s="55" t="n"/>
      <c r="J56" s="56" t="n"/>
      <c r="K56" s="56" t="n"/>
      <c r="L56" s="34">
        <f>HYPERLINK(Table544[[#This Row],[Column1]])</f>
        <v/>
      </c>
    </row>
    <row r="57" ht="45" customHeight="1" s="290">
      <c r="A57" s="30" t="n"/>
      <c r="B57" s="30" t="n"/>
      <c r="C57" s="30" t="n"/>
      <c r="D57" s="324" t="n"/>
      <c r="E57" s="53" t="n"/>
      <c r="F57" s="54" t="n"/>
      <c r="G57" s="55" t="n"/>
      <c r="H57" s="55" t="n"/>
      <c r="I57" s="55" t="n"/>
      <c r="J57" s="56" t="n"/>
      <c r="K57" s="56" t="n"/>
      <c r="L57" s="34">
        <f>HYPERLINK(Table544[[#This Row],[Column1]])</f>
        <v/>
      </c>
    </row>
    <row r="58" ht="45" customHeight="1" s="290">
      <c r="A58" s="30" t="n"/>
      <c r="B58" s="30" t="n"/>
      <c r="C58" s="30" t="n"/>
      <c r="D58" s="324" t="n"/>
      <c r="E58" s="53" t="n"/>
      <c r="F58" s="54" t="n"/>
      <c r="G58" s="55" t="n"/>
      <c r="H58" s="55" t="n"/>
      <c r="I58" s="55" t="n"/>
      <c r="J58" s="56" t="n"/>
      <c r="K58" s="56" t="n"/>
      <c r="L58" s="34">
        <f>HYPERLINK(Table544[[#This Row],[Column1]])</f>
        <v/>
      </c>
    </row>
    <row r="59" ht="45" customHeight="1" s="290">
      <c r="A59" s="30" t="n"/>
      <c r="B59" s="30" t="n"/>
      <c r="C59" s="30" t="n"/>
      <c r="D59" s="324" t="n"/>
      <c r="E59" s="53" t="n"/>
      <c r="F59" s="54" t="n"/>
      <c r="G59" s="55" t="n"/>
      <c r="H59" s="55" t="n"/>
      <c r="I59" s="55" t="n"/>
      <c r="J59" s="56" t="n"/>
      <c r="K59" s="56" t="n"/>
      <c r="L59" s="34">
        <f>HYPERLINK(Table544[[#This Row],[Column1]])</f>
        <v/>
      </c>
    </row>
    <row r="60" ht="45" customHeight="1" s="290">
      <c r="A60" s="30" t="n"/>
      <c r="B60" s="30" t="n"/>
      <c r="C60" s="30" t="n"/>
      <c r="D60" s="324" t="n"/>
      <c r="E60" s="53" t="n"/>
      <c r="F60" s="54" t="n"/>
      <c r="G60" s="55" t="n"/>
      <c r="H60" s="55" t="n"/>
      <c r="I60" s="55" t="n"/>
      <c r="J60" s="56" t="n"/>
      <c r="K60" s="56" t="n"/>
      <c r="L60" s="34">
        <f>HYPERLINK(Table544[[#This Row],[Column1]])</f>
        <v/>
      </c>
    </row>
    <row r="61" ht="45" customHeight="1" s="290">
      <c r="A61" s="30" t="n"/>
      <c r="B61" s="30" t="n"/>
      <c r="C61" s="30" t="n"/>
      <c r="D61" s="324" t="n"/>
      <c r="E61" s="53" t="n"/>
      <c r="F61" s="54" t="n"/>
      <c r="G61" s="55" t="n"/>
      <c r="H61" s="55" t="n"/>
      <c r="I61" s="55" t="n"/>
      <c r="J61" s="56" t="n"/>
      <c r="K61" s="56" t="n"/>
      <c r="L61" s="34">
        <f>HYPERLINK(Table544[[#This Row],[Column1]])</f>
        <v/>
      </c>
    </row>
    <row r="62" ht="45" customHeight="1" s="290">
      <c r="A62" s="30" t="n"/>
      <c r="B62" s="30" t="n"/>
      <c r="C62" s="30" t="n"/>
      <c r="D62" s="324" t="n"/>
      <c r="E62" s="53" t="n"/>
      <c r="F62" s="54" t="n"/>
      <c r="G62" s="55" t="n"/>
      <c r="H62" s="55" t="n"/>
      <c r="I62" s="55" t="n"/>
      <c r="J62" s="56" t="n"/>
      <c r="K62" s="56" t="n"/>
      <c r="L62" s="34">
        <f>HYPERLINK(Table544[[#This Row],[Column1]])</f>
        <v/>
      </c>
    </row>
    <row r="63" ht="45" customHeight="1" s="290">
      <c r="A63" s="30" t="n"/>
      <c r="B63" s="30" t="n"/>
      <c r="C63" s="30" t="n"/>
      <c r="D63" s="324" t="n"/>
      <c r="E63" s="53" t="n"/>
      <c r="F63" s="54" t="n"/>
      <c r="G63" s="55" t="n"/>
      <c r="H63" s="55" t="n"/>
      <c r="I63" s="55" t="n"/>
      <c r="J63" s="56" t="n"/>
      <c r="K63" s="56" t="n"/>
      <c r="L63" s="34">
        <f>HYPERLINK(Table544[[#This Row],[Column1]])</f>
        <v/>
      </c>
    </row>
    <row r="64" ht="45" customHeight="1" s="290">
      <c r="A64" s="30" t="n"/>
      <c r="B64" s="30" t="n"/>
      <c r="C64" s="30" t="n"/>
      <c r="D64" s="324" t="n"/>
      <c r="E64" s="53" t="n"/>
      <c r="F64" s="54" t="n"/>
      <c r="G64" s="55" t="n"/>
      <c r="H64" s="55" t="n"/>
      <c r="I64" s="55" t="n"/>
      <c r="J64" s="56" t="n"/>
      <c r="K64" s="56" t="n"/>
      <c r="L64" s="34">
        <f>HYPERLINK(Table544[[#This Row],[Column1]])</f>
        <v/>
      </c>
    </row>
    <row r="65" ht="45" customHeight="1" s="290">
      <c r="A65" s="30" t="n"/>
      <c r="B65" s="30" t="n"/>
      <c r="C65" s="30" t="n"/>
      <c r="D65" s="324" t="n"/>
      <c r="E65" s="53" t="n"/>
      <c r="F65" s="54" t="n"/>
      <c r="G65" s="55" t="n"/>
      <c r="H65" s="55" t="n"/>
      <c r="I65" s="55" t="n"/>
      <c r="J65" s="56" t="n"/>
      <c r="K65" s="56" t="n"/>
      <c r="L65" s="34">
        <f>HYPERLINK(Table544[[#This Row],[Column1]])</f>
        <v/>
      </c>
    </row>
    <row r="66" ht="45" customHeight="1" s="290">
      <c r="A66" s="30" t="n"/>
      <c r="B66" s="30" t="n"/>
      <c r="C66" s="30" t="n"/>
      <c r="D66" s="324" t="n"/>
      <c r="E66" s="53" t="n"/>
      <c r="F66" s="54" t="n"/>
      <c r="G66" s="55" t="n"/>
      <c r="H66" s="55" t="n"/>
      <c r="I66" s="55" t="n"/>
      <c r="J66" s="56" t="n"/>
      <c r="K66" s="56" t="n"/>
      <c r="L66" s="34">
        <f>HYPERLINK(Table544[[#This Row],[Column1]])</f>
        <v/>
      </c>
    </row>
    <row r="67" ht="45" customHeight="1" s="290">
      <c r="A67" s="30" t="n"/>
      <c r="B67" s="30" t="n"/>
      <c r="C67" s="30" t="n"/>
      <c r="D67" s="324" t="n"/>
      <c r="E67" s="53" t="n"/>
      <c r="F67" s="54" t="n"/>
      <c r="G67" s="55" t="n"/>
      <c r="H67" s="55" t="n"/>
      <c r="I67" s="55" t="n"/>
      <c r="J67" s="56" t="n"/>
      <c r="K67" s="56" t="n"/>
      <c r="L67" s="34">
        <f>HYPERLINK(Table544[[#This Row],[Column1]])</f>
        <v/>
      </c>
    </row>
    <row r="68" ht="45" customHeight="1" s="290">
      <c r="A68" s="30" t="n"/>
      <c r="B68" s="30" t="n"/>
      <c r="C68" s="30" t="n"/>
      <c r="D68" s="324" t="n"/>
      <c r="E68" s="53" t="n"/>
      <c r="F68" s="54" t="n"/>
      <c r="G68" s="55" t="n"/>
      <c r="H68" s="55" t="n"/>
      <c r="I68" s="55" t="n"/>
      <c r="J68" s="56" t="n"/>
      <c r="K68" s="56" t="n"/>
      <c r="L68" s="34">
        <f>HYPERLINK(Table544[[#This Row],[Column1]])</f>
        <v/>
      </c>
    </row>
    <row r="69" ht="60" customHeight="1" s="290">
      <c r="A69" s="30" t="n"/>
      <c r="B69" s="30" t="n"/>
      <c r="C69" s="30" t="n"/>
      <c r="D69" s="324" t="n"/>
      <c r="E69" s="53" t="n"/>
      <c r="F69" s="54" t="n"/>
      <c r="G69" s="55" t="n"/>
      <c r="H69" s="55" t="n"/>
      <c r="I69" s="55" t="n"/>
      <c r="J69" s="56" t="n"/>
      <c r="K69" s="56" t="n"/>
      <c r="L69" s="34">
        <f>HYPERLINK(Table544[[#This Row],[Column1]])</f>
        <v/>
      </c>
    </row>
    <row r="70" ht="45" customHeight="1" s="290">
      <c r="A70" s="30" t="n"/>
      <c r="B70" s="30" t="n"/>
      <c r="C70" s="30" t="n"/>
      <c r="D70" s="324" t="n"/>
      <c r="E70" s="53" t="n"/>
      <c r="F70" s="54" t="n"/>
      <c r="G70" s="55" t="n"/>
      <c r="H70" s="55" t="n"/>
      <c r="I70" s="55" t="n"/>
      <c r="J70" s="56" t="n"/>
      <c r="K70" s="56" t="n"/>
      <c r="L70" s="34">
        <f>HYPERLINK(Table544[[#This Row],[Column1]])</f>
        <v/>
      </c>
    </row>
    <row r="71" ht="45" customHeight="1" s="290">
      <c r="A71" s="30" t="n"/>
      <c r="B71" s="30" t="n"/>
      <c r="C71" s="30" t="n"/>
      <c r="D71" s="324" t="n"/>
      <c r="E71" s="53" t="n"/>
      <c r="F71" s="54" t="n"/>
      <c r="G71" s="55" t="n"/>
      <c r="H71" s="55" t="n"/>
      <c r="I71" s="55" t="n"/>
      <c r="J71" s="56" t="n"/>
      <c r="K71" s="56" t="n"/>
      <c r="L71" s="34">
        <f>HYPERLINK(Table544[[#This Row],[Column1]])</f>
        <v/>
      </c>
    </row>
    <row r="72" ht="45" customHeight="1" s="290">
      <c r="A72" s="30" t="n"/>
      <c r="B72" s="30" t="n"/>
      <c r="C72" s="30" t="n"/>
      <c r="D72" s="324" t="n"/>
      <c r="E72" s="53" t="n"/>
      <c r="F72" s="54" t="n"/>
      <c r="G72" s="55" t="n"/>
      <c r="H72" s="55" t="n"/>
      <c r="I72" s="55" t="n"/>
      <c r="J72" s="56" t="n"/>
      <c r="K72" s="56" t="n"/>
      <c r="L72" s="34">
        <f>HYPERLINK(Table544[[#This Row],[Column1]])</f>
        <v/>
      </c>
    </row>
    <row r="73" ht="45" customHeight="1" s="290">
      <c r="A73" s="30" t="n"/>
      <c r="B73" s="30" t="n"/>
      <c r="C73" s="30" t="n"/>
      <c r="D73" s="324" t="n"/>
      <c r="E73" s="53" t="n"/>
      <c r="F73" s="54" t="n"/>
      <c r="G73" s="55" t="n"/>
      <c r="H73" s="55" t="n"/>
      <c r="I73" s="55" t="n"/>
      <c r="J73" s="56" t="n"/>
      <c r="K73" s="56" t="n"/>
      <c r="L73" s="34">
        <f>HYPERLINK(Table544[[#This Row],[Column1]])</f>
        <v/>
      </c>
    </row>
    <row r="74" ht="45" customHeight="1" s="290">
      <c r="A74" s="30" t="n"/>
      <c r="B74" s="30" t="n"/>
      <c r="C74" s="30" t="n"/>
      <c r="D74" s="324" t="n"/>
      <c r="E74" s="53" t="n"/>
      <c r="F74" s="54" t="n"/>
      <c r="G74" s="55" t="n"/>
      <c r="H74" s="55" t="n"/>
      <c r="I74" s="55" t="n"/>
      <c r="J74" s="56" t="n"/>
      <c r="K74" s="56" t="n"/>
      <c r="L74" s="34">
        <f>HYPERLINK(Table544[[#This Row],[Column1]])</f>
        <v/>
      </c>
    </row>
    <row r="75" ht="45" customHeight="1" s="290">
      <c r="A75" s="30" t="n"/>
      <c r="B75" s="30" t="n"/>
      <c r="C75" s="30" t="n"/>
      <c r="D75" s="324" t="n"/>
      <c r="E75" s="53" t="n"/>
      <c r="F75" s="54" t="n"/>
      <c r="G75" s="55" t="n"/>
      <c r="H75" s="55" t="n"/>
      <c r="I75" s="55" t="n"/>
      <c r="J75" s="56" t="n"/>
      <c r="K75" s="56" t="n"/>
      <c r="L75" s="34">
        <f>HYPERLINK(Table544[[#This Row],[Column1]])</f>
        <v/>
      </c>
    </row>
    <row r="76" ht="45" customHeight="1" s="290">
      <c r="A76" s="30" t="n"/>
      <c r="B76" s="30" t="n"/>
      <c r="C76" s="30" t="n"/>
      <c r="D76" s="324" t="n"/>
      <c r="E76" s="53" t="n"/>
      <c r="F76" s="54" t="n"/>
      <c r="G76" s="55" t="n"/>
      <c r="H76" s="55" t="n"/>
      <c r="I76" s="55" t="n"/>
      <c r="J76" s="56" t="n"/>
      <c r="K76" s="56" t="n"/>
      <c r="L76" s="34">
        <f>HYPERLINK(Table544[[#This Row],[Column1]])</f>
        <v/>
      </c>
    </row>
    <row r="77" ht="60" customHeight="1" s="290">
      <c r="A77" s="30" t="n"/>
      <c r="B77" s="30" t="n"/>
      <c r="C77" s="30" t="n"/>
      <c r="D77" s="324" t="n"/>
      <c r="E77" s="53" t="n"/>
      <c r="F77" s="54" t="n"/>
      <c r="G77" s="55" t="n"/>
      <c r="H77" s="55" t="n"/>
      <c r="I77" s="55" t="n"/>
      <c r="J77" s="56" t="n"/>
      <c r="K77" s="56" t="n"/>
      <c r="L77" s="34">
        <f>HYPERLINK(Table544[[#This Row],[Column1]])</f>
        <v/>
      </c>
    </row>
    <row r="78" ht="45" customHeight="1" s="290">
      <c r="A78" s="30" t="n"/>
      <c r="B78" s="30" t="n"/>
      <c r="C78" s="30" t="n"/>
      <c r="D78" s="324" t="n"/>
      <c r="E78" s="53" t="n"/>
      <c r="F78" s="54" t="n"/>
      <c r="G78" s="55" t="n"/>
      <c r="H78" s="55" t="n"/>
      <c r="I78" s="55" t="n"/>
      <c r="J78" s="56" t="n"/>
      <c r="K78" s="56" t="n"/>
      <c r="L78" s="34">
        <f>HYPERLINK(Table544[[#This Row],[Column1]])</f>
        <v/>
      </c>
    </row>
    <row r="79" ht="45" customHeight="1" s="290">
      <c r="A79" s="30" t="n"/>
      <c r="B79" s="30" t="n"/>
      <c r="C79" s="30" t="n"/>
      <c r="D79" s="324" t="n"/>
      <c r="E79" s="53" t="n"/>
      <c r="F79" s="54" t="n"/>
      <c r="G79" s="55" t="n"/>
      <c r="H79" s="55" t="n"/>
      <c r="I79" s="55" t="n"/>
      <c r="J79" s="56" t="n"/>
      <c r="K79" s="56" t="n"/>
      <c r="L79" s="34">
        <f>HYPERLINK(Table544[[#This Row],[Column1]])</f>
        <v/>
      </c>
    </row>
    <row r="80" ht="45" customHeight="1" s="290">
      <c r="A80" s="30" t="n"/>
      <c r="B80" s="30" t="n"/>
      <c r="C80" s="30" t="n"/>
      <c r="D80" s="324" t="n"/>
      <c r="E80" s="53" t="n"/>
      <c r="F80" s="54" t="n"/>
      <c r="G80" s="55" t="n"/>
      <c r="H80" s="55" t="n"/>
      <c r="I80" s="55" t="n"/>
      <c r="J80" s="56" t="n"/>
      <c r="K80" s="56" t="n"/>
      <c r="L80" s="34">
        <f>HYPERLINK(Table544[[#This Row],[Column1]])</f>
        <v/>
      </c>
    </row>
    <row r="81" ht="45" customHeight="1" s="290">
      <c r="A81" s="30" t="n"/>
      <c r="B81" s="30" t="n"/>
      <c r="C81" s="30" t="n"/>
      <c r="D81" s="324" t="n"/>
      <c r="E81" s="53" t="n"/>
      <c r="F81" s="54" t="n"/>
      <c r="G81" s="55" t="n"/>
      <c r="H81" s="55" t="n"/>
      <c r="I81" s="55" t="n"/>
      <c r="J81" s="56" t="n"/>
      <c r="K81" s="56" t="n"/>
      <c r="L81" s="34">
        <f>HYPERLINK(Table544[[#This Row],[Column1]])</f>
        <v/>
      </c>
    </row>
    <row r="82" ht="45" customHeight="1" s="290">
      <c r="A82" s="30" t="n"/>
      <c r="B82" s="30" t="n"/>
      <c r="C82" s="30" t="n"/>
      <c r="D82" s="324" t="n"/>
      <c r="E82" s="53" t="n"/>
      <c r="F82" s="54" t="n"/>
      <c r="G82" s="55" t="n"/>
      <c r="H82" s="55" t="n"/>
      <c r="I82" s="55" t="n"/>
      <c r="J82" s="56" t="n"/>
      <c r="K82" s="56" t="n"/>
      <c r="L82" s="34">
        <f>HYPERLINK(Table544[[#This Row],[Column1]])</f>
        <v/>
      </c>
    </row>
    <row r="83" ht="30" customHeight="1" s="290">
      <c r="A83" s="30" t="n"/>
      <c r="B83" s="30" t="n"/>
      <c r="C83" s="30" t="n"/>
      <c r="D83" s="324" t="n"/>
      <c r="E83" s="53" t="n"/>
      <c r="F83" s="54" t="n"/>
      <c r="G83" s="55" t="n"/>
      <c r="H83" s="55" t="n"/>
      <c r="I83" s="55" t="n"/>
      <c r="J83" s="56" t="n"/>
      <c r="K83" s="56" t="n"/>
      <c r="L83" s="34">
        <f>HYPERLINK(Table544[[#This Row],[Column1]])</f>
        <v/>
      </c>
    </row>
    <row r="84" ht="45" customHeight="1" s="290">
      <c r="A84" s="30" t="n"/>
      <c r="B84" s="30" t="n"/>
      <c r="C84" s="30" t="n"/>
      <c r="D84" s="324" t="n"/>
      <c r="E84" s="53" t="n"/>
      <c r="F84" s="54" t="n"/>
      <c r="G84" s="55" t="n"/>
      <c r="H84" s="55" t="n"/>
      <c r="I84" s="55" t="n"/>
      <c r="J84" s="56" t="n"/>
      <c r="K84" s="56" t="n"/>
      <c r="L84" s="34">
        <f>HYPERLINK(Table544[[#This Row],[Column1]])</f>
        <v/>
      </c>
    </row>
    <row r="85" ht="45" customHeight="1" s="290">
      <c r="A85" s="30" t="n"/>
      <c r="B85" s="30" t="n"/>
      <c r="C85" s="30" t="n"/>
      <c r="D85" s="324" t="n"/>
      <c r="E85" s="53" t="n"/>
      <c r="F85" s="54" t="n"/>
      <c r="G85" s="55" t="n"/>
      <c r="H85" s="55" t="n"/>
      <c r="I85" s="55" t="n"/>
      <c r="J85" s="56" t="n"/>
      <c r="K85" s="56" t="n"/>
      <c r="L85" s="34">
        <f>HYPERLINK(Table544[[#This Row],[Column1]])</f>
        <v/>
      </c>
    </row>
    <row r="86" ht="45" customHeight="1" s="290">
      <c r="A86" s="30" t="n"/>
      <c r="B86" s="30" t="n"/>
      <c r="C86" s="30" t="n"/>
      <c r="D86" s="324" t="n"/>
      <c r="E86" s="53" t="n"/>
      <c r="F86" s="54" t="n"/>
      <c r="G86" s="55" t="n"/>
      <c r="H86" s="55" t="n"/>
      <c r="I86" s="55" t="n"/>
      <c r="J86" s="56" t="n"/>
      <c r="K86" s="56" t="n"/>
      <c r="L86" s="34">
        <f>HYPERLINK(Table544[[#This Row],[Column1]])</f>
        <v/>
      </c>
    </row>
    <row r="87" ht="45" customHeight="1" s="290">
      <c r="A87" s="30" t="n"/>
      <c r="B87" s="30" t="n"/>
      <c r="C87" s="30" t="n"/>
      <c r="D87" s="324" t="n"/>
      <c r="E87" s="53" t="n"/>
      <c r="F87" s="54" t="n"/>
      <c r="G87" s="55" t="n"/>
      <c r="H87" s="55" t="n"/>
      <c r="I87" s="55" t="n"/>
      <c r="J87" s="56" t="n"/>
      <c r="K87" s="56" t="n"/>
      <c r="L87" s="34">
        <f>HYPERLINK(Table544[[#This Row],[Column1]])</f>
        <v/>
      </c>
    </row>
    <row r="88" ht="45" customHeight="1" s="290">
      <c r="A88" s="30" t="n"/>
      <c r="B88" s="30" t="n"/>
      <c r="C88" s="30" t="n"/>
      <c r="D88" s="324" t="n"/>
      <c r="E88" s="53" t="n"/>
      <c r="F88" s="54" t="n"/>
      <c r="G88" s="55" t="n"/>
      <c r="H88" s="55" t="n"/>
      <c r="I88" s="55" t="n"/>
      <c r="J88" s="56" t="n"/>
      <c r="K88" s="56" t="n"/>
      <c r="L88" s="34">
        <f>HYPERLINK(Table544[[#This Row],[Column1]])</f>
        <v/>
      </c>
    </row>
    <row r="89" ht="45" customHeight="1" s="290">
      <c r="A89" s="30" t="n"/>
      <c r="B89" s="30" t="n"/>
      <c r="C89" s="30" t="n"/>
      <c r="D89" s="324" t="n"/>
      <c r="E89" s="53" t="n"/>
      <c r="F89" s="54" t="n"/>
      <c r="G89" s="55" t="n"/>
      <c r="H89" s="55" t="n"/>
      <c r="I89" s="55" t="n"/>
      <c r="J89" s="56" t="n"/>
      <c r="K89" s="56" t="n"/>
      <c r="L89" s="34">
        <f>HYPERLINK(Table544[[#This Row],[Column1]])</f>
        <v/>
      </c>
    </row>
    <row r="90" ht="45" customHeight="1" s="290">
      <c r="A90" s="30" t="n"/>
      <c r="B90" s="30" t="n"/>
      <c r="C90" s="30" t="n"/>
      <c r="D90" s="324" t="n"/>
      <c r="E90" s="53" t="n"/>
      <c r="F90" s="54" t="n"/>
      <c r="G90" s="55" t="n"/>
      <c r="H90" s="55" t="n"/>
      <c r="I90" s="55" t="n"/>
      <c r="J90" s="56" t="n"/>
      <c r="K90" s="56" t="n"/>
      <c r="L90" s="34">
        <f>HYPERLINK(Table544[[#This Row],[Column1]])</f>
        <v/>
      </c>
    </row>
    <row r="91" ht="45" customHeight="1" s="290">
      <c r="A91" s="30" t="n"/>
      <c r="B91" s="30" t="n"/>
      <c r="C91" s="30" t="n"/>
      <c r="D91" s="324" t="n"/>
      <c r="E91" s="53" t="n"/>
      <c r="F91" s="54" t="n"/>
      <c r="G91" s="55" t="n"/>
      <c r="H91" s="55" t="n"/>
      <c r="I91" s="55" t="n"/>
      <c r="J91" s="56" t="n"/>
      <c r="K91" s="56" t="n"/>
      <c r="L91" s="34">
        <f>HYPERLINK(Table544[[#This Row],[Column1]])</f>
        <v/>
      </c>
    </row>
    <row r="92" ht="45" customHeight="1" s="290">
      <c r="A92" s="30" t="n"/>
      <c r="B92" s="30" t="n"/>
      <c r="C92" s="30" t="n"/>
      <c r="D92" s="324" t="n"/>
      <c r="E92" s="53" t="n"/>
      <c r="F92" s="54" t="n"/>
      <c r="G92" s="55" t="n"/>
      <c r="H92" s="55" t="n"/>
      <c r="I92" s="55" t="n"/>
      <c r="J92" s="56" t="n"/>
      <c r="K92" s="56" t="n"/>
      <c r="L92" s="34">
        <f>HYPERLINK(Table544[[#This Row],[Column1]])</f>
        <v/>
      </c>
    </row>
    <row r="93" ht="45" customHeight="1" s="290">
      <c r="A93" s="30" t="n"/>
      <c r="B93" s="30" t="n"/>
      <c r="C93" s="30" t="n"/>
      <c r="D93" s="324" t="n"/>
      <c r="E93" s="53" t="n"/>
      <c r="F93" s="54" t="n"/>
      <c r="G93" s="55" t="n"/>
      <c r="H93" s="55" t="n"/>
      <c r="I93" s="55" t="n"/>
      <c r="J93" s="56" t="n"/>
      <c r="K93" s="56" t="n"/>
      <c r="L93" s="34">
        <f>HYPERLINK(Table544[[#This Row],[Column1]])</f>
        <v/>
      </c>
    </row>
    <row r="94" ht="60" customHeight="1" s="290">
      <c r="A94" s="30" t="n"/>
      <c r="B94" s="30" t="n"/>
      <c r="C94" s="30" t="n"/>
      <c r="D94" s="324" t="n"/>
      <c r="E94" s="53" t="n"/>
      <c r="F94" s="54" t="n"/>
      <c r="G94" s="55" t="n"/>
      <c r="H94" s="55" t="n"/>
      <c r="I94" s="55" t="n"/>
      <c r="J94" s="56" t="n"/>
      <c r="K94" s="56" t="n"/>
      <c r="L94" s="34">
        <f>HYPERLINK(Table544[[#This Row],[Column1]])</f>
        <v/>
      </c>
    </row>
    <row r="95" ht="45" customHeight="1" s="290">
      <c r="A95" s="30" t="n"/>
      <c r="B95" s="30" t="n"/>
      <c r="C95" s="30" t="n"/>
      <c r="D95" s="324" t="n"/>
      <c r="E95" s="53" t="n"/>
      <c r="F95" s="54" t="n"/>
      <c r="G95" s="55" t="n"/>
      <c r="H95" s="55" t="n"/>
      <c r="I95" s="55" t="n"/>
      <c r="J95" s="56" t="n"/>
      <c r="K95" s="56" t="n"/>
      <c r="L95" s="34">
        <f>HYPERLINK(Table544[[#This Row],[Column1]])</f>
        <v/>
      </c>
    </row>
    <row r="96" ht="45" customHeight="1" s="290">
      <c r="A96" s="30" t="n"/>
      <c r="B96" s="30" t="n"/>
      <c r="C96" s="30" t="n"/>
      <c r="D96" s="324" t="n"/>
      <c r="E96" s="53" t="n"/>
      <c r="F96" s="54" t="n"/>
      <c r="G96" s="55" t="n"/>
      <c r="H96" s="55" t="n"/>
      <c r="I96" s="55" t="n"/>
      <c r="J96" s="56" t="n"/>
      <c r="K96" s="56" t="n"/>
      <c r="L96" s="34">
        <f>HYPERLINK(Table544[[#This Row],[Column1]])</f>
        <v/>
      </c>
    </row>
    <row r="97" ht="45" customHeight="1" s="290">
      <c r="A97" s="30" t="n"/>
      <c r="B97" s="30" t="n"/>
      <c r="C97" s="30" t="n"/>
      <c r="D97" s="324" t="n"/>
      <c r="E97" s="53" t="n"/>
      <c r="F97" s="54" t="n"/>
      <c r="G97" s="55" t="n"/>
      <c r="H97" s="55" t="n"/>
      <c r="I97" s="55" t="n"/>
      <c r="J97" s="56" t="n"/>
      <c r="K97" s="56" t="n"/>
      <c r="L97" s="34">
        <f>HYPERLINK(Table544[[#This Row],[Column1]])</f>
        <v/>
      </c>
    </row>
    <row r="98" ht="60" customHeight="1" s="290">
      <c r="A98" s="30" t="n"/>
      <c r="B98" s="30" t="n"/>
      <c r="C98" s="30" t="n"/>
      <c r="D98" s="324" t="n"/>
      <c r="E98" s="53" t="n"/>
      <c r="F98" s="54" t="n"/>
      <c r="G98" s="55" t="n"/>
      <c r="H98" s="55" t="n"/>
      <c r="I98" s="55" t="n"/>
      <c r="J98" s="56" t="n"/>
      <c r="K98" s="56" t="n"/>
      <c r="L98" s="34">
        <f>HYPERLINK(Table544[[#This Row],[Column1]])</f>
        <v/>
      </c>
    </row>
    <row r="99" ht="45" customHeight="1" s="290">
      <c r="A99" s="30" t="n"/>
      <c r="B99" s="30" t="n"/>
      <c r="C99" s="30" t="n"/>
      <c r="D99" s="324" t="n"/>
      <c r="E99" s="53" t="n"/>
      <c r="F99" s="54" t="n"/>
      <c r="G99" s="55" t="n"/>
      <c r="H99" s="55" t="n"/>
      <c r="I99" s="55" t="n"/>
      <c r="J99" s="56" t="n"/>
      <c r="K99" s="56" t="n"/>
      <c r="L99" s="34">
        <f>HYPERLINK(Table544[[#This Row],[Column1]])</f>
        <v/>
      </c>
    </row>
    <row r="100" ht="45" customHeight="1" s="290">
      <c r="A100" s="30" t="n"/>
      <c r="B100" s="30" t="n"/>
      <c r="C100" s="30" t="n"/>
      <c r="D100" s="324" t="n"/>
      <c r="E100" s="53" t="n"/>
      <c r="F100" s="54" t="n"/>
      <c r="G100" s="55" t="n"/>
      <c r="H100" s="55" t="n"/>
      <c r="I100" s="55" t="n"/>
      <c r="J100" s="56" t="n"/>
      <c r="K100" s="56" t="n"/>
      <c r="L100" s="34">
        <f>HYPERLINK(Table544[[#This Row],[Column1]])</f>
        <v/>
      </c>
    </row>
    <row r="101" ht="45" customHeight="1" s="290">
      <c r="A101" s="30" t="n"/>
      <c r="B101" s="30" t="n"/>
      <c r="C101" s="30" t="n"/>
      <c r="D101" s="324" t="n"/>
      <c r="E101" s="53" t="n"/>
      <c r="F101" s="54" t="n"/>
      <c r="G101" s="55" t="n"/>
      <c r="H101" s="55" t="n"/>
      <c r="I101" s="55" t="n"/>
      <c r="J101" s="56" t="n"/>
      <c r="K101" s="56" t="n"/>
      <c r="L101" s="34">
        <f>HYPERLINK(Table544[[#This Row],[Column1]])</f>
        <v/>
      </c>
    </row>
    <row r="102" ht="45" customHeight="1" s="290">
      <c r="A102" s="30" t="n"/>
      <c r="B102" s="30" t="n"/>
      <c r="C102" s="30" t="n"/>
      <c r="D102" s="324" t="n"/>
      <c r="E102" s="53" t="n"/>
      <c r="F102" s="54" t="n"/>
      <c r="G102" s="55" t="n"/>
      <c r="H102" s="55" t="n"/>
      <c r="I102" s="55" t="n"/>
      <c r="J102" s="56" t="n"/>
      <c r="K102" s="56" t="n"/>
      <c r="L102" s="34">
        <f>HYPERLINK(Table544[[#This Row],[Column1]])</f>
        <v/>
      </c>
    </row>
    <row r="103" ht="45" customHeight="1" s="290">
      <c r="A103" s="30" t="n"/>
      <c r="B103" s="30" t="n"/>
      <c r="C103" s="30" t="n"/>
      <c r="D103" s="324" t="n"/>
      <c r="E103" s="53" t="n"/>
      <c r="F103" s="54" t="n"/>
      <c r="G103" s="55" t="n"/>
      <c r="H103" s="55" t="n"/>
      <c r="I103" s="55" t="n"/>
      <c r="J103" s="56" t="n"/>
      <c r="K103" s="56" t="n"/>
      <c r="L103" s="34">
        <f>HYPERLINK(Table544[[#This Row],[Column1]])</f>
        <v/>
      </c>
    </row>
    <row r="104" ht="45" customHeight="1" s="290">
      <c r="A104" s="30" t="n"/>
      <c r="B104" s="30" t="n"/>
      <c r="C104" s="30" t="n"/>
      <c r="D104" s="324" t="n"/>
      <c r="E104" s="53" t="n"/>
      <c r="F104" s="54" t="n"/>
      <c r="G104" s="55" t="n"/>
      <c r="H104" s="55" t="n"/>
      <c r="I104" s="55" t="n"/>
      <c r="J104" s="56" t="n"/>
      <c r="K104" s="56" t="n"/>
      <c r="L104" s="34">
        <f>HYPERLINK(Table544[[#This Row],[Column1]])</f>
        <v/>
      </c>
    </row>
    <row r="105" ht="45" customHeight="1" s="290">
      <c r="A105" s="30" t="n"/>
      <c r="B105" s="30" t="n"/>
      <c r="C105" s="30" t="n"/>
      <c r="D105" s="324" t="n"/>
      <c r="E105" s="53" t="n"/>
      <c r="F105" s="54" t="n"/>
      <c r="G105" s="55" t="n"/>
      <c r="H105" s="55" t="n"/>
      <c r="I105" s="55" t="n"/>
      <c r="J105" s="56" t="n"/>
      <c r="K105" s="56" t="n"/>
      <c r="L105" s="34">
        <f>HYPERLINK(Table544[[#This Row],[Column1]])</f>
        <v/>
      </c>
    </row>
    <row r="106" ht="45" customHeight="1" s="290">
      <c r="A106" s="30" t="n"/>
      <c r="B106" s="30" t="n"/>
      <c r="C106" s="30" t="n"/>
      <c r="D106" s="324" t="n"/>
      <c r="E106" s="53" t="n"/>
      <c r="F106" s="54" t="n"/>
      <c r="G106" s="55" t="n"/>
      <c r="H106" s="55" t="n"/>
      <c r="I106" s="55" t="n"/>
      <c r="J106" s="56" t="n"/>
      <c r="K106" s="56" t="n"/>
      <c r="L106" s="34">
        <f>HYPERLINK(Table544[[#This Row],[Column1]])</f>
        <v/>
      </c>
    </row>
    <row r="107" ht="60" customHeight="1" s="290">
      <c r="A107" s="30" t="n"/>
      <c r="B107" s="30" t="n"/>
      <c r="C107" s="30" t="n"/>
      <c r="D107" s="324" t="n"/>
      <c r="E107" s="53" t="n"/>
      <c r="F107" s="54" t="n"/>
      <c r="G107" s="55" t="n"/>
      <c r="H107" s="55" t="n"/>
      <c r="I107" s="55" t="n"/>
      <c r="J107" s="56" t="n"/>
      <c r="K107" s="56" t="n"/>
      <c r="L107" s="34">
        <f>HYPERLINK(Table544[[#This Row],[Column1]])</f>
        <v/>
      </c>
    </row>
    <row r="108" ht="45" customHeight="1" s="290">
      <c r="A108" s="30" t="n"/>
      <c r="B108" s="30" t="n"/>
      <c r="C108" s="30" t="n"/>
      <c r="D108" s="324" t="n"/>
      <c r="E108" s="53" t="n"/>
      <c r="F108" s="54" t="n"/>
      <c r="G108" s="55" t="n"/>
      <c r="H108" s="55" t="n"/>
      <c r="I108" s="55" t="n"/>
      <c r="J108" s="56" t="n"/>
      <c r="K108" s="56" t="n"/>
      <c r="L108" s="34">
        <f>HYPERLINK(Table544[[#This Row],[Column1]])</f>
        <v/>
      </c>
    </row>
    <row r="109" ht="45" customHeight="1" s="290">
      <c r="A109" s="30" t="n"/>
      <c r="B109" s="30" t="n"/>
      <c r="C109" s="30" t="n"/>
      <c r="D109" s="324" t="n"/>
      <c r="E109" s="53" t="n"/>
      <c r="F109" s="54" t="n"/>
      <c r="G109" s="55" t="n"/>
      <c r="H109" s="55" t="n"/>
      <c r="I109" s="55" t="n"/>
      <c r="J109" s="56" t="n"/>
      <c r="K109" s="56" t="n"/>
      <c r="L109" s="34">
        <f>HYPERLINK(Table544[[#This Row],[Column1]])</f>
        <v/>
      </c>
    </row>
    <row r="110" ht="45" customHeight="1" s="290">
      <c r="A110" s="30" t="n"/>
      <c r="B110" s="30" t="n"/>
      <c r="C110" s="30" t="n"/>
      <c r="D110" s="324" t="n"/>
      <c r="E110" s="53" t="n"/>
      <c r="F110" s="54" t="n"/>
      <c r="G110" s="55" t="n"/>
      <c r="H110" s="55" t="n"/>
      <c r="I110" s="55" t="n"/>
      <c r="J110" s="56" t="n"/>
      <c r="K110" s="56" t="n"/>
      <c r="L110" s="34">
        <f>HYPERLINK(Table544[[#This Row],[Column1]])</f>
        <v/>
      </c>
    </row>
    <row r="111" ht="45" customHeight="1" s="290">
      <c r="A111" s="30" t="n"/>
      <c r="B111" s="30" t="n"/>
      <c r="C111" s="30" t="n"/>
      <c r="D111" s="324" t="n"/>
      <c r="E111" s="53" t="n"/>
      <c r="F111" s="54" t="n"/>
      <c r="G111" s="55" t="n"/>
      <c r="H111" s="55" t="n"/>
      <c r="I111" s="55" t="n"/>
      <c r="J111" s="56" t="n"/>
      <c r="K111" s="56" t="n"/>
      <c r="L111" s="34">
        <f>HYPERLINK(Table544[[#This Row],[Column1]])</f>
        <v/>
      </c>
    </row>
    <row r="112" ht="45" customHeight="1" s="290">
      <c r="A112" s="30" t="n"/>
      <c r="B112" s="30" t="n"/>
      <c r="C112" s="30" t="n"/>
      <c r="D112" s="324" t="n"/>
      <c r="E112" s="53" t="n"/>
      <c r="F112" s="54" t="n"/>
      <c r="G112" s="55" t="n"/>
      <c r="H112" s="55" t="n"/>
      <c r="I112" s="55" t="n"/>
      <c r="J112" s="56" t="n"/>
      <c r="K112" s="56" t="n"/>
      <c r="L112" s="34">
        <f>HYPERLINK(Table544[[#This Row],[Column1]])</f>
        <v/>
      </c>
    </row>
    <row r="113" ht="45" customHeight="1" s="290">
      <c r="A113" s="30" t="n"/>
      <c r="B113" s="30" t="n"/>
      <c r="C113" s="30" t="n"/>
      <c r="D113" s="324" t="n"/>
      <c r="E113" s="53" t="n"/>
      <c r="F113" s="54" t="n"/>
      <c r="G113" s="55" t="n"/>
      <c r="H113" s="55" t="n"/>
      <c r="I113" s="55" t="n"/>
      <c r="J113" s="56" t="n"/>
      <c r="K113" s="56" t="n"/>
      <c r="L113" s="34">
        <f>HYPERLINK(Table544[[#This Row],[Column1]])</f>
        <v/>
      </c>
    </row>
    <row r="114" ht="45" customHeight="1" s="290">
      <c r="A114" s="30" t="n"/>
      <c r="B114" s="30" t="n"/>
      <c r="C114" s="30" t="n"/>
      <c r="D114" s="324" t="n"/>
      <c r="E114" s="53" t="n"/>
      <c r="F114" s="54" t="n"/>
      <c r="G114" s="55" t="n"/>
      <c r="H114" s="55" t="n"/>
      <c r="I114" s="55" t="n"/>
      <c r="J114" s="56" t="n"/>
      <c r="K114" s="56" t="n"/>
      <c r="L114" s="34">
        <f>HYPERLINK(Table544[[#This Row],[Column1]])</f>
        <v/>
      </c>
    </row>
    <row r="115" ht="45" customHeight="1" s="290">
      <c r="A115" s="30" t="n"/>
      <c r="B115" s="30" t="n"/>
      <c r="C115" s="30" t="n"/>
      <c r="D115" s="324" t="n"/>
      <c r="E115" s="53" t="n"/>
      <c r="F115" s="54" t="n"/>
      <c r="G115" s="55" t="n"/>
      <c r="H115" s="55" t="n"/>
      <c r="I115" s="55" t="n"/>
      <c r="J115" s="56" t="n"/>
      <c r="K115" s="56" t="n"/>
      <c r="L115" s="34">
        <f>HYPERLINK(Table544[[#This Row],[Column1]])</f>
        <v/>
      </c>
    </row>
    <row r="116" ht="30" customHeight="1" s="290">
      <c r="A116" s="30" t="n"/>
      <c r="B116" s="30" t="n"/>
      <c r="C116" s="30" t="n"/>
      <c r="D116" s="324" t="n"/>
      <c r="E116" s="53" t="n"/>
      <c r="F116" s="54" t="n"/>
      <c r="G116" s="55" t="n"/>
      <c r="H116" s="55" t="n"/>
      <c r="I116" s="55" t="n"/>
      <c r="J116" s="56" t="n"/>
      <c r="K116" s="56" t="n"/>
      <c r="L116" s="34">
        <f>HYPERLINK(Table544[[#This Row],[Column1]])</f>
        <v/>
      </c>
    </row>
    <row r="117" ht="30" customHeight="1" s="290">
      <c r="A117" s="30" t="n"/>
      <c r="B117" s="30" t="n"/>
      <c r="C117" s="30" t="n"/>
      <c r="D117" s="324" t="n"/>
      <c r="E117" s="53" t="n"/>
      <c r="F117" s="54" t="n"/>
      <c r="G117" s="55" t="n"/>
      <c r="H117" s="55" t="n"/>
      <c r="I117" s="55" t="n"/>
      <c r="J117" s="56" t="n"/>
      <c r="K117" s="56" t="n"/>
      <c r="L117" s="34">
        <f>HYPERLINK(Table544[[#This Row],[Column1]])</f>
        <v/>
      </c>
    </row>
    <row r="118" ht="45" customHeight="1" s="290">
      <c r="A118" s="30" t="n"/>
      <c r="B118" s="30" t="n"/>
      <c r="C118" s="30" t="n"/>
      <c r="D118" s="324" t="n"/>
      <c r="E118" s="53" t="n"/>
      <c r="F118" s="54" t="n"/>
      <c r="G118" s="55" t="n"/>
      <c r="H118" s="55" t="n"/>
      <c r="I118" s="55" t="n"/>
      <c r="J118" s="56" t="n"/>
      <c r="K118" s="56" t="n"/>
      <c r="L118" s="34">
        <f>HYPERLINK(Table544[[#This Row],[Column1]])</f>
        <v/>
      </c>
    </row>
    <row r="119" ht="45" customHeight="1" s="290">
      <c r="A119" s="30" t="n"/>
      <c r="B119" s="30" t="n"/>
      <c r="C119" s="30" t="n"/>
      <c r="D119" s="324" t="n"/>
      <c r="E119" s="53" t="n"/>
      <c r="F119" s="54" t="n"/>
      <c r="G119" s="55" t="n"/>
      <c r="H119" s="55" t="n"/>
      <c r="I119" s="55" t="n"/>
      <c r="J119" s="56" t="n"/>
      <c r="K119" s="56" t="n"/>
      <c r="L119" s="34">
        <f>HYPERLINK(Table544[[#This Row],[Column1]])</f>
        <v/>
      </c>
    </row>
    <row r="120" ht="60" customHeight="1" s="290">
      <c r="A120" s="30" t="n"/>
      <c r="B120" s="30" t="n"/>
      <c r="C120" s="30" t="n"/>
      <c r="D120" s="324" t="n"/>
      <c r="E120" s="53" t="n"/>
      <c r="F120" s="54" t="n"/>
      <c r="G120" s="55" t="n"/>
      <c r="H120" s="55" t="n"/>
      <c r="I120" s="55" t="n"/>
      <c r="J120" s="56" t="n"/>
      <c r="K120" s="56" t="n"/>
      <c r="L120" s="34">
        <f>HYPERLINK(Table544[[#This Row],[Column1]])</f>
        <v/>
      </c>
    </row>
    <row r="121" ht="45" customHeight="1" s="290">
      <c r="A121" s="30" t="n"/>
      <c r="B121" s="30" t="n"/>
      <c r="C121" s="30" t="n"/>
      <c r="D121" s="324" t="n"/>
      <c r="E121" s="53" t="n"/>
      <c r="F121" s="54" t="n"/>
      <c r="G121" s="55" t="n"/>
      <c r="H121" s="55" t="n"/>
      <c r="I121" s="55" t="n"/>
      <c r="J121" s="56" t="n"/>
      <c r="K121" s="56" t="n"/>
      <c r="L121" s="34">
        <f>HYPERLINK(Table544[[#This Row],[Column1]])</f>
        <v/>
      </c>
    </row>
    <row r="122" ht="45" customHeight="1" s="290">
      <c r="A122" s="30" t="n"/>
      <c r="B122" s="30" t="n"/>
      <c r="C122" s="30" t="n"/>
      <c r="D122" s="324" t="n"/>
      <c r="E122" s="53" t="n"/>
      <c r="F122" s="54" t="n"/>
      <c r="G122" s="55" t="n"/>
      <c r="H122" s="55" t="n"/>
      <c r="I122" s="55" t="n"/>
      <c r="J122" s="56" t="n"/>
      <c r="K122" s="56" t="n"/>
      <c r="L122" s="34">
        <f>HYPERLINK(Table544[[#This Row],[Column1]])</f>
        <v/>
      </c>
    </row>
    <row r="123" ht="45" customHeight="1" s="290">
      <c r="A123" s="30" t="n"/>
      <c r="B123" s="30" t="n"/>
      <c r="C123" s="30" t="n"/>
      <c r="D123" s="324" t="n"/>
      <c r="E123" s="53" t="n"/>
      <c r="F123" s="54" t="n"/>
      <c r="G123" s="55" t="n"/>
      <c r="H123" s="55" t="n"/>
      <c r="I123" s="55" t="n"/>
      <c r="J123" s="56" t="n"/>
      <c r="K123" s="56" t="n"/>
      <c r="L123" s="34">
        <f>HYPERLINK(Table544[[#This Row],[Column1]])</f>
        <v/>
      </c>
    </row>
    <row r="124" ht="17" customHeight="1" s="290">
      <c r="A124" s="30" t="n"/>
      <c r="B124" s="30" t="n"/>
      <c r="C124" s="30" t="n"/>
      <c r="D124" s="324" t="n"/>
      <c r="E124" s="53" t="n"/>
      <c r="F124" s="54" t="n"/>
      <c r="G124" s="55" t="n"/>
      <c r="H124" s="55" t="n"/>
      <c r="I124" s="55" t="n"/>
      <c r="J124" s="56" t="n"/>
      <c r="K124" s="56" t="n"/>
      <c r="L124" s="34">
        <f>HYPERLINK(Table544[[#This Row],[Column1]])</f>
        <v/>
      </c>
    </row>
    <row r="125" ht="30" customHeight="1" s="290">
      <c r="A125" s="30" t="n"/>
      <c r="B125" s="30" t="n"/>
      <c r="C125" s="30" t="n"/>
      <c r="D125" s="324" t="n"/>
      <c r="E125" s="53" t="n"/>
      <c r="F125" s="54" t="n"/>
      <c r="G125" s="55" t="n"/>
      <c r="H125" s="55" t="n"/>
      <c r="I125" s="55" t="n"/>
      <c r="J125" s="56" t="n"/>
      <c r="K125" s="56" t="n"/>
      <c r="L125" s="34">
        <f>HYPERLINK(Table544[[#This Row],[Column1]])</f>
        <v/>
      </c>
    </row>
    <row r="126" ht="45" customHeight="1" s="290">
      <c r="A126" s="30" t="n"/>
      <c r="B126" s="30" t="n"/>
      <c r="C126" s="30" t="n"/>
      <c r="D126" s="324" t="n"/>
      <c r="E126" s="53" t="n"/>
      <c r="F126" s="54" t="n"/>
      <c r="G126" s="55" t="n"/>
      <c r="H126" s="55" t="n"/>
      <c r="I126" s="55" t="n"/>
      <c r="J126" s="56" t="n"/>
      <c r="K126" s="56" t="n"/>
      <c r="L126" s="34">
        <f>HYPERLINK(Table544[[#This Row],[Column1]])</f>
        <v/>
      </c>
    </row>
    <row r="127" ht="45" customHeight="1" s="290">
      <c r="A127" s="30" t="n"/>
      <c r="B127" s="30" t="n"/>
      <c r="C127" s="30" t="n"/>
      <c r="D127" s="324" t="n"/>
      <c r="E127" s="53" t="n"/>
      <c r="F127" s="54" t="n"/>
      <c r="G127" s="55" t="n"/>
      <c r="H127" s="55" t="n"/>
      <c r="I127" s="55" t="n"/>
      <c r="J127" s="56" t="n"/>
      <c r="K127" s="56" t="n"/>
      <c r="L127" s="34">
        <f>HYPERLINK(Table544[[#This Row],[Column1]])</f>
        <v/>
      </c>
    </row>
    <row r="128" ht="17" customHeight="1" s="290">
      <c r="A128" s="33" t="inlineStr">
        <is>
          <t>Total</t>
        </is>
      </c>
      <c r="B128" s="32" t="n"/>
      <c r="C128" s="325" t="n"/>
      <c r="D128" s="325" t="n"/>
      <c r="E128" s="59">
        <f>SUM(Table544[Estimated 12mo Revenue])</f>
        <v/>
      </c>
      <c r="F128" s="59">
        <f>SUM(Table544[Monthly Rev])</f>
        <v/>
      </c>
      <c r="I128" s="286" t="n"/>
      <c r="J128" s="287" t="n"/>
    </row>
    <row r="131">
      <c r="A131" s="283" t="inlineStr">
        <is>
          <t>Rank by Units</t>
        </is>
      </c>
    </row>
    <row r="132" ht="17" customHeight="1" s="290">
      <c r="A132" s="38" t="inlineStr">
        <is>
          <t>Product Name</t>
        </is>
      </c>
      <c r="B132" s="39" t="inlineStr">
        <is>
          <t>ASIN</t>
        </is>
      </c>
      <c r="C132" s="39" t="inlineStr">
        <is>
          <t>Type</t>
        </is>
      </c>
      <c r="D132" s="322" t="inlineStr">
        <is>
          <t>Avg Price</t>
        </is>
      </c>
      <c r="E132" s="41" t="inlineStr">
        <is>
          <t>Estimated 12mo Revenue</t>
        </is>
      </c>
      <c r="F132" s="39" t="inlineStr">
        <is>
          <t>Monthly Rev</t>
        </is>
      </c>
      <c r="G132" s="42" t="inlineStr">
        <is>
          <t>Estimated 12mo Units</t>
        </is>
      </c>
      <c r="H132" s="45" t="inlineStr">
        <is>
          <t>Monthly Units</t>
        </is>
      </c>
      <c r="I132" s="42" t="inlineStr">
        <is>
          <t># of Reviews</t>
        </is>
      </c>
      <c r="J132" s="43" t="inlineStr">
        <is>
          <t xml:space="preserve">Tool Rating </t>
        </is>
      </c>
      <c r="K132" s="43" t="inlineStr">
        <is>
          <t>Column1</t>
        </is>
      </c>
      <c r="L132" s="323" t="inlineStr">
        <is>
          <t>Link</t>
        </is>
      </c>
    </row>
    <row r="133" ht="45" customHeight="1" s="290">
      <c r="A133" s="30" t="inlineStr">
        <is>
          <t>FIXD Bluetooth OBD2 Scanner for iPhone &amp; Android - Diagnostic Scan Tool for Repairs and Car Buying - Check Engine Code Reader &amp; Enhanced Codes - (1 Pack w/Free 14-Day FIXD Premium Bundle)</t>
        </is>
      </c>
      <c r="B133" s="30" t="inlineStr">
        <is>
          <t>B013RIQMEO</t>
        </is>
      </c>
      <c r="C133" s="30" t="inlineStr">
        <is>
          <t>Dongle</t>
        </is>
      </c>
      <c r="D133" s="324" t="n">
        <v>39.98986600186974</v>
      </c>
      <c r="E133" s="53" t="n">
        <v>3901998.4</v>
      </c>
      <c r="F133" s="53" t="n">
        <v>128327.48</v>
      </c>
      <c r="G133" s="55" t="n">
        <v>97575</v>
      </c>
      <c r="H133" s="57" t="n">
        <v>3209</v>
      </c>
      <c r="I133" s="55" t="n">
        <v>35039</v>
      </c>
      <c r="J133" s="56" t="n">
        <v>4.2</v>
      </c>
      <c r="K133" s="56" t="inlineStr">
        <is>
          <t>https://amazon.com/dp/B013RIQMEO</t>
        </is>
      </c>
      <c r="L133" s="34">
        <f>HYPERLINK(FIXD_1[[#This Row],[Column1]])</f>
        <v/>
      </c>
    </row>
    <row r="134" ht="45" customHeight="1" s="290">
      <c r="A134" s="30" t="inlineStr">
        <is>
          <t>FIXD Bluetooth OBD2 Scanner for iPhone &amp; Android - Diagnostic Scan Tool for Repairs and Car Buying - Check Engine Code Reader &amp; Enhanced Codes - (2 Pack w/Free 14-Day FIXD Premium Bundle)</t>
        </is>
      </c>
      <c r="B134" s="30" t="inlineStr">
        <is>
          <t>B07CFVD2P3</t>
        </is>
      </c>
      <c r="C134" s="30" t="inlineStr">
        <is>
          <t>Dongle</t>
        </is>
      </c>
      <c r="D134" s="324" t="n">
        <v>97.98624688722876</v>
      </c>
      <c r="E134" s="53" t="n">
        <v>1525458.27</v>
      </c>
      <c r="F134" s="53" t="n">
        <v>275439.34</v>
      </c>
      <c r="G134" s="55" t="n">
        <v>17036</v>
      </c>
      <c r="H134" s="57" t="n">
        <v>2811</v>
      </c>
      <c r="I134" s="55" t="n">
        <v>1243</v>
      </c>
      <c r="J134" s="56" t="n">
        <v>4.1</v>
      </c>
      <c r="K134" s="56" t="inlineStr">
        <is>
          <t>https://amazon.com/dp/B07CFVD2P3</t>
        </is>
      </c>
      <c r="L134" s="34">
        <f>HYPERLINK(FIXD_1[[#This Row],[Column1]])</f>
        <v/>
      </c>
    </row>
    <row r="135" ht="45" customHeight="1" s="290">
      <c r="A135" s="30" t="inlineStr">
        <is>
          <t>FIXD Bluetooth OBD2 Scanner for iPhone &amp; Android - Diagnostic Scan Tool for Repairs and Car Buying - Check Engine Code Reader &amp; Enhanced Codes - (3 Pack w/Free 14-Day FIXD Premium Bundle)</t>
        </is>
      </c>
      <c r="B135" s="30" t="inlineStr">
        <is>
          <t>B07C472G5Z</t>
        </is>
      </c>
      <c r="C135" s="30" t="inlineStr">
        <is>
          <t>Dongle</t>
        </is>
      </c>
      <c r="D135" s="324" t="n">
        <v>117.9764947245017</v>
      </c>
      <c r="E135" s="53" t="n">
        <v>611232.586923077</v>
      </c>
      <c r="F135" s="53" t="n">
        <v>100633.95</v>
      </c>
      <c r="G135" s="55" t="n">
        <v>4393</v>
      </c>
      <c r="H135" s="57" t="n">
        <v>853</v>
      </c>
      <c r="I135" s="55" t="n">
        <v>1243</v>
      </c>
      <c r="J135" s="56" t="n">
        <v>4.1</v>
      </c>
      <c r="K135" s="56" t="inlineStr">
        <is>
          <t>https://amazon.com/dp/B07C472G5Z</t>
        </is>
      </c>
      <c r="L135" s="34">
        <f>HYPERLINK(FIXD_1[[#This Row],[Column1]])</f>
        <v/>
      </c>
    </row>
    <row r="136" ht="45" customHeight="1" s="290">
      <c r="A136" s="30" t="n"/>
      <c r="B136" s="30" t="n"/>
      <c r="C136" s="30" t="n"/>
      <c r="D136" s="324" t="n"/>
      <c r="E136" s="53" t="n"/>
      <c r="F136" s="53" t="n"/>
      <c r="G136" s="55" t="n"/>
      <c r="H136" s="57" t="n"/>
      <c r="I136" s="55" t="n"/>
      <c r="J136" s="56" t="n"/>
      <c r="K136" s="56" t="n"/>
      <c r="L136" s="34">
        <f>HYPERLINK(Table65[[#This Row],[Column1]])</f>
        <v/>
      </c>
    </row>
    <row r="137" ht="45" customHeight="1" s="290">
      <c r="A137" s="30" t="n"/>
      <c r="B137" s="30" t="n"/>
      <c r="C137" s="30" t="n"/>
      <c r="D137" s="324" t="n"/>
      <c r="E137" s="53" t="n"/>
      <c r="F137" s="53" t="n"/>
      <c r="G137" s="55" t="n"/>
      <c r="H137" s="57" t="n"/>
      <c r="I137" s="55" t="n"/>
      <c r="J137" s="56" t="n"/>
      <c r="K137" s="56" t="n"/>
      <c r="L137" s="34">
        <f>HYPERLINK(Table65[[#This Row],[Column1]])</f>
        <v/>
      </c>
    </row>
    <row r="138" ht="45" customHeight="1" s="290">
      <c r="A138" s="30" t="n"/>
      <c r="B138" s="30" t="n"/>
      <c r="C138" s="30" t="n"/>
      <c r="D138" s="324" t="n"/>
      <c r="E138" s="53" t="n"/>
      <c r="F138" s="53" t="n"/>
      <c r="G138" s="55" t="n"/>
      <c r="H138" s="57" t="n"/>
      <c r="I138" s="55" t="n"/>
      <c r="J138" s="56" t="n"/>
      <c r="K138" s="56" t="n"/>
      <c r="L138" s="34">
        <f>HYPERLINK(Table65[[#This Row],[Column1]])</f>
        <v/>
      </c>
    </row>
    <row r="139" ht="45" customHeight="1" s="290">
      <c r="A139" s="30" t="n"/>
      <c r="B139" s="30" t="n"/>
      <c r="C139" s="30" t="n"/>
      <c r="D139" s="324" t="n"/>
      <c r="E139" s="53" t="n"/>
      <c r="F139" s="53" t="n"/>
      <c r="G139" s="55" t="n"/>
      <c r="H139" s="57" t="n"/>
      <c r="I139" s="55" t="n"/>
      <c r="J139" s="56" t="n"/>
      <c r="K139" s="56" t="n"/>
      <c r="L139" s="34">
        <f>HYPERLINK(Table65[[#This Row],[Column1]])</f>
        <v/>
      </c>
    </row>
    <row r="140" ht="45" customHeight="1" s="290">
      <c r="A140" s="30" t="n"/>
      <c r="B140" s="30" t="n"/>
      <c r="C140" s="30" t="n"/>
      <c r="D140" s="324" t="n"/>
      <c r="E140" s="53" t="n"/>
      <c r="F140" s="53" t="n"/>
      <c r="G140" s="55" t="n"/>
      <c r="H140" s="57" t="n"/>
      <c r="I140" s="55" t="n"/>
      <c r="J140" s="56" t="n"/>
      <c r="K140" s="56" t="n"/>
      <c r="L140" s="34">
        <f>HYPERLINK(Table65[[#This Row],[Column1]])</f>
        <v/>
      </c>
    </row>
    <row r="141" ht="30" customHeight="1" s="290">
      <c r="A141" s="30" t="n"/>
      <c r="B141" s="30" t="n"/>
      <c r="C141" s="30" t="n"/>
      <c r="D141" s="324" t="n"/>
      <c r="E141" s="53" t="n"/>
      <c r="F141" s="53" t="n"/>
      <c r="G141" s="55" t="n"/>
      <c r="H141" s="57" t="n"/>
      <c r="I141" s="55" t="n"/>
      <c r="J141" s="56" t="n"/>
      <c r="K141" s="56" t="n"/>
      <c r="L141" s="34">
        <f>HYPERLINK(Table65[[#This Row],[Column1]])</f>
        <v/>
      </c>
    </row>
    <row r="142" ht="45" customHeight="1" s="290">
      <c r="A142" s="30" t="n"/>
      <c r="B142" s="30" t="n"/>
      <c r="C142" s="30" t="n"/>
      <c r="D142" s="324" t="n"/>
      <c r="E142" s="53" t="n"/>
      <c r="F142" s="53" t="n"/>
      <c r="G142" s="55" t="n"/>
      <c r="H142" s="57" t="n"/>
      <c r="I142" s="55" t="n"/>
      <c r="J142" s="56" t="n"/>
      <c r="K142" s="56" t="n"/>
      <c r="L142" s="34">
        <f>HYPERLINK(Table65[[#This Row],[Column1]])</f>
        <v/>
      </c>
    </row>
    <row r="143" ht="45" customHeight="1" s="290">
      <c r="A143" s="30" t="n"/>
      <c r="B143" s="30" t="n"/>
      <c r="C143" s="30" t="n"/>
      <c r="D143" s="324" t="n"/>
      <c r="E143" s="53" t="n"/>
      <c r="F143" s="53" t="n"/>
      <c r="G143" s="55" t="n"/>
      <c r="H143" s="57" t="n"/>
      <c r="I143" s="55" t="n"/>
      <c r="J143" s="56" t="n"/>
      <c r="K143" s="56" t="n"/>
      <c r="L143" s="34">
        <f>HYPERLINK(Table65[[#This Row],[Column1]])</f>
        <v/>
      </c>
    </row>
    <row r="144" ht="45" customHeight="1" s="290">
      <c r="A144" s="30" t="n"/>
      <c r="B144" s="30" t="n"/>
      <c r="C144" s="30" t="n"/>
      <c r="D144" s="324" t="n"/>
      <c r="E144" s="53" t="n"/>
      <c r="F144" s="53" t="n"/>
      <c r="G144" s="55" t="n"/>
      <c r="H144" s="57" t="n"/>
      <c r="I144" s="55" t="n"/>
      <c r="J144" s="56" t="n"/>
      <c r="K144" s="56" t="n"/>
      <c r="L144" s="34">
        <f>HYPERLINK(Table65[[#This Row],[Column1]])</f>
        <v/>
      </c>
    </row>
    <row r="145" ht="45" customHeight="1" s="290">
      <c r="A145" s="30" t="n"/>
      <c r="B145" s="30" t="n"/>
      <c r="C145" s="30" t="n"/>
      <c r="D145" s="324" t="n"/>
      <c r="E145" s="53" t="n"/>
      <c r="F145" s="53" t="n"/>
      <c r="G145" s="55" t="n"/>
      <c r="H145" s="57" t="n"/>
      <c r="I145" s="55" t="n"/>
      <c r="J145" s="56" t="n"/>
      <c r="K145" s="56" t="n"/>
      <c r="L145" s="34">
        <f>HYPERLINK(Table65[[#This Row],[Column1]])</f>
        <v/>
      </c>
    </row>
    <row r="146" ht="60" customHeight="1" s="290">
      <c r="A146" s="30" t="n"/>
      <c r="B146" s="30" t="n"/>
      <c r="C146" s="30" t="n"/>
      <c r="D146" s="324" t="n"/>
      <c r="E146" s="53" t="n"/>
      <c r="F146" s="53" t="n"/>
      <c r="G146" s="55" t="n"/>
      <c r="H146" s="57" t="n"/>
      <c r="I146" s="55" t="n"/>
      <c r="J146" s="56" t="n"/>
      <c r="K146" s="56" t="n"/>
      <c r="L146" s="34">
        <f>HYPERLINK(Table65[[#This Row],[Column1]])</f>
        <v/>
      </c>
    </row>
    <row r="147" ht="45" customHeight="1" s="290">
      <c r="A147" s="30" t="n"/>
      <c r="B147" s="30" t="n"/>
      <c r="C147" s="30" t="n"/>
      <c r="D147" s="324" t="n"/>
      <c r="E147" s="53" t="n"/>
      <c r="F147" s="53" t="n"/>
      <c r="G147" s="55" t="n"/>
      <c r="H147" s="57" t="n"/>
      <c r="I147" s="55" t="n"/>
      <c r="J147" s="56" t="n"/>
      <c r="K147" s="56" t="n"/>
      <c r="L147" s="34">
        <f>HYPERLINK(Table65[[#This Row],[Column1]])</f>
        <v/>
      </c>
    </row>
    <row r="148" ht="45" customHeight="1" s="290">
      <c r="A148" s="30" t="n"/>
      <c r="B148" s="30" t="n"/>
      <c r="C148" s="30" t="n"/>
      <c r="D148" s="324" t="n"/>
      <c r="E148" s="53" t="n"/>
      <c r="F148" s="53" t="n"/>
      <c r="G148" s="55" t="n"/>
      <c r="H148" s="57" t="n"/>
      <c r="I148" s="55" t="n"/>
      <c r="J148" s="56" t="n"/>
      <c r="K148" s="56" t="n"/>
      <c r="L148" s="34">
        <f>HYPERLINK(Table65[[#This Row],[Column1]])</f>
        <v/>
      </c>
    </row>
    <row r="149" ht="45" customHeight="1" s="290">
      <c r="A149" s="30" t="n"/>
      <c r="B149" s="30" t="n"/>
      <c r="C149" s="30" t="n"/>
      <c r="D149" s="324" t="n"/>
      <c r="E149" s="53" t="n"/>
      <c r="F149" s="53" t="n"/>
      <c r="G149" s="55" t="n"/>
      <c r="H149" s="57" t="n"/>
      <c r="I149" s="55" t="n"/>
      <c r="J149" s="56" t="n"/>
      <c r="K149" s="56" t="n"/>
      <c r="L149" s="34">
        <f>HYPERLINK(Table65[[#This Row],[Column1]])</f>
        <v/>
      </c>
    </row>
    <row r="150" ht="45" customHeight="1" s="290">
      <c r="A150" s="30" t="n"/>
      <c r="B150" s="30" t="n"/>
      <c r="C150" s="30" t="n"/>
      <c r="D150" s="324" t="n"/>
      <c r="E150" s="53" t="n"/>
      <c r="F150" s="53" t="n"/>
      <c r="G150" s="55" t="n"/>
      <c r="H150" s="57" t="n"/>
      <c r="I150" s="55" t="n"/>
      <c r="J150" s="56" t="n"/>
      <c r="K150" s="56" t="n"/>
      <c r="L150" s="34">
        <f>HYPERLINK(Table65[[#This Row],[Column1]])</f>
        <v/>
      </c>
    </row>
    <row r="151" ht="45" customHeight="1" s="290">
      <c r="A151" s="30" t="n"/>
      <c r="B151" s="30" t="n"/>
      <c r="C151" s="30" t="n"/>
      <c r="D151" s="324" t="n"/>
      <c r="E151" s="53" t="n"/>
      <c r="F151" s="53" t="n"/>
      <c r="G151" s="55" t="n"/>
      <c r="H151" s="57" t="n"/>
      <c r="I151" s="55" t="n"/>
      <c r="J151" s="56" t="n"/>
      <c r="K151" s="56" t="n"/>
      <c r="L151" s="34">
        <f>HYPERLINK(Table65[[#This Row],[Column1]])</f>
        <v/>
      </c>
    </row>
    <row r="152" ht="45" customHeight="1" s="290">
      <c r="A152" s="30" t="n"/>
      <c r="B152" s="30" t="n"/>
      <c r="C152" s="30" t="n"/>
      <c r="D152" s="324" t="n"/>
      <c r="E152" s="53" t="n"/>
      <c r="F152" s="53" t="n"/>
      <c r="G152" s="55" t="n"/>
      <c r="H152" s="57" t="n"/>
      <c r="I152" s="55" t="n"/>
      <c r="J152" s="56" t="n"/>
      <c r="K152" s="56" t="n"/>
      <c r="L152" s="34">
        <f>HYPERLINK(Table65[[#This Row],[Column1]])</f>
        <v/>
      </c>
    </row>
    <row r="153" ht="60" customHeight="1" s="290">
      <c r="A153" s="30" t="n"/>
      <c r="B153" s="30" t="n"/>
      <c r="C153" s="30" t="n"/>
      <c r="D153" s="324" t="n"/>
      <c r="E153" s="53" t="n"/>
      <c r="F153" s="53" t="n"/>
      <c r="G153" s="55" t="n"/>
      <c r="H153" s="57" t="n"/>
      <c r="I153" s="55" t="n"/>
      <c r="J153" s="56" t="n"/>
      <c r="K153" s="56" t="n"/>
      <c r="L153" s="34">
        <f>HYPERLINK(Table65[[#This Row],[Column1]])</f>
        <v/>
      </c>
    </row>
    <row r="154" ht="45" customHeight="1" s="290">
      <c r="A154" s="30" t="n"/>
      <c r="B154" s="30" t="n"/>
      <c r="C154" s="30" t="n"/>
      <c r="D154" s="324" t="n"/>
      <c r="E154" s="53" t="n"/>
      <c r="F154" s="53" t="n"/>
      <c r="G154" s="55" t="n"/>
      <c r="H154" s="57" t="n"/>
      <c r="I154" s="55" t="n"/>
      <c r="J154" s="56" t="n"/>
      <c r="K154" s="56" t="n"/>
      <c r="L154" s="34">
        <f>HYPERLINK(Table65[[#This Row],[Column1]])</f>
        <v/>
      </c>
    </row>
    <row r="155" ht="45" customHeight="1" s="290">
      <c r="A155" s="30" t="n"/>
      <c r="B155" s="30" t="n"/>
      <c r="C155" s="30" t="n"/>
      <c r="D155" s="324" t="n"/>
      <c r="E155" s="53" t="n"/>
      <c r="F155" s="53" t="n"/>
      <c r="G155" s="55" t="n"/>
      <c r="H155" s="57" t="n"/>
      <c r="I155" s="55" t="n"/>
      <c r="J155" s="56" t="n"/>
      <c r="K155" s="56" t="n"/>
      <c r="L155" s="34">
        <f>HYPERLINK(Table65[[#This Row],[Column1]])</f>
        <v/>
      </c>
    </row>
    <row r="156" ht="45" customHeight="1" s="290">
      <c r="A156" s="30" t="n"/>
      <c r="B156" s="30" t="n"/>
      <c r="C156" s="30" t="n"/>
      <c r="D156" s="324" t="n"/>
      <c r="E156" s="53" t="n"/>
      <c r="F156" s="53" t="n"/>
      <c r="G156" s="55" t="n"/>
      <c r="H156" s="57" t="n"/>
      <c r="I156" s="55" t="n"/>
      <c r="J156" s="56" t="n"/>
      <c r="K156" s="56" t="n"/>
      <c r="L156" s="34">
        <f>HYPERLINK(Table65[[#This Row],[Column1]])</f>
        <v/>
      </c>
    </row>
    <row r="157" ht="45" customHeight="1" s="290">
      <c r="A157" s="30" t="n"/>
      <c r="B157" s="30" t="n"/>
      <c r="C157" s="30" t="n"/>
      <c r="D157" s="324" t="n"/>
      <c r="E157" s="53" t="n"/>
      <c r="F157" s="53" t="n"/>
      <c r="G157" s="55" t="n"/>
      <c r="H157" s="57" t="n"/>
      <c r="I157" s="55" t="n"/>
      <c r="J157" s="56" t="n"/>
      <c r="K157" s="56" t="n"/>
      <c r="L157" s="34">
        <f>HYPERLINK(Table65[[#This Row],[Column1]])</f>
        <v/>
      </c>
    </row>
    <row r="158" ht="45" customHeight="1" s="290">
      <c r="A158" s="30" t="n"/>
      <c r="B158" s="30" t="n"/>
      <c r="C158" s="30" t="n"/>
      <c r="D158" s="324" t="n"/>
      <c r="E158" s="53" t="n"/>
      <c r="F158" s="53" t="n"/>
      <c r="G158" s="55" t="n"/>
      <c r="H158" s="57" t="n"/>
      <c r="I158" s="55" t="n"/>
      <c r="J158" s="56" t="n"/>
      <c r="K158" s="56" t="n"/>
      <c r="L158" s="34">
        <f>HYPERLINK(Table65[[#This Row],[Column1]])</f>
        <v/>
      </c>
    </row>
    <row r="159" ht="45" customHeight="1" s="290">
      <c r="A159" s="30" t="n"/>
      <c r="B159" s="30" t="n"/>
      <c r="C159" s="30" t="n"/>
      <c r="D159" s="324" t="n"/>
      <c r="E159" s="53" t="n"/>
      <c r="F159" s="53" t="n"/>
      <c r="G159" s="55" t="n"/>
      <c r="H159" s="57" t="n"/>
      <c r="I159" s="55" t="n"/>
      <c r="J159" s="56" t="n"/>
      <c r="K159" s="56" t="n"/>
      <c r="L159" s="34">
        <f>HYPERLINK(Table65[[#This Row],[Column1]])</f>
        <v/>
      </c>
    </row>
    <row r="160" ht="45" customHeight="1" s="290">
      <c r="A160" s="30" t="n"/>
      <c r="B160" s="30" t="n"/>
      <c r="C160" s="30" t="n"/>
      <c r="D160" s="324" t="n"/>
      <c r="E160" s="53" t="n"/>
      <c r="F160" s="53" t="n"/>
      <c r="G160" s="55" t="n"/>
      <c r="H160" s="57" t="n"/>
      <c r="I160" s="55" t="n"/>
      <c r="J160" s="56" t="n"/>
      <c r="K160" s="56" t="n"/>
      <c r="L160" s="34">
        <f>HYPERLINK(Table65[[#This Row],[Column1]])</f>
        <v/>
      </c>
    </row>
    <row r="161" ht="60" customHeight="1" s="290">
      <c r="A161" s="30" t="n"/>
      <c r="B161" s="30" t="n"/>
      <c r="C161" s="30" t="n"/>
      <c r="D161" s="324" t="n"/>
      <c r="E161" s="53" t="n"/>
      <c r="F161" s="53" t="n"/>
      <c r="G161" s="55" t="n"/>
      <c r="H161" s="57" t="n"/>
      <c r="I161" s="55" t="n"/>
      <c r="J161" s="56" t="n"/>
      <c r="K161" s="56" t="n"/>
      <c r="L161" s="34">
        <f>HYPERLINK(Table65[[#This Row],[Column1]])</f>
        <v/>
      </c>
    </row>
    <row r="162" ht="45" customHeight="1" s="290">
      <c r="A162" s="30" t="n"/>
      <c r="B162" s="30" t="n"/>
      <c r="C162" s="30" t="n"/>
      <c r="D162" s="324" t="n"/>
      <c r="E162" s="53" t="n"/>
      <c r="F162" s="53" t="n"/>
      <c r="G162" s="55" t="n"/>
      <c r="H162" s="57" t="n"/>
      <c r="I162" s="55" t="n"/>
      <c r="J162" s="56" t="n"/>
      <c r="K162" s="56" t="n"/>
      <c r="L162" s="34">
        <f>HYPERLINK(Table65[[#This Row],[Column1]])</f>
        <v/>
      </c>
    </row>
    <row r="163" ht="45" customHeight="1" s="290">
      <c r="A163" s="30" t="n"/>
      <c r="B163" s="30" t="n"/>
      <c r="C163" s="30" t="n"/>
      <c r="D163" s="324" t="n"/>
      <c r="E163" s="53" t="n"/>
      <c r="F163" s="53" t="n"/>
      <c r="G163" s="55" t="n"/>
      <c r="H163" s="57" t="n"/>
      <c r="I163" s="55" t="n"/>
      <c r="J163" s="56" t="n"/>
      <c r="K163" s="56" t="n"/>
      <c r="L163" s="34">
        <f>HYPERLINK(Table65[[#This Row],[Column1]])</f>
        <v/>
      </c>
    </row>
    <row r="164" ht="45" customHeight="1" s="290">
      <c r="A164" s="30" t="n"/>
      <c r="B164" s="30" t="n"/>
      <c r="C164" s="30" t="n"/>
      <c r="D164" s="324" t="n"/>
      <c r="E164" s="53" t="n"/>
      <c r="F164" s="53" t="n"/>
      <c r="G164" s="55" t="n"/>
      <c r="H164" s="57" t="n"/>
      <c r="I164" s="55" t="n"/>
      <c r="J164" s="56" t="n"/>
      <c r="K164" s="56" t="n"/>
      <c r="L164" s="34">
        <f>HYPERLINK(Table65[[#This Row],[Column1]])</f>
        <v/>
      </c>
    </row>
    <row r="165" ht="45" customHeight="1" s="290">
      <c r="A165" s="30" t="n"/>
      <c r="B165" s="30" t="n"/>
      <c r="C165" s="30" t="n"/>
      <c r="D165" s="324" t="n"/>
      <c r="E165" s="53" t="n"/>
      <c r="F165" s="53" t="n"/>
      <c r="G165" s="55" t="n"/>
      <c r="H165" s="57" t="n"/>
      <c r="I165" s="55" t="n"/>
      <c r="J165" s="56" t="n"/>
      <c r="K165" s="56" t="n"/>
      <c r="L165" s="34">
        <f>HYPERLINK(Table65[[#This Row],[Column1]])</f>
        <v/>
      </c>
    </row>
    <row r="166" ht="45" customHeight="1" s="290">
      <c r="A166" s="30" t="n"/>
      <c r="B166" s="30" t="n"/>
      <c r="C166" s="30" t="n"/>
      <c r="D166" s="324" t="n"/>
      <c r="E166" s="53" t="n"/>
      <c r="F166" s="53" t="n"/>
      <c r="G166" s="55" t="n"/>
      <c r="H166" s="57" t="n"/>
      <c r="I166" s="55" t="n"/>
      <c r="J166" s="56" t="n"/>
      <c r="K166" s="56" t="n"/>
      <c r="L166" s="34">
        <f>HYPERLINK(Table65[[#This Row],[Column1]])</f>
        <v/>
      </c>
    </row>
    <row r="167" ht="45" customHeight="1" s="290">
      <c r="A167" s="30" t="n"/>
      <c r="B167" s="30" t="n"/>
      <c r="C167" s="30" t="n"/>
      <c r="D167" s="324" t="n"/>
      <c r="E167" s="53" t="n"/>
      <c r="F167" s="53" t="n"/>
      <c r="G167" s="55" t="n"/>
      <c r="H167" s="57" t="n"/>
      <c r="I167" s="55" t="n"/>
      <c r="J167" s="56" t="n"/>
      <c r="K167" s="56" t="n"/>
      <c r="L167" s="34">
        <f>HYPERLINK(Table65[[#This Row],[Column1]])</f>
        <v/>
      </c>
    </row>
    <row r="168" ht="45" customHeight="1" s="290">
      <c r="A168" s="30" t="n"/>
      <c r="B168" s="30" t="n"/>
      <c r="C168" s="30" t="n"/>
      <c r="D168" s="324" t="n"/>
      <c r="E168" s="53" t="n"/>
      <c r="F168" s="53" t="n"/>
      <c r="G168" s="55" t="n"/>
      <c r="H168" s="57" t="n"/>
      <c r="I168" s="55" t="n"/>
      <c r="J168" s="56" t="n"/>
      <c r="K168" s="56" t="n"/>
      <c r="L168" s="34">
        <f>HYPERLINK(Table65[[#This Row],[Column1]])</f>
        <v/>
      </c>
    </row>
    <row r="169" ht="45" customHeight="1" s="290">
      <c r="A169" s="30" t="n"/>
      <c r="B169" s="30" t="n"/>
      <c r="C169" s="30" t="n"/>
      <c r="D169" s="324" t="n"/>
      <c r="E169" s="53" t="n"/>
      <c r="F169" s="53" t="n"/>
      <c r="G169" s="55" t="n"/>
      <c r="H169" s="57" t="n"/>
      <c r="I169" s="55" t="n"/>
      <c r="J169" s="56" t="n"/>
      <c r="K169" s="56" t="n"/>
      <c r="L169" s="34">
        <f>HYPERLINK(Table65[[#This Row],[Column1]])</f>
        <v/>
      </c>
    </row>
    <row r="170" ht="30" customHeight="1" s="290">
      <c r="A170" s="30" t="n"/>
      <c r="B170" s="30" t="n"/>
      <c r="C170" s="30" t="n"/>
      <c r="D170" s="324" t="n"/>
      <c r="E170" s="53" t="n"/>
      <c r="F170" s="53" t="n"/>
      <c r="G170" s="55" t="n"/>
      <c r="H170" s="57" t="n"/>
      <c r="I170" s="55" t="n"/>
      <c r="J170" s="56" t="n"/>
      <c r="K170" s="56" t="n"/>
      <c r="L170" s="34">
        <f>HYPERLINK(Table65[[#This Row],[Column1]])</f>
        <v/>
      </c>
    </row>
    <row r="171" ht="45" customHeight="1" s="290">
      <c r="A171" s="30" t="n"/>
      <c r="B171" s="30" t="n"/>
      <c r="C171" s="30" t="n"/>
      <c r="D171" s="324" t="n"/>
      <c r="E171" s="53" t="n"/>
      <c r="F171" s="53" t="n"/>
      <c r="G171" s="55" t="n"/>
      <c r="H171" s="57" t="n"/>
      <c r="I171" s="55" t="n"/>
      <c r="J171" s="56" t="n"/>
      <c r="K171" s="56" t="n"/>
      <c r="L171" s="34">
        <f>HYPERLINK(Table65[[#This Row],[Column1]])</f>
        <v/>
      </c>
    </row>
    <row r="172" ht="45" customHeight="1" s="290">
      <c r="A172" s="30" t="n"/>
      <c r="B172" s="30" t="n"/>
      <c r="C172" s="30" t="n"/>
      <c r="D172" s="324" t="n"/>
      <c r="E172" s="53" t="n"/>
      <c r="F172" s="53" t="n"/>
      <c r="G172" s="55" t="n"/>
      <c r="H172" s="57" t="n"/>
      <c r="I172" s="55" t="n"/>
      <c r="J172" s="56" t="n"/>
      <c r="K172" s="56" t="n"/>
      <c r="L172" s="34">
        <f>HYPERLINK(Table65[[#This Row],[Column1]])</f>
        <v/>
      </c>
    </row>
    <row r="173" ht="45" customHeight="1" s="290">
      <c r="A173" s="30" t="n"/>
      <c r="B173" s="30" t="n"/>
      <c r="C173" s="30" t="n"/>
      <c r="D173" s="324" t="n"/>
      <c r="E173" s="53" t="n"/>
      <c r="F173" s="53" t="n"/>
      <c r="G173" s="55" t="n"/>
      <c r="H173" s="57" t="n"/>
      <c r="I173" s="55" t="n"/>
      <c r="J173" s="56" t="n"/>
      <c r="K173" s="56" t="n"/>
      <c r="L173" s="34">
        <f>HYPERLINK(Table65[[#This Row],[Column1]])</f>
        <v/>
      </c>
    </row>
    <row r="174" ht="45" customHeight="1" s="290">
      <c r="A174" s="30" t="n"/>
      <c r="B174" s="30" t="n"/>
      <c r="C174" s="30" t="n"/>
      <c r="D174" s="324" t="n"/>
      <c r="E174" s="53" t="n"/>
      <c r="F174" s="53" t="n"/>
      <c r="G174" s="55" t="n"/>
      <c r="H174" s="57" t="n"/>
      <c r="I174" s="55" t="n"/>
      <c r="J174" s="56" t="n"/>
      <c r="K174" s="56" t="n"/>
      <c r="L174" s="34">
        <f>HYPERLINK(Table65[[#This Row],[Column1]])</f>
        <v/>
      </c>
    </row>
    <row r="175" ht="45" customHeight="1" s="290">
      <c r="A175" s="30" t="n"/>
      <c r="B175" s="30" t="n"/>
      <c r="C175" s="30" t="n"/>
      <c r="D175" s="324" t="n"/>
      <c r="E175" s="53" t="n"/>
      <c r="F175" s="53" t="n"/>
      <c r="G175" s="55" t="n"/>
      <c r="H175" s="57" t="n"/>
      <c r="I175" s="55" t="n"/>
      <c r="J175" s="56" t="n"/>
      <c r="K175" s="56" t="n"/>
      <c r="L175" s="34">
        <f>HYPERLINK(Table65[[#This Row],[Column1]])</f>
        <v/>
      </c>
    </row>
    <row r="176" ht="60" customHeight="1" s="290">
      <c r="A176" s="30" t="n"/>
      <c r="B176" s="30" t="n"/>
      <c r="C176" s="30" t="n"/>
      <c r="D176" s="324" t="n"/>
      <c r="E176" s="53" t="n"/>
      <c r="F176" s="53" t="n"/>
      <c r="G176" s="55" t="n"/>
      <c r="H176" s="57" t="n"/>
      <c r="I176" s="55" t="n"/>
      <c r="J176" s="56" t="n"/>
      <c r="K176" s="56" t="n"/>
      <c r="L176" s="34">
        <f>HYPERLINK(Table65[[#This Row],[Column1]])</f>
        <v/>
      </c>
    </row>
    <row r="177" ht="45" customHeight="1" s="290">
      <c r="A177" s="30" t="n"/>
      <c r="B177" s="30" t="n"/>
      <c r="C177" s="30" t="n"/>
      <c r="D177" s="324" t="n"/>
      <c r="E177" s="53" t="n"/>
      <c r="F177" s="53" t="n"/>
      <c r="G177" s="55" t="n"/>
      <c r="H177" s="57" t="n"/>
      <c r="I177" s="55" t="n"/>
      <c r="J177" s="56" t="n"/>
      <c r="K177" s="56" t="n"/>
      <c r="L177" s="34">
        <f>HYPERLINK(Table65[[#This Row],[Column1]])</f>
        <v/>
      </c>
    </row>
    <row r="178" ht="45" customHeight="1" s="290">
      <c r="A178" s="30" t="n"/>
      <c r="B178" s="30" t="n"/>
      <c r="C178" s="30" t="n"/>
      <c r="D178" s="324" t="n"/>
      <c r="E178" s="53" t="n"/>
      <c r="F178" s="53" t="n"/>
      <c r="G178" s="55" t="n"/>
      <c r="H178" s="57" t="n"/>
      <c r="I178" s="55" t="n"/>
      <c r="J178" s="56" t="n"/>
      <c r="K178" s="56" t="n"/>
      <c r="L178" s="34">
        <f>HYPERLINK(Table65[[#This Row],[Column1]])</f>
        <v/>
      </c>
    </row>
    <row r="179" ht="30" customHeight="1" s="290">
      <c r="A179" s="30" t="n"/>
      <c r="B179" s="30" t="n"/>
      <c r="C179" s="30" t="n"/>
      <c r="D179" s="324" t="n"/>
      <c r="E179" s="53" t="n"/>
      <c r="F179" s="53" t="n"/>
      <c r="G179" s="55" t="n"/>
      <c r="H179" s="57" t="n"/>
      <c r="I179" s="55" t="n"/>
      <c r="J179" s="56" t="n"/>
      <c r="K179" s="56" t="n"/>
      <c r="L179" s="34">
        <f>HYPERLINK(Table65[[#This Row],[Column1]])</f>
        <v/>
      </c>
    </row>
    <row r="180" ht="45" customHeight="1" s="290">
      <c r="A180" s="30" t="n"/>
      <c r="B180" s="30" t="n"/>
      <c r="C180" s="30" t="n"/>
      <c r="D180" s="324" t="n"/>
      <c r="E180" s="53" t="n"/>
      <c r="F180" s="53" t="n"/>
      <c r="G180" s="55" t="n"/>
      <c r="H180" s="57" t="n"/>
      <c r="I180" s="55" t="n"/>
      <c r="J180" s="56" t="n"/>
      <c r="K180" s="56" t="n"/>
      <c r="L180" s="34">
        <f>HYPERLINK(Table65[[#This Row],[Column1]])</f>
        <v/>
      </c>
    </row>
    <row r="181" ht="45" customHeight="1" s="290">
      <c r="A181" s="30" t="n"/>
      <c r="B181" s="30" t="n"/>
      <c r="C181" s="30" t="n"/>
      <c r="D181" s="324" t="n"/>
      <c r="E181" s="53" t="n"/>
      <c r="F181" s="53" t="n"/>
      <c r="G181" s="55" t="n"/>
      <c r="H181" s="57" t="n"/>
      <c r="I181" s="55" t="n"/>
      <c r="J181" s="56" t="n"/>
      <c r="K181" s="56" t="n"/>
      <c r="L181" s="34">
        <f>HYPERLINK(Table65[[#This Row],[Column1]])</f>
        <v/>
      </c>
    </row>
    <row r="182" ht="45" customHeight="1" s="290">
      <c r="A182" s="30" t="n"/>
      <c r="B182" s="30" t="n"/>
      <c r="C182" s="30" t="n"/>
      <c r="D182" s="324" t="n"/>
      <c r="E182" s="53" t="n"/>
      <c r="F182" s="53" t="n"/>
      <c r="G182" s="55" t="n"/>
      <c r="H182" s="57" t="n"/>
      <c r="I182" s="55" t="n"/>
      <c r="J182" s="56" t="n"/>
      <c r="K182" s="56" t="n"/>
      <c r="L182" s="34">
        <f>HYPERLINK(Table65[[#This Row],[Column1]])</f>
        <v/>
      </c>
    </row>
    <row r="183" ht="45" customHeight="1" s="290">
      <c r="A183" s="30" t="n"/>
      <c r="B183" s="30" t="n"/>
      <c r="C183" s="30" t="n"/>
      <c r="D183" s="324" t="n"/>
      <c r="E183" s="53" t="n"/>
      <c r="F183" s="53" t="n"/>
      <c r="G183" s="55" t="n"/>
      <c r="H183" s="57" t="n"/>
      <c r="I183" s="55" t="n"/>
      <c r="J183" s="56" t="n"/>
      <c r="K183" s="56" t="n"/>
      <c r="L183" s="34">
        <f>HYPERLINK(Table65[[#This Row],[Column1]])</f>
        <v/>
      </c>
    </row>
    <row r="184" ht="45" customHeight="1" s="290">
      <c r="A184" s="30" t="n"/>
      <c r="B184" s="30" t="n"/>
      <c r="C184" s="30" t="n"/>
      <c r="D184" s="324" t="n"/>
      <c r="E184" s="53" t="n"/>
      <c r="F184" s="53" t="n"/>
      <c r="G184" s="55" t="n"/>
      <c r="H184" s="57" t="n"/>
      <c r="I184" s="55" t="n"/>
      <c r="J184" s="56" t="n"/>
      <c r="K184" s="56" t="n"/>
      <c r="L184" s="34">
        <f>HYPERLINK(Table65[[#This Row],[Column1]])</f>
        <v/>
      </c>
    </row>
    <row r="185" ht="45" customHeight="1" s="290">
      <c r="A185" s="30" t="n"/>
      <c r="B185" s="30" t="n"/>
      <c r="C185" s="30" t="n"/>
      <c r="D185" s="324" t="n"/>
      <c r="E185" s="53" t="n"/>
      <c r="F185" s="53" t="n"/>
      <c r="G185" s="55" t="n"/>
      <c r="H185" s="57" t="n"/>
      <c r="I185" s="55" t="n"/>
      <c r="J185" s="56" t="n"/>
      <c r="K185" s="56" t="n"/>
      <c r="L185" s="34">
        <f>HYPERLINK(Table65[[#This Row],[Column1]])</f>
        <v/>
      </c>
    </row>
    <row r="186" ht="60" customHeight="1" s="290">
      <c r="A186" s="30" t="n"/>
      <c r="B186" s="30" t="n"/>
      <c r="C186" s="30" t="n"/>
      <c r="D186" s="324" t="n"/>
      <c r="E186" s="53" t="n"/>
      <c r="F186" s="53" t="n"/>
      <c r="G186" s="55" t="n"/>
      <c r="H186" s="57" t="n"/>
      <c r="I186" s="55" t="n"/>
      <c r="J186" s="56" t="n"/>
      <c r="K186" s="56" t="n"/>
      <c r="L186" s="34">
        <f>HYPERLINK(Table65[[#This Row],[Column1]])</f>
        <v/>
      </c>
    </row>
    <row r="187" ht="45" customHeight="1" s="290">
      <c r="A187" s="30" t="n"/>
      <c r="B187" s="30" t="n"/>
      <c r="C187" s="30" t="n"/>
      <c r="D187" s="324" t="n"/>
      <c r="E187" s="53" t="n"/>
      <c r="F187" s="53" t="n"/>
      <c r="G187" s="55" t="n"/>
      <c r="H187" s="57" t="n"/>
      <c r="I187" s="55" t="n"/>
      <c r="J187" s="56" t="n"/>
      <c r="K187" s="56" t="n"/>
      <c r="L187" s="34">
        <f>HYPERLINK(Table65[[#This Row],[Column1]])</f>
        <v/>
      </c>
    </row>
    <row r="188" ht="45" customHeight="1" s="290">
      <c r="A188" s="30" t="n"/>
      <c r="B188" s="30" t="n"/>
      <c r="C188" s="30" t="n"/>
      <c r="D188" s="324" t="n"/>
      <c r="E188" s="53" t="n"/>
      <c r="F188" s="53" t="n"/>
      <c r="G188" s="55" t="n"/>
      <c r="H188" s="57" t="n"/>
      <c r="I188" s="55" t="n"/>
      <c r="J188" s="56" t="n"/>
      <c r="K188" s="56" t="n"/>
      <c r="L188" s="34">
        <f>HYPERLINK(Table65[[#This Row],[Column1]])</f>
        <v/>
      </c>
    </row>
    <row r="189" ht="45" customHeight="1" s="290">
      <c r="A189" s="30" t="n"/>
      <c r="B189" s="30" t="n"/>
      <c r="C189" s="30" t="n"/>
      <c r="D189" s="324" t="n"/>
      <c r="E189" s="53" t="n"/>
      <c r="F189" s="53" t="n"/>
      <c r="G189" s="55" t="n"/>
      <c r="H189" s="57" t="n"/>
      <c r="I189" s="55" t="n"/>
      <c r="J189" s="56" t="n"/>
      <c r="K189" s="56" t="n"/>
      <c r="L189" s="34">
        <f>HYPERLINK(Table65[[#This Row],[Column1]])</f>
        <v/>
      </c>
    </row>
    <row r="190" ht="60" customHeight="1" s="290">
      <c r="A190" s="30" t="n"/>
      <c r="B190" s="30" t="n"/>
      <c r="C190" s="30" t="n"/>
      <c r="D190" s="324" t="n"/>
      <c r="E190" s="53" t="n"/>
      <c r="F190" s="53" t="n"/>
      <c r="G190" s="55" t="n"/>
      <c r="H190" s="57" t="n"/>
      <c r="I190" s="55" t="n"/>
      <c r="J190" s="56" t="n"/>
      <c r="K190" s="56" t="n"/>
      <c r="L190" s="34">
        <f>HYPERLINK(Table65[[#This Row],[Column1]])</f>
        <v/>
      </c>
    </row>
    <row r="191" ht="45" customHeight="1" s="290">
      <c r="A191" s="30" t="n"/>
      <c r="B191" s="30" t="n"/>
      <c r="C191" s="30" t="n"/>
      <c r="D191" s="324" t="n"/>
      <c r="E191" s="53" t="n"/>
      <c r="F191" s="53" t="n"/>
      <c r="G191" s="55" t="n"/>
      <c r="H191" s="57" t="n"/>
      <c r="I191" s="55" t="n"/>
      <c r="J191" s="56" t="n"/>
      <c r="K191" s="56" t="n"/>
      <c r="L191" s="34">
        <f>HYPERLINK(Table65[[#This Row],[Column1]])</f>
        <v/>
      </c>
    </row>
    <row r="192" ht="45" customHeight="1" s="290">
      <c r="A192" s="30" t="n"/>
      <c r="B192" s="30" t="n"/>
      <c r="C192" s="30" t="n"/>
      <c r="D192" s="324" t="n"/>
      <c r="E192" s="53" t="n"/>
      <c r="F192" s="53" t="n"/>
      <c r="G192" s="55" t="n"/>
      <c r="H192" s="57" t="n"/>
      <c r="I192" s="55" t="n"/>
      <c r="J192" s="56" t="n"/>
      <c r="K192" s="56" t="n"/>
      <c r="L192" s="34">
        <f>HYPERLINK(Table65[[#This Row],[Column1]])</f>
        <v/>
      </c>
    </row>
    <row r="193" ht="60" customHeight="1" s="290">
      <c r="A193" s="30" t="n"/>
      <c r="B193" s="30" t="n"/>
      <c r="C193" s="30" t="n"/>
      <c r="D193" s="324" t="n"/>
      <c r="E193" s="53" t="n"/>
      <c r="F193" s="53" t="n"/>
      <c r="G193" s="55" t="n"/>
      <c r="H193" s="57" t="n"/>
      <c r="I193" s="55" t="n"/>
      <c r="J193" s="56" t="n"/>
      <c r="K193" s="56" t="n"/>
      <c r="L193" s="34">
        <f>HYPERLINK(Table65[[#This Row],[Column1]])</f>
        <v/>
      </c>
    </row>
    <row r="194" ht="45" customHeight="1" s="290">
      <c r="A194" s="30" t="n"/>
      <c r="B194" s="30" t="n"/>
      <c r="C194" s="30" t="n"/>
      <c r="D194" s="324" t="n"/>
      <c r="E194" s="53" t="n"/>
      <c r="F194" s="53" t="n"/>
      <c r="G194" s="55" t="n"/>
      <c r="H194" s="57" t="n"/>
      <c r="I194" s="55" t="n"/>
      <c r="J194" s="56" t="n"/>
      <c r="K194" s="56" t="n"/>
      <c r="L194" s="34">
        <f>HYPERLINK(Table65[[#This Row],[Column1]])</f>
        <v/>
      </c>
    </row>
    <row r="195" ht="45" customHeight="1" s="290">
      <c r="A195" s="30" t="n"/>
      <c r="B195" s="30" t="n"/>
      <c r="C195" s="30" t="n"/>
      <c r="D195" s="324" t="n"/>
      <c r="E195" s="53" t="n"/>
      <c r="F195" s="53" t="n"/>
      <c r="G195" s="55" t="n"/>
      <c r="H195" s="57" t="n"/>
      <c r="I195" s="55" t="n"/>
      <c r="J195" s="56" t="n"/>
      <c r="K195" s="56" t="n"/>
      <c r="L195" s="34">
        <f>HYPERLINK(Table65[[#This Row],[Column1]])</f>
        <v/>
      </c>
    </row>
    <row r="196" ht="45" customHeight="1" s="290">
      <c r="A196" s="30" t="n"/>
      <c r="B196" s="30" t="n"/>
      <c r="C196" s="30" t="n"/>
      <c r="D196" s="324" t="n"/>
      <c r="E196" s="53" t="n"/>
      <c r="F196" s="53" t="n"/>
      <c r="G196" s="55" t="n"/>
      <c r="H196" s="57" t="n"/>
      <c r="I196" s="55" t="n"/>
      <c r="J196" s="56" t="n"/>
      <c r="K196" s="56" t="n"/>
      <c r="L196" s="34">
        <f>HYPERLINK(Table65[[#This Row],[Column1]])</f>
        <v/>
      </c>
    </row>
    <row r="197" ht="45" customHeight="1" s="290">
      <c r="A197" s="30" t="n"/>
      <c r="B197" s="30" t="n"/>
      <c r="C197" s="30" t="n"/>
      <c r="D197" s="324" t="n"/>
      <c r="E197" s="53" t="n"/>
      <c r="F197" s="53" t="n"/>
      <c r="G197" s="55" t="n"/>
      <c r="H197" s="57" t="n"/>
      <c r="I197" s="55" t="n"/>
      <c r="J197" s="56" t="n"/>
      <c r="K197" s="56" t="n"/>
      <c r="L197" s="34">
        <f>HYPERLINK(Table65[[#This Row],[Column1]])</f>
        <v/>
      </c>
    </row>
    <row r="198" ht="45" customHeight="1" s="290">
      <c r="A198" s="30" t="n"/>
      <c r="B198" s="30" t="n"/>
      <c r="C198" s="30" t="n"/>
      <c r="D198" s="324" t="n"/>
      <c r="E198" s="53" t="n"/>
      <c r="F198" s="53" t="n"/>
      <c r="G198" s="55" t="n"/>
      <c r="H198" s="57" t="n"/>
      <c r="I198" s="55" t="n"/>
      <c r="J198" s="56" t="n"/>
      <c r="K198" s="56" t="n"/>
      <c r="L198" s="34">
        <f>HYPERLINK(Table65[[#This Row],[Column1]])</f>
        <v/>
      </c>
    </row>
    <row r="199" ht="45" customHeight="1" s="290">
      <c r="A199" s="30" t="n"/>
      <c r="B199" s="30" t="n"/>
      <c r="C199" s="30" t="n"/>
      <c r="D199" s="324" t="n"/>
      <c r="E199" s="53" t="n"/>
      <c r="F199" s="53" t="n"/>
      <c r="G199" s="55" t="n"/>
      <c r="H199" s="57" t="n"/>
      <c r="I199" s="55" t="n"/>
      <c r="J199" s="56" t="n"/>
      <c r="K199" s="56" t="n"/>
      <c r="L199" s="34">
        <f>HYPERLINK(Table65[[#This Row],[Column1]])</f>
        <v/>
      </c>
    </row>
    <row r="200" ht="45" customHeight="1" s="290">
      <c r="A200" s="30" t="n"/>
      <c r="B200" s="30" t="n"/>
      <c r="C200" s="30" t="n"/>
      <c r="D200" s="324" t="n"/>
      <c r="E200" s="53" t="n"/>
      <c r="F200" s="53" t="n"/>
      <c r="G200" s="55" t="n"/>
      <c r="H200" s="57" t="n"/>
      <c r="I200" s="55" t="n"/>
      <c r="J200" s="56" t="n"/>
      <c r="K200" s="56" t="n"/>
      <c r="L200" s="34">
        <f>HYPERLINK(Table65[[#This Row],[Column1]])</f>
        <v/>
      </c>
    </row>
    <row r="201" ht="45" customHeight="1" s="290">
      <c r="A201" s="30" t="n"/>
      <c r="B201" s="30" t="n"/>
      <c r="C201" s="30" t="n"/>
      <c r="D201" s="324" t="n"/>
      <c r="E201" s="53" t="n"/>
      <c r="F201" s="53" t="n"/>
      <c r="G201" s="55" t="n"/>
      <c r="H201" s="57" t="n"/>
      <c r="I201" s="55" t="n"/>
      <c r="J201" s="56" t="n"/>
      <c r="K201" s="56" t="n"/>
      <c r="L201" s="34">
        <f>HYPERLINK(Table65[[#This Row],[Column1]])</f>
        <v/>
      </c>
    </row>
    <row r="202" ht="45" customHeight="1" s="290">
      <c r="A202" s="30" t="n"/>
      <c r="B202" s="30" t="n"/>
      <c r="C202" s="30" t="n"/>
      <c r="D202" s="324" t="n"/>
      <c r="E202" s="53" t="n"/>
      <c r="F202" s="53" t="n"/>
      <c r="G202" s="55" t="n"/>
      <c r="H202" s="57" t="n"/>
      <c r="I202" s="55" t="n"/>
      <c r="J202" s="56" t="n"/>
      <c r="K202" s="56" t="n"/>
      <c r="L202" s="34">
        <f>HYPERLINK(Table65[[#This Row],[Column1]])</f>
        <v/>
      </c>
    </row>
    <row r="203" ht="45" customHeight="1" s="290">
      <c r="A203" s="30" t="n"/>
      <c r="B203" s="30" t="n"/>
      <c r="C203" s="30" t="n"/>
      <c r="D203" s="324" t="n"/>
      <c r="E203" s="53" t="n"/>
      <c r="F203" s="53" t="n"/>
      <c r="G203" s="55" t="n"/>
      <c r="H203" s="57" t="n"/>
      <c r="I203" s="55" t="n"/>
      <c r="J203" s="56" t="n"/>
      <c r="K203" s="56" t="n"/>
      <c r="L203" s="34">
        <f>HYPERLINK(Table65[[#This Row],[Column1]])</f>
        <v/>
      </c>
    </row>
    <row r="204" ht="17" customHeight="1" s="290">
      <c r="A204" s="30" t="n"/>
      <c r="B204" s="30" t="n"/>
      <c r="C204" s="30" t="n"/>
      <c r="D204" s="324" t="n"/>
      <c r="E204" s="53" t="n"/>
      <c r="F204" s="53" t="n"/>
      <c r="G204" s="55" t="n"/>
      <c r="H204" s="57" t="n"/>
      <c r="I204" s="55" t="n"/>
      <c r="J204" s="56" t="n"/>
      <c r="K204" s="56" t="n"/>
      <c r="L204" s="34">
        <f>HYPERLINK(Table65[[#This Row],[Column1]])</f>
        <v/>
      </c>
    </row>
    <row r="205" ht="30" customHeight="1" s="290">
      <c r="A205" s="30" t="n"/>
      <c r="B205" s="30" t="n"/>
      <c r="C205" s="30" t="n"/>
      <c r="D205" s="324" t="n"/>
      <c r="E205" s="53" t="n"/>
      <c r="F205" s="53" t="n"/>
      <c r="G205" s="55" t="n"/>
      <c r="H205" s="57" t="n"/>
      <c r="I205" s="55" t="n"/>
      <c r="J205" s="56" t="n"/>
      <c r="K205" s="56" t="n"/>
      <c r="L205" s="34">
        <f>HYPERLINK(Table65[[#This Row],[Column1]])</f>
        <v/>
      </c>
    </row>
    <row r="206" ht="45" customHeight="1" s="290">
      <c r="A206" s="30" t="n"/>
      <c r="B206" s="30" t="n"/>
      <c r="C206" s="30" t="n"/>
      <c r="D206" s="324" t="n"/>
      <c r="E206" s="53" t="n"/>
      <c r="F206" s="53" t="n"/>
      <c r="G206" s="55" t="n"/>
      <c r="H206" s="57" t="n"/>
      <c r="I206" s="55" t="n"/>
      <c r="J206" s="56" t="n"/>
      <c r="K206" s="56" t="n"/>
      <c r="L206" s="34">
        <f>HYPERLINK(Table65[[#This Row],[Column1]])</f>
        <v/>
      </c>
    </row>
    <row r="207" ht="45" customHeight="1" s="290">
      <c r="A207" s="30" t="n"/>
      <c r="B207" s="30" t="n"/>
      <c r="C207" s="30" t="n"/>
      <c r="D207" s="324" t="n"/>
      <c r="E207" s="53" t="n"/>
      <c r="F207" s="53" t="n"/>
      <c r="G207" s="55" t="n"/>
      <c r="H207" s="57" t="n"/>
      <c r="I207" s="55" t="n"/>
      <c r="J207" s="56" t="n"/>
      <c r="K207" s="56" t="n"/>
      <c r="L207" s="34">
        <f>HYPERLINK(Table65[[#This Row],[Column1]])</f>
        <v/>
      </c>
    </row>
    <row r="208" ht="17" customHeight="1" s="290">
      <c r="A208" s="33" t="inlineStr">
        <is>
          <t>Total</t>
        </is>
      </c>
      <c r="B208" s="32" t="n"/>
      <c r="C208" s="325" t="n"/>
      <c r="D208" s="59" t="n"/>
      <c r="E208" s="32" t="n"/>
      <c r="F208" s="32" t="n"/>
      <c r="G208" s="36">
        <f>SUM(G133:G207)</f>
        <v/>
      </c>
      <c r="H208" s="36">
        <f>SUM(H133:H207)</f>
        <v/>
      </c>
      <c r="I208" s="36" t="n"/>
      <c r="J208" s="167" t="n"/>
      <c r="K208" s="168" t="n"/>
      <c r="L208" s="32" t="n"/>
    </row>
  </sheetData>
  <mergeCells count="3">
    <mergeCell ref="A1:M5"/>
    <mergeCell ref="A131:L131"/>
    <mergeCell ref="A51:L51"/>
  </mergeCells>
  <pageMargins left="0.7" right="0.7" top="0.75" bottom="0.75" header="0.3" footer="0.3"/>
  <drawing xmlns:r="http://schemas.openxmlformats.org/officeDocument/2006/relationships" r:id="rId1"/>
  <tableParts count="2">
    <tablePart xmlns:r="http://schemas.openxmlformats.org/officeDocument/2006/relationships" r:id="rId2"/>
    <tablePart xmlns:r="http://schemas.openxmlformats.org/officeDocument/2006/relationships" r:id="rId3"/>
  </tableParts>
</worksheet>
</file>

<file path=xl/worksheets/sheet28.xml><?xml version="1.0" encoding="utf-8"?>
<worksheet xmlns="http://schemas.openxmlformats.org/spreadsheetml/2006/main">
  <sheetPr codeName="Sheet6">
    <outlinePr summaryBelow="1" summaryRight="1"/>
    <pageSetUpPr/>
  </sheetPr>
  <dimension ref="A1:Q460"/>
  <sheetViews>
    <sheetView workbookViewId="0">
      <selection activeCell="A1" sqref="A1"/>
    </sheetView>
  </sheetViews>
  <sheetFormatPr baseColWidth="10" defaultColWidth="10.83203125" defaultRowHeight="16"/>
  <cols>
    <col width="50.6640625" customWidth="1" style="284" min="1" max="1"/>
    <col width="12.6640625" customWidth="1" style="284" min="2" max="2"/>
    <col width="12.6640625" customWidth="1" style="320" min="3" max="3"/>
    <col width="11.1640625" customWidth="1" style="296" min="4" max="4"/>
    <col width="24.83203125" bestFit="1" customWidth="1" style="284" min="5" max="5"/>
    <col width="17.6640625" bestFit="1" customWidth="1" style="286" min="6" max="6"/>
    <col width="21.6640625" bestFit="1" customWidth="1" style="286" min="7" max="7"/>
    <col width="19.1640625" bestFit="1" customWidth="1" style="286" min="8" max="8"/>
    <col width="13.5" bestFit="1" customWidth="1" style="287" min="9" max="9"/>
    <col width="13" bestFit="1" customWidth="1" style="284" min="10" max="10"/>
    <col hidden="1" width="29" customWidth="1" style="284" min="11" max="11"/>
    <col width="35.6640625" customWidth="1" style="284" min="12" max="12"/>
    <col width="15.6640625" customWidth="1" style="284" min="13" max="13"/>
    <col width="10.83203125" customWidth="1" style="284" min="14" max="16384"/>
  </cols>
  <sheetData>
    <row r="1">
      <c r="A1" s="282" t="inlineStr">
        <is>
          <t>Generic Monthly Summary</t>
        </is>
      </c>
    </row>
    <row r="2"/>
    <row r="3"/>
    <row r="4"/>
    <row r="5"/>
    <row r="6">
      <c r="A6" s="29" t="n"/>
      <c r="B6" s="29" t="n"/>
      <c r="C6" s="321" t="n"/>
      <c r="D6" s="47" t="n"/>
      <c r="E6" s="48" t="n"/>
      <c r="F6" s="48" t="n"/>
      <c r="G6" s="48" t="n"/>
      <c r="H6" s="48" t="n"/>
      <c r="I6" s="49" t="n"/>
      <c r="J6" s="50" t="n"/>
    </row>
    <row r="7" ht="32" customHeight="1" s="290">
      <c r="A7" s="80" t="n"/>
      <c r="B7" s="81" t="inlineStr">
        <is>
          <t>Avg Price</t>
        </is>
      </c>
      <c r="C7" s="81" t="inlineStr">
        <is>
          <t>Avg Price MoM</t>
        </is>
      </c>
      <c r="D7" s="82" t="inlineStr">
        <is>
          <t>Avg Price YoY</t>
        </is>
      </c>
      <c r="E7" s="81" t="inlineStr">
        <is>
          <t>Quantity/Mo</t>
        </is>
      </c>
      <c r="F7" s="84" t="inlineStr">
        <is>
          <t>Qty by %</t>
        </is>
      </c>
      <c r="G7" s="84" t="inlineStr">
        <is>
          <t>Qty MoM</t>
        </is>
      </c>
      <c r="H7" s="82" t="inlineStr">
        <is>
          <t>Qty YoY</t>
        </is>
      </c>
      <c r="I7" s="309" t="inlineStr">
        <is>
          <t>Revenue/Mo</t>
        </is>
      </c>
      <c r="J7" s="126" t="inlineStr">
        <is>
          <t>Revenue by %</t>
        </is>
      </c>
      <c r="K7" s="173" t="n"/>
      <c r="L7" s="126" t="inlineStr">
        <is>
          <t>Revenue MoM</t>
        </is>
      </c>
      <c r="M7" s="310" t="inlineStr">
        <is>
          <t>Revenue YoY</t>
        </is>
      </c>
      <c r="N7" s="286" t="n"/>
      <c r="O7" s="286" t="n"/>
      <c r="P7" s="49" t="n"/>
      <c r="Q7" s="50" t="n"/>
    </row>
    <row r="8">
      <c r="A8" s="93" t="inlineStr">
        <is>
          <t>Tablet $800+</t>
        </is>
      </c>
      <c r="B8" s="298" t="n"/>
      <c r="C8" s="270" t="n"/>
      <c r="D8" s="271" t="n"/>
      <c r="E8" s="269" t="n">
        <v>0</v>
      </c>
      <c r="F8" s="270" t="n">
        <v>0</v>
      </c>
      <c r="G8" s="270" t="n"/>
      <c r="H8" s="271" t="n"/>
      <c r="I8" s="95" t="n">
        <v>0</v>
      </c>
      <c r="J8" s="128" t="n">
        <v>0</v>
      </c>
      <c r="L8" s="169" t="n"/>
      <c r="M8" s="169" t="n"/>
      <c r="N8" s="286" t="n"/>
      <c r="O8" s="286" t="n"/>
      <c r="P8" s="49" t="n"/>
      <c r="Q8" s="50" t="n"/>
    </row>
    <row r="9">
      <c r="A9" s="93" t="inlineStr">
        <is>
          <t>Tablet $400-$800</t>
        </is>
      </c>
      <c r="B9" s="298" t="n">
        <v>733.25</v>
      </c>
      <c r="C9" s="270" t="n"/>
      <c r="D9" s="271" t="n"/>
      <c r="E9" s="269" t="n">
        <v>1</v>
      </c>
      <c r="F9" s="270" t="n">
        <v>0.0003029385034837928</v>
      </c>
      <c r="G9" s="270" t="n"/>
      <c r="H9" s="271" t="n"/>
      <c r="I9" s="95" t="n">
        <v>733.25</v>
      </c>
      <c r="J9" s="128" t="n">
        <v>0.001070058436938315</v>
      </c>
      <c r="L9" s="169" t="n"/>
      <c r="M9" s="169" t="n"/>
      <c r="N9" s="286" t="n"/>
      <c r="O9" s="286" t="n"/>
      <c r="P9" s="49" t="n"/>
      <c r="Q9" s="50" t="n"/>
    </row>
    <row r="10">
      <c r="A10" s="96" t="inlineStr">
        <is>
          <t>Tablet $400-</t>
        </is>
      </c>
      <c r="B10" s="299" t="n">
        <v>300.45</v>
      </c>
      <c r="C10" s="274" t="n">
        <v>0.07269092077546513</v>
      </c>
      <c r="D10" s="275" t="n"/>
      <c r="E10" s="273" t="n">
        <v>1</v>
      </c>
      <c r="F10" s="274" t="n">
        <v>0.0003029385034837928</v>
      </c>
      <c r="G10" s="274" t="n">
        <v>0</v>
      </c>
      <c r="H10" s="275" t="n"/>
      <c r="I10" s="98" t="n">
        <v>300.45</v>
      </c>
      <c r="J10" s="127" t="n">
        <v>0.0004384576302463236</v>
      </c>
      <c r="L10" s="171" t="n">
        <v>0.07269092077546513</v>
      </c>
      <c r="M10" s="171" t="n"/>
      <c r="N10" s="286" t="n"/>
      <c r="O10" s="286" t="n"/>
      <c r="P10" s="49" t="n"/>
      <c r="Q10" s="50" t="n"/>
    </row>
    <row r="11">
      <c r="A11" s="101" t="inlineStr">
        <is>
          <t>Total Tablet</t>
        </is>
      </c>
      <c r="B11" s="300" t="n">
        <v>516.85</v>
      </c>
      <c r="C11" s="112" t="n">
        <v>0.8452997250883647</v>
      </c>
      <c r="D11" s="104" t="n"/>
      <c r="E11" s="116" t="n">
        <v>2</v>
      </c>
      <c r="F11" s="112" t="n">
        <v>0.0006058770069675856</v>
      </c>
      <c r="G11" s="112" t="n">
        <v>1</v>
      </c>
      <c r="H11" s="104" t="n"/>
      <c r="I11" s="103" t="n">
        <v>1033.7</v>
      </c>
      <c r="J11" s="129" t="n">
        <v>0.001508516067184639</v>
      </c>
      <c r="L11" s="170" t="n">
        <v>2.690599450176729</v>
      </c>
      <c r="M11" s="170" t="n"/>
      <c r="N11" s="286" t="n"/>
      <c r="O11" s="286" t="n"/>
      <c r="P11" s="49" t="n"/>
      <c r="Q11" s="50" t="n"/>
    </row>
    <row r="12">
      <c r="A12" s="93" t="inlineStr">
        <is>
          <t>Handheld $75+</t>
        </is>
      </c>
      <c r="B12" s="298" t="n">
        <v>171.2981666666666</v>
      </c>
      <c r="C12" s="270" t="n">
        <v>0.0003186183418288913</v>
      </c>
      <c r="D12" s="271" t="n">
        <v>-0.005396046171263325</v>
      </c>
      <c r="E12" s="269" t="n">
        <v>660</v>
      </c>
      <c r="F12" s="270" t="n">
        <v>0.1999394122993032</v>
      </c>
      <c r="G12" s="270" t="n">
        <v>0.252371916508539</v>
      </c>
      <c r="H12" s="271" t="n">
        <v>0.8857142857142857</v>
      </c>
      <c r="I12" s="95" t="n">
        <v>113056.79</v>
      </c>
      <c r="J12" s="128" t="n">
        <v>0.1649878922504785</v>
      </c>
      <c r="L12" s="169" t="n">
        <v>0.25277094517193</v>
      </c>
      <c r="M12" s="169" t="n">
        <v>0.8755388843627607</v>
      </c>
      <c r="N12" s="286" t="n"/>
      <c r="O12" s="286" t="n"/>
      <c r="P12" s="49" t="n"/>
      <c r="Q12" s="50" t="n"/>
    </row>
    <row r="13">
      <c r="A13" s="96" t="inlineStr">
        <is>
          <t>Handheld $75-</t>
        </is>
      </c>
      <c r="B13" s="299" t="n">
        <v>25.04072580645161</v>
      </c>
      <c r="C13" s="274" t="n">
        <v>0.116718215170337</v>
      </c>
      <c r="D13" s="275" t="n">
        <v>-0.08245886670592395</v>
      </c>
      <c r="E13" s="273" t="n">
        <v>496</v>
      </c>
      <c r="F13" s="274" t="n">
        <v>0.1502574977279612</v>
      </c>
      <c r="G13" s="274" t="n">
        <v>0.5075987841945289</v>
      </c>
      <c r="H13" s="275" t="n">
        <v>3.275862068965517</v>
      </c>
      <c r="I13" s="98" t="n">
        <v>12420.2</v>
      </c>
      <c r="J13" s="127" t="n">
        <v>0.01812525032180193</v>
      </c>
      <c r="L13" s="171" t="n">
        <v>0.683563023478684</v>
      </c>
      <c r="M13" s="171" t="n">
        <v>2.923279328567774</v>
      </c>
      <c r="N13" s="286" t="n"/>
      <c r="O13" s="286" t="n"/>
      <c r="P13" s="49" t="n"/>
      <c r="Q13" s="50" t="n"/>
    </row>
    <row r="14">
      <c r="A14" s="101" t="inlineStr">
        <is>
          <t>Total Handheld</t>
        </is>
      </c>
      <c r="B14" s="300" t="n">
        <v>108.5441089965398</v>
      </c>
      <c r="C14" s="112" t="n">
        <v>-0.04823624235551283</v>
      </c>
      <c r="D14" s="104" t="n">
        <v>-0.2027545764958919</v>
      </c>
      <c r="E14" s="116" t="n">
        <v>1156</v>
      </c>
      <c r="F14" s="112" t="n">
        <v>0.3501969100272644</v>
      </c>
      <c r="G14" s="112" t="n">
        <v>0.3504672897196262</v>
      </c>
      <c r="H14" s="104" t="n">
        <v>1.48068669527897</v>
      </c>
      <c r="I14" s="103" t="n">
        <v>125476.99</v>
      </c>
      <c r="J14" s="129" t="n">
        <v>0.1831131425722804</v>
      </c>
      <c r="L14" s="170" t="n">
        <v>0.2853258222395179</v>
      </c>
      <c r="M14" s="170" t="n">
        <v>0.9777161149586888</v>
      </c>
      <c r="N14" s="286" t="n"/>
      <c r="O14" s="286" t="n"/>
      <c r="P14" s="49" t="n"/>
      <c r="Q14" s="50" t="n"/>
    </row>
    <row r="15">
      <c r="A15" s="78" t="inlineStr">
        <is>
          <t>Total Dongle</t>
        </is>
      </c>
      <c r="B15" s="301" t="n">
        <v>400.7187366548043</v>
      </c>
      <c r="C15" s="113" t="n">
        <v>0.0673915704238961</v>
      </c>
      <c r="D15" s="107" t="n">
        <v>3.441930574966677</v>
      </c>
      <c r="E15" s="99" t="n">
        <v>1124</v>
      </c>
      <c r="F15" s="113" t="n">
        <v>0.3405028779157831</v>
      </c>
      <c r="G15" s="113" t="n">
        <v>0.0008904719501334757</v>
      </c>
      <c r="H15" s="107" t="n">
        <v>3.532258064516129</v>
      </c>
      <c r="I15" s="76" t="n">
        <v>450407.86</v>
      </c>
      <c r="J15" s="130" t="n">
        <v>0.6572965982357061</v>
      </c>
      <c r="L15" s="174" t="n">
        <v>0.06834205267716764</v>
      </c>
      <c r="M15" s="174" t="n">
        <v>19.13197567041349</v>
      </c>
      <c r="N15" s="286" t="n"/>
      <c r="O15" s="286" t="n"/>
      <c r="P15" s="49" t="n"/>
      <c r="Q15" s="50" t="n"/>
    </row>
    <row r="16">
      <c r="A16" s="78" t="inlineStr">
        <is>
          <t>Total Other Tools</t>
        </is>
      </c>
      <c r="B16" s="301" t="n">
        <v>106.3046123650638</v>
      </c>
      <c r="C16" s="113" t="n">
        <v>-0.1118097743636426</v>
      </c>
      <c r="D16" s="107" t="n">
        <v>-0.6583215457886281</v>
      </c>
      <c r="E16" s="99" t="n">
        <v>1019</v>
      </c>
      <c r="F16" s="113" t="n">
        <v>0.3086943350499848</v>
      </c>
      <c r="G16" s="113" t="n">
        <v>0.2174432497013141</v>
      </c>
      <c r="H16" s="107" t="n">
        <v>1.746630727762803</v>
      </c>
      <c r="I16" s="76" t="n">
        <v>108324.4</v>
      </c>
      <c r="J16" s="130" t="n">
        <v>0.1580817431248289</v>
      </c>
      <c r="L16" s="174" t="n">
        <v>0.08132119465167054</v>
      </c>
      <c r="M16" s="174" t="n">
        <v>-0.06153545864854981</v>
      </c>
      <c r="N16" s="286" t="n"/>
      <c r="O16" s="286" t="n"/>
      <c r="P16" s="49" t="n"/>
      <c r="Q16" s="50" t="n"/>
    </row>
    <row r="17">
      <c r="A17" s="86" t="inlineStr">
        <is>
          <t>Total</t>
        </is>
      </c>
      <c r="B17" s="302" t="n">
        <v>207.5864737958194</v>
      </c>
      <c r="C17" s="109" t="n">
        <v>-0.05632736233555791</v>
      </c>
      <c r="D17" s="108" t="n">
        <v>-0.0286393188679922</v>
      </c>
      <c r="E17" s="100" t="n">
        <v>3301</v>
      </c>
      <c r="F17" s="109" t="n">
        <v>1</v>
      </c>
      <c r="G17" s="109" t="n">
        <v>0.1718139865104722</v>
      </c>
      <c r="H17" s="108" t="n">
        <v>2.943847072879331</v>
      </c>
      <c r="I17" s="85" t="n">
        <v>685242.95</v>
      </c>
      <c r="J17" s="109" t="n">
        <v>1</v>
      </c>
      <c r="L17" s="172" t="n">
        <v>0.1058087955024223</v>
      </c>
      <c r="M17" s="172" t="n">
        <v>2.830897978992542</v>
      </c>
      <c r="N17" s="286" t="n"/>
      <c r="O17" s="286" t="n"/>
      <c r="P17" s="49" t="n"/>
      <c r="Q17" s="50" t="n"/>
    </row>
    <row r="18">
      <c r="A18" s="29" t="n"/>
      <c r="B18" s="29" t="n"/>
      <c r="C18" s="321" t="n"/>
      <c r="D18" s="47" t="n"/>
      <c r="E18" s="48" t="n"/>
      <c r="F18" s="48" t="n"/>
      <c r="G18" s="48" t="n"/>
      <c r="H18" s="48" t="n"/>
      <c r="I18" s="49" t="n"/>
      <c r="J18" s="50" t="n"/>
    </row>
    <row r="19">
      <c r="A19" s="29" t="n"/>
      <c r="B19" s="29" t="n"/>
      <c r="C19" s="321" t="n"/>
      <c r="D19" s="47" t="n"/>
      <c r="E19" s="48" t="n"/>
      <c r="F19" s="48" t="n"/>
      <c r="G19" s="48" t="n"/>
      <c r="H19" s="48" t="n"/>
      <c r="I19" s="49" t="n"/>
      <c r="J19" s="50" t="n"/>
    </row>
    <row r="20">
      <c r="A20" s="29" t="n"/>
      <c r="B20" s="29" t="n"/>
      <c r="C20" s="321" t="n"/>
      <c r="D20" s="47" t="n"/>
      <c r="E20" s="48" t="n"/>
      <c r="F20" s="48" t="n"/>
      <c r="G20" s="48" t="n"/>
      <c r="H20" s="48" t="n"/>
      <c r="I20" s="49" t="n"/>
      <c r="J20" s="50" t="n"/>
    </row>
    <row r="21">
      <c r="A21" s="29" t="n"/>
      <c r="B21" s="29" t="n"/>
      <c r="C21" s="321" t="n"/>
      <c r="D21" s="47" t="n"/>
      <c r="E21" s="48" t="n"/>
      <c r="F21" s="48" t="n"/>
      <c r="G21" s="48" t="n"/>
      <c r="H21" s="48" t="n"/>
      <c r="I21" s="49" t="n"/>
      <c r="J21" s="50" t="n"/>
    </row>
    <row r="22">
      <c r="A22" s="29" t="n"/>
      <c r="B22" s="29" t="n"/>
      <c r="C22" s="321" t="n"/>
      <c r="D22" s="47" t="n"/>
      <c r="E22" s="48" t="n"/>
      <c r="F22" s="48" t="n"/>
      <c r="G22" s="48" t="n"/>
      <c r="H22" s="48" t="n"/>
      <c r="I22" s="49" t="n"/>
      <c r="J22" s="50" t="n"/>
    </row>
    <row r="23">
      <c r="A23" s="29" t="n"/>
      <c r="B23" s="29" t="n"/>
      <c r="C23" s="321" t="n"/>
      <c r="D23" s="47" t="n"/>
      <c r="E23" s="48" t="n"/>
      <c r="F23" s="48" t="n"/>
      <c r="G23" s="48" t="n"/>
      <c r="H23" s="48" t="n"/>
      <c r="I23" s="49" t="n"/>
      <c r="J23" s="50" t="n"/>
    </row>
    <row r="24">
      <c r="A24" s="29" t="n"/>
      <c r="B24" s="29" t="n"/>
      <c r="C24" s="321" t="n"/>
      <c r="D24" s="47" t="n"/>
      <c r="E24" s="48" t="n"/>
      <c r="F24" s="48" t="n"/>
      <c r="G24" s="48" t="n"/>
      <c r="H24" s="48" t="n"/>
      <c r="I24" s="49" t="n"/>
      <c r="J24" s="50" t="n"/>
    </row>
    <row r="25">
      <c r="A25" s="29" t="n"/>
      <c r="B25" s="29" t="n"/>
      <c r="C25" s="321" t="n"/>
      <c r="D25" s="47" t="n"/>
      <c r="E25" s="48" t="n"/>
      <c r="F25" s="48" t="n"/>
      <c r="G25" s="48" t="n"/>
      <c r="H25" s="48" t="n"/>
      <c r="I25" s="49" t="n"/>
      <c r="J25" s="50" t="n"/>
    </row>
    <row r="26">
      <c r="A26" s="29" t="n"/>
      <c r="B26" s="29" t="n"/>
      <c r="C26" s="321" t="n"/>
      <c r="D26" s="47" t="n"/>
      <c r="E26" s="48" t="n"/>
      <c r="F26" s="48" t="n"/>
      <c r="G26" s="48" t="n"/>
      <c r="H26" s="48" t="n"/>
      <c r="I26" s="49" t="n"/>
      <c r="J26" s="50" t="n"/>
    </row>
    <row r="27">
      <c r="A27" s="29" t="n"/>
      <c r="B27" s="29" t="n"/>
      <c r="C27" s="321" t="n"/>
      <c r="D27" s="47" t="n"/>
      <c r="E27" s="48" t="n"/>
      <c r="F27" s="48" t="n"/>
      <c r="G27" s="48" t="n"/>
      <c r="H27" s="48" t="n"/>
      <c r="I27" s="49" t="n"/>
      <c r="J27" s="50" t="n"/>
    </row>
    <row r="28">
      <c r="A28" s="29" t="n"/>
      <c r="B28" s="29" t="n"/>
      <c r="C28" s="321" t="n"/>
      <c r="D28" s="47" t="n"/>
      <c r="E28" s="48" t="n"/>
      <c r="F28" s="48" t="n"/>
      <c r="G28" s="48" t="n"/>
      <c r="H28" s="48" t="n"/>
      <c r="I28" s="49" t="n"/>
      <c r="J28" s="50" t="n"/>
    </row>
    <row r="29">
      <c r="A29" s="29" t="n"/>
      <c r="B29" s="29" t="n"/>
      <c r="C29" s="321" t="n"/>
      <c r="D29" s="47" t="n"/>
      <c r="E29" s="48" t="n"/>
      <c r="F29" s="48" t="n"/>
      <c r="G29" s="48" t="n"/>
      <c r="H29" s="48" t="n"/>
      <c r="I29" s="49" t="n"/>
      <c r="J29" s="50" t="n"/>
    </row>
    <row r="30">
      <c r="A30" s="29" t="n"/>
      <c r="B30" s="29" t="n"/>
      <c r="C30" s="321" t="n"/>
      <c r="D30" s="47" t="n"/>
      <c r="E30" s="48" t="n"/>
      <c r="F30" s="48" t="n"/>
      <c r="G30" s="48" t="n"/>
      <c r="H30" s="48" t="n"/>
      <c r="I30" s="49" t="n"/>
      <c r="J30" s="50" t="n"/>
    </row>
    <row r="31">
      <c r="A31" s="29" t="n"/>
      <c r="B31" s="29" t="n"/>
      <c r="C31" s="321" t="n"/>
      <c r="D31" s="47" t="n"/>
      <c r="E31" s="48" t="n"/>
      <c r="F31" s="48" t="n"/>
      <c r="G31" s="48" t="n"/>
      <c r="H31" s="48" t="n"/>
      <c r="I31" s="49" t="n"/>
      <c r="J31" s="50" t="n"/>
    </row>
    <row r="32">
      <c r="A32" s="29" t="n"/>
      <c r="B32" s="29" t="n"/>
      <c r="C32" s="321" t="n"/>
      <c r="D32" s="47" t="n"/>
      <c r="E32" s="48" t="n"/>
      <c r="F32" s="48" t="n"/>
      <c r="G32" s="48" t="n"/>
      <c r="H32" s="48" t="n"/>
      <c r="I32" s="49" t="n"/>
      <c r="J32" s="50" t="n"/>
    </row>
    <row r="33">
      <c r="A33" s="29" t="n"/>
      <c r="B33" s="29" t="n"/>
      <c r="C33" s="321" t="n"/>
      <c r="D33" s="47" t="n"/>
      <c r="E33" s="48" t="n"/>
      <c r="F33" s="48" t="n"/>
      <c r="G33" s="48" t="n"/>
      <c r="H33" s="48" t="n"/>
      <c r="I33" s="49" t="n"/>
      <c r="J33" s="50" t="n"/>
    </row>
    <row r="49" ht="16" customHeight="1" s="290">
      <c r="C49" s="284" t="n"/>
      <c r="D49" s="284" t="n"/>
      <c r="F49" s="284" t="n"/>
      <c r="G49" s="284" t="n"/>
      <c r="H49" s="284" t="n"/>
      <c r="I49" s="284" t="n"/>
    </row>
    <row r="50">
      <c r="C50" s="284" t="n"/>
      <c r="D50" s="284" t="n"/>
      <c r="F50" s="284" t="n"/>
      <c r="G50" s="284" t="n"/>
      <c r="H50" s="284" t="n"/>
      <c r="I50" s="284" t="n"/>
    </row>
    <row r="51">
      <c r="A51" s="283" t="inlineStr">
        <is>
          <t xml:space="preserve">Rank by Revenue </t>
        </is>
      </c>
    </row>
    <row r="52" ht="17" customHeight="1" s="290">
      <c r="A52" s="38" t="inlineStr">
        <is>
          <t>Product Name</t>
        </is>
      </c>
      <c r="B52" s="39" t="inlineStr">
        <is>
          <t>ASIN</t>
        </is>
      </c>
      <c r="C52" s="39" t="inlineStr">
        <is>
          <t>Type</t>
        </is>
      </c>
      <c r="D52" s="322" t="inlineStr">
        <is>
          <t>Avg Price</t>
        </is>
      </c>
      <c r="E52" s="41" t="inlineStr">
        <is>
          <t>Estimated 12mo Revenue</t>
        </is>
      </c>
      <c r="F52" s="39" t="inlineStr">
        <is>
          <t>Monthly Rev</t>
        </is>
      </c>
      <c r="G52" s="42" t="inlineStr">
        <is>
          <t>Estimated 12mo Units</t>
        </is>
      </c>
      <c r="H52" s="45" t="inlineStr">
        <is>
          <t>Monthly Units</t>
        </is>
      </c>
      <c r="I52" s="42" t="inlineStr">
        <is>
          <t># of Reviews</t>
        </is>
      </c>
      <c r="J52" s="43" t="inlineStr">
        <is>
          <t xml:space="preserve">Tool Rating </t>
        </is>
      </c>
      <c r="K52" s="43" t="inlineStr">
        <is>
          <t>Column1</t>
        </is>
      </c>
      <c r="L52" s="323" t="inlineStr">
        <is>
          <t>Link</t>
        </is>
      </c>
    </row>
    <row r="53" ht="45" customHeight="1" s="290">
      <c r="A53" s="30" t="inlineStr">
        <is>
          <t>HPT MPVI4 Diagnostic Code Reader Scanner and Tool</t>
        </is>
      </c>
      <c r="B53" s="30" t="inlineStr">
        <is>
          <t>B0FZ26RBDC</t>
        </is>
      </c>
      <c r="C53" s="30" t="inlineStr">
        <is>
          <t>Dongle</t>
        </is>
      </c>
      <c r="D53" s="324" t="n">
        <v>399.9256140350877</v>
      </c>
      <c r="E53" s="53" t="n">
        <v>2847107.959999999</v>
      </c>
      <c r="F53" s="54" t="n">
        <v>273549.12</v>
      </c>
      <c r="G53" s="55" t="n">
        <v>2699</v>
      </c>
      <c r="H53" s="55" t="n">
        <v>684</v>
      </c>
      <c r="I53" s="55" t="n">
        <v>139</v>
      </c>
      <c r="J53" s="56" t="n">
        <v>4.8</v>
      </c>
      <c r="K53" s="56" t="inlineStr">
        <is>
          <t>https://amazon.com/dp/B0FZ26RBDC</t>
        </is>
      </c>
      <c r="L53" s="34">
        <f>HYPERLINK(Generic_2[[#This Row],[Column1]])</f>
        <v/>
      </c>
    </row>
    <row r="54" ht="45" customHeight="1" s="290">
      <c r="A54" s="30" t="inlineStr">
        <is>
          <t>HPT MPVI4 Diagnostic Code Reader Scanner and Tool</t>
        </is>
      </c>
      <c r="B54" s="30" t="inlineStr">
        <is>
          <t>B0FY7MYBX7</t>
        </is>
      </c>
      <c r="C54" s="30" t="inlineStr">
        <is>
          <t>Dongle</t>
        </is>
      </c>
      <c r="D54" s="324" t="n">
        <v>400.4040771349862</v>
      </c>
      <c r="E54" s="53" t="n">
        <v>1578101.223076923</v>
      </c>
      <c r="F54" s="54" t="n">
        <v>145346.68</v>
      </c>
      <c r="G54" s="55" t="n">
        <v>1597</v>
      </c>
      <c r="H54" s="55" t="n">
        <v>363</v>
      </c>
      <c r="I54" s="55" t="n">
        <v>31</v>
      </c>
      <c r="J54" s="56" t="n">
        <v>4.8</v>
      </c>
      <c r="K54" s="56" t="inlineStr">
        <is>
          <t>https://amazon.com/dp/B0FY7MYBX7</t>
        </is>
      </c>
      <c r="L54" s="34">
        <f>HYPERLINK(Generic_2[[#This Row],[Column1]])</f>
        <v/>
      </c>
    </row>
    <row r="55" ht="45" customHeight="1" s="290">
      <c r="A55" s="30" t="inlineStr">
        <is>
          <t>TEMEDA- PT 30 ELD - Electronic Logging Device + Cable - HOS &amp; FMCSA Compliant - Easy to Install - New (PT30+Green 9 Pin Round Cable)</t>
        </is>
      </c>
      <c r="B55" s="30" t="inlineStr">
        <is>
          <t>B0CVR2LWNX</t>
        </is>
      </c>
      <c r="C55" s="30" t="inlineStr">
        <is>
          <t>Other</t>
        </is>
      </c>
      <c r="D55" s="324" t="n">
        <v>190.1238</v>
      </c>
      <c r="E55" s="53" t="n">
        <v>255473.16</v>
      </c>
      <c r="F55" s="54" t="n">
        <v>38024.76</v>
      </c>
      <c r="G55" s="55" t="n">
        <v>1357</v>
      </c>
      <c r="H55" s="55" t="n">
        <v>200</v>
      </c>
      <c r="I55" s="55" t="n">
        <v>41</v>
      </c>
      <c r="J55" s="56" t="n">
        <v>4.7</v>
      </c>
      <c r="K55" s="56" t="inlineStr">
        <is>
          <t>https://amazon.com/dp/B0CVR2LWNX</t>
        </is>
      </c>
      <c r="L55" s="34">
        <f>HYPERLINK(Generic_2[[#This Row],[Column1]])</f>
        <v/>
      </c>
    </row>
    <row r="56" ht="60" customHeight="1" s="290">
      <c r="A56" s="30" t="inlineStr">
        <is>
          <t>FOXWELL NT530 Plus for BMW - All Systems, All Maintenance Service - Bidirectional Diagnostic Tool OBD2 Scanner Automotive Code Reader ABS Bleed SRS Airbag SAS TPMS TPS EPB Oil Reset CKP</t>
        </is>
      </c>
      <c r="B56" s="30" t="inlineStr">
        <is>
          <t>B0BZDWC5J5</t>
        </is>
      </c>
      <c r="C56" s="30" t="inlineStr">
        <is>
          <t>Handheld</t>
        </is>
      </c>
      <c r="D56" s="324" t="n">
        <v>169.979702970297</v>
      </c>
      <c r="E56" s="53" t="n">
        <v>123435.8</v>
      </c>
      <c r="F56" s="54" t="n">
        <v>34335.9</v>
      </c>
      <c r="G56" s="55" t="n">
        <v>727</v>
      </c>
      <c r="H56" s="55" t="n">
        <v>202</v>
      </c>
      <c r="I56" s="55" t="n">
        <v>23</v>
      </c>
      <c r="J56" s="56" t="n">
        <v>4.2</v>
      </c>
      <c r="K56" s="56" t="inlineStr">
        <is>
          <t>https://amazon.com/dp/B0BZDWC5J5</t>
        </is>
      </c>
      <c r="L56" s="34">
        <f>HYPERLINK(Generic_2[[#This Row],[Column1]])</f>
        <v/>
      </c>
    </row>
    <row r="57" ht="45" customHeight="1" s="290">
      <c r="A57" s="30" t="inlineStr">
        <is>
          <t>NEXIQ Universal J560 PLC Adapter – Enhanced ABS Diagnostic Tool for Heavy-Duty Vehicles</t>
        </is>
      </c>
      <c r="B57" s="30" t="inlineStr">
        <is>
          <t>B07F9XPZ6W</t>
        </is>
      </c>
      <c r="C57" s="30" t="inlineStr">
        <is>
          <t>Cable/Adapter</t>
        </is>
      </c>
      <c r="D57" s="324" t="n">
        <v>349.1241935483871</v>
      </c>
      <c r="E57" s="53" t="n">
        <v>313635.3061538461</v>
      </c>
      <c r="F57" s="54" t="n">
        <v>21645.7</v>
      </c>
      <c r="G57" s="55" t="n">
        <v>866</v>
      </c>
      <c r="H57" s="55" t="n">
        <v>62</v>
      </c>
      <c r="I57" s="55" t="n">
        <v>34</v>
      </c>
      <c r="J57" s="56" t="n">
        <v>4.8</v>
      </c>
      <c r="K57" s="56" t="inlineStr">
        <is>
          <t>https://amazon.com/dp/B07F9XPZ6W</t>
        </is>
      </c>
      <c r="L57" s="34">
        <f>HYPERLINK(Generic_2[[#This Row],[Column1]])</f>
        <v/>
      </c>
    </row>
    <row r="58" ht="45" customHeight="1" s="290">
      <c r="A58" s="30" t="inlineStr">
        <is>
          <t>FOXWELL NT530 for Porsche - All Systems, All Maintenance Service - Bidirectional Diagnostic Scan Tool OBD2 Scanner Automotive Code Reader ABS Bleed SRS Airbag SAS TPMS TPS EPB Oil Reset CKP</t>
        </is>
      </c>
      <c r="B58" s="30" t="inlineStr">
        <is>
          <t>B0C3J1V5N8</t>
        </is>
      </c>
      <c r="C58" s="30" t="inlineStr">
        <is>
          <t>Handheld</t>
        </is>
      </c>
      <c r="D58" s="324" t="n">
        <v>170.397476635514</v>
      </c>
      <c r="E58" s="53" t="n">
        <v>173868.88</v>
      </c>
      <c r="F58" s="54" t="n">
        <v>18232.53</v>
      </c>
      <c r="G58" s="55" t="n">
        <v>1024</v>
      </c>
      <c r="H58" s="55" t="n">
        <v>107</v>
      </c>
      <c r="I58" s="55" t="n">
        <v>70</v>
      </c>
      <c r="J58" s="56" t="n">
        <v>4</v>
      </c>
      <c r="K58" s="56" t="inlineStr">
        <is>
          <t>https://amazon.com/dp/B0C3J1V5N8</t>
        </is>
      </c>
      <c r="L58" s="34">
        <f>HYPERLINK(Generic_2[[#This Row],[Column1]])</f>
        <v/>
      </c>
    </row>
    <row r="59" ht="45" customHeight="1" s="290">
      <c r="A59" s="30" t="inlineStr">
        <is>
          <t>MPVI4 Professional Automotive Diagnostic Scanner Tool, High-Speed Data Logging, Multi-Vehicle Programming Compatibility 0 Credits (MPVI4-00, 0 Credits)</t>
        </is>
      </c>
      <c r="B59" s="30" t="inlineStr">
        <is>
          <t>B0FYQN779L</t>
        </is>
      </c>
      <c r="C59" s="30" t="inlineStr">
        <is>
          <t>Dongle</t>
        </is>
      </c>
      <c r="D59" s="324" t="n">
        <v>403.9316279069768</v>
      </c>
      <c r="E59" s="53" t="n">
        <v>202052.6076923077</v>
      </c>
      <c r="F59" s="54" t="n">
        <v>17369.06</v>
      </c>
      <c r="G59" s="55" t="n">
        <v>184</v>
      </c>
      <c r="H59" s="55" t="n">
        <v>43</v>
      </c>
      <c r="I59" s="55" t="n">
        <v>5</v>
      </c>
      <c r="J59" s="56" t="n">
        <v>4</v>
      </c>
      <c r="K59" s="56" t="inlineStr">
        <is>
          <t>https://amazon.com/dp/B0FYQN779L</t>
        </is>
      </c>
      <c r="L59" s="34">
        <f>HYPERLINK(Generic_2[[#This Row],[Column1]])</f>
        <v/>
      </c>
    </row>
    <row r="60" ht="45" customHeight="1" s="290">
      <c r="A60" s="30" t="inlineStr">
        <is>
          <t>FOXWELL NT530 for BMW - All Systems, All Maintenance Service - Bidirectional Diagnostic Scan Tool OBD2 Scanner Automotive Code Reader ABS Bleed SRS Airbag SAS TPMS TPS EPB Oil Reset CKP</t>
        </is>
      </c>
      <c r="B60" s="30" t="inlineStr">
        <is>
          <t>B0C3J1QFX4</t>
        </is>
      </c>
      <c r="C60" s="30" t="inlineStr">
        <is>
          <t>Handheld</t>
        </is>
      </c>
      <c r="D60" s="324" t="n">
        <v>170.4728712871287</v>
      </c>
      <c r="E60" s="53" t="n">
        <v>215947.82</v>
      </c>
      <c r="F60" s="54" t="n">
        <v>17217.76</v>
      </c>
      <c r="G60" s="55" t="n">
        <v>1270</v>
      </c>
      <c r="H60" s="55" t="n">
        <v>101</v>
      </c>
      <c r="I60" s="55" t="n">
        <v>78</v>
      </c>
      <c r="J60" s="56" t="n">
        <v>4.3</v>
      </c>
      <c r="K60" s="56" t="inlineStr">
        <is>
          <t>https://amazon.com/dp/B0C3J1QFX4</t>
        </is>
      </c>
      <c r="L60" s="34">
        <f>HYPERLINK(Generic_2[[#This Row],[Column1]])</f>
        <v/>
      </c>
    </row>
    <row r="61" ht="45" customHeight="1" s="290">
      <c r="A61" s="30" t="inlineStr">
        <is>
          <t>NEXIQ USB-Link 3 Wireless Vehicle Interface – Advanced Diagnostic Tool for Heavy-Duty and Light-Duty Vehicles</t>
        </is>
      </c>
      <c r="B61" s="30" t="inlineStr">
        <is>
          <t>B0BPYVCL6T</t>
        </is>
      </c>
      <c r="C61" s="30" t="inlineStr">
        <is>
          <t>VCI</t>
        </is>
      </c>
      <c r="D61" s="324" t="n">
        <v>784.5791666666668</v>
      </c>
      <c r="E61" s="53" t="n">
        <v>216511.84</v>
      </c>
      <c r="F61" s="54" t="n">
        <v>9414.950000000001</v>
      </c>
      <c r="G61" s="55" t="n">
        <v>272</v>
      </c>
      <c r="H61" s="55" t="n">
        <v>12</v>
      </c>
      <c r="I61" s="55" t="n">
        <v>8</v>
      </c>
      <c r="J61" s="56" t="n">
        <v>4.3</v>
      </c>
      <c r="K61" s="56" t="inlineStr">
        <is>
          <t>https://amazon.com/dp/B0BPYVCL6T</t>
        </is>
      </c>
      <c r="L61" s="34">
        <f>HYPERLINK(Generic_2[[#This Row],[Column1]])</f>
        <v/>
      </c>
    </row>
    <row r="62" ht="45" customHeight="1" s="290">
      <c r="A62" s="30" t="inlineStr">
        <is>
          <t>V500 OBD2 Scanner Diagnostic Tool, Professional Code Reader with Live Data Stream, DTC Lookup, I/M Readiness, O2 Sensor Test, EVAP System Test, Vehicle Info Display</t>
        </is>
      </c>
      <c r="B62" s="30" t="inlineStr">
        <is>
          <t>B0GMJWZVVK</t>
        </is>
      </c>
      <c r="C62" s="30" t="inlineStr">
        <is>
          <t>Handheld</t>
        </is>
      </c>
      <c r="D62" s="324" t="n">
        <v>25.34763803680982</v>
      </c>
      <c r="E62" s="53" t="n">
        <v>93429.56153846155</v>
      </c>
      <c r="F62" s="54" t="n">
        <v>8263.33</v>
      </c>
      <c r="G62" s="55" t="n">
        <v>385</v>
      </c>
      <c r="H62" s="55" t="n">
        <v>326</v>
      </c>
      <c r="I62" s="55" t="n">
        <v>3</v>
      </c>
      <c r="J62" s="56" t="n">
        <v>5</v>
      </c>
      <c r="K62" s="56" t="inlineStr">
        <is>
          <t>https://amazon.com/dp/B0GMJWZVVK</t>
        </is>
      </c>
      <c r="L62" s="34">
        <f>HYPERLINK(Generic_2[[#This Row],[Column1]])</f>
        <v/>
      </c>
    </row>
    <row r="63" ht="45" customHeight="1" s="290">
      <c r="A63" s="30" t="inlineStr">
        <is>
          <t>FOXWELL NT530 for Honda Acura - All Systems, All Maintenance Service - Bidirectional Diagnostic Scan Tool OBD2 Scanner Automotive Code Reader ABS Bleed SRS Airbag SAS TPMS TPS EPB Oil Reset CKP</t>
        </is>
      </c>
      <c r="B63" s="30" t="inlineStr">
        <is>
          <t>B0C2DBJYCD</t>
        </is>
      </c>
      <c r="C63" s="30" t="inlineStr">
        <is>
          <t>Handheld</t>
        </is>
      </c>
      <c r="D63" s="324" t="n">
        <v>170.7471111111111</v>
      </c>
      <c r="E63" s="53" t="n">
        <v>58997.04000000001</v>
      </c>
      <c r="F63" s="54" t="n">
        <v>7683.62</v>
      </c>
      <c r="G63" s="55" t="n">
        <v>348</v>
      </c>
      <c r="H63" s="55" t="n">
        <v>45</v>
      </c>
      <c r="I63" s="55" t="n">
        <v>46</v>
      </c>
      <c r="J63" s="56" t="n">
        <v>4</v>
      </c>
      <c r="K63" s="56" t="inlineStr">
        <is>
          <t>https://amazon.com/dp/B0C2DBJYCD</t>
        </is>
      </c>
      <c r="L63" s="34">
        <f>HYPERLINK(Generic_2[[#This Row],[Column1]])</f>
        <v/>
      </c>
    </row>
    <row r="64" ht="45" customHeight="1" s="290">
      <c r="A64" s="30" t="inlineStr">
        <is>
          <t>FOXWELL NT530 for GM Chevrolet - All Systems, All Maintenance Service - Bidirectional Diagnostic Tool - OBD2 Scanner - Code Reader ABS Bleed SRS Airbag SAS TPMS TPS EPB Oil</t>
        </is>
      </c>
      <c r="B64" s="30" t="inlineStr">
        <is>
          <t>B0C46TXHWG</t>
        </is>
      </c>
      <c r="C64" s="30" t="inlineStr">
        <is>
          <t>Handheld</t>
        </is>
      </c>
      <c r="D64" s="324" t="n">
        <v>167.9218421052632</v>
      </c>
      <c r="E64" s="53" t="n">
        <v>68843.95000000001</v>
      </c>
      <c r="F64" s="54" t="n">
        <v>6381.03</v>
      </c>
      <c r="G64" s="55" t="n">
        <v>406</v>
      </c>
      <c r="H64" s="55" t="n">
        <v>38</v>
      </c>
      <c r="I64" s="55" t="n">
        <v>32</v>
      </c>
      <c r="J64" s="56" t="n">
        <v>4.3</v>
      </c>
      <c r="K64" s="56" t="inlineStr">
        <is>
          <t>https://amazon.com/dp/B0C46TXHWG</t>
        </is>
      </c>
      <c r="L64" s="34">
        <f>HYPERLINK(Generic_2[[#This Row],[Column1]])</f>
        <v/>
      </c>
    </row>
    <row r="65" ht="45" customHeight="1" s="290">
      <c r="A65" s="30" t="inlineStr">
        <is>
          <t>PT30+Cable Bundle-ELD Geosavi Buy America (PT30+Light Duty OBDII Square Cable)</t>
        </is>
      </c>
      <c r="B65" s="30" t="inlineStr">
        <is>
          <t>B0CTTXT5S5</t>
        </is>
      </c>
      <c r="C65" s="30" t="inlineStr">
        <is>
          <t>VCI</t>
        </is>
      </c>
      <c r="D65" s="324" t="n">
        <v>187.6217647058824</v>
      </c>
      <c r="E65" s="53" t="n">
        <v>33450.52</v>
      </c>
      <c r="F65" s="54" t="n">
        <v>6379.14</v>
      </c>
      <c r="G65" s="55" t="n">
        <v>180</v>
      </c>
      <c r="H65" s="55" t="n">
        <v>34</v>
      </c>
      <c r="I65" s="55" t="n">
        <v>5</v>
      </c>
      <c r="J65" s="56" t="n">
        <v>5</v>
      </c>
      <c r="K65" s="56" t="inlineStr">
        <is>
          <t>https://amazon.com/dp/B0CTTXT5S5</t>
        </is>
      </c>
      <c r="L65" s="34">
        <f>HYPERLINK(Generic_2[[#This Row],[Column1]])</f>
        <v/>
      </c>
    </row>
    <row r="66" ht="45" customHeight="1" s="290">
      <c r="A66" s="30" t="inlineStr">
        <is>
          <t>HPT MPVI4 Diagnostic Scanner - 2 Credits</t>
        </is>
      </c>
      <c r="B66" s="30" t="inlineStr">
        <is>
          <t>B0GJJNLVTF</t>
        </is>
      </c>
      <c r="C66" s="30" t="inlineStr">
        <is>
          <t>Dongle</t>
        </is>
      </c>
      <c r="D66" s="324" t="n">
        <v>487.1308333333333</v>
      </c>
      <c r="E66" s="53" t="n">
        <v>67713.37846153845</v>
      </c>
      <c r="F66" s="54" t="n">
        <v>5845.57</v>
      </c>
      <c r="G66" s="55" t="n">
        <v>17</v>
      </c>
      <c r="H66" s="55" t="n">
        <v>12</v>
      </c>
      <c r="I66" s="55" t="n"/>
      <c r="J66" s="56" t="n"/>
      <c r="K66" s="56" t="inlineStr">
        <is>
          <t>https://amazon.com/dp/B0GJJNLVTF</t>
        </is>
      </c>
      <c r="L66" s="34">
        <f>HYPERLINK(Generic_2[[#This Row],[Column1]])</f>
        <v/>
      </c>
    </row>
    <row r="67" ht="45" customHeight="1" s="290">
      <c r="A67" s="30" t="inlineStr">
        <is>
          <t>Generic NEXIQ 9-Pin Deutsch Adapter (1-Meter) for USB-Link 2 &amp; 3, black</t>
        </is>
      </c>
      <c r="B67" s="30" t="inlineStr">
        <is>
          <t>B0CRVX1JLN</t>
        </is>
      </c>
      <c r="C67" s="30" t="inlineStr">
        <is>
          <t>Cable/Adapter</t>
        </is>
      </c>
      <c r="D67" s="324" t="n">
        <v>175.5145454545454</v>
      </c>
      <c r="E67" s="53" t="n">
        <v>85794.46307692307</v>
      </c>
      <c r="F67" s="54" t="n">
        <v>5791.98</v>
      </c>
      <c r="G67" s="55" t="n">
        <v>459</v>
      </c>
      <c r="H67" s="55" t="n">
        <v>33</v>
      </c>
      <c r="I67" s="55" t="n">
        <v>11</v>
      </c>
      <c r="J67" s="56" t="n">
        <v>4</v>
      </c>
      <c r="K67" s="56" t="inlineStr">
        <is>
          <t>https://amazon.com/dp/B0CRVX1JLN</t>
        </is>
      </c>
      <c r="L67" s="34">
        <f>HYPERLINK(Generic_2[[#This Row],[Column1]])</f>
        <v/>
      </c>
    </row>
    <row r="68" ht="45" customHeight="1" s="290">
      <c r="A68" s="30" t="inlineStr">
        <is>
          <t>FOXWELL NT530 for Toyota, Lexus, Scion - All Systems, All Maintenance Service - Bidirectional Diagnostic Scan Tool OBD2 Scanner Automotive Code Reader ABS Bleed SRS Airbag SAS TPMS TPS EPB Oil Reset</t>
        </is>
      </c>
      <c r="B68" s="30" t="inlineStr">
        <is>
          <t>B0CZ7DVCN7</t>
        </is>
      </c>
      <c r="C68" s="30" t="inlineStr">
        <is>
          <t>Handheld</t>
        </is>
      </c>
      <c r="D68" s="324" t="n">
        <v>168.6396875</v>
      </c>
      <c r="E68" s="53" t="n">
        <v>38925.98</v>
      </c>
      <c r="F68" s="54" t="n">
        <v>5396.47</v>
      </c>
      <c r="G68" s="55" t="n">
        <v>230</v>
      </c>
      <c r="H68" s="55" t="n">
        <v>32</v>
      </c>
      <c r="I68" s="55" t="n">
        <v>11</v>
      </c>
      <c r="J68" s="56" t="n">
        <v>4.4</v>
      </c>
      <c r="K68" s="56" t="inlineStr">
        <is>
          <t>https://amazon.com/dp/B0CZ7DVCN7</t>
        </is>
      </c>
      <c r="L68" s="34">
        <f>HYPERLINK(Generic_2[[#This Row],[Column1]])</f>
        <v/>
      </c>
    </row>
    <row r="69" ht="60" customHeight="1" s="290">
      <c r="A69" s="30" t="inlineStr">
        <is>
          <t>MPVI4 HP Diagnostic Code Reader Tool, Professional Vehicle Scanner</t>
        </is>
      </c>
      <c r="B69" s="30" t="inlineStr">
        <is>
          <t>B0GSCG8HSX</t>
        </is>
      </c>
      <c r="C69" s="30" t="inlineStr">
        <is>
          <t>Dongle</t>
        </is>
      </c>
      <c r="D69" s="324" t="n">
        <v>362.8546153846154</v>
      </c>
      <c r="E69" s="53" t="n">
        <v>52613.91923076921</v>
      </c>
      <c r="F69" s="54" t="n">
        <v>4717.11</v>
      </c>
      <c r="G69" s="55" t="n">
        <v>13</v>
      </c>
      <c r="H69" s="55" t="n">
        <v>13</v>
      </c>
      <c r="I69" s="55" t="n"/>
      <c r="J69" s="56" t="n"/>
      <c r="K69" s="56" t="inlineStr">
        <is>
          <t>https://amazon.com/dp/B0GSCG8HSX</t>
        </is>
      </c>
      <c r="L69" s="34">
        <f>HYPERLINK(Generic_2[[#This Row],[Column1]])</f>
        <v/>
      </c>
    </row>
    <row r="70" ht="45" customHeight="1" s="290">
      <c r="A70" s="30" t="inlineStr">
        <is>
          <t>FOXWELL NT530 for Mercedes Benz 38 Pin - All Systems, All Maintenance Service - Bidirectional Diagnostic Scan Tool OBD2 Scanner Automotive Code Reader ABS Bleed SRS Airbag SAS TPMS TPS EPB Oil Reset</t>
        </is>
      </c>
      <c r="B70" s="30" t="inlineStr">
        <is>
          <t>B0C3HXTNLL</t>
        </is>
      </c>
      <c r="C70" s="30" t="inlineStr">
        <is>
          <t>Handheld</t>
        </is>
      </c>
      <c r="D70" s="324" t="n">
        <v>201.3405</v>
      </c>
      <c r="E70" s="53" t="n">
        <v>22329.97</v>
      </c>
      <c r="F70" s="54" t="n">
        <v>4026.81</v>
      </c>
      <c r="G70" s="55" t="n">
        <v>112</v>
      </c>
      <c r="H70" s="55" t="n">
        <v>20</v>
      </c>
      <c r="I70" s="55" t="n">
        <v>19</v>
      </c>
      <c r="J70" s="56" t="n">
        <v>3.8</v>
      </c>
      <c r="K70" s="56" t="inlineStr">
        <is>
          <t>https://amazon.com/dp/B0C3HXTNLL</t>
        </is>
      </c>
      <c r="L70" s="34">
        <f>HYPERLINK(Generic_2[[#This Row],[Column1]])</f>
        <v/>
      </c>
    </row>
    <row r="71" ht="45" customHeight="1" s="290">
      <c r="A71" s="30" t="inlineStr">
        <is>
          <t>FOXWELL NT530 for Dodge Jeep Chrysler All Systems, All Maintenance Service - Bidirectional Diagnostic Scan Tool OBD2 Scanner Automotive Code Reader ABS Bleed SRS Airbag SAS TPMS TPS EPB Oil Reset CKP</t>
        </is>
      </c>
      <c r="B71" s="30" t="inlineStr">
        <is>
          <t>B0C2D87BM8</t>
        </is>
      </c>
      <c r="C71" s="30" t="inlineStr">
        <is>
          <t>Handheld</t>
        </is>
      </c>
      <c r="D71" s="324" t="n">
        <v>172.0504347826087</v>
      </c>
      <c r="E71" s="53" t="n">
        <v>35836.18000000001</v>
      </c>
      <c r="F71" s="54" t="n">
        <v>3957.16</v>
      </c>
      <c r="G71" s="55" t="n">
        <v>213</v>
      </c>
      <c r="H71" s="55" t="n">
        <v>23</v>
      </c>
      <c r="I71" s="55" t="n">
        <v>28</v>
      </c>
      <c r="J71" s="56" t="n">
        <v>4</v>
      </c>
      <c r="K71" s="56" t="inlineStr">
        <is>
          <t>https://amazon.com/dp/B0C2D87BM8</t>
        </is>
      </c>
      <c r="L71" s="34">
        <f>HYPERLINK(Generic_2[[#This Row],[Column1]])</f>
        <v/>
      </c>
    </row>
    <row r="72" ht="45" customHeight="1" s="290">
      <c r="A72" s="30" t="inlineStr">
        <is>
          <t>MPVI4 Diagnostic Code Reader and Scan Tool with 0 Credits</t>
        </is>
      </c>
      <c r="B72" s="30" t="inlineStr">
        <is>
          <t>B0GPGL3BC4</t>
        </is>
      </c>
      <c r="C72" s="30" t="inlineStr">
        <is>
          <t>Dongle</t>
        </is>
      </c>
      <c r="D72" s="324" t="n">
        <v>397.8133333333333</v>
      </c>
      <c r="E72" s="53" t="n">
        <v>43239.24923076922</v>
      </c>
      <c r="F72" s="54" t="n">
        <v>3580.32</v>
      </c>
      <c r="G72" s="55" t="n">
        <v>9</v>
      </c>
      <c r="H72" s="55" t="n">
        <v>9</v>
      </c>
      <c r="I72" s="55" t="n"/>
      <c r="J72" s="56" t="n"/>
      <c r="K72" s="56" t="inlineStr">
        <is>
          <t>https://amazon.com/dp/B0GPGL3BC4</t>
        </is>
      </c>
      <c r="L72" s="34">
        <f>HYPERLINK(Generic_2[[#This Row],[Column1]])</f>
        <v/>
      </c>
    </row>
    <row r="73" ht="45" customHeight="1" s="290">
      <c r="A73" s="30" t="inlineStr">
        <is>
          <t>FOXWELL NT530 for Kia and Hyundai - All Systems, All Maintenance Service - Bidirectional Diagnostic Scan Tool OBD2 Scanner Automotive Code Reader ABS Bleed SRS Airbag SAS TPMS TPS EPB Oil Reset CKP</t>
        </is>
      </c>
      <c r="B73" s="30" t="inlineStr">
        <is>
          <t>B0C2DDGKYK</t>
        </is>
      </c>
      <c r="C73" s="30" t="inlineStr">
        <is>
          <t>Handheld</t>
        </is>
      </c>
      <c r="D73" s="324" t="n">
        <v>169.902380952381</v>
      </c>
      <c r="E73" s="53" t="n">
        <v>49839.77</v>
      </c>
      <c r="F73" s="54" t="n">
        <v>3567.95</v>
      </c>
      <c r="G73" s="55" t="n">
        <v>294</v>
      </c>
      <c r="H73" s="55" t="n">
        <v>21</v>
      </c>
      <c r="I73" s="55" t="n">
        <v>39</v>
      </c>
      <c r="J73" s="56" t="n">
        <v>3.8</v>
      </c>
      <c r="K73" s="56" t="inlineStr">
        <is>
          <t>https://amazon.com/dp/B0C2DDGKYK</t>
        </is>
      </c>
      <c r="L73" s="34">
        <f>HYPERLINK(Generic_2[[#This Row],[Column1]])</f>
        <v/>
      </c>
    </row>
    <row r="74" ht="45" customHeight="1" s="290">
      <c r="A74" s="30" t="inlineStr">
        <is>
          <t>Generic H00008000 Interface Cable for Edge CS2 CTS2 CTS3 Cord, OBDII to HDMI Monitor/Tuner/Insight</t>
        </is>
      </c>
      <c r="B74" s="30" t="inlineStr">
        <is>
          <t>B0B2MMYSK7</t>
        </is>
      </c>
      <c r="C74" s="30" t="inlineStr">
        <is>
          <t>Handheld</t>
        </is>
      </c>
      <c r="D74" s="324" t="n">
        <v>23.15268292682927</v>
      </c>
      <c r="E74" s="53" t="n">
        <v>32521.11</v>
      </c>
      <c r="F74" s="54" t="n">
        <v>2847.78</v>
      </c>
      <c r="G74" s="55" t="n">
        <v>1466</v>
      </c>
      <c r="H74" s="55" t="n">
        <v>123</v>
      </c>
      <c r="I74" s="55" t="n">
        <v>71</v>
      </c>
      <c r="J74" s="56" t="n">
        <v>4.6</v>
      </c>
      <c r="K74" s="56" t="inlineStr">
        <is>
          <t>https://amazon.com/dp/B0B2MMYSK7</t>
        </is>
      </c>
      <c r="L74" s="34">
        <f>HYPERLINK(Generic_2[[#This Row],[Column1]])</f>
        <v/>
      </c>
    </row>
    <row r="75" ht="45" customHeight="1" s="290">
      <c r="A75" s="30" t="inlineStr">
        <is>
          <t>FOXWELL NT530 for Volkswagen and Audi - All Systems, All Maintenance Service - Bidirectional Diagnostic Scan Tool OBD2 Scanner Automotive Code Reader ABS Bleed SRS Airbag SAS TPMS TPS EPB Oil Reset</t>
        </is>
      </c>
      <c r="B75" s="30" t="inlineStr">
        <is>
          <t>B0C2D7X37X</t>
        </is>
      </c>
      <c r="C75" s="30" t="inlineStr">
        <is>
          <t>Handheld</t>
        </is>
      </c>
      <c r="D75" s="324" t="n">
        <v>165.5417647058823</v>
      </c>
      <c r="E75" s="53" t="n">
        <v>21765.38230769231</v>
      </c>
      <c r="F75" s="54" t="n">
        <v>2814.21</v>
      </c>
      <c r="G75" s="55" t="n">
        <v>114</v>
      </c>
      <c r="H75" s="55" t="n">
        <v>17</v>
      </c>
      <c r="I75" s="55" t="n">
        <v>7</v>
      </c>
      <c r="J75" s="56" t="n">
        <v>3.6</v>
      </c>
      <c r="K75" s="56" t="inlineStr">
        <is>
          <t>https://amazon.com/dp/B0C2D7X37X</t>
        </is>
      </c>
      <c r="L75" s="34">
        <f>HYPERLINK(Generic_2[[#This Row],[Column1]])</f>
        <v/>
      </c>
    </row>
    <row r="76" ht="45" customHeight="1" s="290">
      <c r="A76" s="30" t="inlineStr">
        <is>
          <t>FOXWELL NT530 for Ford - All Systems, All Maintenance Service - Bidirectional Diagnostic Scan Tool OBD2 Scanner Automotive Code Reader ABS Bleed SRS Airbag SAS TPMS TPS EPB Oil Reset CKP</t>
        </is>
      </c>
      <c r="B76" s="30" t="inlineStr">
        <is>
          <t>B0C2D7J4KX</t>
        </is>
      </c>
      <c r="C76" s="30" t="inlineStr">
        <is>
          <t>Handheld</t>
        </is>
      </c>
      <c r="D76" s="324" t="n">
        <v>175.8235714285715</v>
      </c>
      <c r="E76" s="53" t="n">
        <v>14611.87</v>
      </c>
      <c r="F76" s="54" t="n">
        <v>2461.53</v>
      </c>
      <c r="G76" s="55" t="n">
        <v>85</v>
      </c>
      <c r="H76" s="55" t="n">
        <v>14</v>
      </c>
      <c r="I76" s="55" t="n">
        <v>7</v>
      </c>
      <c r="J76" s="56" t="n">
        <v>4.3</v>
      </c>
      <c r="K76" s="56" t="inlineStr">
        <is>
          <t>https://amazon.com/dp/B0C2D7J4KX</t>
        </is>
      </c>
      <c r="L76" s="34">
        <f>HYPERLINK(Generic_2[[#This Row],[Column1]])</f>
        <v/>
      </c>
    </row>
    <row r="77" ht="60" customHeight="1" s="290">
      <c r="A77" s="30" t="inlineStr">
        <is>
          <t>FOXWELL NT530 for Land Rover, Range Rover, Jaguar - All Maintenance Service - Bidirectional Diagnostic Scan Tool OBD2 Scanner Automotive Code Reader ABS Bleed SRS Airbag SAS TPMS TPS EPB Oil Reset CKP</t>
        </is>
      </c>
      <c r="B77" s="30" t="inlineStr">
        <is>
          <t>B0C2DC88QC</t>
        </is>
      </c>
      <c r="C77" s="30" t="inlineStr">
        <is>
          <t>Handheld</t>
        </is>
      </c>
      <c r="D77" s="324" t="n">
        <v>171.7314285714286</v>
      </c>
      <c r="E77" s="53" t="n">
        <v>21134.89</v>
      </c>
      <c r="F77" s="54" t="n">
        <v>2404.24</v>
      </c>
      <c r="G77" s="55" t="n">
        <v>126</v>
      </c>
      <c r="H77" s="55" t="n">
        <v>14</v>
      </c>
      <c r="I77" s="55" t="n">
        <v>9</v>
      </c>
      <c r="J77" s="56" t="n">
        <v>3.4</v>
      </c>
      <c r="K77" s="56" t="inlineStr">
        <is>
          <t>https://amazon.com/dp/B0C2DC88QC</t>
        </is>
      </c>
      <c r="L77" s="34">
        <f>HYPERLINK(Generic_2[[#This Row],[Column1]])</f>
        <v/>
      </c>
    </row>
    <row r="78" ht="45" customHeight="1" s="290">
      <c r="A78" s="30" t="inlineStr">
        <is>
          <t>6 Pin to 16 Pin OBD2 Adapter Cable for BRP &amp; CAN-AM, Motorcycle Diagnostic Tool Connector Fits for CAN-AM Spyder, ATV, UTV and BRP Moto Bike</t>
        </is>
      </c>
      <c r="B78" s="30" t="inlineStr">
        <is>
          <t>B0FQNXVNLL</t>
        </is>
      </c>
      <c r="C78" s="30" t="inlineStr">
        <is>
          <t>Cable/Adapter</t>
        </is>
      </c>
      <c r="D78" s="324" t="n">
        <v>9.482139303482588</v>
      </c>
      <c r="E78" s="53" t="n">
        <v>18056.85076923077</v>
      </c>
      <c r="F78" s="54" t="n">
        <v>1905.91</v>
      </c>
      <c r="G78" s="55" t="n">
        <v>554</v>
      </c>
      <c r="H78" s="55" t="n">
        <v>201</v>
      </c>
      <c r="I78" s="55" t="n">
        <v>16</v>
      </c>
      <c r="J78" s="56" t="n">
        <v>3.4</v>
      </c>
      <c r="K78" s="56" t="inlineStr">
        <is>
          <t>https://amazon.com/dp/B0FQNXVNLL</t>
        </is>
      </c>
      <c r="L78" s="34">
        <f>HYPERLINK(Generic_2[[#This Row],[Column1]])</f>
        <v/>
      </c>
    </row>
    <row r="79" ht="45" customHeight="1" s="290">
      <c r="A79" s="30" t="inlineStr">
        <is>
          <t>FOXWELL NT530 for Volvo - All Systems, All Maintenance Service - Bidirectional Diagnostic Scan Tool OBD2 Scanner Automotive Code Reader ABS Bleed SRS Airbag SAS TPMS TPS EPB Oil Reset CKP</t>
        </is>
      </c>
      <c r="B79" s="30" t="inlineStr">
        <is>
          <t>B0C2D7WYG9</t>
        </is>
      </c>
      <c r="C79" s="30" t="inlineStr">
        <is>
          <t>Handheld</t>
        </is>
      </c>
      <c r="D79" s="324" t="n">
        <v>169.1745454545455</v>
      </c>
      <c r="E79" s="53" t="n">
        <v>26684.34</v>
      </c>
      <c r="F79" s="54" t="n">
        <v>1860.92</v>
      </c>
      <c r="G79" s="55" t="n">
        <v>157</v>
      </c>
      <c r="H79" s="55" t="n">
        <v>11</v>
      </c>
      <c r="I79" s="55" t="n">
        <v>16</v>
      </c>
      <c r="J79" s="56" t="n">
        <v>4.2</v>
      </c>
      <c r="K79" s="56" t="inlineStr">
        <is>
          <t>https://amazon.com/dp/B0C2D7WYG9</t>
        </is>
      </c>
      <c r="L79" s="34">
        <f>HYPERLINK(Generic_2[[#This Row],[Column1]])</f>
        <v/>
      </c>
    </row>
    <row r="80" ht="45" customHeight="1" s="290">
      <c r="A80" s="30" t="inlineStr">
        <is>
          <t>OBD2 to USB Cable Diagnostic Tool OBD2 Code Reader Scanner USB Interface OBD to USB Adapter OBD2 Connector OBDII Scan Automotive for GM Chevy Ford Toyota Honda Car SUV Pickup for Laptop</t>
        </is>
      </c>
      <c r="B80" s="30" t="inlineStr">
        <is>
          <t>B0GL42JYN7</t>
        </is>
      </c>
      <c r="C80" s="30" t="inlineStr">
        <is>
          <t>Cable/Adapter</t>
        </is>
      </c>
      <c r="D80" s="324" t="n">
        <v>13.71792</v>
      </c>
      <c r="E80" s="53" t="n">
        <v>19125.94615384616</v>
      </c>
      <c r="F80" s="54" t="n">
        <v>1714.74</v>
      </c>
      <c r="G80" s="55" t="n">
        <v>125</v>
      </c>
      <c r="H80" s="55" t="n">
        <v>125</v>
      </c>
      <c r="I80" s="55" t="n">
        <v>1</v>
      </c>
      <c r="J80" s="56" t="n">
        <v>5</v>
      </c>
      <c r="K80" s="56" t="inlineStr">
        <is>
          <t>https://amazon.com/dp/B0GL42JYN7</t>
        </is>
      </c>
      <c r="L80" s="34">
        <f>HYPERLINK(Generic_2[[#This Row],[Column1]])</f>
        <v/>
      </c>
    </row>
    <row r="81" ht="45" customHeight="1" s="290">
      <c r="A81" s="30" t="inlineStr">
        <is>
          <t>88894000 for Vocom II Communications Unit Adapter - Diagnostic Tool with Software for Trucks, Excavators, Buses and Yachts (Tool with Software)</t>
        </is>
      </c>
      <c r="B81" s="30" t="inlineStr">
        <is>
          <t>B0FH4MV5CT</t>
        </is>
      </c>
      <c r="C81" s="30" t="inlineStr">
        <is>
          <t>VCI</t>
        </is>
      </c>
      <c r="D81" s="324" t="n">
        <v>421.65</v>
      </c>
      <c r="E81" s="53" t="n">
        <v>16638.10923076923</v>
      </c>
      <c r="F81" s="54" t="n">
        <v>1686.6</v>
      </c>
      <c r="G81" s="55" t="n">
        <v>15</v>
      </c>
      <c r="H81" s="55" t="n">
        <v>4</v>
      </c>
      <c r="I81" s="55" t="n"/>
      <c r="J81" s="56" t="n"/>
      <c r="K81" s="56" t="inlineStr">
        <is>
          <t>https://amazon.com/dp/B0FH4MV5CT</t>
        </is>
      </c>
      <c r="L81" s="34">
        <f>HYPERLINK(Generic_2[[#This Row],[Column1]])</f>
        <v/>
      </c>
    </row>
    <row r="82" ht="45" customHeight="1" s="290">
      <c r="A82" s="30" t="inlineStr">
        <is>
          <t>ET3 317-7485 for Caterpillar CAT Communication Adapter Diagnostic Tool Truck Excavator Engine with 2019C 6+9+14pin Cable (with Laptop)</t>
        </is>
      </c>
      <c r="B82" s="30" t="inlineStr">
        <is>
          <t>B0CLD5Y59K</t>
        </is>
      </c>
      <c r="C82" s="30" t="inlineStr">
        <is>
          <t>VCI</t>
        </is>
      </c>
      <c r="D82" s="324" t="n">
        <v>829.365</v>
      </c>
      <c r="E82" s="53" t="n">
        <v>4530.820000000001</v>
      </c>
      <c r="F82" s="54" t="n">
        <v>1658.73</v>
      </c>
      <c r="G82" s="55" t="n">
        <v>7</v>
      </c>
      <c r="H82" s="55" t="n">
        <v>2</v>
      </c>
      <c r="I82" s="55" t="n"/>
      <c r="J82" s="56" t="n"/>
      <c r="K82" s="56" t="inlineStr">
        <is>
          <t>https://amazon.com/dp/B0CLD5Y59K</t>
        </is>
      </c>
      <c r="L82" s="34">
        <f>HYPERLINK(Generic_2[[#This Row],[Column1]])</f>
        <v/>
      </c>
    </row>
    <row r="83" ht="30" customHeight="1" s="290">
      <c r="A83" s="30" t="inlineStr">
        <is>
          <t>PT30+Cable Bundle-TT ELD -Bluestar ELD - ELD365 -ELD24/7 Geosavi Buy America (PT30+Cable Compatible with OBDII Heavy Duty Volvo Trucks)</t>
        </is>
      </c>
      <c r="B83" s="30" t="inlineStr">
        <is>
          <t>B0CHZ93Z9J</t>
        </is>
      </c>
      <c r="C83" s="30" t="inlineStr">
        <is>
          <t>Other</t>
        </is>
      </c>
      <c r="D83" s="324" t="n">
        <v>199.7575</v>
      </c>
      <c r="E83" s="53" t="n">
        <v>16336.63692307692</v>
      </c>
      <c r="F83" s="54" t="n">
        <v>1598.06</v>
      </c>
      <c r="G83" s="55" t="n">
        <v>64</v>
      </c>
      <c r="H83" s="55" t="n">
        <v>8</v>
      </c>
      <c r="I83" s="55" t="n">
        <v>8</v>
      </c>
      <c r="J83" s="56" t="n">
        <v>5</v>
      </c>
      <c r="K83" s="56" t="inlineStr">
        <is>
          <t>https://amazon.com/dp/B0CHZ93Z9J</t>
        </is>
      </c>
      <c r="L83" s="34">
        <f>HYPERLINK(Generic_2[[#This Row],[Column1]])</f>
        <v/>
      </c>
    </row>
    <row r="84" ht="45" customHeight="1" s="290">
      <c r="A84" s="30" t="inlineStr">
        <is>
          <t>2024 G' M MDI2 Multi Diagnostic Interface Scanner EL-52100-AM for DLC Cable Plug 2 WF Interface Scanner Kit with OBD2 USB 2.0 Interface (No WiFi)</t>
        </is>
      </c>
      <c r="B84" s="30" t="inlineStr">
        <is>
          <t>B0FWQZVLZC</t>
        </is>
      </c>
      <c r="C84" s="30" t="inlineStr">
        <is>
          <t>VCI</t>
        </is>
      </c>
      <c r="D84" s="324" t="n">
        <v>326.2925</v>
      </c>
      <c r="E84" s="53" t="n">
        <v>11971.75615384616</v>
      </c>
      <c r="F84" s="54" t="n">
        <v>1305.17</v>
      </c>
      <c r="G84" s="55" t="n">
        <v>11</v>
      </c>
      <c r="H84" s="55" t="n">
        <v>4</v>
      </c>
      <c r="I84" s="55" t="n"/>
      <c r="J84" s="56" t="n"/>
      <c r="K84" s="56" t="inlineStr">
        <is>
          <t>https://amazon.com/dp/B0FWQZVLZC</t>
        </is>
      </c>
      <c r="L84" s="34">
        <f>HYPERLINK(Generic_2[[#This Row],[Column1]])</f>
        <v/>
      </c>
    </row>
    <row r="85" ht="45" customHeight="1" s="290">
      <c r="A85" s="30" t="inlineStr">
        <is>
          <t>Scanner Diagnostic Tool Service System IDSS Hardware and Software Solution for Truck Diagnosis and Repair for Isuzu G-IDSS Products are unive (G-IDSS Tool)</t>
        </is>
      </c>
      <c r="B85" s="30" t="inlineStr">
        <is>
          <t>B0CLGVMJ3M</t>
        </is>
      </c>
      <c r="C85" s="30" t="inlineStr">
        <is>
          <t>VCI</t>
        </is>
      </c>
      <c r="D85" s="324" t="n">
        <v>1209.28</v>
      </c>
      <c r="E85" s="53" t="n">
        <v>14237.41</v>
      </c>
      <c r="F85" s="54" t="n">
        <v>1209.28</v>
      </c>
      <c r="G85" s="55" t="n">
        <v>10</v>
      </c>
      <c r="H85" s="55" t="n">
        <v>1</v>
      </c>
      <c r="I85" s="55" t="n"/>
      <c r="J85" s="56" t="n"/>
      <c r="K85" s="56" t="inlineStr">
        <is>
          <t>https://amazon.com/dp/B0CLGVMJ3M</t>
        </is>
      </c>
      <c r="L85" s="34">
        <f>HYPERLINK(Generic_2[[#This Row],[Column1]])</f>
        <v/>
      </c>
    </row>
    <row r="86" ht="45" customHeight="1" s="290">
      <c r="A86" s="30" t="inlineStr">
        <is>
          <t>FOXWELL NT530 for Mercedes Benz (16 Pin) - All Systems, All Maintenance Service - Bidirectional Diagnostic Scan Tool OBD2 Scanner Automotive Code Reader ABS Bleed SRS Airbag SAS TPMS TPS EPB Oil Reset</t>
        </is>
      </c>
      <c r="B86" s="30" t="inlineStr">
        <is>
          <t>B0C2DCY5PR</t>
        </is>
      </c>
      <c r="C86" s="30" t="inlineStr">
        <is>
          <t>Handheld</t>
        </is>
      </c>
      <c r="D86" s="324" t="n">
        <v>167.7542857142857</v>
      </c>
      <c r="E86" s="53" t="n">
        <v>33885.87</v>
      </c>
      <c r="F86" s="54" t="n">
        <v>1174.28</v>
      </c>
      <c r="G86" s="55" t="n">
        <v>202</v>
      </c>
      <c r="H86" s="55" t="n">
        <v>7</v>
      </c>
      <c r="I86" s="55" t="n">
        <v>15</v>
      </c>
      <c r="J86" s="56" t="n">
        <v>4.2</v>
      </c>
      <c r="K86" s="56" t="inlineStr">
        <is>
          <t>https://amazon.com/dp/B0C2DCY5PR</t>
        </is>
      </c>
      <c r="L86" s="34">
        <f>HYPERLINK(Generic_2[[#This Row],[Column1]])</f>
        <v/>
      </c>
    </row>
    <row r="87" ht="45" customHeight="1" s="290">
      <c r="A87" s="30" t="inlineStr">
        <is>
          <t>NEXIQ USB Link 3 Wireless Bundle with J560 PLC Adapter</t>
        </is>
      </c>
      <c r="B87" s="30" t="inlineStr">
        <is>
          <t>B0D68GNPH5</t>
        </is>
      </c>
      <c r="C87" s="30" t="inlineStr">
        <is>
          <t>VCI</t>
        </is>
      </c>
      <c r="D87" s="324" t="n">
        <v>1133.89</v>
      </c>
      <c r="E87" s="53" t="n">
        <v>17243.06</v>
      </c>
      <c r="F87" s="54" t="n">
        <v>1133.89</v>
      </c>
      <c r="G87" s="55" t="n">
        <v>17</v>
      </c>
      <c r="H87" s="55" t="n">
        <v>1</v>
      </c>
      <c r="I87" s="55" t="n"/>
      <c r="J87" s="56" t="n"/>
      <c r="K87" s="56" t="inlineStr">
        <is>
          <t>https://amazon.com/dp/B0D68GNPH5</t>
        </is>
      </c>
      <c r="L87" s="34">
        <f>HYPERLINK(Generic_2[[#This Row],[Column1]])</f>
        <v/>
      </c>
    </row>
    <row r="88" ht="45" customHeight="1" s="290">
      <c r="A88" s="30" t="inlineStr">
        <is>
          <t>PT30+Cable Bundle-Holiday Sale-ELD Geosavi Buy America (PT30+ Panel Cables for Heavy-Duty Volvo - Black)</t>
        </is>
      </c>
      <c r="B88" s="30" t="inlineStr">
        <is>
          <t>B0CQF62P8R</t>
        </is>
      </c>
      <c r="C88" s="30" t="inlineStr">
        <is>
          <t>Other</t>
        </is>
      </c>
      <c r="D88" s="324" t="n">
        <v>181.4883333333333</v>
      </c>
      <c r="E88" s="53" t="n">
        <v>12414.74615384615</v>
      </c>
      <c r="F88" s="54" t="n">
        <v>1088.93</v>
      </c>
      <c r="G88" s="55" t="n">
        <v>60</v>
      </c>
      <c r="H88" s="55" t="n">
        <v>6</v>
      </c>
      <c r="I88" s="55" t="n">
        <v>2</v>
      </c>
      <c r="J88" s="56" t="n">
        <v>3.9</v>
      </c>
      <c r="K88" s="56" t="inlineStr">
        <is>
          <t>https://amazon.com/dp/B0CQF62P8R</t>
        </is>
      </c>
      <c r="L88" s="34">
        <f>HYPERLINK(Generic_2[[#This Row],[Column1]])</f>
        <v/>
      </c>
    </row>
    <row r="89" ht="45" customHeight="1" s="290">
      <c r="A89" s="30" t="inlineStr">
        <is>
          <t>OBDII Motorcycle Adapter Cable - 16 Pin to 8 Pin Polaris Connector for Diagnostic Code Reader Scanner, Fits RZR, Ranger, Slingshot, Sportsman ATV</t>
        </is>
      </c>
      <c r="B89" s="30" t="inlineStr">
        <is>
          <t>B0FQP1L2NG</t>
        </is>
      </c>
      <c r="C89" s="30" t="inlineStr">
        <is>
          <t>Cable/Adapter</t>
        </is>
      </c>
      <c r="D89" s="324" t="n">
        <v>10.4339603960396</v>
      </c>
      <c r="E89" s="53" t="n">
        <v>13420.24923076923</v>
      </c>
      <c r="F89" s="54" t="n">
        <v>1053.83</v>
      </c>
      <c r="G89" s="55" t="n">
        <v>576</v>
      </c>
      <c r="H89" s="55" t="n">
        <v>101</v>
      </c>
      <c r="I89" s="55" t="n">
        <v>9</v>
      </c>
      <c r="J89" s="56" t="n">
        <v>3.8</v>
      </c>
      <c r="K89" s="56" t="inlineStr">
        <is>
          <t>https://amazon.com/dp/B0FQP1L2NG</t>
        </is>
      </c>
      <c r="L89" s="34">
        <f>HYPERLINK(Generic_2[[#This Row],[Column1]])</f>
        <v/>
      </c>
    </row>
    <row r="90" ht="45" customHeight="1" s="290">
      <c r="A90" s="30" t="inlineStr">
        <is>
          <t>OBD2 Adapter for Harleyy, 2-in-1 [4 Pin + 6 Pin] to 16 Pin Motorcycle Diagnostic Cable, Professional Scanner Tool Connector for Softail, Sportster Models</t>
        </is>
      </c>
      <c r="B90" s="30" t="inlineStr">
        <is>
          <t>B0FR4VC5L5</t>
        </is>
      </c>
      <c r="C90" s="30" t="inlineStr">
        <is>
          <t>Cable/Adapter</t>
        </is>
      </c>
      <c r="D90" s="324" t="n">
        <v>11.48068965517241</v>
      </c>
      <c r="E90" s="53" t="n">
        <v>8307.233846153847</v>
      </c>
      <c r="F90" s="54" t="n">
        <v>998.8200000000001</v>
      </c>
      <c r="G90" s="55" t="n">
        <v>148</v>
      </c>
      <c r="H90" s="55" t="n">
        <v>87</v>
      </c>
      <c r="I90" s="55" t="n">
        <v>4</v>
      </c>
      <c r="J90" s="56" t="n">
        <v>4.3</v>
      </c>
      <c r="K90" s="56" t="inlineStr">
        <is>
          <t>https://amazon.com/dp/B0FR4VC5L5</t>
        </is>
      </c>
      <c r="L90" s="34">
        <f>HYPERLINK(Generic_2[[#This Row],[Column1]])</f>
        <v/>
      </c>
    </row>
    <row r="91" ht="45" customHeight="1" s="290">
      <c r="A91" s="30" t="inlineStr">
        <is>
          <t>FOXWELL NT680 OBD2 Scanner - All Systems Car Diagnostic Tool for All Makes All Models - Oil Reset, Electronic Parking Brake Reset OBD Scanner Diagnostic Tool</t>
        </is>
      </c>
      <c r="B91" s="30" t="inlineStr">
        <is>
          <t>B0C46TNYVM</t>
        </is>
      </c>
      <c r="C91" s="30" t="inlineStr">
        <is>
          <t>Handheld</t>
        </is>
      </c>
      <c r="D91" s="324" t="n">
        <v>185.784</v>
      </c>
      <c r="E91" s="53" t="n">
        <v>11097.02</v>
      </c>
      <c r="F91" s="54" t="n">
        <v>928.92</v>
      </c>
      <c r="G91" s="55" t="n">
        <v>56</v>
      </c>
      <c r="H91" s="55" t="n">
        <v>5</v>
      </c>
      <c r="I91" s="55" t="n">
        <v>8</v>
      </c>
      <c r="J91" s="56" t="n">
        <v>3.4</v>
      </c>
      <c r="K91" s="56" t="inlineStr">
        <is>
          <t>https://amazon.com/dp/B0C46TNYVM</t>
        </is>
      </c>
      <c r="L91" s="34">
        <f>HYPERLINK(Generic_2[[#This Row],[Column1]])</f>
        <v/>
      </c>
    </row>
    <row r="92" ht="45" customHeight="1" s="290">
      <c r="A92" s="30" t="inlineStr">
        <is>
          <t>HUF TPMS DT41 TOOL &amp; 20 DUAL-BAND SENSORS BUNDLE ALL WIRES and PLUGS.</t>
        </is>
      </c>
      <c r="B92" s="30" t="inlineStr">
        <is>
          <t>B0B781MXYQ</t>
        </is>
      </c>
      <c r="C92" s="30" t="inlineStr">
        <is>
          <t>Other</t>
        </is>
      </c>
      <c r="D92" s="324" t="n">
        <v>457.975</v>
      </c>
      <c r="E92" s="53" t="n">
        <v>10591.65846153846</v>
      </c>
      <c r="F92" s="54" t="n">
        <v>915.95</v>
      </c>
      <c r="G92" s="55" t="n">
        <v>9</v>
      </c>
      <c r="H92" s="55" t="n">
        <v>2</v>
      </c>
      <c r="I92" s="55" t="n"/>
      <c r="J92" s="56" t="n"/>
      <c r="K92" s="56" t="inlineStr">
        <is>
          <t>https://amazon.com/dp/B0B781MXYQ</t>
        </is>
      </c>
      <c r="L92" s="34">
        <f>HYPERLINK(Generic_2[[#This Row],[Column1]])</f>
        <v/>
      </c>
    </row>
    <row r="93" ht="45" customHeight="1" s="290">
      <c r="A93" s="30" t="inlineStr">
        <is>
          <t>PT30+Cable Bundle-Holiday Sale-ELD Geosavi Buy America (PT30+Green Cable - Molex to 9-pin Green)</t>
        </is>
      </c>
      <c r="B93" s="30" t="inlineStr">
        <is>
          <t>B0CQDKMY2J</t>
        </is>
      </c>
      <c r="C93" s="30" t="inlineStr">
        <is>
          <t>Other</t>
        </is>
      </c>
      <c r="D93" s="324" t="n">
        <v>172.454</v>
      </c>
      <c r="E93" s="53" t="n">
        <v>9906.636923076923</v>
      </c>
      <c r="F93" s="54" t="n">
        <v>862.27</v>
      </c>
      <c r="G93" s="55" t="n">
        <v>7</v>
      </c>
      <c r="H93" s="55" t="n">
        <v>5</v>
      </c>
      <c r="I93" s="55" t="n">
        <v>1</v>
      </c>
      <c r="J93" s="56" t="n">
        <v>5</v>
      </c>
      <c r="K93" s="56" t="inlineStr">
        <is>
          <t>https://amazon.com/dp/B0CQDKMY2J</t>
        </is>
      </c>
      <c r="L93" s="34">
        <f>HYPERLINK(Generic_2[[#This Row],[Column1]])</f>
        <v/>
      </c>
    </row>
    <row r="94" ht="60" customHeight="1" s="290">
      <c r="A94" s="30" t="inlineStr">
        <is>
          <t>478-0235 538-5051 317-7485 ET4 Communication Adapter 3 2019C 2023A for Caterpillar cat Adapter 3 Heavy Duty Truck Diagnostic Tool (with Tablet)</t>
        </is>
      </c>
      <c r="B94" s="30" t="inlineStr">
        <is>
          <t>B0CJTXZL59</t>
        </is>
      </c>
      <c r="C94" s="30" t="inlineStr">
        <is>
          <t>VCI</t>
        </is>
      </c>
      <c r="D94" s="324" t="n">
        <v>850.2</v>
      </c>
      <c r="E94" s="53" t="n">
        <v>9921.41</v>
      </c>
      <c r="F94" s="54" t="n">
        <v>850.2</v>
      </c>
      <c r="G94" s="55" t="n">
        <v>13</v>
      </c>
      <c r="H94" s="55" t="n">
        <v>1</v>
      </c>
      <c r="I94" s="55" t="n"/>
      <c r="J94" s="56" t="n"/>
      <c r="K94" s="56" t="inlineStr">
        <is>
          <t>https://amazon.com/dp/B0CJTXZL59</t>
        </is>
      </c>
      <c r="L94" s="34">
        <f>HYPERLINK(Generic_2[[#This Row],[Column1]])</f>
        <v/>
      </c>
    </row>
    <row r="95" ht="45" customHeight="1" s="290">
      <c r="A95" s="30" t="inlineStr">
        <is>
          <t>for DOOSAN uVIM Diagnostic Scanner, Excavator Forklift Engine Fault Code Reader OBD Interface, SCR DPF G2 ECU DCU Diagnostic Tool 2025 Software (vcm3)</t>
        </is>
      </c>
      <c r="B95" s="30" t="inlineStr">
        <is>
          <t>B0FXWNCLGG</t>
        </is>
      </c>
      <c r="C95" s="30" t="inlineStr">
        <is>
          <t>VCI</t>
        </is>
      </c>
      <c r="D95" s="324" t="n">
        <v>829.98</v>
      </c>
      <c r="E95" s="53" t="n">
        <v>10023.60461538462</v>
      </c>
      <c r="F95" s="54" t="n">
        <v>829.98</v>
      </c>
      <c r="G95" s="55" t="n">
        <v>1</v>
      </c>
      <c r="H95" s="55" t="n">
        <v>1</v>
      </c>
      <c r="I95" s="55" t="n"/>
      <c r="J95" s="56" t="n"/>
      <c r="K95" s="56" t="inlineStr">
        <is>
          <t>https://amazon.com/dp/B0FXWNCLGG</t>
        </is>
      </c>
      <c r="L95" s="34">
        <f>HYPERLINK(Generic_2[[#This Row],[Column1]])</f>
        <v/>
      </c>
    </row>
    <row r="96" ht="45" customHeight="1" s="290">
      <c r="A96" s="30" t="inlineStr">
        <is>
          <t>478-0235 538-5051 317-7485 ET4 Communication Adapter 3 2019C 2023A for Caterpillar cat Adapter 3 Heavy Duty Truck Diagnostic Tool (ET4)</t>
        </is>
      </c>
      <c r="B96" s="30" t="inlineStr">
        <is>
          <t>B0CJTTSGFQ</t>
        </is>
      </c>
      <c r="C96" s="30" t="inlineStr">
        <is>
          <t>VCI</t>
        </is>
      </c>
      <c r="D96" s="324" t="n">
        <v>370.35</v>
      </c>
      <c r="E96" s="53" t="n">
        <v>9203.470000000001</v>
      </c>
      <c r="F96" s="54" t="n">
        <v>740.7</v>
      </c>
      <c r="G96" s="55" t="n">
        <v>26</v>
      </c>
      <c r="H96" s="55" t="n">
        <v>2</v>
      </c>
      <c r="I96" s="55" t="n">
        <v>1</v>
      </c>
      <c r="J96" s="56" t="n">
        <v>5</v>
      </c>
      <c r="K96" s="56" t="inlineStr">
        <is>
          <t>https://amazon.com/dp/B0CJTTSGFQ</t>
        </is>
      </c>
      <c r="L96" s="34">
        <f>HYPERLINK(Generic_2[[#This Row],[Column1]])</f>
        <v/>
      </c>
    </row>
    <row r="97" ht="45" customHeight="1" s="290">
      <c r="A97" s="30" t="inlineStr">
        <is>
          <t>New! Fits ICON T7 Professional Wired Diagnostics Tablet Scanner Mechanic's Choice OBD2 Scanner Gives Full Access to All Systems, Including Bidirectional Controls, Resets, Relearns &amp; Special Functions</t>
        </is>
      </c>
      <c r="B97" s="30" t="inlineStr">
        <is>
          <t>B0DGCDH3TY</t>
        </is>
      </c>
      <c r="C97" s="30" t="inlineStr">
        <is>
          <t>Tablet</t>
        </is>
      </c>
      <c r="D97" s="324" t="n">
        <v>733.25</v>
      </c>
      <c r="E97" s="53" t="n">
        <v>3896.95</v>
      </c>
      <c r="F97" s="54" t="n">
        <v>733.25</v>
      </c>
      <c r="G97" s="55" t="n">
        <v>5</v>
      </c>
      <c r="H97" s="55" t="n">
        <v>1</v>
      </c>
      <c r="I97" s="55" t="n">
        <v>1</v>
      </c>
      <c r="J97" s="56" t="n">
        <v>5</v>
      </c>
      <c r="K97" s="56" t="inlineStr">
        <is>
          <t>https://amazon.com/dp/B0DGCDH3TY</t>
        </is>
      </c>
      <c r="L97" s="34">
        <f>HYPERLINK(Generic_2[[#This Row],[Column1]])</f>
        <v/>
      </c>
    </row>
    <row r="98" ht="60" customHeight="1" s="290">
      <c r="A98" s="30" t="inlineStr">
        <is>
          <t>ET3 317-7485 for Caterpillar Communication Adapter Diagnostic Tool Truck Excavator Engine with 2019C 6+9+14pin Cable (with Tablet)</t>
        </is>
      </c>
      <c r="B98" s="30" t="inlineStr">
        <is>
          <t>B0CJ6HY3BX</t>
        </is>
      </c>
      <c r="C98" s="30" t="inlineStr">
        <is>
          <t>VCI</t>
        </is>
      </c>
      <c r="D98" s="324" t="n">
        <v>730.26</v>
      </c>
      <c r="E98" s="53" t="n">
        <v>6569.129999999999</v>
      </c>
      <c r="F98" s="54" t="n">
        <v>730.26</v>
      </c>
      <c r="G98" s="55" t="n">
        <v>10</v>
      </c>
      <c r="H98" s="55" t="n">
        <v>1</v>
      </c>
      <c r="I98" s="55" t="n">
        <v>3</v>
      </c>
      <c r="J98" s="56" t="n">
        <v>3.7</v>
      </c>
      <c r="K98" s="56" t="inlineStr">
        <is>
          <t>https://amazon.com/dp/B0CJ6HY3BX</t>
        </is>
      </c>
      <c r="L98" s="34">
        <f>HYPERLINK(Generic_2[[#This Row],[Column1]])</f>
        <v/>
      </c>
    </row>
    <row r="99" ht="45" customHeight="1" s="290">
      <c r="A99" s="30" t="inlineStr">
        <is>
          <t>for SM2 P/RO J2534 Update Version V1.21.22 with Dongle Program Read and Write 67 in 1 OBDII Tools Full Engineer (SM2 PRO US Standard with 2 dongles)</t>
        </is>
      </c>
      <c r="B99" s="30" t="inlineStr">
        <is>
          <t>B0FWQZ15FQ</t>
        </is>
      </c>
      <c r="C99" s="30" t="inlineStr">
        <is>
          <t>VCI</t>
        </is>
      </c>
      <c r="D99" s="324" t="n">
        <v>115.202</v>
      </c>
      <c r="E99" s="53" t="n">
        <v>6133.462307692308</v>
      </c>
      <c r="F99" s="54" t="n">
        <v>576.01</v>
      </c>
      <c r="G99" s="55" t="n">
        <v>17</v>
      </c>
      <c r="H99" s="55" t="n">
        <v>5</v>
      </c>
      <c r="I99" s="55" t="n"/>
      <c r="J99" s="56" t="n"/>
      <c r="K99" s="56" t="inlineStr">
        <is>
          <t>https://amazon.com/dp/B0FWQZ15FQ</t>
        </is>
      </c>
      <c r="L99" s="34">
        <f>HYPERLINK(Generic_2[[#This Row],[Column1]])</f>
        <v/>
      </c>
    </row>
    <row r="100" ht="45" customHeight="1" s="290">
      <c r="A100" s="30" t="inlineStr">
        <is>
          <t>88890300 Vocom I Engine Diagnostic Scanner Tool,for VOCOM Interface Excavators Or Heavy-Duty Truck Scanner (88890300 Tools)</t>
        </is>
      </c>
      <c r="B100" s="30" t="inlineStr">
        <is>
          <t>B0FJLDHFTJ</t>
        </is>
      </c>
      <c r="C100" s="30" t="inlineStr">
        <is>
          <t>VCI</t>
        </is>
      </c>
      <c r="D100" s="324" t="n">
        <v>570.49</v>
      </c>
      <c r="E100" s="53" t="n">
        <v>3203.520769230769</v>
      </c>
      <c r="F100" s="54" t="n">
        <v>570.49</v>
      </c>
      <c r="G100" s="55" t="n">
        <v>1</v>
      </c>
      <c r="H100" s="55" t="n">
        <v>1</v>
      </c>
      <c r="I100" s="55" t="n"/>
      <c r="J100" s="56" t="n"/>
      <c r="K100" s="56" t="inlineStr">
        <is>
          <t>https://amazon.com/dp/B0FJLDHFTJ</t>
        </is>
      </c>
      <c r="L100" s="34">
        <f>HYPERLINK(Generic_2[[#This Row],[Column1]])</f>
        <v/>
      </c>
    </row>
    <row r="101" ht="45" customHeight="1" s="290">
      <c r="A101" s="30" t="inlineStr">
        <is>
          <t>for 1pc AK90+ AK90 Auto Key Programmer for EWS Version V3.19 Key Maker for Programming Tool</t>
        </is>
      </c>
      <c r="B101" s="30" t="inlineStr">
        <is>
          <t>B0F9KG8N2Z</t>
        </is>
      </c>
      <c r="C101" s="30" t="inlineStr">
        <is>
          <t>Key</t>
        </is>
      </c>
      <c r="D101" s="324" t="n">
        <v>39.00357142857143</v>
      </c>
      <c r="E101" s="53" t="n">
        <v>4835.513076923076</v>
      </c>
      <c r="F101" s="54" t="n">
        <v>546.05</v>
      </c>
      <c r="G101" s="55" t="n">
        <v>33</v>
      </c>
      <c r="H101" s="55" t="n">
        <v>14</v>
      </c>
      <c r="I101" s="55" t="n">
        <v>1</v>
      </c>
      <c r="J101" s="56" t="n">
        <v>5</v>
      </c>
      <c r="K101" s="56" t="inlineStr">
        <is>
          <t>https://amazon.com/dp/B0F9KG8N2Z</t>
        </is>
      </c>
      <c r="L101" s="34">
        <f>HYPERLINK(Generic_2[[#This Row],[Column1]])</f>
        <v/>
      </c>
    </row>
    <row r="102" ht="45" customHeight="1" s="290">
      <c r="A102" s="30" t="inlineStr">
        <is>
          <t>for 1PC MPPS V18 EDC15 EDC16 EDC17 Multi-Language with Breakout Tricore Cable Tool</t>
        </is>
      </c>
      <c r="B102" s="30" t="inlineStr">
        <is>
          <t>B0F9Y5TRWS</t>
        </is>
      </c>
      <c r="C102" s="30" t="inlineStr">
        <is>
          <t>Cable/Adapter</t>
        </is>
      </c>
      <c r="D102" s="324" t="n">
        <v>38.80416666666667</v>
      </c>
      <c r="E102" s="53" t="n">
        <v>5623.619230769229</v>
      </c>
      <c r="F102" s="54" t="n">
        <v>465.65</v>
      </c>
      <c r="G102" s="55" t="n">
        <v>12</v>
      </c>
      <c r="H102" s="55" t="n">
        <v>12</v>
      </c>
      <c r="I102" s="55" t="n"/>
      <c r="J102" s="56" t="n"/>
      <c r="K102" s="56" t="inlineStr">
        <is>
          <t>https://amazon.com/dp/B0F9Y5TRWS</t>
        </is>
      </c>
      <c r="L102" s="34">
        <f>HYPERLINK(Generic_2[[#This Row],[Column1]])</f>
        <v/>
      </c>
    </row>
    <row r="103" ht="45" customHeight="1" s="290">
      <c r="A103" s="30" t="inlineStr">
        <is>
          <t>FOXWELL NT680 Pro OBD2 Scanner - Diagnostic Scan Tool, Full System Car Scanner - 19 Reset Service Code Reader - Automotive Professional Scanner with Oil Light, EPB/TPS Reset</t>
        </is>
      </c>
      <c r="B103" s="30" t="inlineStr">
        <is>
          <t>B0C46Z3Q91</t>
        </is>
      </c>
      <c r="C103" s="30" t="inlineStr">
        <is>
          <t>Handheld</t>
        </is>
      </c>
      <c r="D103" s="324" t="n">
        <v>220.015</v>
      </c>
      <c r="E103" s="53" t="n">
        <v>14803.86</v>
      </c>
      <c r="F103" s="54" t="n">
        <v>440.03</v>
      </c>
      <c r="G103" s="55" t="n">
        <v>53</v>
      </c>
      <c r="H103" s="55" t="n">
        <v>2</v>
      </c>
      <c r="I103" s="55" t="n">
        <v>8</v>
      </c>
      <c r="J103" s="56" t="n">
        <v>3.8</v>
      </c>
      <c r="K103" s="56" t="inlineStr">
        <is>
          <t>https://amazon.com/dp/B0C46Z3Q91</t>
        </is>
      </c>
      <c r="L103" s="34">
        <f>HYPERLINK(Generic_2[[#This Row],[Column1]])</f>
        <v/>
      </c>
    </row>
    <row r="104" ht="45" customHeight="1" s="290">
      <c r="A104" s="30" t="inlineStr">
        <is>
          <t>MUT-Ⅲ Scanner Tool for Mitsubishi obd2 Excavators Heavy Machinery Diagnostic Tool (with Engine Scope Software)</t>
        </is>
      </c>
      <c r="B104" s="30" t="inlineStr">
        <is>
          <t>B0CLLQGS3Y</t>
        </is>
      </c>
      <c r="C104" s="30" t="inlineStr">
        <is>
          <t>VCI</t>
        </is>
      </c>
      <c r="D104" s="324" t="n">
        <v>424.6</v>
      </c>
      <c r="E104" s="53" t="n">
        <v>1714.02</v>
      </c>
      <c r="F104" s="54" t="n">
        <v>424.6</v>
      </c>
      <c r="G104" s="55" t="n">
        <v>3</v>
      </c>
      <c r="H104" s="55" t="n">
        <v>1</v>
      </c>
      <c r="I104" s="55" t="n"/>
      <c r="J104" s="56" t="n"/>
      <c r="K104" s="56" t="inlineStr">
        <is>
          <t>https://amazon.com/dp/B0CLLQGS3Y</t>
        </is>
      </c>
      <c r="L104" s="34">
        <f>HYPERLINK(Generic_2[[#This Row],[Column1]])</f>
        <v/>
      </c>
    </row>
    <row r="105" ht="45" customHeight="1" s="290">
      <c r="A105" s="30" t="inlineStr">
        <is>
          <t>478-0235 538-5051 317-7485 ET4 Communication Adapter 3 2019C 2023A for Caterpillar cat Adapter 3 Heavy Duty Truck Diagnostic Tool (with Laptop)</t>
        </is>
      </c>
      <c r="B105" s="30" t="inlineStr">
        <is>
          <t>B0CJTX3M2Q</t>
        </is>
      </c>
      <c r="C105" s="30" t="inlineStr">
        <is>
          <t>VCI</t>
        </is>
      </c>
      <c r="D105" s="324" t="n">
        <v>415.63</v>
      </c>
      <c r="E105" s="53" t="n">
        <v>4500.22</v>
      </c>
      <c r="F105" s="54" t="n">
        <v>415.63</v>
      </c>
      <c r="G105" s="55" t="n">
        <v>7</v>
      </c>
      <c r="H105" s="55" t="n">
        <v>1</v>
      </c>
      <c r="I105" s="55" t="n"/>
      <c r="J105" s="56" t="n"/>
      <c r="K105" s="56" t="inlineStr">
        <is>
          <t>https://amazon.com/dp/B0CJTX3M2Q</t>
        </is>
      </c>
      <c r="L105" s="34">
        <f>HYPERLINK(Generic_2[[#This Row],[Column1]])</f>
        <v/>
      </c>
    </row>
    <row r="106" ht="45" customHeight="1" s="290">
      <c r="A106" s="30" t="inlineStr">
        <is>
          <t>MUT-Ⅲ Scanner Tool for Mitsubishi obd2 Excavators Heavy Machinery Diagnostic Tool (Only Tool no Software)</t>
        </is>
      </c>
      <c r="B106" s="30" t="inlineStr">
        <is>
          <t>B0CLLNLZR5</t>
        </is>
      </c>
      <c r="C106" s="30" t="inlineStr">
        <is>
          <t>VCI</t>
        </is>
      </c>
      <c r="D106" s="324" t="n">
        <v>412.47</v>
      </c>
      <c r="E106" s="53" t="n">
        <v>2223.88</v>
      </c>
      <c r="F106" s="54" t="n">
        <v>412.47</v>
      </c>
      <c r="G106" s="55" t="n">
        <v>4</v>
      </c>
      <c r="H106" s="55" t="n">
        <v>1</v>
      </c>
      <c r="I106" s="55" t="n"/>
      <c r="J106" s="56" t="n"/>
      <c r="K106" s="56" t="inlineStr">
        <is>
          <t>https://amazon.com/dp/B0CLLNLZR5</t>
        </is>
      </c>
      <c r="L106" s="34">
        <f>HYPERLINK(Generic_2[[#This Row],[Column1]])</f>
        <v/>
      </c>
    </row>
    <row r="107" ht="60" customHeight="1" s="290">
      <c r="A107" s="30" t="inlineStr">
        <is>
          <t>Universal Diagnostic Tool for 124032 Nexiq USB Link 2, Used for Diagnostic Scanning of Diesel Heavy-Duty Trucks and Excavators,Scanner with Bluetooth and USB Interface Adapter</t>
        </is>
      </c>
      <c r="B107" s="30" t="inlineStr">
        <is>
          <t>B0FS1NCT24</t>
        </is>
      </c>
      <c r="C107" s="30" t="inlineStr">
        <is>
          <t>VCI</t>
        </is>
      </c>
      <c r="D107" s="324" t="n">
        <v>199.31</v>
      </c>
      <c r="E107" s="53" t="n">
        <v>5073.016153846153</v>
      </c>
      <c r="F107" s="54" t="n">
        <v>398.62</v>
      </c>
      <c r="G107" s="55" t="n">
        <v>5</v>
      </c>
      <c r="H107" s="55" t="n">
        <v>2</v>
      </c>
      <c r="I107" s="55" t="n"/>
      <c r="J107" s="56" t="n"/>
      <c r="K107" s="56" t="inlineStr">
        <is>
          <t>https://amazon.com/dp/B0FS1NCT24</t>
        </is>
      </c>
      <c r="L107" s="34">
        <f>HYPERLINK(Generic_2[[#This Row],[Column1]])</f>
        <v/>
      </c>
    </row>
    <row r="108" ht="45" customHeight="1" s="290">
      <c r="A108" s="30" t="inlineStr">
        <is>
          <t>V519 OBD2 Scanner, Universal Check Engine Light Code Reader, Professional Diagnostic Scan Tool with Full OBDII Functions, Real-Time Data Stream, Erase Fault Codes for All Post-1996 Vehicles</t>
        </is>
      </c>
      <c r="B108" s="30" t="inlineStr">
        <is>
          <t>B0GQWWD67M</t>
        </is>
      </c>
      <c r="C108" s="30" t="inlineStr">
        <is>
          <t>Handheld</t>
        </is>
      </c>
      <c r="D108" s="324" t="n">
        <v>26.84384615384615</v>
      </c>
      <c r="E108" s="53" t="n">
        <v>4190.917692307694</v>
      </c>
      <c r="F108" s="54" t="n">
        <v>348.97</v>
      </c>
      <c r="G108" s="55" t="n">
        <v>22</v>
      </c>
      <c r="H108" s="55" t="n">
        <v>13</v>
      </c>
      <c r="I108" s="55" t="n"/>
      <c r="J108" s="56" t="n"/>
      <c r="K108" s="56" t="inlineStr">
        <is>
          <t>https://amazon.com/dp/B0GQWWD67M</t>
        </is>
      </c>
      <c r="L108" s="34">
        <f>HYPERLINK(Generic_2[[#This Row],[Column1]])</f>
        <v/>
      </c>
    </row>
    <row r="109" ht="45" customHeight="1" s="290">
      <c r="A109" s="30" t="inlineStr">
        <is>
          <t>OBD II Port Lock – OBD2 Connector Security Lock to Prevent Unauthorized Access to Vehicle ECU, Carbon Fiber Construction, US Patented, Ships in 24 Hours</t>
        </is>
      </c>
      <c r="B109" s="30" t="inlineStr">
        <is>
          <t>B0BTW92ZPS</t>
        </is>
      </c>
      <c r="C109" s="30" t="inlineStr">
        <is>
          <t>Other</t>
        </is>
      </c>
      <c r="D109" s="324" t="n">
        <v>35.64888888888888</v>
      </c>
      <c r="E109" s="53" t="n">
        <v>8501.49</v>
      </c>
      <c r="F109" s="54" t="n">
        <v>320.84</v>
      </c>
      <c r="G109" s="55" t="n">
        <v>246</v>
      </c>
      <c r="H109" s="55" t="n">
        <v>9</v>
      </c>
      <c r="I109" s="55" t="n">
        <v>259</v>
      </c>
      <c r="J109" s="56" t="n">
        <v>4</v>
      </c>
      <c r="K109" s="56" t="inlineStr">
        <is>
          <t>https://amazon.com/dp/B0BTW92ZPS</t>
        </is>
      </c>
      <c r="L109" s="34">
        <f>HYPERLINK(Generic_2[[#This Row],[Column1]])</f>
        <v/>
      </c>
    </row>
    <row r="110" ht="45" customHeight="1" s="290">
      <c r="A110" s="30" t="inlineStr">
        <is>
          <t>for Hitachi Diagnostic Scanner Dr ZX Excavator Truck with PDA EX&amp;ZX Construction Mining Equipment Diagnostic Tool</t>
        </is>
      </c>
      <c r="B110" s="30" t="inlineStr">
        <is>
          <t>B0CJ6JLTBY</t>
        </is>
      </c>
      <c r="C110" s="30" t="inlineStr">
        <is>
          <t>VCI</t>
        </is>
      </c>
      <c r="D110" s="324" t="n">
        <v>155.645</v>
      </c>
      <c r="E110" s="53" t="n">
        <v>3086.506923076922</v>
      </c>
      <c r="F110" s="54" t="n">
        <v>311.29</v>
      </c>
      <c r="G110" s="55" t="n">
        <v>4</v>
      </c>
      <c r="H110" s="55" t="n">
        <v>2</v>
      </c>
      <c r="I110" s="55" t="n"/>
      <c r="J110" s="56" t="n"/>
      <c r="K110" s="56" t="inlineStr">
        <is>
          <t>https://amazon.com/dp/B0CJ6JLTBY</t>
        </is>
      </c>
      <c r="L110" s="34">
        <f>HYPERLINK(Generic_2[[#This Row],[Column1]])</f>
        <v/>
      </c>
    </row>
    <row r="111" ht="45" customHeight="1" s="290">
      <c r="A111" s="30" t="inlineStr">
        <is>
          <t>FOXWELL i70 OE-Level All System Diagnostic Scanner - 24+ Service Reset and Clear - ABS Bleeding, EPB, SAS Calibration, Battery Replacement, TPMS, Oil Reset, Engine, Transmission, EPS and More</t>
        </is>
      </c>
      <c r="B111" s="30" t="inlineStr">
        <is>
          <t>B0C46S21YS</t>
        </is>
      </c>
      <c r="C111" s="30" t="inlineStr">
        <is>
          <t>Tablet</t>
        </is>
      </c>
      <c r="D111" s="324" t="n">
        <v>300.45</v>
      </c>
      <c r="E111" s="53" t="n">
        <v>1948.65</v>
      </c>
      <c r="F111" s="54" t="n">
        <v>300.45</v>
      </c>
      <c r="G111" s="55" t="n">
        <v>7</v>
      </c>
      <c r="H111" s="55" t="n">
        <v>1</v>
      </c>
      <c r="I111" s="55" t="n">
        <v>1</v>
      </c>
      <c r="J111" s="56" t="n">
        <v>2</v>
      </c>
      <c r="K111" s="56" t="inlineStr">
        <is>
          <t>https://amazon.com/dp/B0C46S21YS</t>
        </is>
      </c>
      <c r="L111" s="34">
        <f>HYPERLINK(Generic_2[[#This Row],[Column1]])</f>
        <v/>
      </c>
    </row>
    <row r="112" ht="45" customHeight="1" s="290">
      <c r="A112" s="30" t="inlineStr">
        <is>
          <t>Radar OBD Hardwire Kit for Dash Cam, Millimeter-Wave Motion Detection, Plug &amp; Play OBD Power Cable with Parking Mode, Low Voltage Protection</t>
        </is>
      </c>
      <c r="B112" s="30" t="inlineStr">
        <is>
          <t>B0GBW4F7BL</t>
        </is>
      </c>
      <c r="C112" s="30" t="inlineStr">
        <is>
          <t>Cable/Adapter</t>
        </is>
      </c>
      <c r="D112" s="324" t="n">
        <v>15.21157894736842</v>
      </c>
      <c r="E112" s="53" t="n">
        <v>3253.634615384616</v>
      </c>
      <c r="F112" s="54" t="n">
        <v>289.02</v>
      </c>
      <c r="G112" s="55" t="n">
        <v>21</v>
      </c>
      <c r="H112" s="55" t="n">
        <v>19</v>
      </c>
      <c r="I112" s="55" t="n">
        <v>2</v>
      </c>
      <c r="J112" s="56" t="n">
        <v>3</v>
      </c>
      <c r="K112" s="56" t="inlineStr">
        <is>
          <t>https://amazon.com/dp/B0GBW4F7BL</t>
        </is>
      </c>
      <c r="L112" s="34">
        <f>HYPERLINK(Generic_2[[#This Row],[Column1]])</f>
        <v/>
      </c>
    </row>
    <row r="113" ht="45" customHeight="1" s="290">
      <c r="A113" s="30" t="inlineStr">
        <is>
          <t>for 3165033 Inline 6 Data Link Adapter Insite 8.7 Heavy Duty Diagnostic Tool Scanner Interface CAN Flasher Remapper</t>
        </is>
      </c>
      <c r="B113" s="30" t="inlineStr">
        <is>
          <t>B0CJ6DTJHS</t>
        </is>
      </c>
      <c r="C113" s="30" t="inlineStr">
        <is>
          <t>VCI</t>
        </is>
      </c>
      <c r="D113" s="324" t="n">
        <v>245.81</v>
      </c>
      <c r="E113" s="53" t="n">
        <v>1331.341538461538</v>
      </c>
      <c r="F113" s="54" t="n">
        <v>245.81</v>
      </c>
      <c r="G113" s="55" t="n">
        <v>5</v>
      </c>
      <c r="H113" s="55" t="n">
        <v>1</v>
      </c>
      <c r="I113" s="55" t="n"/>
      <c r="J113" s="56" t="n"/>
      <c r="K113" s="56" t="inlineStr">
        <is>
          <t>https://amazon.com/dp/B0CJ6DTJHS</t>
        </is>
      </c>
      <c r="L113" s="34">
        <f>HYPERLINK(Generic_2[[#This Row],[Column1]])</f>
        <v/>
      </c>
    </row>
    <row r="114" ht="45" customHeight="1" s="290">
      <c r="A114" s="30" t="inlineStr">
        <is>
          <t>Generic 9-Pin Deutsch Caterpillar T Adapter for NEXIQ USB Link 2 &amp; 3</t>
        </is>
      </c>
      <c r="B114" s="30" t="inlineStr">
        <is>
          <t>B0CRVY7YMP</t>
        </is>
      </c>
      <c r="C114" s="30" t="inlineStr">
        <is>
          <t>Cable/Adapter</t>
        </is>
      </c>
      <c r="D114" s="324" t="n">
        <v>234.14</v>
      </c>
      <c r="E114" s="53" t="n">
        <v>2809.809999999999</v>
      </c>
      <c r="F114" s="54" t="n">
        <v>234.14</v>
      </c>
      <c r="G114" s="55" t="n">
        <v>14</v>
      </c>
      <c r="H114" s="55" t="n">
        <v>1</v>
      </c>
      <c r="I114" s="55" t="n"/>
      <c r="J114" s="56" t="n"/>
      <c r="K114" s="56" t="inlineStr">
        <is>
          <t>https://amazon.com/dp/B0CRVY7YMP</t>
        </is>
      </c>
      <c r="L114" s="34">
        <f>HYPERLINK(Generic_2[[#This Row],[Column1]])</f>
        <v/>
      </c>
    </row>
    <row r="115" ht="45" customHeight="1" s="290">
      <c r="A115" s="30" t="inlineStr">
        <is>
          <t>ET3 317-7485 Communication Adapter Diagnostic Tool is Suitable for CAT Trucks, excavators and Engines, Equipped with 2023A, 2021B, 2019C Type 6+9+14 pin Cables (ET3 with Software)</t>
        </is>
      </c>
      <c r="B115" s="30" t="inlineStr">
        <is>
          <t>B0FH9J4N6W</t>
        </is>
      </c>
      <c r="C115" s="30" t="inlineStr">
        <is>
          <t>VCI</t>
        </is>
      </c>
      <c r="D115" s="324" t="n">
        <v>214.19</v>
      </c>
      <c r="E115" s="53" t="n">
        <v>1617.459230769231</v>
      </c>
      <c r="F115" s="54" t="n">
        <v>214.19</v>
      </c>
      <c r="G115" s="55" t="n">
        <v>3</v>
      </c>
      <c r="H115" s="55" t="n">
        <v>1</v>
      </c>
      <c r="I115" s="55" t="n"/>
      <c r="J115" s="56" t="n"/>
      <c r="K115" s="56" t="inlineStr">
        <is>
          <t>https://amazon.com/dp/B0FH9J4N6W</t>
        </is>
      </c>
      <c r="L115" s="34">
        <f>HYPERLINK(Generic_2[[#This Row],[Column1]])</f>
        <v/>
      </c>
    </row>
    <row r="116" ht="30" customHeight="1" s="290">
      <c r="A116" s="30" t="inlineStr">
        <is>
          <t>Candi Interface Module Adapter Diagnostic Tool OBD for GM Tech 2 Tech2</t>
        </is>
      </c>
      <c r="B116" s="30" t="inlineStr">
        <is>
          <t>B0D6YV36GQ</t>
        </is>
      </c>
      <c r="C116" s="30" t="inlineStr">
        <is>
          <t>Cable/Adapter</t>
        </is>
      </c>
      <c r="D116" s="324" t="n">
        <v>70.54000000000001</v>
      </c>
      <c r="E116" s="53" t="n">
        <v>2112.37</v>
      </c>
      <c r="F116" s="54" t="n">
        <v>211.62</v>
      </c>
      <c r="G116" s="55" t="n">
        <v>24</v>
      </c>
      <c r="H116" s="55" t="n">
        <v>3</v>
      </c>
      <c r="I116" s="55" t="n">
        <v>3</v>
      </c>
      <c r="J116" s="56" t="n">
        <v>3.3</v>
      </c>
      <c r="K116" s="56" t="inlineStr">
        <is>
          <t>https://amazon.com/dp/B0D6YV36GQ</t>
        </is>
      </c>
      <c r="L116" s="34">
        <f>HYPERLINK(Generic_2[[#This Row],[Column1]])</f>
        <v/>
      </c>
    </row>
    <row r="117" ht="30" customHeight="1" s="290">
      <c r="A117" s="30" t="inlineStr">
        <is>
          <t>for Cummins INLINE6 3165033 Data Link Adapter Insite 8.7 Heavy Duty Diagnostic Tool Scanner Interface CAN Flasher Remapper</t>
        </is>
      </c>
      <c r="B117" s="30" t="inlineStr">
        <is>
          <t>B0CJV71C7C</t>
        </is>
      </c>
      <c r="C117" s="30" t="inlineStr">
        <is>
          <t>VCI</t>
        </is>
      </c>
      <c r="D117" s="324" t="n">
        <v>188.83</v>
      </c>
      <c r="E117" s="53" t="n">
        <v>958.25</v>
      </c>
      <c r="F117" s="54" t="n">
        <v>188.83</v>
      </c>
      <c r="G117" s="55" t="n">
        <v>5</v>
      </c>
      <c r="H117" s="55" t="n">
        <v>1</v>
      </c>
      <c r="I117" s="55" t="n"/>
      <c r="J117" s="56" t="n"/>
      <c r="K117" s="56" t="inlineStr">
        <is>
          <t>https://amazon.com/dp/B0CJV71C7C</t>
        </is>
      </c>
      <c r="L117" s="34">
        <f>HYPERLINK(Generic_2[[#This Row],[Column1]])</f>
        <v/>
      </c>
    </row>
    <row r="118" ht="45" customHeight="1" s="290">
      <c r="A118" s="30" t="inlineStr">
        <is>
          <t>Generic NEXIQ 9-Pin Deutsch Adapter - Locking - for USB-Link 2 and USB-Link 3</t>
        </is>
      </c>
      <c r="B118" s="30" t="inlineStr">
        <is>
          <t>B0CRVVLMJQ</t>
        </is>
      </c>
      <c r="C118" s="30" t="inlineStr">
        <is>
          <t>Cable/Adapter</t>
        </is>
      </c>
      <c r="D118" s="324" t="n">
        <v>187.94</v>
      </c>
      <c r="E118" s="53" t="n">
        <v>1294.463076923077</v>
      </c>
      <c r="F118" s="54" t="n">
        <v>187.94</v>
      </c>
      <c r="G118" s="55" t="n">
        <v>6</v>
      </c>
      <c r="H118" s="55" t="n">
        <v>1</v>
      </c>
      <c r="I118" s="55" t="n"/>
      <c r="J118" s="56" t="n"/>
      <c r="K118" s="56" t="inlineStr">
        <is>
          <t>https://amazon.com/dp/B0CRVVLMJQ</t>
        </is>
      </c>
      <c r="L118" s="34">
        <f>HYPERLINK(Generic_2[[#This Row],[Column1]])</f>
        <v/>
      </c>
    </row>
    <row r="119" ht="45" customHeight="1" s="290">
      <c r="A119" s="30" t="inlineStr">
        <is>
          <t>FOXWELL NT530 for Honda - All Systems, All Maintenance Service - Bidirectional Diagnostic Scan Tool OBD2 Scanner Automotive Code Reader ABS Bleed SRS Airbag SAS TPMS TPS EPB Oil Reset CKP</t>
        </is>
      </c>
      <c r="B119" s="30" t="inlineStr">
        <is>
          <t>B0BYT6PBLB</t>
        </is>
      </c>
      <c r="C119" s="30" t="inlineStr">
        <is>
          <t>Handheld</t>
        </is>
      </c>
      <c r="D119" s="324" t="n">
        <v>173.43</v>
      </c>
      <c r="E119" s="53" t="n">
        <v>173.43</v>
      </c>
      <c r="F119" s="54" t="n">
        <v>173.43</v>
      </c>
      <c r="G119" s="55" t="n">
        <v>1</v>
      </c>
      <c r="H119" s="55" t="n">
        <v>1</v>
      </c>
      <c r="I119" s="55" t="n">
        <v>1</v>
      </c>
      <c r="J119" s="56" t="n">
        <v>2</v>
      </c>
      <c r="K119" s="56" t="inlineStr">
        <is>
          <t>https://amazon.com/dp/B0BYT6PBLB</t>
        </is>
      </c>
      <c r="L119" s="34">
        <f>HYPERLINK(Generic_2[[#This Row],[Column1]])</f>
        <v/>
      </c>
    </row>
    <row r="120" ht="60" customHeight="1" s="290">
      <c r="A120" s="30" t="inlineStr">
        <is>
          <t>OBD2 Scanner Car Code Reader with Voltage Test - Read &amp; Erase Check Engine Light Fault Codes, Live Data/Freeze Frame, Plug-and-Play CAN Diagnostic Tool for All Cars 1996 &amp; Newer</t>
        </is>
      </c>
      <c r="B120" s="30" t="inlineStr">
        <is>
          <t>B0FFSXN8WR</t>
        </is>
      </c>
      <c r="C120" s="30" t="inlineStr">
        <is>
          <t>Handheld</t>
        </is>
      </c>
      <c r="D120" s="324" t="n">
        <v>14.59909090909091</v>
      </c>
      <c r="E120" s="53" t="n">
        <v>2297.777692307693</v>
      </c>
      <c r="F120" s="54" t="n">
        <v>160.59</v>
      </c>
      <c r="G120" s="55" t="n">
        <v>105</v>
      </c>
      <c r="H120" s="55" t="n">
        <v>11</v>
      </c>
      <c r="I120" s="55" t="n">
        <v>29</v>
      </c>
      <c r="J120" s="56" t="n">
        <v>4.8</v>
      </c>
      <c r="K120" s="56" t="inlineStr">
        <is>
          <t>https://amazon.com/dp/B0FFSXN8WR</t>
        </is>
      </c>
      <c r="L120" s="34">
        <f>HYPERLINK(Generic_2[[#This Row],[Column1]])</f>
        <v/>
      </c>
    </row>
    <row r="121" ht="45" customHeight="1" s="290">
      <c r="A121" s="30" t="inlineStr">
        <is>
          <t>AK90+ Key Programmer for EWS2/3/4 Code Reader V3.19 Version AK90 Maker Programming Tool</t>
        </is>
      </c>
      <c r="B121" s="30" t="inlineStr">
        <is>
          <t>B0FLLG3M7D</t>
        </is>
      </c>
      <c r="C121" s="30" t="inlineStr">
        <is>
          <t>Handheld</t>
        </is>
      </c>
      <c r="D121" s="324" t="n">
        <v>50.87666666666667</v>
      </c>
      <c r="E121" s="53" t="n">
        <v>1333.006153846154</v>
      </c>
      <c r="F121" s="54" t="n">
        <v>152.63</v>
      </c>
      <c r="G121" s="55" t="n">
        <v>11</v>
      </c>
      <c r="H121" s="55" t="n">
        <v>3</v>
      </c>
      <c r="I121" s="55" t="n">
        <v>1</v>
      </c>
      <c r="J121" s="56" t="n">
        <v>1</v>
      </c>
      <c r="K121" s="56" t="inlineStr">
        <is>
          <t>https://amazon.com/dp/B0FLLG3M7D</t>
        </is>
      </c>
      <c r="L121" s="34">
        <f>HYPERLINK(Generic_2[[#This Row],[Column1]])</f>
        <v/>
      </c>
    </row>
    <row r="122" ht="45" customHeight="1" s="290">
      <c r="A122" s="30" t="inlineStr">
        <is>
          <t>OBD2 Diagnostic Tool, Compliant with All OBDII Standards, Reads/Clears Codes, Freezes Views, wit/IM Ready, Suitable for Automotive and Truck Fault Diagnosis Instruments for All Vehicles Since 1996</t>
        </is>
      </c>
      <c r="B122" s="30" t="inlineStr">
        <is>
          <t>B0FDWQSF4K</t>
        </is>
      </c>
      <c r="C122" s="30" t="inlineStr">
        <is>
          <t>Handheld</t>
        </is>
      </c>
      <c r="D122" s="324" t="n">
        <v>28.206</v>
      </c>
      <c r="E122" s="53" t="n">
        <v>705.5146153846155</v>
      </c>
      <c r="F122" s="54" t="n">
        <v>141.03</v>
      </c>
      <c r="G122" s="55" t="n">
        <v>11</v>
      </c>
      <c r="H122" s="55" t="n">
        <v>5</v>
      </c>
      <c r="I122" s="55" t="n"/>
      <c r="J122" s="56" t="n"/>
      <c r="K122" s="56" t="inlineStr">
        <is>
          <t>https://amazon.com/dp/B0FDWQSF4K</t>
        </is>
      </c>
      <c r="L122" s="34">
        <f>HYPERLINK(Generic_2[[#This Row],[Column1]])</f>
        <v/>
      </c>
    </row>
    <row r="123" ht="45" customHeight="1" s="290">
      <c r="A123" s="30" t="inlineStr">
        <is>
          <t>Generic for Mpps V22 OBD Read Writer ECU Data Tuning OBD Read and Write Data Power Upgrade, 6924023140328</t>
        </is>
      </c>
      <c r="B123" s="30" t="inlineStr">
        <is>
          <t>B0D24Y71J3</t>
        </is>
      </c>
      <c r="C123" s="30" t="inlineStr">
        <is>
          <t>VCI</t>
        </is>
      </c>
      <c r="D123" s="324" t="n">
        <v>132.03</v>
      </c>
      <c r="E123" s="53" t="n">
        <v>1594.516153846154</v>
      </c>
      <c r="F123" s="54" t="n">
        <v>132.03</v>
      </c>
      <c r="G123" s="55" t="n">
        <v>1</v>
      </c>
      <c r="H123" s="55" t="n">
        <v>1</v>
      </c>
      <c r="I123" s="55" t="n"/>
      <c r="J123" s="56" t="n"/>
      <c r="K123" s="56" t="inlineStr">
        <is>
          <t>https://amazon.com/dp/B0D24Y71J3</t>
        </is>
      </c>
      <c r="L123" s="34">
        <f>HYPERLINK(Generic_2[[#This Row],[Column1]])</f>
        <v/>
      </c>
    </row>
    <row r="124" ht="17" customHeight="1" s="290">
      <c r="A124" s="30" t="inlineStr">
        <is>
          <t>OBD2 Adapter Cable for Euro 5 Motorcycles, 6 Pin to 16 Pin Diagnostic Connector Compatible with Guzzi, Kawaskii, Suzuki, Yamaha, Piaggio, Vespa &amp; Honda, Works with OBD2 Code Readers</t>
        </is>
      </c>
      <c r="B124" s="30" t="inlineStr">
        <is>
          <t>B0FR44M4BP</t>
        </is>
      </c>
      <c r="C124" s="30" t="inlineStr">
        <is>
          <t>Cable/Adapter</t>
        </is>
      </c>
      <c r="D124" s="324" t="n">
        <v>12.979</v>
      </c>
      <c r="E124" s="53" t="n">
        <v>1567.463846153846</v>
      </c>
      <c r="F124" s="54" t="n">
        <v>129.79</v>
      </c>
      <c r="G124" s="55" t="n">
        <v>10</v>
      </c>
      <c r="H124" s="55" t="n">
        <v>10</v>
      </c>
      <c r="I124" s="55" t="n"/>
      <c r="J124" s="56" t="n"/>
      <c r="K124" s="56" t="inlineStr">
        <is>
          <t>https://amazon.com/dp/B0FR44M4BP</t>
        </is>
      </c>
      <c r="L124" s="34">
        <f>HYPERLINK(Generic_2[[#This Row],[Column1]])</f>
        <v/>
      </c>
    </row>
    <row r="125" ht="30" customHeight="1" s="290">
      <c r="A125" s="30" t="inlineStr">
        <is>
          <t>V519 OBD II Car Scanner, Diagnostic Error Finder, Fault Code Detection and Real-Time Data Stream, Compatible with All OBD II Protocol Vehicles from 1996+</t>
        </is>
      </c>
      <c r="B125" s="30" t="inlineStr">
        <is>
          <t>B0G4QQY3N8</t>
        </is>
      </c>
      <c r="C125" s="30" t="inlineStr">
        <is>
          <t>Handheld</t>
        </is>
      </c>
      <c r="D125" s="324" t="n">
        <v>42.97666666666667</v>
      </c>
      <c r="E125" s="53" t="n">
        <v>1402.030769230769</v>
      </c>
      <c r="F125" s="54" t="n">
        <v>128.93</v>
      </c>
      <c r="G125" s="55" t="n">
        <v>8</v>
      </c>
      <c r="H125" s="55" t="n">
        <v>3</v>
      </c>
      <c r="I125" s="55" t="n"/>
      <c r="J125" s="56" t="n"/>
      <c r="K125" s="56" t="inlineStr">
        <is>
          <t>https://amazon.com/dp/B0G4QQY3N8</t>
        </is>
      </c>
      <c r="L125" s="34">
        <f>HYPERLINK(Generic_2[[#This Row],[Column1]])</f>
        <v/>
      </c>
    </row>
    <row r="126" ht="45" customHeight="1" s="290">
      <c r="A126" s="30" t="inlineStr">
        <is>
          <t>for 1PC Carprog V13.77 10.93/8.21 Auto Key Programmer No Keygen Car Prog V13.77</t>
        </is>
      </c>
      <c r="B126" s="30" t="inlineStr">
        <is>
          <t>B0F9Y691QZ</t>
        </is>
      </c>
      <c r="C126" s="30" t="inlineStr">
        <is>
          <t>Key</t>
        </is>
      </c>
      <c r="D126" s="324" t="n">
        <v>111.75</v>
      </c>
      <c r="E126" s="53" t="n">
        <v>1513.616923076923</v>
      </c>
      <c r="F126" s="54" t="n">
        <v>111.75</v>
      </c>
      <c r="G126" s="55" t="n">
        <v>7</v>
      </c>
      <c r="H126" s="55" t="n">
        <v>1</v>
      </c>
      <c r="I126" s="55" t="n"/>
      <c r="J126" s="56" t="n"/>
      <c r="K126" s="56" t="inlineStr">
        <is>
          <t>https://amazon.com/dp/B0F9Y691QZ</t>
        </is>
      </c>
      <c r="L126" s="34">
        <f>HYPERLINK(Generic_2[[#This Row],[Column1]])</f>
        <v/>
      </c>
    </row>
    <row r="127" ht="45" customHeight="1" s="290">
      <c r="A127" s="30" t="inlineStr">
        <is>
          <t>E-Car Connection 20-Pin to 16-Pin OBD2 OBD II Diagnostic Adapter Connector Cable for KIA</t>
        </is>
      </c>
      <c r="B127" s="30" t="inlineStr">
        <is>
          <t>B0DHZ9QFV2</t>
        </is>
      </c>
      <c r="C127" s="30" t="inlineStr">
        <is>
          <t>Cable/Adapter</t>
        </is>
      </c>
      <c r="D127" s="324" t="n">
        <v>12.68</v>
      </c>
      <c r="E127" s="53" t="n">
        <v>1225.083076923077</v>
      </c>
      <c r="F127" s="54" t="n">
        <v>101.44</v>
      </c>
      <c r="G127" s="55" t="n">
        <v>8</v>
      </c>
      <c r="H127" s="55" t="n">
        <v>8</v>
      </c>
      <c r="I127" s="55" t="n">
        <v>1</v>
      </c>
      <c r="J127" s="56" t="n">
        <v>5</v>
      </c>
      <c r="K127" s="56" t="inlineStr">
        <is>
          <t>https://amazon.com/dp/B0DHZ9QFV2</t>
        </is>
      </c>
      <c r="L127" s="34">
        <f>HYPERLINK(Generic_2[[#This Row],[Column1]])</f>
        <v/>
      </c>
    </row>
    <row r="128" ht="17" customHeight="1" s="290">
      <c r="A128" s="30" t="inlineStr">
        <is>
          <t>Car Key ECU Test Coil, Car Induction Card,Automatic Ignition Coil Tester for Checking The Lock Ring, Automotive Key Lock Chip Antenna Tester</t>
        </is>
      </c>
      <c r="B128" s="30" t="inlineStr">
        <is>
          <t>B0DK5J237N</t>
        </is>
      </c>
      <c r="C128" s="30" t="inlineStr">
        <is>
          <t>Key</t>
        </is>
      </c>
      <c r="D128" s="324" t="n">
        <v>4.5585</v>
      </c>
      <c r="E128" s="53" t="n">
        <v>1004.93</v>
      </c>
      <c r="F128" s="54" t="n">
        <v>91.17</v>
      </c>
      <c r="G128" s="55" t="n">
        <v>207</v>
      </c>
      <c r="H128" s="55" t="n">
        <v>20</v>
      </c>
      <c r="I128" s="55" t="n">
        <v>10</v>
      </c>
      <c r="J128" s="56" t="n">
        <v>4.4</v>
      </c>
      <c r="K128" s="56" t="inlineStr">
        <is>
          <t>https://amazon.com/dp/B0DK5J237N</t>
        </is>
      </c>
      <c r="L128" s="34">
        <f>HYPERLINK(TABLE128)</f>
        <v/>
      </c>
    </row>
    <row r="129">
      <c r="A129" s="30" t="inlineStr">
        <is>
          <t>Openport 2.0 ECU Flash OBD2 Scanner OPENPORT2.0 OBDII Protocols ECU Chip Tunning Tactrix Open Port 2(Normal Quality)</t>
        </is>
      </c>
      <c r="B129" s="30" t="inlineStr">
        <is>
          <t>B0DXBX7X9N</t>
        </is>
      </c>
      <c r="C129" s="30" t="inlineStr">
        <is>
          <t>Other</t>
        </is>
      </c>
      <c r="D129" s="324" t="n">
        <v>79.01000000000001</v>
      </c>
      <c r="E129" s="53" t="n">
        <v>756.7646153846156</v>
      </c>
      <c r="F129" s="54" t="n">
        <v>79.01000000000001</v>
      </c>
      <c r="G129" s="55" t="n">
        <v>7</v>
      </c>
      <c r="H129" s="55" t="n">
        <v>1</v>
      </c>
      <c r="I129" s="55" t="n">
        <v>1</v>
      </c>
      <c r="J129" s="56" t="n">
        <v>5</v>
      </c>
      <c r="K129" s="56" t="inlineStr">
        <is>
          <t>https://amazon.com/dp/B0DXBX7X9N</t>
        </is>
      </c>
      <c r="L129" s="34">
        <f>HYPERLINK(TABLE129)</f>
        <v/>
      </c>
    </row>
    <row r="130">
      <c r="A130" s="30" t="inlineStr">
        <is>
          <t>OBD2 Scanner Code Reader – Diagnostic Tool for Cars and Trucks, Engine Code Reader &amp; Check Engine Light Scanner, Real-Time Data Display, Plug-and-Play OBDII Code Reader</t>
        </is>
      </c>
      <c r="B130" s="30" t="inlineStr">
        <is>
          <t>B0FZKLFBLK</t>
        </is>
      </c>
      <c r="C130" s="30" t="inlineStr">
        <is>
          <t>Handheld</t>
        </is>
      </c>
      <c r="D130" s="324" t="n">
        <v>72.22</v>
      </c>
      <c r="E130" s="53" t="n">
        <v>830.1169230769233</v>
      </c>
      <c r="F130" s="54" t="n">
        <v>72.22</v>
      </c>
      <c r="G130" s="55" t="n">
        <v>4</v>
      </c>
      <c r="H130" s="55" t="n">
        <v>1</v>
      </c>
      <c r="I130" s="55" t="n">
        <v>1</v>
      </c>
      <c r="J130" s="56" t="n">
        <v>5</v>
      </c>
      <c r="K130" s="56" t="inlineStr">
        <is>
          <t>https://amazon.com/dp/B0FZKLFBLK</t>
        </is>
      </c>
      <c r="L130" s="34">
        <f>HYPERLINK(TABLE130)</f>
        <v/>
      </c>
    </row>
    <row r="131">
      <c r="A131" s="30" t="inlineStr">
        <is>
          <t>Cable for PT30 HOS ELD Logbook, Compliant ECM w/DOT-Electronic Logging Device ForMackVOLVO Square Black Heavy Duty OBDII Cable, Part # PTSSOV15</t>
        </is>
      </c>
    </row>
    <row r="132" ht="17" customHeight="1" s="290">
      <c r="A132" s="30" t="inlineStr">
        <is>
          <t>YouEn Tech Hydra Edl V2 for Type-C Device</t>
        </is>
      </c>
      <c r="B132" s="30" t="inlineStr">
        <is>
          <t>B0B6N2D6JX</t>
        </is>
      </c>
      <c r="C132" s="30" t="inlineStr">
        <is>
          <t>Other</t>
        </is>
      </c>
      <c r="D132" s="324" t="n">
        <v>13.938</v>
      </c>
      <c r="E132" s="53" t="n">
        <v>392.9076923076923</v>
      </c>
      <c r="F132" s="54" t="n">
        <v>69.69</v>
      </c>
      <c r="G132" s="55" t="n">
        <v>13</v>
      </c>
      <c r="H132" s="55" t="n">
        <v>5</v>
      </c>
      <c r="I132" s="55" t="n">
        <v>2</v>
      </c>
      <c r="J132" s="56" t="n">
        <v>5</v>
      </c>
      <c r="K132" s="56" t="inlineStr">
        <is>
          <t>https://amazon.com/dp/B0B6N2D6JX</t>
        </is>
      </c>
      <c r="L132" s="34">
        <f>HYPERLINK(TABLE132)</f>
        <v/>
      </c>
    </row>
    <row r="133" ht="45" customHeight="1" s="290">
      <c r="A133" s="30" t="inlineStr">
        <is>
          <t>OBD2 Breakout Box with 59 inch Extension Cable, OBDII Protocol Detector for Automotive Diagnostic Tool,Digital Voltage for DLC 16 Pin, CAN Tester Box for Car CAN Bus Module Testing on Bench</t>
        </is>
      </c>
      <c r="B133" s="30" t="inlineStr">
        <is>
          <t>B0CPLRQ4VP</t>
        </is>
      </c>
      <c r="C133" s="30" t="inlineStr">
        <is>
          <t>Handheld</t>
        </is>
      </c>
      <c r="D133" s="324" t="n">
        <v>64.97</v>
      </c>
      <c r="E133" s="53" t="n">
        <v>2938.86</v>
      </c>
      <c r="F133" s="54" t="n">
        <v>64.97</v>
      </c>
      <c r="G133" s="55" t="n">
        <v>45</v>
      </c>
      <c r="H133" s="55" t="n">
        <v>1</v>
      </c>
      <c r="I133" s="55" t="n">
        <v>6</v>
      </c>
      <c r="J133" s="56" t="n">
        <v>4.2</v>
      </c>
      <c r="K133" s="56" t="inlineStr">
        <is>
          <t>https://amazon.com/dp/B0CPLRQ4VP</t>
        </is>
      </c>
      <c r="L133" s="34">
        <f>HYPERLINK(TABLE133)</f>
        <v/>
      </c>
    </row>
    <row r="134" ht="45" customHeight="1" s="290">
      <c r="A134" s="30" t="inlineStr">
        <is>
          <t>Car OBD2 Scanner Diagnostic Tool for Suzuki Kizashi 2010 2011 2012 2013 2014 2015 2016 2017, Live Data Modes 6/8 Check Engine Fault Code Reader OBDII V539 40000+ Library</t>
        </is>
      </c>
      <c r="B134" s="30" t="inlineStr">
        <is>
          <t>B0GTNDPJY8</t>
        </is>
      </c>
      <c r="C134" s="30" t="inlineStr">
        <is>
          <t>Handheld</t>
        </is>
      </c>
      <c r="D134" s="324" t="n">
        <v>51.99</v>
      </c>
      <c r="E134" s="53" t="n">
        <v>627.8792307692307</v>
      </c>
      <c r="F134" s="54" t="n">
        <v>51.99</v>
      </c>
      <c r="G134" s="55" t="n">
        <v>1</v>
      </c>
      <c r="H134" s="55" t="n">
        <v>1</v>
      </c>
      <c r="I134" s="55" t="n"/>
      <c r="J134" s="56" t="n"/>
      <c r="K134" s="56" t="inlineStr">
        <is>
          <t>https://amazon.com/dp/B0GTNDPJY8</t>
        </is>
      </c>
      <c r="L134" s="34">
        <f>HYPERLINK(TABLE134)</f>
        <v/>
      </c>
    </row>
    <row r="135" ht="45" customHeight="1" s="290">
      <c r="A135" s="30" t="inlineStr">
        <is>
          <t>26 Pin OBD Diagnostic Adapter for Tesla Model 3/Y, Enables Direct Connection to Standard 16-Pin OBDII Code Readers &amp; Scanner Tools</t>
        </is>
      </c>
      <c r="B135" s="30" t="inlineStr">
        <is>
          <t>B0FQVDZT73</t>
        </is>
      </c>
      <c r="C135" s="30" t="inlineStr">
        <is>
          <t>Cable/Adapter</t>
        </is>
      </c>
      <c r="D135" s="324" t="n">
        <v>18.525</v>
      </c>
      <c r="E135" s="53" t="n">
        <v>431.5699999999999</v>
      </c>
      <c r="F135" s="54" t="n">
        <v>37.05</v>
      </c>
      <c r="G135" s="55" t="n">
        <v>6</v>
      </c>
      <c r="H135" s="55" t="n">
        <v>2</v>
      </c>
      <c r="I135" s="55" t="n"/>
      <c r="J135" s="56" t="n"/>
      <c r="K135" s="56" t="inlineStr">
        <is>
          <t>https://amazon.com/dp/B0FQVDZT73</t>
        </is>
      </c>
      <c r="L135" s="34">
        <f>HYPERLINK(TABLE135)</f>
        <v/>
      </c>
    </row>
    <row r="136" ht="45" customHeight="1" s="290">
      <c r="A136" s="30" t="inlineStr">
        <is>
          <t>FROYUIO MS309 CAN OBD2 Scanner: Car Diagnostic Tool with Check Engine Light Reset, CAN Code Reader, Multi-Language for All OBD2 Vehicles (SAE J1962, EOBD Compliant) (Red)</t>
        </is>
      </c>
      <c r="B136" s="30" t="inlineStr">
        <is>
          <t>B0DZRH98LB</t>
        </is>
      </c>
      <c r="C136" s="30" t="inlineStr">
        <is>
          <t>Handheld</t>
        </is>
      </c>
      <c r="D136" s="324" t="n">
        <v>15.58</v>
      </c>
      <c r="E136" s="53" t="n">
        <v>446.0615384615385</v>
      </c>
      <c r="F136" s="54" t="n">
        <v>31.16</v>
      </c>
      <c r="G136" s="55" t="n">
        <v>21</v>
      </c>
      <c r="H136" s="55" t="n">
        <v>2</v>
      </c>
      <c r="I136" s="55" t="n">
        <v>4</v>
      </c>
      <c r="J136" s="56" t="n">
        <v>4.6</v>
      </c>
      <c r="K136" s="56" t="inlineStr">
        <is>
          <t>https://amazon.com/dp/B0DZRH98LB</t>
        </is>
      </c>
      <c r="L136" s="34">
        <f>HYPERLINK(TABLE136)</f>
        <v/>
      </c>
    </row>
    <row r="137" ht="45" customHeight="1" s="290">
      <c r="A137" s="30" t="inlineStr">
        <is>
          <t>OBD2 Scanner Car Diagnostic Tool with 2.8" Color Display, Read &amp; Clear Check Engine Codes, Live Data, I/M Readiness, O2 Sensor Test, Battery Voltage Check for Most 12V OBDII Vehicles</t>
        </is>
      </c>
      <c r="B137" s="30" t="inlineStr">
        <is>
          <t>B0GCS6NMKW</t>
        </is>
      </c>
      <c r="C137" s="30" t="inlineStr">
        <is>
          <t>Handheld</t>
        </is>
      </c>
      <c r="D137" s="324" t="n">
        <v>29.93</v>
      </c>
      <c r="E137" s="53" t="n">
        <v>1043.734615384615</v>
      </c>
      <c r="F137" s="54" t="n">
        <v>29.93</v>
      </c>
      <c r="G137" s="55" t="n">
        <v>19</v>
      </c>
      <c r="H137" s="55" t="n">
        <v>1</v>
      </c>
      <c r="I137" s="55" t="n"/>
      <c r="J137" s="56" t="n"/>
      <c r="K137" s="56" t="inlineStr">
        <is>
          <t>https://amazon.com/dp/B0GCS6NMKW</t>
        </is>
      </c>
      <c r="L137" s="34">
        <f>HYPERLINK(TABLE137)</f>
        <v/>
      </c>
    </row>
    <row r="138" ht="45" customHeight="1" s="290">
      <c r="A138" s="30" t="inlineStr">
        <is>
          <t>OBD Advanced OBD2 Bluetooth Scanner, Car Diagnostic Tool with Real-time Data, Engine Fault Code Reader for Android iOS Windows, Vehicle Battery Powered, Pack of 1</t>
        </is>
      </c>
      <c r="B138" s="30" t="inlineStr">
        <is>
          <t>B0GNJ7R1D9</t>
        </is>
      </c>
      <c r="C138" s="30" t="inlineStr">
        <is>
          <t>Handheld</t>
        </is>
      </c>
      <c r="D138" s="324" t="n">
        <v>27.23</v>
      </c>
      <c r="E138" s="53" t="n">
        <v>568.8592307692309</v>
      </c>
      <c r="F138" s="54" t="n">
        <v>27.23</v>
      </c>
      <c r="G138" s="55" t="n">
        <v>15</v>
      </c>
      <c r="H138" s="55" t="n">
        <v>1</v>
      </c>
      <c r="I138" s="55" t="n">
        <v>1</v>
      </c>
      <c r="J138" s="56" t="n">
        <v>5</v>
      </c>
      <c r="K138" s="56" t="inlineStr">
        <is>
          <t>https://amazon.com/dp/B0GNJ7R1D9</t>
        </is>
      </c>
      <c r="L138" s="34">
        <f>HYPERLINK(TABLE138)</f>
        <v/>
      </c>
    </row>
    <row r="139" ht="45" customHeight="1" s="290">
      <c r="A139" s="30" t="inlineStr">
        <is>
          <t>2 PCS Car Key ECU Test Coil, Car Induction Card,Automatic Ignition Coil Tester for Checking The Lock Ring, Automotive Key Lock Chip Antenna Tester</t>
        </is>
      </c>
      <c r="B139" s="30" t="inlineStr">
        <is>
          <t>B0F1TKP7YF</t>
        </is>
      </c>
      <c r="C139" s="30" t="inlineStr">
        <is>
          <t>Other</t>
        </is>
      </c>
      <c r="D139" s="324" t="n">
        <v>6.473333333333334</v>
      </c>
      <c r="E139" s="53" t="n">
        <v>599.8623076923077</v>
      </c>
      <c r="F139" s="54" t="n">
        <v>19.42</v>
      </c>
      <c r="G139" s="55" t="n">
        <v>92</v>
      </c>
      <c r="H139" s="55" t="n">
        <v>3</v>
      </c>
      <c r="I139" s="55" t="n">
        <v>1</v>
      </c>
      <c r="J139" s="56" t="n">
        <v>5</v>
      </c>
      <c r="K139" s="56" t="inlineStr">
        <is>
          <t>https://amazon.com/dp/B0F1TKP7YF</t>
        </is>
      </c>
      <c r="L139" s="34">
        <f>HYPERLINK(TABLE139)</f>
        <v/>
      </c>
    </row>
    <row r="140" ht="45" customHeight="1" s="290">
      <c r="A140" s="30" t="inlineStr">
        <is>
          <t>Professional OBD2 Scanner AL319 Code Reader, Enhanced Check and Reset Engine Fault Code, Live Data, Freeze Frame, CAN Car Diagnostic Scan Tools for All OBDII Vehicles After 1996, 2023 Upgraded</t>
        </is>
      </c>
      <c r="B140" s="30" t="inlineStr">
        <is>
          <t>B0CPM1CKRW</t>
        </is>
      </c>
      <c r="C140" s="30" t="inlineStr">
        <is>
          <t>Handheld</t>
        </is>
      </c>
      <c r="D140" s="324" t="n">
        <v>15.46</v>
      </c>
      <c r="E140" s="53" t="n">
        <v>46.66</v>
      </c>
      <c r="F140" s="54" t="n">
        <v>15.46</v>
      </c>
      <c r="G140" s="55" t="n">
        <v>3</v>
      </c>
      <c r="H140" s="55" t="n">
        <v>1</v>
      </c>
      <c r="I140" s="55" t="n"/>
      <c r="J140" s="56" t="n"/>
      <c r="K140" s="56" t="inlineStr">
        <is>
          <t>https://amazon.com/dp/B0CPM1CKRW</t>
        </is>
      </c>
      <c r="L140" s="34">
        <f>HYPERLINK(TABLE140)</f>
        <v/>
      </c>
    </row>
    <row r="141" ht="30" customHeight="1" s="290">
      <c r="A141" s="30" t="inlineStr">
        <is>
          <t>MS309 Universal OBD2 Scanner – Professional Car Engine Diagnostic Tool</t>
        </is>
      </c>
      <c r="B141" s="30" t="inlineStr">
        <is>
          <t>B0F5JGMR6V</t>
        </is>
      </c>
      <c r="C141" s="30" t="inlineStr">
        <is>
          <t>Handheld</t>
        </is>
      </c>
      <c r="D141" s="324" t="n">
        <v>13.98</v>
      </c>
      <c r="E141" s="53" t="n">
        <v>152.2746153846154</v>
      </c>
      <c r="F141" s="54" t="n">
        <v>13.98</v>
      </c>
      <c r="G141" s="55" t="n">
        <v>10</v>
      </c>
      <c r="H141" s="55" t="n">
        <v>1</v>
      </c>
      <c r="I141" s="55" t="n"/>
      <c r="J141" s="56" t="n"/>
      <c r="K141" s="56" t="inlineStr">
        <is>
          <t>https://amazon.com/dp/B0F5JGMR6V</t>
        </is>
      </c>
      <c r="L141" s="34">
        <f>HYPERLINK(TABLE141)</f>
        <v/>
      </c>
    </row>
    <row r="142" ht="45" customHeight="1" s="290">
      <c r="A142" s="30" t="inlineStr">
        <is>
          <t>Diagnostic for DOOSAN uvim Scanner kit Heavy Duty Communication Interface Forklift Excavator Loader Diagnostic Tool (Tool with 2024 Software)</t>
        </is>
      </c>
      <c r="B142" s="30" t="inlineStr">
        <is>
          <t>B0CJTYN26R</t>
        </is>
      </c>
      <c r="C142" s="30" t="inlineStr">
        <is>
          <t>VCI</t>
        </is>
      </c>
      <c r="D142" s="324" t="n">
        <v>895</v>
      </c>
      <c r="E142" s="53" t="n">
        <v>3833.6</v>
      </c>
      <c r="F142" s="54" t="n">
        <v>0</v>
      </c>
      <c r="G142" s="55" t="n">
        <v>5</v>
      </c>
      <c r="H142" s="55" t="n">
        <v>0</v>
      </c>
      <c r="I142" s="55" t="n"/>
      <c r="J142" s="56" t="n"/>
      <c r="K142" s="56" t="inlineStr">
        <is>
          <t>https://amazon.com/dp/B0CJTYN26R</t>
        </is>
      </c>
      <c r="L142" s="34">
        <f>HYPERLINK(TABLE142)</f>
        <v/>
      </c>
    </row>
    <row r="143" ht="45" customHeight="1" s="290">
      <c r="A143" s="30" t="inlineStr">
        <is>
          <t>OBD2 Scanner MS309 Automotive Check Engine Code Reader, Check Emission Monitor Status, CAN Diagnostic Scan Tool for All OBDII Protocol Vehicles After 1996…</t>
        </is>
      </c>
      <c r="B143" s="30" t="inlineStr">
        <is>
          <t>B0CPLXCR35</t>
        </is>
      </c>
      <c r="C143" s="30" t="inlineStr">
        <is>
          <t>Handheld</t>
        </is>
      </c>
      <c r="D143" s="324" t="n">
        <v>14.99</v>
      </c>
      <c r="E143" s="53" t="n">
        <v>11.96</v>
      </c>
      <c r="F143" s="54" t="n">
        <v>0</v>
      </c>
      <c r="G143" s="55" t="n">
        <v>1</v>
      </c>
      <c r="H143" s="55" t="n">
        <v>0</v>
      </c>
      <c r="I143" s="55" t="n"/>
      <c r="J143" s="56" t="n"/>
      <c r="K143" s="56" t="inlineStr">
        <is>
          <t>https://amazon.com/dp/B0CPLXCR35</t>
        </is>
      </c>
      <c r="L143" s="34">
        <f>HYPERLINK(TABLE143)</f>
        <v/>
      </c>
    </row>
    <row r="144" ht="45" customHeight="1" s="290">
      <c r="A144" s="30" t="inlineStr">
        <is>
          <t>iCar2 ELM327 obd2 Bluetooth Scanner elm 327 V2.1 OBD 2 WiFi icar 2 auto Diagnostic Scanner for Android/PC Code Reader(V2.1)</t>
        </is>
      </c>
      <c r="B144" s="30" t="inlineStr">
        <is>
          <t>B0DXBX9BS3</t>
        </is>
      </c>
      <c r="C144" s="30" t="inlineStr">
        <is>
          <t>Dongle</t>
        </is>
      </c>
      <c r="D144" s="324" t="n">
        <v>18.8</v>
      </c>
      <c r="E144" s="53" t="n">
        <v>0</v>
      </c>
      <c r="F144" s="54" t="n">
        <v>0</v>
      </c>
      <c r="G144" s="55" t="n">
        <v>0</v>
      </c>
      <c r="H144" s="55" t="n">
        <v>0</v>
      </c>
      <c r="I144" s="55" t="n">
        <v>1</v>
      </c>
      <c r="J144" s="56" t="n">
        <v>5</v>
      </c>
      <c r="K144" s="56" t="inlineStr">
        <is>
          <t>https://amazon.com/dp/B0DXBX9BS3</t>
        </is>
      </c>
      <c r="L144" s="34">
        <f>HYPERLINK(TABLE144)</f>
        <v/>
      </c>
    </row>
    <row r="145" ht="45" customHeight="1" s="290">
      <c r="A145" s="30" t="inlineStr">
        <is>
          <t>WiFi/BT Elm327 Code Reader Support OBDII Protocol Vehicle iCar 3 Scan for Android/PC(icar3 WiFi red)</t>
        </is>
      </c>
      <c r="B145" s="30" t="inlineStr">
        <is>
          <t>B0DXBZ8335</t>
        </is>
      </c>
      <c r="C145" s="30" t="inlineStr">
        <is>
          <t>Dongle</t>
        </is>
      </c>
      <c r="D145" s="324" t="n">
        <v>49.85</v>
      </c>
      <c r="E145" s="53" t="n">
        <v>0</v>
      </c>
      <c r="F145" s="54" t="n">
        <v>0</v>
      </c>
      <c r="G145" s="55" t="n">
        <v>0</v>
      </c>
      <c r="H145" s="55" t="n">
        <v>0</v>
      </c>
      <c r="I145" s="55" t="n"/>
      <c r="J145" s="56" t="n"/>
      <c r="K145" s="56" t="inlineStr">
        <is>
          <t>https://amazon.com/dp/B0DXBZ8335</t>
        </is>
      </c>
      <c r="L145" s="34">
        <f>HYPERLINK(TABLE145)</f>
        <v/>
      </c>
    </row>
    <row r="146" ht="60" customHeight="1" s="290">
      <c r="A146" s="30" t="inlineStr">
        <is>
          <t>Diagnostic Tool uVIM Excavator Forklift Engine Fault Detection OBD Interface DDT CARNICS SCR+DPF+G2 DCU+G2 ECU+G2 Scanner with 2016 Software</t>
        </is>
      </c>
      <c r="B146" s="30" t="inlineStr">
        <is>
          <t>B0CJ6KDC97</t>
        </is>
      </c>
      <c r="C146" s="30" t="inlineStr">
        <is>
          <t>VCI</t>
        </is>
      </c>
      <c r="D146" s="324" t="n">
        <v>340</v>
      </c>
      <c r="E146" s="53" t="n">
        <v>0</v>
      </c>
      <c r="F146" s="54" t="n">
        <v>0</v>
      </c>
      <c r="G146" s="55" t="n">
        <v>0</v>
      </c>
      <c r="H146" s="55" t="n">
        <v>0</v>
      </c>
      <c r="I146" s="55" t="n"/>
      <c r="J146" s="56" t="n"/>
      <c r="K146" s="56" t="inlineStr">
        <is>
          <t>https://amazon.com/dp/B0CJ6KDC97</t>
        </is>
      </c>
      <c r="L146" s="34">
        <f>HYPERLINK(TABLE146)</f>
        <v/>
      </c>
    </row>
    <row r="147" ht="45" customHeight="1" s="290">
      <c r="A147" s="30" t="inlineStr">
        <is>
          <t>Dual Female Y Splitter Elbow 16Pin OBD 2 Extender ODB OBD2 Cable 16 Pin Male to Female Flat Noodle OBD2 Extension Cable(60CM Cable)</t>
        </is>
      </c>
      <c r="B147" s="30" t="inlineStr">
        <is>
          <t>B0DZ2MWL2Y</t>
        </is>
      </c>
      <c r="C147" s="30" t="inlineStr">
        <is>
          <t>Cable/Adapter</t>
        </is>
      </c>
      <c r="D147" s="324" t="n">
        <v>16.99</v>
      </c>
      <c r="E147" s="53" t="n">
        <v>0</v>
      </c>
      <c r="F147" s="54" t="n">
        <v>0</v>
      </c>
      <c r="G147" s="55" t="n">
        <v>0</v>
      </c>
      <c r="H147" s="55" t="n">
        <v>0</v>
      </c>
      <c r="I147" s="55" t="n"/>
      <c r="J147" s="56" t="n"/>
      <c r="K147" s="56" t="inlineStr">
        <is>
          <t>https://amazon.com/dp/B0DZ2MWL2Y</t>
        </is>
      </c>
      <c r="L147" s="34">
        <f>HYPERLINK(TABLE147)</f>
        <v/>
      </c>
    </row>
    <row r="148" ht="45" customHeight="1" s="290">
      <c r="A148" s="30" t="inlineStr">
        <is>
          <t>ET3 317-7485 Communication Adapter Diagnostic Tool is Suitable for CAT Trucks, excavators and Engines, Equipped with 2023A, 2021B, 2019C Type 6+9+14 pin Cables (ET3 with Laptop)</t>
        </is>
      </c>
      <c r="B148" s="30" t="inlineStr">
        <is>
          <t>B0FH9LWV7R</t>
        </is>
      </c>
      <c r="C148" s="30" t="inlineStr">
        <is>
          <t>VCI</t>
        </is>
      </c>
      <c r="D148" s="324" t="n">
        <v>797</v>
      </c>
      <c r="E148" s="53" t="n">
        <v>0</v>
      </c>
      <c r="F148" s="54" t="n">
        <v>0</v>
      </c>
      <c r="G148" s="55" t="n">
        <v>0</v>
      </c>
      <c r="H148" s="55" t="n">
        <v>0</v>
      </c>
      <c r="I148" s="55" t="n"/>
      <c r="J148" s="56" t="n"/>
      <c r="K148" s="56" t="inlineStr">
        <is>
          <t>https://amazon.com/dp/B0FH9LWV7R</t>
        </is>
      </c>
      <c r="L148" s="34">
        <f>HYPERLINK(TABLE148)</f>
        <v/>
      </c>
    </row>
    <row r="149" ht="45" customHeight="1" s="290">
      <c r="A149" s="30" t="inlineStr">
        <is>
          <t>AFM Disabler for GM Vehicles, OBD2 Active Fuel Management Delete Device for V6 V8 Engines, Compatible with Chevy Silverado Tahoe GMC Sierra Yukon Cadillac Escalade 4.3L 5.3L 6.0L 6.2L</t>
        </is>
      </c>
      <c r="B149" s="30" t="inlineStr">
        <is>
          <t>B0GM6LMXQ4</t>
        </is>
      </c>
      <c r="C149" s="30" t="n"/>
      <c r="D149" s="324" t="n">
        <v>68.98999999999999</v>
      </c>
      <c r="E149" s="53" t="n">
        <v>0</v>
      </c>
      <c r="F149" s="54" t="n">
        <v>0</v>
      </c>
      <c r="G149" s="55" t="n">
        <v>0</v>
      </c>
      <c r="H149" s="55" t="n">
        <v>0</v>
      </c>
      <c r="I149" s="55" t="n"/>
      <c r="J149" s="56" t="n"/>
      <c r="K149" s="56" t="inlineStr">
        <is>
          <t>https://amazon.com/dp/B0GM6LMXQ4</t>
        </is>
      </c>
      <c r="L149" s="34">
        <f>HYPERLINK(TABLE149)</f>
        <v/>
      </c>
    </row>
    <row r="150" ht="45" customHeight="1" s="290">
      <c r="A150" s="30" t="inlineStr">
        <is>
          <t>26pin to 16pin OBD2 Car Diagnostic Harness Electronic Cable Connector for Tesla Model 3 Model Y After Jan 2019</t>
        </is>
      </c>
      <c r="B150" s="30" t="inlineStr">
        <is>
          <t>B0FMYW834Q</t>
        </is>
      </c>
      <c r="C150" s="30" t="inlineStr">
        <is>
          <t>Cable/Adapter</t>
        </is>
      </c>
      <c r="D150" s="324" t="n">
        <v>15.88</v>
      </c>
      <c r="E150" s="53" t="n">
        <v>0</v>
      </c>
      <c r="F150" s="54" t="n">
        <v>0</v>
      </c>
      <c r="G150" s="55" t="n">
        <v>0</v>
      </c>
      <c r="H150" s="55" t="n">
        <v>0</v>
      </c>
      <c r="I150" s="55" t="n"/>
      <c r="J150" s="56" t="n"/>
      <c r="K150" s="56" t="inlineStr">
        <is>
          <t>https://amazon.com/dp/B0FMYW834Q</t>
        </is>
      </c>
      <c r="L150" s="34">
        <f>HYPERLINK(TABLE150)</f>
        <v/>
      </c>
    </row>
    <row r="151" ht="45" customHeight="1" s="290">
      <c r="A151" s="30" t="inlineStr">
        <is>
          <t>DLA+ 2.0 Adapter Kit with New 2025 V3 Software,Diagnostic Tool Scanner for J P- R 0 Diesel Heavy Duty Trucks Fleet Maintenance Tool (DLA 2.0 Tool with Software)</t>
        </is>
      </c>
      <c r="B151" s="30" t="inlineStr">
        <is>
          <t>B0FQCBZC6G</t>
        </is>
      </c>
      <c r="C151" s="30" t="inlineStr">
        <is>
          <t>VCI</t>
        </is>
      </c>
      <c r="D151" s="324" t="n">
        <v>365</v>
      </c>
      <c r="E151" s="53" t="n">
        <v>0</v>
      </c>
      <c r="F151" s="54" t="n">
        <v>0</v>
      </c>
      <c r="G151" s="55" t="n">
        <v>0</v>
      </c>
      <c r="H151" s="55" t="n">
        <v>0</v>
      </c>
      <c r="I151" s="55" t="n"/>
      <c r="J151" s="56" t="n"/>
      <c r="K151" s="56" t="inlineStr">
        <is>
          <t>https://amazon.com/dp/B0FQCBZC6G</t>
        </is>
      </c>
      <c r="L151" s="34">
        <f>HYPERLINK(TABLE151)</f>
        <v/>
      </c>
    </row>
    <row r="152" ht="45" customHeight="1" s="290">
      <c r="A152" s="30" t="inlineStr">
        <is>
          <t>Excavator Scanner Diagnostic Service System IDSS Hardware and Software Solution for Diagnosis and Repair for Isuzu E-IDSS Products are unive (E-IDSS with Laptop)</t>
        </is>
      </c>
      <c r="B152" s="30" t="inlineStr">
        <is>
          <t>B0CJC3419Q</t>
        </is>
      </c>
      <c r="C152" s="30" t="inlineStr">
        <is>
          <t>VCI</t>
        </is>
      </c>
      <c r="D152" s="324" t="n">
        <v>1703</v>
      </c>
      <c r="E152" s="53" t="n">
        <v>0</v>
      </c>
      <c r="F152" s="54" t="n">
        <v>0</v>
      </c>
      <c r="G152" s="55" t="n">
        <v>0</v>
      </c>
      <c r="H152" s="55" t="n">
        <v>0</v>
      </c>
      <c r="I152" s="55" t="n"/>
      <c r="J152" s="56" t="n"/>
      <c r="K152" s="56" t="inlineStr">
        <is>
          <t>https://amazon.com/dp/B0CJC3419Q</t>
        </is>
      </c>
      <c r="L152" s="34">
        <f>HYPERLINK(TABLE152)</f>
        <v/>
      </c>
    </row>
    <row r="153" ht="60" customHeight="1" s="290">
      <c r="A153" s="30" t="inlineStr">
        <is>
          <t>Generic NEXIQ J1962 Adapter (16-Pin OBD II) - 1 Meter, Black, 493113</t>
        </is>
      </c>
      <c r="B153" s="30" t="inlineStr">
        <is>
          <t>B0CRVW3MQT</t>
        </is>
      </c>
      <c r="C153" s="30" t="inlineStr">
        <is>
          <t>Cable/Adapter</t>
        </is>
      </c>
      <c r="D153" s="324" t="n">
        <v>183.75</v>
      </c>
      <c r="E153" s="53" t="n">
        <v>6052.94</v>
      </c>
      <c r="F153" s="54" t="n">
        <v>0</v>
      </c>
      <c r="G153" s="55" t="n">
        <v>34</v>
      </c>
      <c r="H153" s="55" t="n">
        <v>0</v>
      </c>
      <c r="I153" s="55" t="n">
        <v>4</v>
      </c>
      <c r="J153" s="56" t="n">
        <v>3.6</v>
      </c>
      <c r="K153" s="56" t="inlineStr">
        <is>
          <t>https://amazon.com/dp/B0CRVW3MQT</t>
        </is>
      </c>
      <c r="L153" s="34">
        <f>HYPERLINK(TABLE153)</f>
        <v/>
      </c>
    </row>
    <row r="154" ht="45" customHeight="1" s="290">
      <c r="A154" s="30" t="inlineStr">
        <is>
          <t>for Kawasaki Motorcycle OBD2 Adapter, 6 Pin to 16 Pin Diagnostic Cable Fit for Z900/Z1000/ZX10R/ZX14R/H2, Works with OBDII Code Readers</t>
        </is>
      </c>
      <c r="B154" s="30" t="inlineStr">
        <is>
          <t>B0FR4H4YXQ</t>
        </is>
      </c>
      <c r="C154" s="30" t="inlineStr">
        <is>
          <t>Cable/Adapter</t>
        </is>
      </c>
      <c r="D154" s="324" t="n">
        <v>14.99</v>
      </c>
      <c r="E154" s="53" t="n">
        <v>0</v>
      </c>
      <c r="F154" s="54" t="n">
        <v>0</v>
      </c>
      <c r="G154" s="55" t="n">
        <v>0</v>
      </c>
      <c r="H154" s="55" t="n">
        <v>0</v>
      </c>
      <c r="I154" s="55" t="n"/>
      <c r="J154" s="56" t="n"/>
      <c r="K154" s="56" t="inlineStr">
        <is>
          <t>https://amazon.com/dp/B0FR4H4YXQ</t>
        </is>
      </c>
      <c r="L154" s="34">
        <f>HYPERLINK(TABLE154)</f>
        <v/>
      </c>
    </row>
    <row r="155" ht="45" customHeight="1" s="290">
      <c r="A155" s="30" t="inlineStr">
        <is>
          <t>for Cummins Inline 7 Data Link Adapter Diesel Truck Diagnostic Tool with Insite Software (Inline 7 with Laptop(9.0 Software))</t>
        </is>
      </c>
      <c r="B155" s="30" t="inlineStr">
        <is>
          <t>B0FMNBZ7KF</t>
        </is>
      </c>
      <c r="C155" s="30" t="inlineStr">
        <is>
          <t>VCI</t>
        </is>
      </c>
      <c r="D155" s="324" t="n">
        <v>699</v>
      </c>
      <c r="E155" s="53" t="n">
        <v>0</v>
      </c>
      <c r="F155" s="54" t="n">
        <v>0</v>
      </c>
      <c r="G155" s="55" t="n">
        <v>0</v>
      </c>
      <c r="H155" s="55" t="n">
        <v>0</v>
      </c>
      <c r="I155" s="55" t="n"/>
      <c r="J155" s="56" t="n"/>
      <c r="K155" s="56" t="inlineStr">
        <is>
          <t>https://amazon.com/dp/B0FMNBZ7KF</t>
        </is>
      </c>
      <c r="L155" s="34">
        <f>HYPERLINK(TABLE155)</f>
        <v/>
      </c>
    </row>
    <row r="156" ht="45" customHeight="1" s="290">
      <c r="A156" s="30" t="inlineStr">
        <is>
          <t>ET4 478-0235 for CAT 2025 ET Software and SIS Communication Adapter Diagnostic Tool (ET4 with 2025ET SIS Laptop (CF53))</t>
        </is>
      </c>
      <c r="B156" s="30" t="inlineStr">
        <is>
          <t>B0FWR1T8H4</t>
        </is>
      </c>
      <c r="C156" s="30" t="inlineStr">
        <is>
          <t>VCI</t>
        </is>
      </c>
      <c r="D156" s="324" t="n">
        <v>909</v>
      </c>
      <c r="E156" s="53" t="n">
        <v>1770.03</v>
      </c>
      <c r="F156" s="54" t="n">
        <v>0</v>
      </c>
      <c r="G156" s="55" t="n">
        <v>2</v>
      </c>
      <c r="H156" s="55" t="n">
        <v>0</v>
      </c>
      <c r="I156" s="55" t="n"/>
      <c r="J156" s="56" t="n"/>
      <c r="K156" s="56" t="inlineStr">
        <is>
          <t>https://amazon.com/dp/B0FWR1T8H4</t>
        </is>
      </c>
      <c r="L156" s="34">
        <f>HYPERLINK(TABLE156)</f>
        <v/>
      </c>
    </row>
    <row r="157" ht="45" customHeight="1" s="290">
      <c r="A157" s="30" t="inlineStr">
        <is>
          <t>EST Diagnostic Tester 27610402 Communication Adapter 3 for Perkins Diagnosis Tool Heavy Duty Excavator EST 2021B Scanner</t>
        </is>
      </c>
      <c r="B157" s="30" t="inlineStr">
        <is>
          <t>B0CJ6Q61VG</t>
        </is>
      </c>
      <c r="C157" s="30" t="inlineStr">
        <is>
          <t>VCI</t>
        </is>
      </c>
      <c r="D157" s="324" t="n">
        <v>328</v>
      </c>
      <c r="E157" s="53" t="n">
        <v>0</v>
      </c>
      <c r="F157" s="54" t="n">
        <v>0</v>
      </c>
      <c r="G157" s="55" t="n">
        <v>0</v>
      </c>
      <c r="H157" s="55" t="n">
        <v>0</v>
      </c>
      <c r="I157" s="55" t="n"/>
      <c r="J157" s="56" t="n"/>
      <c r="K157" s="56" t="inlineStr">
        <is>
          <t>https://amazon.com/dp/B0CJ6Q61VG</t>
        </is>
      </c>
      <c r="L157" s="34">
        <f>HYPERLINK(TABLE157)</f>
        <v/>
      </c>
    </row>
    <row r="158" ht="45" customHeight="1" s="290">
      <c r="A158" s="30" t="inlineStr">
        <is>
          <t>Diagnostic uvim Scanner kit Heavy Duty Communication Interface Forklift Excavator Loader 2023 Software Diagnostic Tool with Laptop</t>
        </is>
      </c>
      <c r="B158" s="30" t="inlineStr">
        <is>
          <t>B0CLCL7JJV</t>
        </is>
      </c>
      <c r="C158" s="30" t="inlineStr">
        <is>
          <t>Tablet</t>
        </is>
      </c>
      <c r="D158" s="324" t="n">
        <v>1410</v>
      </c>
      <c r="E158" s="53" t="n">
        <v>0</v>
      </c>
      <c r="F158" s="54" t="n">
        <v>0</v>
      </c>
      <c r="G158" s="55" t="n">
        <v>0</v>
      </c>
      <c r="H158" s="55" t="n">
        <v>0</v>
      </c>
      <c r="I158" s="55" t="n"/>
      <c r="J158" s="56" t="n"/>
      <c r="K158" s="56" t="inlineStr">
        <is>
          <t>https://amazon.com/dp/B0CLCL7JJV</t>
        </is>
      </c>
      <c r="L158" s="34">
        <f>HYPERLINK(TABLE158)</f>
        <v/>
      </c>
    </row>
    <row r="159" ht="45" customHeight="1" s="290">
      <c r="A159" s="30" t="inlineStr">
        <is>
          <t>OBD2 Scanner Car Scan Diagnostic Tool Reset Clear Check Engine Code Reader</t>
        </is>
      </c>
      <c r="B159" s="30" t="inlineStr">
        <is>
          <t>B0FN42LFCM</t>
        </is>
      </c>
      <c r="C159" s="30" t="inlineStr">
        <is>
          <t>Dongle</t>
        </is>
      </c>
      <c r="D159" s="324" t="n">
        <v>14.99</v>
      </c>
      <c r="E159" s="53" t="n">
        <v>0</v>
      </c>
      <c r="F159" s="54" t="n">
        <v>0</v>
      </c>
      <c r="G159" s="55" t="n">
        <v>0</v>
      </c>
      <c r="H159" s="55" t="n">
        <v>0</v>
      </c>
      <c r="I159" s="55" t="n"/>
      <c r="J159" s="56" t="n"/>
      <c r="K159" s="56" t="inlineStr">
        <is>
          <t>https://amazon.com/dp/B0FN42LFCM</t>
        </is>
      </c>
      <c r="L159" s="34">
        <f>HYPERLINK(TABLE159)</f>
        <v/>
      </c>
    </row>
    <row r="160" ht="45" customHeight="1" s="290">
      <c r="A160" s="30" t="inlineStr">
        <is>
          <t>Diagnostic for DOOSAN uvim Scanner kit Heavy Duty Communication Interface Forklift Excavator Loader Diagnostic Tool (2023 Software)</t>
        </is>
      </c>
      <c r="B160" s="30" t="inlineStr">
        <is>
          <t>B0CJ6J43GS</t>
        </is>
      </c>
      <c r="C160" s="30" t="inlineStr">
        <is>
          <t>VCI</t>
        </is>
      </c>
      <c r="D160" s="324" t="n">
        <v>895</v>
      </c>
      <c r="E160" s="53" t="n">
        <v>1820.11</v>
      </c>
      <c r="F160" s="54" t="n">
        <v>0</v>
      </c>
      <c r="G160" s="55" t="n">
        <v>2</v>
      </c>
      <c r="H160" s="55" t="n">
        <v>0</v>
      </c>
      <c r="I160" s="55" t="n"/>
      <c r="J160" s="56" t="n"/>
      <c r="K160" s="56" t="inlineStr">
        <is>
          <t>https://amazon.com/dp/B0CJ6J43GS</t>
        </is>
      </c>
      <c r="L160" s="34">
        <f>HYPERLINK(TABLE160)</f>
        <v/>
      </c>
    </row>
    <row r="161" ht="60" customHeight="1" s="290">
      <c r="A161" s="30" t="inlineStr">
        <is>
          <t>EST Diagnostic Tester 2761040 27610402 Communication Adapter 3 for Perkins Diagnosis Tool Heavy Duty Excavator EST 2021B Scanner (Adapter)</t>
        </is>
      </c>
      <c r="B161" s="30" t="inlineStr">
        <is>
          <t>B0CJRL7Q4M</t>
        </is>
      </c>
      <c r="C161" s="30" t="inlineStr">
        <is>
          <t>VCI</t>
        </is>
      </c>
      <c r="D161" s="324" t="n">
        <v>328</v>
      </c>
      <c r="E161" s="53" t="n">
        <v>553.3299999999999</v>
      </c>
      <c r="F161" s="54" t="n">
        <v>0</v>
      </c>
      <c r="G161" s="55" t="n">
        <v>2</v>
      </c>
      <c r="H161" s="55" t="n">
        <v>0</v>
      </c>
      <c r="I161" s="55" t="n"/>
      <c r="J161" s="56" t="n"/>
      <c r="K161" s="56" t="inlineStr">
        <is>
          <t>https://amazon.com/dp/B0CJRL7Q4M</t>
        </is>
      </c>
      <c r="L161" s="34">
        <f>HYPERLINK(TABLE161)</f>
        <v/>
      </c>
    </row>
    <row r="162" ht="45" customHeight="1" s="290">
      <c r="A162" s="30" t="inlineStr">
        <is>
          <t>2024 G' M MDI2 Multi Diagnostic Interface Scanner EL-52100-AM for DLC Cable Plug 2 WF Interface Scanner Kit with OBD2 USB 2.0 Interface (with WiFi)</t>
        </is>
      </c>
      <c r="B162" s="30" t="inlineStr">
        <is>
          <t>B0FWR143KZ</t>
        </is>
      </c>
      <c r="C162" s="30" t="inlineStr">
        <is>
          <t>Handheld</t>
        </is>
      </c>
      <c r="D162" s="324" t="n">
        <v>399</v>
      </c>
      <c r="E162" s="53" t="n">
        <v>0</v>
      </c>
      <c r="F162" s="54" t="n">
        <v>0</v>
      </c>
      <c r="G162" s="55" t="n">
        <v>0</v>
      </c>
      <c r="H162" s="55" t="n">
        <v>0</v>
      </c>
      <c r="I162" s="55" t="n"/>
      <c r="J162" s="56" t="n"/>
      <c r="K162" s="56" t="inlineStr">
        <is>
          <t>https://amazon.com/dp/B0FWR143KZ</t>
        </is>
      </c>
      <c r="L162" s="34">
        <f>HYPERLINK(TABLE162)</f>
        <v/>
      </c>
    </row>
    <row r="163" ht="45" customHeight="1" s="290">
      <c r="A163" s="30" t="inlineStr">
        <is>
          <t>Diagnostic for DOOSAN uvim Scanner kit Heavy Duty Communication Interface Forklift Excavator Loader Diagnostic Tool (2016 Software)</t>
        </is>
      </c>
      <c r="B163" s="30" t="inlineStr">
        <is>
          <t>B0CJ6HL1CS</t>
        </is>
      </c>
      <c r="C163" s="30" t="inlineStr">
        <is>
          <t>VCI</t>
        </is>
      </c>
      <c r="D163" s="324" t="n">
        <v>895</v>
      </c>
      <c r="E163" s="53" t="n">
        <v>897.52</v>
      </c>
      <c r="F163" s="54" t="n">
        <v>0</v>
      </c>
      <c r="G163" s="55" t="n">
        <v>1</v>
      </c>
      <c r="H163" s="55" t="n">
        <v>0</v>
      </c>
      <c r="I163" s="55" t="n"/>
      <c r="J163" s="56" t="n"/>
      <c r="K163" s="56" t="inlineStr">
        <is>
          <t>https://amazon.com/dp/B0CJ6HL1CS</t>
        </is>
      </c>
      <c r="L163" s="34">
        <f>HYPERLINK(TABLE163)</f>
        <v/>
      </c>
    </row>
    <row r="164" ht="45" customHeight="1" s="290">
      <c r="A164" s="30" t="inlineStr">
        <is>
          <t>MPDR Software 3.9 for Heavy Duty Diagnostic Tool Tester The Latest Version for Hitachi EX ZX-1 ZX-3G ZX-3 ZX-5 ZX-6 ZX-7 of Excavator</t>
        </is>
      </c>
      <c r="B164" s="30" t="inlineStr">
        <is>
          <t>B0CJV4W22M</t>
        </is>
      </c>
      <c r="C164" s="30" t="inlineStr">
        <is>
          <t>Cable/Adapter</t>
        </is>
      </c>
      <c r="D164" s="324" t="n">
        <v>90</v>
      </c>
      <c r="E164" s="53" t="n">
        <v>0</v>
      </c>
      <c r="F164" s="54" t="n">
        <v>0</v>
      </c>
      <c r="G164" s="55" t="n">
        <v>0</v>
      </c>
      <c r="H164" s="55" t="n">
        <v>0</v>
      </c>
      <c r="I164" s="55" t="n"/>
      <c r="J164" s="56" t="n"/>
      <c r="K164" s="56" t="inlineStr">
        <is>
          <t>https://amazon.com/dp/B0CJV4W22M</t>
        </is>
      </c>
      <c r="L164" s="34">
        <f>HYPERLINK(TABLE164)</f>
        <v/>
      </c>
    </row>
    <row r="165" ht="45" customHeight="1" s="290">
      <c r="A165" s="30" t="inlineStr">
        <is>
          <t>for SCA-nia VCI3 Truck Bus Heavy Vehicle Diagnostic Tool,with SDP3 Software</t>
        </is>
      </c>
      <c r="B165" s="30" t="inlineStr">
        <is>
          <t>B0FKT64HD8</t>
        </is>
      </c>
      <c r="C165" s="30" t="inlineStr">
        <is>
          <t>VCI</t>
        </is>
      </c>
      <c r="D165" s="324" t="n">
        <v>137</v>
      </c>
      <c r="E165" s="53" t="n">
        <v>0</v>
      </c>
      <c r="F165" s="54" t="n">
        <v>0</v>
      </c>
      <c r="G165" s="55" t="n">
        <v>0</v>
      </c>
      <c r="H165" s="55" t="n">
        <v>0</v>
      </c>
      <c r="I165" s="55" t="n"/>
      <c r="J165" s="56" t="n"/>
      <c r="K165" s="56" t="inlineStr">
        <is>
          <t>https://amazon.com/dp/B0FKT64HD8</t>
        </is>
      </c>
      <c r="L165" s="34">
        <f>HYPERLINK(TABLE165)</f>
        <v/>
      </c>
    </row>
    <row r="166" ht="45" customHeight="1" s="290">
      <c r="A166" s="30" t="inlineStr">
        <is>
          <t>New MB Star C4 Plus DOIP Function Diagnostic Tool 2025 Xentry Software with DOIP Function for MB Software Car Truck Scanner (MB C4 with Laptop)</t>
        </is>
      </c>
      <c r="B166" s="30" t="inlineStr">
        <is>
          <t>B0FJLXMDG8</t>
        </is>
      </c>
      <c r="C166" s="30" t="inlineStr">
        <is>
          <t>VCI</t>
        </is>
      </c>
      <c r="D166" s="324" t="n">
        <v>928</v>
      </c>
      <c r="E166" s="53" t="n">
        <v>3699.65</v>
      </c>
      <c r="F166" s="54" t="n">
        <v>0</v>
      </c>
      <c r="G166" s="55" t="n">
        <v>4</v>
      </c>
      <c r="H166" s="55" t="n">
        <v>0</v>
      </c>
      <c r="I166" s="55" t="n"/>
      <c r="J166" s="56" t="n"/>
      <c r="K166" s="56" t="inlineStr">
        <is>
          <t>https://amazon.com/dp/B0FJLXMDG8</t>
        </is>
      </c>
      <c r="L166" s="34">
        <f>HYPERLINK(TABLE166)</f>
        <v/>
      </c>
    </row>
    <row r="167" ht="45" customHeight="1" s="290">
      <c r="A167" s="30" t="inlineStr">
        <is>
          <t>Diagnostic KIT USB-to-CAN for MTU Diasys 2.72 MEDC ADEC Full Kit Diesel Engine Truck Diagnosis Scanner Tool (MTU Tool with Software)</t>
        </is>
      </c>
      <c r="B167" s="30" t="inlineStr">
        <is>
          <t>B0CLHVWY16</t>
        </is>
      </c>
      <c r="C167" s="30" t="inlineStr">
        <is>
          <t>VCI</t>
        </is>
      </c>
      <c r="D167" s="324" t="n">
        <v>1407</v>
      </c>
      <c r="E167" s="53" t="n">
        <v>2641.36</v>
      </c>
      <c r="F167" s="54" t="n">
        <v>0</v>
      </c>
      <c r="G167" s="55" t="n">
        <v>2</v>
      </c>
      <c r="H167" s="55" t="n">
        <v>0</v>
      </c>
      <c r="I167" s="55" t="n"/>
      <c r="J167" s="56" t="n"/>
      <c r="K167" s="56" t="inlineStr">
        <is>
          <t>https://amazon.com/dp/B0CLHVWY16</t>
        </is>
      </c>
      <c r="L167" s="34">
        <f>HYPERLINK(TABLE167)</f>
        <v/>
      </c>
    </row>
    <row r="168" ht="45" customHeight="1" s="290">
      <c r="A168" s="30" t="inlineStr">
        <is>
          <t>Diagnostic KIT USB-to-CAN for MTU Diasys 2.72 MEDC ADEC Full Kit Diesel Engine Truck Diagnosis Scanner Tool (Only MTU Tool)</t>
        </is>
      </c>
      <c r="B168" s="30" t="inlineStr">
        <is>
          <t>B0CLHXCBNG</t>
        </is>
      </c>
      <c r="C168" s="30" t="inlineStr">
        <is>
          <t>VCI</t>
        </is>
      </c>
      <c r="D168" s="324" t="n">
        <v>1206</v>
      </c>
      <c r="E168" s="53" t="n">
        <v>6205.56</v>
      </c>
      <c r="F168" s="54" t="n">
        <v>0</v>
      </c>
      <c r="G168" s="55" t="n">
        <v>5</v>
      </c>
      <c r="H168" s="55" t="n">
        <v>0</v>
      </c>
      <c r="I168" s="55" t="n"/>
      <c r="J168" s="56" t="n"/>
      <c r="K168" s="56" t="inlineStr">
        <is>
          <t>https://amazon.com/dp/B0CLHXCBNG</t>
        </is>
      </c>
      <c r="L168" s="34">
        <f>HYPERLINK(TABLE168)</f>
        <v/>
      </c>
    </row>
    <row r="169" ht="45" customHeight="1" s="290">
      <c r="A169" s="30" t="inlineStr">
        <is>
          <t>Fits CEN-TECH OBD II Code Reader - Diagnose Your Car’s Engine Problems, Read &amp; Clear Trouble Codes &amp; Check Engine Light, Reads Control Modules &amp; O2 Sensor Data, Data Freeze Frame &amp; Multi-Lingual Menu</t>
        </is>
      </c>
      <c r="B169" s="30" t="inlineStr">
        <is>
          <t>B0DLSY8PM9</t>
        </is>
      </c>
      <c r="C169" s="30" t="inlineStr">
        <is>
          <t>Handheld</t>
        </is>
      </c>
      <c r="D169" s="324" t="n">
        <v>69</v>
      </c>
      <c r="E169" s="53" t="n">
        <v>0</v>
      </c>
      <c r="F169" s="54" t="n">
        <v>0</v>
      </c>
      <c r="G169" s="55" t="n">
        <v>0</v>
      </c>
      <c r="H169" s="55" t="n">
        <v>0</v>
      </c>
      <c r="I169" s="55" t="n"/>
      <c r="J169" s="56" t="n"/>
      <c r="K169" s="56" t="inlineStr">
        <is>
          <t>https://amazon.com/dp/B0DLSY8PM9</t>
        </is>
      </c>
      <c r="L169" s="34">
        <f>HYPERLINK(TABLE169)</f>
        <v/>
      </c>
    </row>
    <row r="170" ht="30" customHeight="1" s="290">
      <c r="A170" s="30" t="inlineStr">
        <is>
          <t>Obd2 Code Scanner Professional Car Scanner Diagnostic Tool,Car Engine Fault Code Reader,Applicable to All Cars That Comply with OBD II Protocol</t>
        </is>
      </c>
      <c r="B170" s="30" t="inlineStr">
        <is>
          <t>B0DBTN7CQH</t>
        </is>
      </c>
      <c r="C170" s="30" t="inlineStr">
        <is>
          <t>Handheld</t>
        </is>
      </c>
      <c r="D170" s="324" t="n">
        <v>29.99</v>
      </c>
      <c r="E170" s="53" t="n">
        <v>0</v>
      </c>
      <c r="F170" s="54" t="n">
        <v>0</v>
      </c>
      <c r="G170" s="55" t="n">
        <v>0</v>
      </c>
      <c r="H170" s="55" t="n">
        <v>0</v>
      </c>
      <c r="I170" s="55" t="n"/>
      <c r="J170" s="56" t="n"/>
      <c r="K170" s="56" t="inlineStr">
        <is>
          <t>https://amazon.com/dp/B0DBTN7CQH</t>
        </is>
      </c>
      <c r="L170" s="34">
        <f>HYPERLINK(TABLE170)</f>
        <v/>
      </c>
    </row>
    <row r="171" ht="45" customHeight="1" s="290">
      <c r="A171" s="30" t="inlineStr">
        <is>
          <t>THKY OBDII OBD2 Extension Cable, 16 Pin Male to Female Diagnostic Extender, 5ft 150cm 1.5m for Auto Car</t>
        </is>
      </c>
      <c r="B171" s="30" t="inlineStr">
        <is>
          <t>B0CDWT7YVX</t>
        </is>
      </c>
      <c r="C171" s="30" t="inlineStr">
        <is>
          <t>Cable/Adapter</t>
        </is>
      </c>
      <c r="D171" s="324" t="n">
        <v>9.99</v>
      </c>
      <c r="E171" s="53" t="n">
        <v>0</v>
      </c>
      <c r="F171" s="54" t="n">
        <v>0</v>
      </c>
      <c r="G171" s="55" t="n">
        <v>0</v>
      </c>
      <c r="H171" s="55" t="n">
        <v>0</v>
      </c>
      <c r="I171" s="55" t="n"/>
      <c r="J171" s="56" t="n"/>
      <c r="K171" s="56" t="inlineStr">
        <is>
          <t>https://amazon.com/dp/B0CDWT7YVX</t>
        </is>
      </c>
      <c r="L171" s="34">
        <f>HYPERLINK(TABLE171)</f>
        <v/>
      </c>
    </row>
    <row r="172" ht="45" customHeight="1" s="290">
      <c r="A172" s="30" t="inlineStr">
        <is>
          <t>OBD2 Adapter Scanner Reader for iOS iPhone and Android Phones OBD2 to Bluetooth OBD 2 ELM 327 Adapter Scanner Diagnostic Scan Tools OBDii ELM327 Interface Code Readers</t>
        </is>
      </c>
      <c r="B172" s="30" t="inlineStr">
        <is>
          <t>B0DY5P6SPD</t>
        </is>
      </c>
      <c r="C172" s="30" t="inlineStr">
        <is>
          <t>Dongle</t>
        </is>
      </c>
      <c r="D172" s="324" t="n">
        <v>10.05692307692308</v>
      </c>
      <c r="E172" s="53" t="n">
        <v>824.9400000000001</v>
      </c>
      <c r="F172" s="54" t="n">
        <v>0</v>
      </c>
      <c r="G172" s="55" t="n">
        <v>85</v>
      </c>
      <c r="H172" s="55" t="n">
        <v>0</v>
      </c>
      <c r="I172" s="55" t="n">
        <v>5</v>
      </c>
      <c r="J172" s="56" t="n">
        <v>3.5</v>
      </c>
      <c r="K172" s="56" t="inlineStr">
        <is>
          <t>https://amazon.com/dp/B0DY5P6SPD</t>
        </is>
      </c>
      <c r="L172" s="34">
        <f>HYPERLINK(TABLE172)</f>
        <v/>
      </c>
    </row>
    <row r="173" ht="45" customHeight="1" s="290">
      <c r="A173" s="30" t="inlineStr">
        <is>
          <t>V2.1 OBD Mini ELM327 OBD2 Bluetooth Auto Scanner OBDII 2 Car ELM 327 Tester Diagnostic Tool for Android Windows Symbian（7）</t>
        </is>
      </c>
      <c r="B173" s="30" t="inlineStr">
        <is>
          <t>B0DZ2NS9XL</t>
        </is>
      </c>
      <c r="C173" s="30" t="inlineStr">
        <is>
          <t>Dongle</t>
        </is>
      </c>
      <c r="D173" s="324" t="n">
        <v>14.13</v>
      </c>
      <c r="E173" s="53" t="n">
        <v>44.64</v>
      </c>
      <c r="F173" s="54" t="n">
        <v>0</v>
      </c>
      <c r="G173" s="55" t="n">
        <v>3</v>
      </c>
      <c r="H173" s="55" t="n">
        <v>0</v>
      </c>
      <c r="I173" s="55" t="n"/>
      <c r="J173" s="56" t="n"/>
      <c r="K173" s="56" t="inlineStr">
        <is>
          <t>https://amazon.com/dp/B0DZ2NS9XL</t>
        </is>
      </c>
      <c r="L173" s="34">
        <f>HYPERLINK(TABLE173)</f>
        <v/>
      </c>
    </row>
    <row r="174" ht="45" customHeight="1" s="290">
      <c r="A174" s="30" t="inlineStr">
        <is>
          <t>Generic OBD2 Scanner Diagnostic Tool [V520], Reads And Clears Faults,Car Diagnostic Scan Tool OBDII Scanner Live Data with Vehicle I/M readiness-Works for All OBDII Compliant Cars</t>
        </is>
      </c>
      <c r="B174" s="30" t="inlineStr">
        <is>
          <t>B0CTK9GF5Z</t>
        </is>
      </c>
      <c r="C174" s="30" t="inlineStr">
        <is>
          <t>Handheld</t>
        </is>
      </c>
      <c r="D174" s="324" t="n">
        <v>42.88</v>
      </c>
      <c r="E174" s="53" t="n">
        <v>49.6</v>
      </c>
      <c r="F174" s="54" t="n">
        <v>0</v>
      </c>
      <c r="G174" s="55" t="n">
        <v>1</v>
      </c>
      <c r="H174" s="55" t="n">
        <v>0</v>
      </c>
      <c r="I174" s="55" t="n"/>
      <c r="J174" s="56" t="n"/>
      <c r="K174" s="56" t="inlineStr">
        <is>
          <t>https://amazon.com/dp/B0CTK9GF5Z</t>
        </is>
      </c>
      <c r="L174" s="34">
        <f>HYPERLINK(TABLE174)</f>
        <v/>
      </c>
    </row>
    <row r="175" ht="45" customHeight="1" s="290">
      <c r="A175" s="30" t="inlineStr">
        <is>
          <t>Generic OBD2 Scanner Professional OBD2 Scanner Diagnostic Tool Car Code Reader Check Engine Fault Code/Live Data/Voltage Enhanced Engine Fault Scanner Fit for Vehicle After 1996 Blue, 14.7x7.7x2.4cm</t>
        </is>
      </c>
      <c r="B175" s="30" t="inlineStr">
        <is>
          <t>B0CY9DX116</t>
        </is>
      </c>
      <c r="C175" s="30" t="inlineStr">
        <is>
          <t>Handheld</t>
        </is>
      </c>
      <c r="D175" s="324" t="n">
        <v>29.29</v>
      </c>
      <c r="E175" s="53" t="n">
        <v>36.47</v>
      </c>
      <c r="F175" s="54" t="n">
        <v>0</v>
      </c>
      <c r="G175" s="55" t="n">
        <v>2</v>
      </c>
      <c r="H175" s="55" t="n">
        <v>0</v>
      </c>
      <c r="I175" s="55" t="n"/>
      <c r="J175" s="56" t="n"/>
      <c r="K175" s="56" t="inlineStr">
        <is>
          <t>https://amazon.com/dp/B0CY9DX116</t>
        </is>
      </c>
      <c r="L175" s="34">
        <f>HYPERLINK(TABLE175)</f>
        <v/>
      </c>
    </row>
    <row r="176" ht="60" customHeight="1" s="290">
      <c r="A176" s="30" t="inlineStr">
        <is>
          <t>Openport 2.0 ECU Flash OBD2 Scanner OPENPORT2.0 OBDII Protocols ECU Chip Tunning Tactrix Open Port 2(a Full chip)</t>
        </is>
      </c>
      <c r="B176" s="30" t="inlineStr">
        <is>
          <t>B0DXBXF4R3</t>
        </is>
      </c>
      <c r="C176" s="30" t="inlineStr">
        <is>
          <t>Handheld</t>
        </is>
      </c>
      <c r="D176" s="324" t="n">
        <v>98.86</v>
      </c>
      <c r="E176" s="53" t="n">
        <v>98.86</v>
      </c>
      <c r="F176" s="54" t="n">
        <v>0</v>
      </c>
      <c r="G176" s="55" t="n">
        <v>1</v>
      </c>
      <c r="H176" s="55" t="n">
        <v>0</v>
      </c>
      <c r="I176" s="55" t="n"/>
      <c r="J176" s="56" t="n"/>
      <c r="K176" s="56" t="inlineStr">
        <is>
          <t>https://amazon.com/dp/B0DXBXF4R3</t>
        </is>
      </c>
      <c r="L176" s="34">
        <f>HYPERLINK(TABLE176)</f>
        <v/>
      </c>
    </row>
    <row r="177" ht="45" customHeight="1" s="290">
      <c r="A177" s="30" t="inlineStr">
        <is>
          <t>Professional OBD2 Scanner Compatible with Zurich ZR11S Advanced Automotive Diagnostic Scan Tools with ABS SRS Reset &amp; Live Data - Battery Test, Freeze Frame, Multi-Language Support -</t>
        </is>
      </c>
      <c r="B177" s="30" t="inlineStr">
        <is>
          <t>B0F8KS9PVL</t>
        </is>
      </c>
      <c r="C177" s="30" t="inlineStr">
        <is>
          <t>Handheld</t>
        </is>
      </c>
      <c r="D177" s="324" t="n">
        <v>199</v>
      </c>
      <c r="E177" s="53" t="n">
        <v>198.99</v>
      </c>
      <c r="F177" s="54" t="n">
        <v>0</v>
      </c>
      <c r="G177" s="55" t="n">
        <v>1</v>
      </c>
      <c r="H177" s="55" t="n">
        <v>0</v>
      </c>
      <c r="I177" s="55" t="n"/>
      <c r="J177" s="56" t="n"/>
      <c r="K177" s="56" t="inlineStr">
        <is>
          <t>https://amazon.com/dp/B0F8KS9PVL</t>
        </is>
      </c>
      <c r="L177" s="34">
        <f>HYPERLINK(TABLE177)</f>
        <v/>
      </c>
    </row>
    <row r="178" ht="45" customHeight="1" s="290">
      <c r="A178" s="30" t="inlineStr">
        <is>
          <t>Nexiq Pocket HD with Complete ABS and HD/LMT DPF Software</t>
        </is>
      </c>
      <c r="B178" s="30" t="inlineStr">
        <is>
          <t>B0CMRTNCNS</t>
        </is>
      </c>
      <c r="C178" s="30" t="inlineStr">
        <is>
          <t>Handheld</t>
        </is>
      </c>
      <c r="D178" s="324" t="n">
        <v>2199</v>
      </c>
      <c r="E178" s="53" t="n">
        <v>14077.29</v>
      </c>
      <c r="F178" s="54" t="n">
        <v>0</v>
      </c>
      <c r="G178" s="55" t="n">
        <v>6</v>
      </c>
      <c r="H178" s="55" t="n">
        <v>0</v>
      </c>
      <c r="I178" s="55" t="n"/>
      <c r="J178" s="56" t="n"/>
      <c r="K178" s="56" t="inlineStr">
        <is>
          <t>https://amazon.com/dp/B0CMRTNCNS</t>
        </is>
      </c>
      <c r="L178" s="34">
        <f>HYPERLINK(TABLE178)</f>
        <v/>
      </c>
    </row>
    <row r="179" ht="30" customHeight="1" s="290">
      <c r="A179" s="30" t="inlineStr">
        <is>
          <t>X300M Car A djustment Tool for C Luster C al ibration and OBDII for Exact Correct m ilea-ge Special Before Ordering Contact Us for List</t>
        </is>
      </c>
      <c r="B179" s="30" t="inlineStr">
        <is>
          <t>B0FTFHMBXW</t>
        </is>
      </c>
      <c r="C179" s="30" t="inlineStr">
        <is>
          <t>Handheld</t>
        </is>
      </c>
      <c r="D179" s="324" t="n">
        <v>379</v>
      </c>
      <c r="E179" s="53" t="n">
        <v>6738.38</v>
      </c>
      <c r="F179" s="54" t="n">
        <v>0</v>
      </c>
      <c r="G179" s="55" t="n">
        <v>19</v>
      </c>
      <c r="H179" s="55" t="n">
        <v>0</v>
      </c>
      <c r="I179" s="55" t="n">
        <v>1</v>
      </c>
      <c r="J179" s="56" t="n">
        <v>1</v>
      </c>
      <c r="K179" s="56" t="inlineStr">
        <is>
          <t>https://amazon.com/dp/B0FTFHMBXW</t>
        </is>
      </c>
      <c r="L179" s="34">
        <f>HYPERLINK(TABLE179)</f>
        <v/>
      </c>
    </row>
    <row r="180" ht="45" customHeight="1" s="290">
      <c r="A180" s="30" t="inlineStr">
        <is>
          <t>OBD2 Scanner Tool, Professional Car Diagnostic Code Reader, Digital with Live Data Stream, Battery Voltage Test, Yellow</t>
        </is>
      </c>
      <c r="B180" s="30" t="inlineStr">
        <is>
          <t>B0FPXBW4DF</t>
        </is>
      </c>
      <c r="C180" s="30" t="inlineStr">
        <is>
          <t>Handheld</t>
        </is>
      </c>
      <c r="D180" s="324" t="n">
        <v>10.635</v>
      </c>
      <c r="E180" s="53" t="n">
        <v>35.16</v>
      </c>
      <c r="F180" s="54" t="n">
        <v>0</v>
      </c>
      <c r="G180" s="55" t="n">
        <v>3</v>
      </c>
      <c r="H180" s="55" t="n">
        <v>0</v>
      </c>
      <c r="I180" s="55" t="n"/>
      <c r="J180" s="56" t="n"/>
      <c r="K180" s="56" t="inlineStr">
        <is>
          <t>https://amazon.com/dp/B0FPXBW4DF</t>
        </is>
      </c>
      <c r="L180" s="34">
        <f>HYPERLINK(TABLE180)</f>
        <v/>
      </c>
    </row>
    <row r="181" ht="45" customHeight="1" s="290">
      <c r="A181" s="30" t="inlineStr">
        <is>
          <t>Professional Car Code Reader, OBD2 Scanner for All 1996 and Newer Cars, Full OBDII Functions Automotive Engine Fault Diagnostic Scanner Tool with Color Screen</t>
        </is>
      </c>
      <c r="B181" s="30" t="inlineStr">
        <is>
          <t>B0F43R6N8J</t>
        </is>
      </c>
      <c r="C181" s="30" t="inlineStr">
        <is>
          <t>Handheld</t>
        </is>
      </c>
      <c r="D181" s="324" t="n">
        <v>18.72</v>
      </c>
      <c r="E181" s="53" t="n">
        <v>265.09</v>
      </c>
      <c r="F181" s="54" t="n">
        <v>0</v>
      </c>
      <c r="G181" s="55" t="n">
        <v>18</v>
      </c>
      <c r="H181" s="55" t="n">
        <v>0</v>
      </c>
      <c r="I181" s="55" t="n"/>
      <c r="J181" s="56" t="n"/>
      <c r="K181" s="56" t="inlineStr">
        <is>
          <t>https://amazon.com/dp/B0F43R6N8J</t>
        </is>
      </c>
      <c r="L181" s="34">
        <f>HYPERLINK(TABLE181)</f>
        <v/>
      </c>
    </row>
    <row r="182" ht="45" customHeight="1" s="290">
      <c r="A182" s="30" t="inlineStr">
        <is>
          <t>OBD2 Scanner Professional Car Diagnostic Code Reader, Digital with Live Data Stream, Battery Voltage Test, Red</t>
        </is>
      </c>
      <c r="B182" s="30" t="inlineStr">
        <is>
          <t>B0FP4V8SLT</t>
        </is>
      </c>
      <c r="C182" s="30" t="inlineStr">
        <is>
          <t>Handheld</t>
        </is>
      </c>
      <c r="D182" s="324" t="n">
        <v>9.06</v>
      </c>
      <c r="E182" s="53" t="n">
        <v>18.12</v>
      </c>
      <c r="F182" s="54" t="n">
        <v>0</v>
      </c>
      <c r="G182" s="55" t="n">
        <v>2</v>
      </c>
      <c r="H182" s="55" t="n">
        <v>0</v>
      </c>
      <c r="I182" s="55" t="n"/>
      <c r="J182" s="56" t="n"/>
      <c r="K182" s="56" t="inlineStr">
        <is>
          <t>https://amazon.com/dp/B0FP4V8SLT</t>
        </is>
      </c>
      <c r="L182" s="34">
        <f>HYPERLINK(TABLE182)</f>
        <v/>
      </c>
    </row>
    <row r="183" ht="45" customHeight="1" s="290">
      <c r="A183" s="30" t="inlineStr">
        <is>
          <t>Generic Nexiq 12-Pin Adapter for USB-Link 2 &amp; USB-Link 3</t>
        </is>
      </c>
      <c r="B183" s="30" t="inlineStr">
        <is>
          <t>B0CRVTG64N</t>
        </is>
      </c>
      <c r="C183" s="30" t="inlineStr">
        <is>
          <t>Cable/Adapter</t>
        </is>
      </c>
      <c r="D183" s="324" t="n">
        <v>98.48</v>
      </c>
      <c r="E183" s="53" t="n">
        <v>3300.48</v>
      </c>
      <c r="F183" s="54" t="n">
        <v>0</v>
      </c>
      <c r="G183" s="55" t="n">
        <v>35</v>
      </c>
      <c r="H183" s="55" t="n">
        <v>0</v>
      </c>
      <c r="I183" s="55" t="n"/>
      <c r="J183" s="56" t="n"/>
      <c r="K183" s="56" t="inlineStr">
        <is>
          <t>https://amazon.com/dp/B0CRVTG64N</t>
        </is>
      </c>
      <c r="L183" s="34">
        <f>HYPERLINK(TABLE183)</f>
        <v/>
      </c>
    </row>
    <row r="184" ht="45" customHeight="1" s="290">
      <c r="A184" s="30" t="inlineStr">
        <is>
          <t>OBD2 Scanner V519, Professional Car Diagnostic Code Reader, Digital with Live Data Stream, Battery Voltage Test, Red and Black</t>
        </is>
      </c>
      <c r="B184" s="30" t="inlineStr">
        <is>
          <t>B0FM3T7R37</t>
        </is>
      </c>
      <c r="C184" s="30" t="inlineStr">
        <is>
          <t>Handheld</t>
        </is>
      </c>
      <c r="D184" s="324" t="n">
        <v>10.10428571428571</v>
      </c>
      <c r="E184" s="53" t="n">
        <v>1166.2</v>
      </c>
      <c r="F184" s="54" t="n">
        <v>0</v>
      </c>
      <c r="G184" s="55" t="n">
        <v>92</v>
      </c>
      <c r="H184" s="55" t="n">
        <v>0</v>
      </c>
      <c r="I184" s="55" t="n">
        <v>3</v>
      </c>
      <c r="J184" s="56" t="n">
        <v>3.9</v>
      </c>
      <c r="K184" s="56" t="inlineStr">
        <is>
          <t>https://amazon.com/dp/B0FM3T7R37</t>
        </is>
      </c>
      <c r="L184" s="34">
        <f>HYPERLINK(TABLE184)</f>
        <v/>
      </c>
    </row>
    <row r="185" ht="45" customHeight="1" s="290">
      <c r="A185" s="30" t="inlineStr">
        <is>
          <t>Pacific Track PT30 - Comes with 1 Black Square Light Duty OBDII Cable- Molex to OBD-II Cable (Light-/Medium-Duty) 1.5m, P/N: PTSSOL15</t>
        </is>
      </c>
      <c r="B185" s="30" t="inlineStr">
        <is>
          <t>B0C3826SWW</t>
        </is>
      </c>
      <c r="C185" s="30" t="inlineStr">
        <is>
          <t>Cable/Adapter</t>
        </is>
      </c>
      <c r="D185" s="324" t="n">
        <v>189.99</v>
      </c>
      <c r="E185" s="53" t="n">
        <v>207.38</v>
      </c>
      <c r="F185" s="54" t="n">
        <v>0</v>
      </c>
      <c r="G185" s="55" t="n">
        <v>1</v>
      </c>
      <c r="H185" s="55" t="n">
        <v>0</v>
      </c>
      <c r="I185" s="55" t="n"/>
      <c r="J185" s="56" t="n"/>
      <c r="K185" s="56" t="inlineStr">
        <is>
          <t>https://amazon.com/dp/B0C3826SWW</t>
        </is>
      </c>
      <c r="L185" s="34">
        <f>HYPERLINK(TABLE185)</f>
        <v/>
      </c>
    </row>
    <row r="186" ht="60" customHeight="1" s="290">
      <c r="A186" s="30" t="inlineStr">
        <is>
          <t>Nexiq 12-Pin Adapter for Komatsu - USB Link 2 Compatible</t>
        </is>
      </c>
      <c r="B186" s="30" t="inlineStr">
        <is>
          <t>B09R8YV16D</t>
        </is>
      </c>
      <c r="C186" s="30" t="inlineStr">
        <is>
          <t>Handheld</t>
        </is>
      </c>
      <c r="D186" s="324" t="n">
        <v>195.9714285714286</v>
      </c>
      <c r="E186" s="53" t="n">
        <v>25884.27</v>
      </c>
      <c r="F186" s="54" t="n">
        <v>0</v>
      </c>
      <c r="G186" s="55" t="n">
        <v>138</v>
      </c>
      <c r="H186" s="55" t="n">
        <v>0</v>
      </c>
      <c r="I186" s="55" t="n">
        <v>7</v>
      </c>
      <c r="J186" s="56" t="n">
        <v>3.8</v>
      </c>
      <c r="K186" s="56" t="inlineStr">
        <is>
          <t>https://amazon.com/dp/B09R8YV16D</t>
        </is>
      </c>
      <c r="L186" s="34">
        <f>HYPERLINK(TABLE186)</f>
        <v/>
      </c>
    </row>
    <row r="187" ht="45" customHeight="1" s="290">
      <c r="A187" s="30" t="inlineStr">
        <is>
          <t>PT30 ELD Device + 16-Pin OBDII (Light Medium Duty) Electronic Logging Device with 16-Pin OBDII Cable</t>
        </is>
      </c>
      <c r="B187" s="30" t="inlineStr">
        <is>
          <t>B0DRSZL595</t>
        </is>
      </c>
      <c r="C187" s="30" t="inlineStr">
        <is>
          <t>Cable/Adapter</t>
        </is>
      </c>
      <c r="D187" s="324" t="n">
        <v>199.204705882353</v>
      </c>
      <c r="E187" s="53" t="n">
        <v>53088.51</v>
      </c>
      <c r="F187" s="54" t="n">
        <v>0</v>
      </c>
      <c r="G187" s="55" t="n">
        <v>296</v>
      </c>
      <c r="H187" s="55" t="n">
        <v>0</v>
      </c>
      <c r="I187" s="55" t="n">
        <v>7</v>
      </c>
      <c r="J187" s="56" t="n">
        <v>4.1</v>
      </c>
      <c r="K187" s="56" t="inlineStr">
        <is>
          <t>https://amazon.com/dp/B0DRSZL595</t>
        </is>
      </c>
      <c r="L187" s="34">
        <f>HYPERLINK(TABLE187)</f>
        <v/>
      </c>
    </row>
    <row r="188" ht="45" customHeight="1" s="290">
      <c r="A188" s="30" t="inlineStr">
        <is>
          <t>PT30 ELD Device with 14 Pin Cable RP1226 for Flex ELD, TT ELD, Green ELD, Hero ELD</t>
        </is>
      </c>
      <c r="B188" s="30" t="inlineStr">
        <is>
          <t>B0DZGY8QR9</t>
        </is>
      </c>
      <c r="C188" s="30" t="inlineStr">
        <is>
          <t>Cable/Adapter</t>
        </is>
      </c>
      <c r="D188" s="324" t="n">
        <v>200.9371428571428</v>
      </c>
      <c r="E188" s="53" t="n">
        <v>7600.32</v>
      </c>
      <c r="F188" s="54" t="n">
        <v>0</v>
      </c>
      <c r="G188" s="55" t="n">
        <v>41</v>
      </c>
      <c r="H188" s="55" t="n">
        <v>0</v>
      </c>
      <c r="I188" s="55" t="n"/>
      <c r="J188" s="56" t="n"/>
      <c r="K188" s="56" t="inlineStr">
        <is>
          <t>https://amazon.com/dp/B0DZGY8QR9</t>
        </is>
      </c>
      <c r="L188" s="34">
        <f>HYPERLINK(TABLE188)</f>
        <v/>
      </c>
    </row>
    <row r="189" ht="45" customHeight="1" s="290">
      <c r="A189" s="30" t="inlineStr">
        <is>
          <t>OBDII to HDMI Monitor/Tuner/Insight Interface Cable, OBDII to HDMI Monitor Cable Plug for Edge CS2 CTS2 CTS3, Replace#H00008000 - [73.2 inches/186 cm]</t>
        </is>
      </c>
      <c r="B189" s="30" t="inlineStr">
        <is>
          <t>B0FNWNYL5G</t>
        </is>
      </c>
      <c r="C189" s="30" t="inlineStr">
        <is>
          <t>Handheld</t>
        </is>
      </c>
      <c r="D189" s="324" t="n">
        <v>13.83</v>
      </c>
      <c r="E189" s="53" t="n">
        <v>70.44</v>
      </c>
      <c r="F189" s="54" t="n">
        <v>0</v>
      </c>
      <c r="G189" s="55" t="n">
        <v>5</v>
      </c>
      <c r="H189" s="55" t="n">
        <v>0</v>
      </c>
      <c r="I189" s="55" t="n">
        <v>1</v>
      </c>
      <c r="J189" s="56" t="n">
        <v>4</v>
      </c>
      <c r="K189" s="56" t="inlineStr">
        <is>
          <t>https://amazon.com/dp/B0FNWNYL5G</t>
        </is>
      </c>
      <c r="L189" s="34">
        <f>HYPERLINK(TABLE189)</f>
        <v/>
      </c>
    </row>
    <row r="190" ht="60" customHeight="1" s="290">
      <c r="A190" s="30" t="inlineStr">
        <is>
          <t>NEXIQ Locking 9-Pin CAT Engines Cable for USB- Link 2 &amp; 3</t>
        </is>
      </c>
      <c r="B190" s="30" t="inlineStr">
        <is>
          <t>B0CRVXXBDV</t>
        </is>
      </c>
      <c r="C190" s="30" t="inlineStr">
        <is>
          <t>Cable/Adapter</t>
        </is>
      </c>
      <c r="D190" s="324" t="n">
        <v>172.1975</v>
      </c>
      <c r="E190" s="53" t="n">
        <v>13861.22</v>
      </c>
      <c r="F190" s="54" t="n">
        <v>0</v>
      </c>
      <c r="G190" s="55" t="n">
        <v>80</v>
      </c>
      <c r="H190" s="55" t="n">
        <v>0</v>
      </c>
      <c r="I190" s="55" t="n">
        <v>2</v>
      </c>
      <c r="J190" s="56" t="n">
        <v>5</v>
      </c>
      <c r="K190" s="56" t="inlineStr">
        <is>
          <t>https://amazon.com/dp/B0CRVXXBDV</t>
        </is>
      </c>
      <c r="L190" s="34">
        <f>HYPERLINK(TABLE190)</f>
        <v/>
      </c>
    </row>
    <row r="191" ht="45" customHeight="1" s="290">
      <c r="A191" s="30" t="inlineStr">
        <is>
          <t>Generic NEXIQ J1962 Adapter - 16-Pin OBD 2-1 Meter, Black</t>
        </is>
      </c>
      <c r="B191" s="30" t="inlineStr">
        <is>
          <t>B0CRVWCFFD</t>
        </is>
      </c>
      <c r="C191" s="30" t="inlineStr">
        <is>
          <t>Cable/Adapter</t>
        </is>
      </c>
      <c r="D191" s="324" t="n">
        <v>169.442</v>
      </c>
      <c r="E191" s="53" t="n">
        <v>7261.040000000002</v>
      </c>
      <c r="F191" s="54" t="n">
        <v>0</v>
      </c>
      <c r="G191" s="55" t="n">
        <v>44</v>
      </c>
      <c r="H191" s="55" t="n">
        <v>0</v>
      </c>
      <c r="I191" s="55" t="n">
        <v>2</v>
      </c>
      <c r="J191" s="56" t="n">
        <v>3.6</v>
      </c>
      <c r="K191" s="56" t="inlineStr">
        <is>
          <t>https://amazon.com/dp/B0CRVWCFFD</t>
        </is>
      </c>
      <c r="L191" s="34">
        <f>HYPERLINK(TABLE191)</f>
        <v/>
      </c>
    </row>
    <row r="192" ht="45" customHeight="1" s="290">
      <c r="A192" s="30" t="inlineStr">
        <is>
          <t>OBD2 WiFi Scanner for iPhone iOS Android Windows Car Code Reader Enhanced Auto Diagnostic Scan Tool Odb2 OBDII Adapter Check Engine Light Live Data Reset Vehicle Performance Test</t>
        </is>
      </c>
      <c r="B192" s="30" t="inlineStr">
        <is>
          <t>B0FCNLM45F</t>
        </is>
      </c>
      <c r="C192" s="30" t="inlineStr">
        <is>
          <t>Dongle</t>
        </is>
      </c>
      <c r="D192" s="324" t="n">
        <v>9.472105263157896</v>
      </c>
      <c r="E192" s="53" t="n">
        <v>3707.3</v>
      </c>
      <c r="F192" s="54" t="n">
        <v>0</v>
      </c>
      <c r="G192" s="55" t="n">
        <v>373</v>
      </c>
      <c r="H192" s="55" t="n">
        <v>0</v>
      </c>
      <c r="I192" s="55" t="n">
        <v>17</v>
      </c>
      <c r="J192" s="56" t="n">
        <v>3.3</v>
      </c>
      <c r="K192" s="56" t="inlineStr">
        <is>
          <t>https://amazon.com/dp/B0FCNLM45F</t>
        </is>
      </c>
      <c r="L192" s="34">
        <f>HYPERLINK(TABLE192)</f>
        <v/>
      </c>
    </row>
    <row r="193" ht="60" customHeight="1" s="290">
      <c r="A193" s="30" t="inlineStr">
        <is>
          <t>Diagnostic Tool for DOOSAN uVIM Excavator Forklift Engine Fault Detection OBD Interface DDT CARNICS SCR+DPF+G2 ECU+G2 DCU+G2 2023 Software Scanner</t>
        </is>
      </c>
      <c r="B193" s="30" t="inlineStr">
        <is>
          <t>B0CJV676KM</t>
        </is>
      </c>
      <c r="C193" s="30" t="inlineStr">
        <is>
          <t>VCI</t>
        </is>
      </c>
      <c r="D193" s="324" t="n">
        <v>345</v>
      </c>
      <c r="E193" s="53" t="n">
        <v>0</v>
      </c>
      <c r="F193" s="54" t="n">
        <v>0</v>
      </c>
      <c r="G193" s="55" t="n">
        <v>0</v>
      </c>
      <c r="H193" s="55" t="n">
        <v>0</v>
      </c>
      <c r="I193" s="55" t="n"/>
      <c r="J193" s="56" t="n"/>
      <c r="K193" s="56" t="inlineStr">
        <is>
          <t>https://amazon.com/dp/B0CJV676KM</t>
        </is>
      </c>
      <c r="L193" s="34">
        <f>HYPERLINK(TABLE193)</f>
        <v/>
      </c>
    </row>
    <row r="194" ht="45" customHeight="1" s="290">
      <c r="A194" s="30" t="inlineStr">
        <is>
          <t>PT30+Cable for Log Book HOS, DriverLog - Ships Fast-Buy America-Bundle Deal - Panel Cables for Heavy-Duty Volvo - White</t>
        </is>
      </c>
      <c r="B194" s="30" t="inlineStr">
        <is>
          <t>B0CQ419JQ9</t>
        </is>
      </c>
      <c r="C194" s="30" t="inlineStr">
        <is>
          <t>Other</t>
        </is>
      </c>
      <c r="D194" s="324" t="n">
        <v>189.99</v>
      </c>
      <c r="E194" s="53" t="n">
        <v>0</v>
      </c>
      <c r="F194" s="54" t="n">
        <v>0</v>
      </c>
      <c r="G194" s="55" t="n">
        <v>0</v>
      </c>
      <c r="H194" s="55" t="n">
        <v>0</v>
      </c>
      <c r="I194" s="55" t="n"/>
      <c r="J194" s="56" t="n"/>
      <c r="K194" s="56" t="inlineStr">
        <is>
          <t>https://amazon.com/dp/B0CQ419JQ9</t>
        </is>
      </c>
      <c r="L194" s="34">
        <f>HYPERLINK(TABLE194)</f>
        <v/>
      </c>
    </row>
    <row r="195" ht="45" customHeight="1" s="290">
      <c r="A195" s="30" t="inlineStr">
        <is>
          <t>478-0235 538-5051 317-7485 ET4 Communication Adapter 2019C 2023A Heavy Duty Diagnostic Tool Tester for Caterpillar CAT Truck Excavator (with Tablet)</t>
        </is>
      </c>
      <c r="B195" s="30" t="inlineStr">
        <is>
          <t>B0CJX1XS84</t>
        </is>
      </c>
      <c r="C195" s="30" t="inlineStr">
        <is>
          <t>VCI</t>
        </is>
      </c>
      <c r="D195" s="324" t="n">
        <v>720</v>
      </c>
      <c r="E195" s="53" t="n">
        <v>0</v>
      </c>
      <c r="F195" s="54" t="n">
        <v>0</v>
      </c>
      <c r="G195" s="55" t="n">
        <v>0</v>
      </c>
      <c r="H195" s="55" t="n">
        <v>0</v>
      </c>
      <c r="I195" s="55" t="n">
        <v>2</v>
      </c>
      <c r="J195" s="56" t="n">
        <v>2.9</v>
      </c>
      <c r="K195" s="56" t="inlineStr">
        <is>
          <t>https://amazon.com/dp/B0CJX1XS84</t>
        </is>
      </c>
      <c r="L195" s="34">
        <f>HYPERLINK(TABLE195)</f>
        <v/>
      </c>
    </row>
    <row r="196" ht="45" customHeight="1" s="290">
      <c r="A196" s="30" t="inlineStr">
        <is>
          <t>478-0235 538-5051 317-7485 ET4 Communication Adapter 2019C 2021B Heavy Duty Diagnostic Tool Tester for Caterpillar CAT Truck Excavator (Adapter)</t>
        </is>
      </c>
      <c r="B196" s="30" t="inlineStr">
        <is>
          <t>B0CJTW6VJB</t>
        </is>
      </c>
      <c r="C196" s="30" t="inlineStr">
        <is>
          <t>VCI</t>
        </is>
      </c>
      <c r="D196" s="324" t="n">
        <v>285</v>
      </c>
      <c r="E196" s="53" t="n">
        <v>253.62</v>
      </c>
      <c r="F196" s="54" t="n">
        <v>0</v>
      </c>
      <c r="G196" s="55" t="n">
        <v>1</v>
      </c>
      <c r="H196" s="55" t="n">
        <v>0</v>
      </c>
      <c r="I196" s="55" t="n">
        <v>2</v>
      </c>
      <c r="J196" s="56" t="n">
        <v>2.9</v>
      </c>
      <c r="K196" s="56" t="inlineStr">
        <is>
          <t>https://amazon.com/dp/B0CJTW6VJB</t>
        </is>
      </c>
      <c r="L196" s="34">
        <f>HYPERLINK(TABLE196)</f>
        <v/>
      </c>
    </row>
    <row r="197" ht="45" customHeight="1" s="290">
      <c r="A197" s="30" t="inlineStr">
        <is>
          <t>Automatic MCU 51 Microcontroller Downloader Auto Programmer / 3.3V 5V Universal/Dual Voltage USB to TTL Download Cable</t>
        </is>
      </c>
      <c r="B197" s="30" t="inlineStr">
        <is>
          <t>B0CPCZ2WZD</t>
        </is>
      </c>
      <c r="C197" s="30" t="inlineStr">
        <is>
          <t>Handheld</t>
        </is>
      </c>
      <c r="D197" s="324" t="n">
        <v>8.289999999999999</v>
      </c>
      <c r="E197" s="53" t="n">
        <v>8.279999999999999</v>
      </c>
      <c r="F197" s="54" t="n">
        <v>0</v>
      </c>
      <c r="G197" s="55" t="n">
        <v>1</v>
      </c>
      <c r="H197" s="55" t="n">
        <v>0</v>
      </c>
      <c r="I197" s="55" t="n"/>
      <c r="J197" s="56" t="n"/>
      <c r="K197" s="56" t="inlineStr">
        <is>
          <t>https://amazon.com/dp/B0CPCZ2WZD</t>
        </is>
      </c>
      <c r="L197" s="34">
        <f>HYPERLINK(TABLE197)</f>
        <v/>
      </c>
    </row>
    <row r="198" ht="45" customHeight="1" s="290">
      <c r="A198" s="30" t="inlineStr">
        <is>
          <t>MPDR Software 3.9 for Heavy Duty Diagnostic Tool Tester The Latest Version for Hitachi EX ZX-1 ZX-3 ZX-3G ZX-5 ZX-6 ZX-7 of Excavator</t>
        </is>
      </c>
      <c r="B198" s="30" t="inlineStr">
        <is>
          <t>B0CJ6F62P9</t>
        </is>
      </c>
      <c r="C198" s="30" t="inlineStr">
        <is>
          <t>VCI</t>
        </is>
      </c>
      <c r="D198" s="324" t="n">
        <v>90</v>
      </c>
      <c r="E198" s="53" t="n">
        <v>91.42</v>
      </c>
      <c r="F198" s="54" t="n">
        <v>0</v>
      </c>
      <c r="G198" s="55" t="n">
        <v>1</v>
      </c>
      <c r="H198" s="55" t="n">
        <v>0</v>
      </c>
      <c r="I198" s="55" t="n"/>
      <c r="J198" s="56" t="n"/>
      <c r="K198" s="56" t="inlineStr">
        <is>
          <t>https://amazon.com/dp/B0CJ6F62P9</t>
        </is>
      </c>
      <c r="L198" s="34">
        <f>HYPERLINK(TABLE198)</f>
        <v/>
      </c>
    </row>
    <row r="199" ht="45" customHeight="1" s="290">
      <c r="A199" s="30" t="inlineStr">
        <is>
          <t>Generic Diagnostic Port Adapter Cable OBD-II CAN for Tesla Model S/X 2012 - September 2015</t>
        </is>
      </c>
      <c r="B199" s="30" t="inlineStr">
        <is>
          <t>B0C6YNS37B</t>
        </is>
      </c>
      <c r="C199" s="30" t="inlineStr">
        <is>
          <t>Cable/Adapter</t>
        </is>
      </c>
      <c r="D199" s="324" t="n">
        <v>34.95</v>
      </c>
      <c r="E199" s="53" t="n">
        <v>35.53</v>
      </c>
      <c r="F199" s="54" t="n">
        <v>0</v>
      </c>
      <c r="G199" s="55" t="n">
        <v>1</v>
      </c>
      <c r="H199" s="55" t="n">
        <v>0</v>
      </c>
      <c r="I199" s="55" t="n">
        <v>1</v>
      </c>
      <c r="J199" s="56" t="n">
        <v>4</v>
      </c>
      <c r="K199" s="56" t="inlineStr">
        <is>
          <t>https://amazon.com/dp/B0C6YNS37B</t>
        </is>
      </c>
      <c r="L199" s="34">
        <f>HYPERLINK(TABLE199)</f>
        <v/>
      </c>
    </row>
    <row r="200" ht="45" customHeight="1" s="290">
      <c r="A200" s="30" t="inlineStr">
        <is>
          <t>for Nexiq 3 121054 USB Link 3 Wired Edition,Universal Truck Excavator Diagnostic Scanner Repair for Heavy Duty Diesel Engine Code Reader Tool (Nexiq3 Laptop with All Software)</t>
        </is>
      </c>
      <c r="B200" s="30" t="inlineStr">
        <is>
          <t>B0FNR29DJB</t>
        </is>
      </c>
      <c r="C200" s="30" t="inlineStr">
        <is>
          <t>VCI</t>
        </is>
      </c>
      <c r="D200" s="324" t="n">
        <v>1499</v>
      </c>
      <c r="E200" s="53" t="n">
        <v>0</v>
      </c>
      <c r="F200" s="54" t="n">
        <v>0</v>
      </c>
      <c r="G200" s="55" t="n">
        <v>0</v>
      </c>
      <c r="H200" s="55" t="n">
        <v>0</v>
      </c>
      <c r="I200" s="55" t="n"/>
      <c r="J200" s="56" t="n"/>
      <c r="K200" s="56" t="inlineStr">
        <is>
          <t>https://amazon.com/dp/B0FNR29DJB</t>
        </is>
      </c>
      <c r="L200" s="34">
        <f>HYPERLINK(TABLE200)</f>
        <v/>
      </c>
    </row>
    <row r="201" ht="45" customHeight="1" s="290">
      <c r="A201" s="30" t="inlineStr">
        <is>
          <t>VTech OBD2 Bluetooth Scanner Car Diagnostic Tool, Auto Code Reader with Real-time Data, Engine Fault Check for Android iOS Windows, 2-Pack Value Bundle</t>
        </is>
      </c>
      <c r="B201" s="30" t="inlineStr">
        <is>
          <t>B0GMDGH1CB</t>
        </is>
      </c>
      <c r="C201" s="30" t="inlineStr">
        <is>
          <t>Handheld</t>
        </is>
      </c>
      <c r="D201" s="324" t="n">
        <v>25.94</v>
      </c>
      <c r="E201" s="53" t="n">
        <v>91.73999999999999</v>
      </c>
      <c r="F201" s="54" t="n">
        <v>0</v>
      </c>
      <c r="G201" s="55" t="n">
        <v>4</v>
      </c>
      <c r="H201" s="55" t="n">
        <v>0</v>
      </c>
      <c r="I201" s="55" t="n"/>
      <c r="J201" s="56" t="n"/>
      <c r="K201" s="56" t="inlineStr">
        <is>
          <t>https://amazon.com/dp/B0GMDGH1CB</t>
        </is>
      </c>
      <c r="L201" s="34">
        <f>HYPERLINK(TABLE201)</f>
        <v/>
      </c>
    </row>
    <row r="202" ht="45" customHeight="1" s="290">
      <c r="A202" s="30" t="inlineStr">
        <is>
          <t>OBD2 Scanner MaxiScan MS309 Car Check Engine Code Reader, Check Emission Monitor Status, CAN Diagnostic Scan Tool for All OBD II Protocol Vehicles After 1996</t>
        </is>
      </c>
      <c r="B202" s="30" t="inlineStr">
        <is>
          <t>B0CPLZ7CC5</t>
        </is>
      </c>
      <c r="C202" s="30" t="inlineStr">
        <is>
          <t>Handheld</t>
        </is>
      </c>
      <c r="D202" s="324" t="n">
        <v>14.99</v>
      </c>
      <c r="E202" s="53" t="n">
        <v>110.41</v>
      </c>
      <c r="F202" s="54" t="n">
        <v>0</v>
      </c>
      <c r="G202" s="55" t="n">
        <v>7</v>
      </c>
      <c r="H202" s="55" t="n">
        <v>0</v>
      </c>
      <c r="I202" s="55" t="n">
        <v>2</v>
      </c>
      <c r="J202" s="56" t="n">
        <v>4.6</v>
      </c>
      <c r="K202" s="56" t="inlineStr">
        <is>
          <t>https://amazon.com/dp/B0CPLZ7CC5</t>
        </is>
      </c>
      <c r="L202" s="34">
        <f>HYPERLINK(TABLE202)</f>
        <v/>
      </c>
    </row>
    <row r="203" ht="45" customHeight="1" s="290">
      <c r="A203" s="30" t="inlineStr">
        <is>
          <t>Waterproof Motorcycle OBD2 Diagnosis Connector Set - 6 Pin Male Plug and Female Socket with Cable for Hong-da Yamha</t>
        </is>
      </c>
      <c r="B203" s="30" t="inlineStr">
        <is>
          <t>B0D67B8HJB</t>
        </is>
      </c>
      <c r="C203" s="30" t="inlineStr">
        <is>
          <t>Cable/Adapter</t>
        </is>
      </c>
      <c r="D203" s="324" t="n">
        <v>10.99</v>
      </c>
      <c r="E203" s="53" t="n">
        <v>70.20999999999999</v>
      </c>
      <c r="F203" s="54" t="n">
        <v>0</v>
      </c>
      <c r="G203" s="55" t="n">
        <v>6</v>
      </c>
      <c r="H203" s="55" t="n">
        <v>0</v>
      </c>
      <c r="I203" s="55" t="n"/>
      <c r="J203" s="56" t="n"/>
      <c r="K203" s="56" t="inlineStr">
        <is>
          <t>https://amazon.com/dp/B0D67B8HJB</t>
        </is>
      </c>
      <c r="L203" s="34">
        <f>HYPERLINK(TABLE203)</f>
        <v/>
      </c>
    </row>
    <row r="204" ht="17" customHeight="1" s="290">
      <c r="A204" s="30" t="inlineStr">
        <is>
          <t>VCM3 Diagnostic Tool Vehicle Diagnostic Scanner with Drivers Communication VCM 3 Module 3 with Software Installed (VCM3)</t>
        </is>
      </c>
      <c r="B204" s="30" t="inlineStr">
        <is>
          <t>B0FWR24SH7</t>
        </is>
      </c>
      <c r="C204" s="30" t="inlineStr">
        <is>
          <t>VCI</t>
        </is>
      </c>
      <c r="D204" s="324" t="n">
        <v>845</v>
      </c>
      <c r="E204" s="53" t="n">
        <v>0</v>
      </c>
      <c r="F204" s="54" t="n">
        <v>0</v>
      </c>
      <c r="G204" s="55" t="n">
        <v>0</v>
      </c>
      <c r="H204" s="55" t="n">
        <v>0</v>
      </c>
      <c r="I204" s="55" t="n"/>
      <c r="J204" s="56" t="n"/>
      <c r="K204" s="56" t="inlineStr">
        <is>
          <t>https://amazon.com/dp/B0FWR24SH7</t>
        </is>
      </c>
      <c r="L204" s="34">
        <f>HYPERLINK(TABLE204)</f>
        <v/>
      </c>
    </row>
    <row r="205" ht="30" customHeight="1" s="290">
      <c r="A205" s="30" t="inlineStr">
        <is>
          <t>for Deutz Diagnostic Scanner Tool for Deutz DeCOM SerDia Software Support CAN K/L-Line for Deutz DECOM Controllers Diagnosis kit with 4.0 Dongle Software</t>
        </is>
      </c>
      <c r="B205" s="30" t="inlineStr">
        <is>
          <t>B0CJ6JDW4Z</t>
        </is>
      </c>
      <c r="C205" s="30" t="inlineStr">
        <is>
          <t>VCI</t>
        </is>
      </c>
      <c r="D205" s="324" t="n">
        <v>1430</v>
      </c>
      <c r="E205" s="53" t="n">
        <v>15031.41</v>
      </c>
      <c r="F205" s="54" t="n">
        <v>0</v>
      </c>
      <c r="G205" s="55" t="n">
        <v>10</v>
      </c>
      <c r="H205" s="55" t="n">
        <v>0</v>
      </c>
      <c r="I205" s="55" t="n"/>
      <c r="J205" s="56" t="n"/>
      <c r="K205" s="56" t="inlineStr">
        <is>
          <t>https://amazon.com/dp/B0CJ6JDW4Z</t>
        </is>
      </c>
      <c r="L205" s="34">
        <f>HYPERLINK(TABLE205)</f>
        <v/>
      </c>
    </row>
    <row r="206" ht="45" customHeight="1" s="290">
      <c r="A206" s="30" t="inlineStr">
        <is>
          <t>Multi-Function LED BDM Frame Holder ECU Read/Write Station with 4 Probe pens for BDM100 Kess KTAG</t>
        </is>
      </c>
      <c r="B206" s="30" t="inlineStr">
        <is>
          <t>B0DH1KLHB8</t>
        </is>
      </c>
      <c r="C206" s="30" t="inlineStr">
        <is>
          <t>Other</t>
        </is>
      </c>
      <c r="D206" s="324" t="n">
        <v>49.99</v>
      </c>
      <c r="E206" s="53" t="n">
        <v>605.6099999999999</v>
      </c>
      <c r="F206" s="54" t="n">
        <v>0</v>
      </c>
      <c r="G206" s="55" t="n">
        <v>12</v>
      </c>
      <c r="H206" s="55" t="n">
        <v>0</v>
      </c>
      <c r="I206" s="55" t="n">
        <v>1</v>
      </c>
      <c r="J206" s="56" t="n">
        <v>5</v>
      </c>
      <c r="K206" s="56" t="inlineStr">
        <is>
          <t>https://amazon.com/dp/B0DH1KLHB8</t>
        </is>
      </c>
      <c r="L206" s="34">
        <f>HYPERLINK(TABLE206)</f>
        <v/>
      </c>
    </row>
    <row r="207" ht="45" customHeight="1" s="290">
      <c r="A207" s="30" t="inlineStr">
        <is>
          <t>Scanner Diagnostic Tool Service System IDSS Hardware and Software Solution for Truck Diagnosis and Repair for Isuzu G-IDSS Products are unive (G-IDSS with Laptop)</t>
        </is>
      </c>
      <c r="B207" s="30" t="inlineStr">
        <is>
          <t>B0CLGSCRKN</t>
        </is>
      </c>
      <c r="C207" s="30" t="inlineStr">
        <is>
          <t>VCI</t>
        </is>
      </c>
      <c r="D207" s="324" t="n">
        <v>1782</v>
      </c>
      <c r="E207" s="53" t="n">
        <v>4662.71</v>
      </c>
      <c r="F207" s="54" t="n">
        <v>0</v>
      </c>
      <c r="G207" s="55" t="n">
        <v>3</v>
      </c>
      <c r="H207" s="55" t="n">
        <v>0</v>
      </c>
      <c r="I207" s="55" t="n"/>
      <c r="J207" s="56" t="n"/>
      <c r="K207" s="56" t="inlineStr">
        <is>
          <t>https://amazon.com/dp/B0CLGSCRKN</t>
        </is>
      </c>
      <c r="L207" s="34">
        <f>HYPERLINK(TABLE207)</f>
        <v/>
      </c>
    </row>
    <row r="208" ht="17" customHeight="1" s="290">
      <c r="A208" s="30" t="inlineStr">
        <is>
          <t>OBD2 Scanner Code Reader – Plug-in Car Diagnostic Tool for Check Engine Light – Compatible with Most 1996 &amp; Newer Cars, Trucks &amp; SUVs – Easy-to-Use OBD II Reader for DIY Mechanics</t>
        </is>
      </c>
      <c r="B208" s="30" t="inlineStr">
        <is>
          <t>B0CVKZNZPJ</t>
        </is>
      </c>
      <c r="C208" s="30" t="inlineStr">
        <is>
          <t>Handheld</t>
        </is>
      </c>
      <c r="D208" s="324" t="n">
        <v>49.95</v>
      </c>
      <c r="E208" s="53" t="n">
        <v>1323.26</v>
      </c>
      <c r="F208" s="54" t="n">
        <v>0</v>
      </c>
      <c r="G208" s="55" t="n">
        <v>35</v>
      </c>
      <c r="H208" s="55" t="n">
        <v>0</v>
      </c>
      <c r="I208" s="55" t="n">
        <v>45</v>
      </c>
      <c r="J208" s="56" t="n">
        <v>4.5</v>
      </c>
      <c r="K208" s="56" t="inlineStr">
        <is>
          <t>https://amazon.com/dp/B0CVKZNZPJ</t>
        </is>
      </c>
      <c r="L208" s="34">
        <f>HYPERLINK(TABLE208)</f>
        <v/>
      </c>
    </row>
    <row r="209">
      <c r="A209" s="30" t="inlineStr">
        <is>
          <t>SDP3 2.50.1 for SCA-nia VCI-3 VCI3 Scanner WiFi Wireless SCAN Trucks Heavy Duty Diagnostic Tool</t>
        </is>
      </c>
      <c r="B209" s="30" t="inlineStr">
        <is>
          <t>B0CJ6JKXT1</t>
        </is>
      </c>
      <c r="C209" s="30" t="inlineStr">
        <is>
          <t>VCI</t>
        </is>
      </c>
      <c r="D209" s="324" t="n">
        <v>115</v>
      </c>
      <c r="E209" s="53" t="n">
        <v>886.51</v>
      </c>
      <c r="F209" s="54" t="n">
        <v>0</v>
      </c>
      <c r="G209" s="55" t="n">
        <v>7</v>
      </c>
      <c r="H209" s="55" t="n">
        <v>0</v>
      </c>
      <c r="I209" s="55" t="n"/>
      <c r="J209" s="56" t="n"/>
      <c r="K209" s="56" t="inlineStr">
        <is>
          <t>https://amazon.com/dp/B0CJ6JKXT1</t>
        </is>
      </c>
      <c r="L209" s="34">
        <f>HYPERLINK(TABLE209)</f>
        <v/>
      </c>
    </row>
    <row r="210">
      <c r="A210" s="30" t="inlineStr">
        <is>
          <t>for Nexiq 3 121054 USB Link 3 Wired Edition,Universal Truck Excavator Diagnostic Scanner Repair for Heavy Duty Diesel Engine Code Reader Tool (Nexiq 3)</t>
        </is>
      </c>
      <c r="B210" s="30" t="inlineStr">
        <is>
          <t>B0FNR1N6TM</t>
        </is>
      </c>
      <c r="C210" s="30" t="inlineStr">
        <is>
          <t>VCI</t>
        </is>
      </c>
      <c r="D210" s="324" t="n">
        <v>658</v>
      </c>
      <c r="E210" s="53" t="n">
        <v>2609.97</v>
      </c>
      <c r="F210" s="54" t="n">
        <v>0</v>
      </c>
      <c r="G210" s="55" t="n">
        <v>5</v>
      </c>
      <c r="H210" s="55" t="n">
        <v>0</v>
      </c>
      <c r="I210" s="55" t="n"/>
      <c r="J210" s="56" t="n"/>
      <c r="K210" s="56" t="inlineStr">
        <is>
          <t>https://amazon.com/dp/B0FNR1N6TM</t>
        </is>
      </c>
      <c r="L210" s="34">
        <f>HYPERLINK(TABLE210)</f>
        <v/>
      </c>
    </row>
    <row r="211">
      <c r="A211" s="30" t="inlineStr">
        <is>
          <t>PT30+Cable Bundle-ELD Geosavi Buy America (PT30+Orange &amp; Gray Cable ForVolvoTrucks)</t>
        </is>
      </c>
      <c r="B211" s="30" t="inlineStr">
        <is>
          <t>B0CTTWQWXK</t>
        </is>
      </c>
      <c r="C211" s="30" t="inlineStr">
        <is>
          <t>Other</t>
        </is>
      </c>
      <c r="D211" s="324" t="n">
        <v>189.99</v>
      </c>
      <c r="E211" s="53" t="n">
        <v>1176.56</v>
      </c>
      <c r="F211" s="54" t="n">
        <v>0</v>
      </c>
      <c r="G211" s="55" t="n">
        <v>6</v>
      </c>
      <c r="H211" s="55" t="n">
        <v>0</v>
      </c>
      <c r="I211" s="55" t="n"/>
      <c r="J211" s="56" t="n"/>
      <c r="K211" s="56" t="inlineStr">
        <is>
          <t>https://amazon.com/dp/B0CTTWQWXK</t>
        </is>
      </c>
      <c r="L211" s="34">
        <f>HYPERLINK(TABLE211)</f>
        <v/>
      </c>
    </row>
    <row r="212">
      <c r="A212" s="30" t="inlineStr">
        <is>
          <t>LCD Screen for Autel MaxiCOM MX808 DS808 MP808 MK808 MK808TS MK808</t>
        </is>
      </c>
      <c r="B212" s="30" t="inlineStr">
        <is>
          <t>B0DSHVB5CH</t>
        </is>
      </c>
      <c r="C212" s="30" t="inlineStr">
        <is>
          <t>Tablet</t>
        </is>
      </c>
      <c r="D212" s="324" t="n">
        <v>58.9</v>
      </c>
      <c r="E212" s="53" t="n">
        <v>197.6</v>
      </c>
      <c r="F212" s="54" t="n">
        <v>0</v>
      </c>
      <c r="G212" s="55" t="n">
        <v>3</v>
      </c>
      <c r="H212" s="55" t="n">
        <v>0</v>
      </c>
      <c r="I212" s="55" t="n"/>
      <c r="J212" s="56" t="n"/>
      <c r="K212" s="56" t="inlineStr">
        <is>
          <t>https://amazon.com/dp/B0DSHVB5CH</t>
        </is>
      </c>
      <c r="L212" s="34">
        <f>HYPERLINK(TABLE212)</f>
        <v/>
      </c>
    </row>
    <row r="213">
      <c r="A213" s="30" t="inlineStr">
        <is>
          <t>CAR Diagnostic Scanner G-SCAN Zenith Z5: Basic KIT 12, 24 vl Automotive Diagnosis Best Asian Vehicle Coverage Nissan, Hyundai, and Kia</t>
        </is>
      </c>
      <c r="B213" s="30" t="inlineStr">
        <is>
          <t>B0CZ7K5VGB</t>
        </is>
      </c>
      <c r="C213" s="30" t="inlineStr">
        <is>
          <t>Handheld</t>
        </is>
      </c>
      <c r="D213" s="324" t="n">
        <v>1590</v>
      </c>
      <c r="E213" s="53" t="n">
        <v>4170</v>
      </c>
      <c r="F213" s="54" t="n">
        <v>0</v>
      </c>
      <c r="G213" s="55" t="n">
        <v>3</v>
      </c>
      <c r="H213" s="55" t="n">
        <v>0</v>
      </c>
      <c r="I213" s="55" t="n"/>
      <c r="J213" s="56" t="n"/>
      <c r="K213" s="56" t="inlineStr">
        <is>
          <t>https://amazon.com/dp/B0CZ7K5VGB</t>
        </is>
      </c>
      <c r="L213" s="34">
        <f>HYPERLINK(TABLE213)</f>
        <v/>
      </c>
    </row>
    <row r="214">
      <c r="A214" s="30" t="inlineStr">
        <is>
          <t>88894000 for Vocom II Communications Unit Adapter - Diagnostic Tool with Software for Trucks, Excavators, Buses and Yachts (Tool with Laptop CF53)</t>
        </is>
      </c>
      <c r="B214" s="30" t="inlineStr">
        <is>
          <t>B0FH4RW9GG</t>
        </is>
      </c>
      <c r="C214" s="30" t="inlineStr">
        <is>
          <t>VCI</t>
        </is>
      </c>
      <c r="D214" s="324" t="n">
        <v>920</v>
      </c>
      <c r="E214" s="53" t="n">
        <v>950.99</v>
      </c>
      <c r="F214" s="54" t="n">
        <v>0</v>
      </c>
      <c r="G214" s="55" t="n">
        <v>1</v>
      </c>
      <c r="H214" s="55" t="n">
        <v>0</v>
      </c>
      <c r="I214" s="55" t="n"/>
      <c r="J214" s="56" t="n"/>
      <c r="K214" s="56" t="inlineStr">
        <is>
          <t>https://amazon.com/dp/B0FH4RW9GG</t>
        </is>
      </c>
      <c r="L214" s="34">
        <f>HYPERLINK(TABLE214)</f>
        <v/>
      </c>
    </row>
    <row r="215">
      <c r="A215" s="30" t="inlineStr">
        <is>
          <t>317-7485 for Caterpillar ET3 Communication Adapter Diagnostic Tool Truck Excavator Engine with 2019C 6+9+14pin Cable</t>
        </is>
      </c>
      <c r="B215" s="30" t="inlineStr">
        <is>
          <t>B0CJ6JS9M1</t>
        </is>
      </c>
      <c r="C215" s="30" t="inlineStr">
        <is>
          <t>VCI</t>
        </is>
      </c>
      <c r="D215" s="324" t="n">
        <v>260</v>
      </c>
      <c r="E215" s="53" t="n">
        <v>1786.74</v>
      </c>
      <c r="F215" s="54" t="n">
        <v>0</v>
      </c>
      <c r="G215" s="55" t="n">
        <v>7</v>
      </c>
      <c r="H215" s="55" t="n">
        <v>0</v>
      </c>
      <c r="I215" s="55" t="n">
        <v>3</v>
      </c>
      <c r="J215" s="56" t="n">
        <v>2.2</v>
      </c>
      <c r="K215" s="56" t="inlineStr">
        <is>
          <t>https://amazon.com/dp/B0CJ6JS9M1</t>
        </is>
      </c>
      <c r="L215" s="34">
        <f>HYPERLINK(TABLE215)</f>
        <v/>
      </c>
    </row>
    <row r="216">
      <c r="A216" s="30" t="inlineStr">
        <is>
          <t>EOKING OBD2 Scanner Diagnostic Tool, Check Engine Code Reader OBD2 Scanner with Reset 65,000+DTCs Auto Check Engine Light Fixd Car Scan OBD/EOBD Reset &amp; I/M for All OBDII Vehicles Since 1996 &amp; Newer</t>
        </is>
      </c>
      <c r="B216" s="30" t="inlineStr">
        <is>
          <t>B0D8TF3XR6</t>
        </is>
      </c>
      <c r="C216" s="30" t="inlineStr">
        <is>
          <t>Handheld</t>
        </is>
      </c>
      <c r="D216" s="324" t="n">
        <v>49.99</v>
      </c>
      <c r="E216" s="53" t="n">
        <v>933.48</v>
      </c>
      <c r="F216" s="54" t="n">
        <v>0</v>
      </c>
      <c r="G216" s="55" t="n">
        <v>29</v>
      </c>
      <c r="H216" s="55" t="n">
        <v>0</v>
      </c>
      <c r="I216" s="55" t="n">
        <v>71</v>
      </c>
      <c r="J216" s="56" t="n">
        <v>3.9</v>
      </c>
      <c r="K216" s="56" t="inlineStr">
        <is>
          <t>https://amazon.com/dp/B0D8TF3XR6</t>
        </is>
      </c>
      <c r="L216" s="34">
        <f>HYPERLINK(TABLE216)</f>
        <v/>
      </c>
    </row>
    <row r="217">
      <c r="A217" s="30" t="inlineStr">
        <is>
          <t>478-0235 538-5051 317-7485 ET4 Communication Adapter 3 2023A 2021B 2019C for Caterpillar Adapter 3 Heavy Duty Truck Diagnostic Tool (with Laptop)</t>
        </is>
      </c>
      <c r="B217" s="30" t="inlineStr">
        <is>
          <t>B0CJ6JK5Q4</t>
        </is>
      </c>
      <c r="C217" s="30" t="inlineStr">
        <is>
          <t>VCI</t>
        </is>
      </c>
      <c r="D217" s="324" t="n">
        <v>800</v>
      </c>
      <c r="E217" s="53" t="n">
        <v>5124.71</v>
      </c>
      <c r="F217" s="54" t="n">
        <v>0</v>
      </c>
      <c r="G217" s="55" t="n">
        <v>7</v>
      </c>
      <c r="H217" s="55" t="n">
        <v>0</v>
      </c>
      <c r="I217" s="55" t="n">
        <v>4</v>
      </c>
      <c r="J217" s="56" t="n">
        <v>3.8</v>
      </c>
      <c r="K217" s="56" t="inlineStr">
        <is>
          <t>https://amazon.com/dp/B0CJ6JK5Q4</t>
        </is>
      </c>
      <c r="L217" s="34">
        <f>HYPERLINK(TABLE217)</f>
        <v/>
      </c>
    </row>
    <row r="218">
      <c r="A218" s="30" t="inlineStr">
        <is>
          <t>Diagnostic for DOOSAN uvim Scanner kit Heavy Duty Communication Interface Forklift Excavator Loader Diagnostic Tool (2016 Software)</t>
        </is>
      </c>
      <c r="B218" s="30" t="inlineStr">
        <is>
          <t>B0CJTWYTVB</t>
        </is>
      </c>
      <c r="C218" s="30" t="inlineStr">
        <is>
          <t>VCI</t>
        </is>
      </c>
      <c r="D218" s="324" t="n">
        <v>880</v>
      </c>
      <c r="E218" s="53" t="n">
        <v>12320.74</v>
      </c>
      <c r="F218" s="54" t="n">
        <v>0</v>
      </c>
      <c r="G218" s="55" t="n">
        <v>15</v>
      </c>
      <c r="H218" s="55" t="n">
        <v>0</v>
      </c>
      <c r="I218" s="55" t="n"/>
      <c r="J218" s="56" t="n"/>
      <c r="K218" s="56" t="inlineStr">
        <is>
          <t>https://amazon.com/dp/B0CJTWYTVB</t>
        </is>
      </c>
      <c r="L218" s="34">
        <f>HYPERLINK(TABLE218)</f>
        <v/>
      </c>
    </row>
    <row r="219">
      <c r="A219" s="30" t="inlineStr">
        <is>
          <t>V750 OBDII Auto Scanner Diagnostic Tool for 12V Cars, Check Engine Light Fault Code Reader, CAN EOBD Scanner for 1996+ Vehicles Scan Tool</t>
        </is>
      </c>
      <c r="B219" s="30" t="inlineStr">
        <is>
          <t>B0GWFJDBN3</t>
        </is>
      </c>
      <c r="C219" s="30" t="inlineStr">
        <is>
          <t>Handheld</t>
        </is>
      </c>
      <c r="D219" s="324" t="n">
        <v>17.99</v>
      </c>
      <c r="E219" s="53" t="n">
        <v>0</v>
      </c>
      <c r="F219" s="54" t="n">
        <v>0</v>
      </c>
      <c r="G219" s="55" t="n">
        <v>0</v>
      </c>
      <c r="H219" s="55" t="n">
        <v>0</v>
      </c>
      <c r="I219" s="55" t="n"/>
      <c r="J219" s="56" t="n"/>
      <c r="K219" s="56" t="inlineStr">
        <is>
          <t>https://amazon.com/dp/B0GWFJDBN3</t>
        </is>
      </c>
      <c r="L219" s="34">
        <f>HYPERLINK(TABLE219)</f>
        <v/>
      </c>
    </row>
    <row r="220">
      <c r="A220" s="30" t="inlineStr">
        <is>
          <t>NEXIQ USB Link 3 Wired Bundle with J560 PLC Adapter</t>
        </is>
      </c>
      <c r="B220" s="30" t="inlineStr">
        <is>
          <t>B0D684VLV2</t>
        </is>
      </c>
      <c r="C220" s="30" t="inlineStr">
        <is>
          <t>VCI</t>
        </is>
      </c>
      <c r="D220" s="324" t="n">
        <v>1075</v>
      </c>
      <c r="E220" s="53" t="n">
        <v>9326.380000000001</v>
      </c>
      <c r="F220" s="54" t="n">
        <v>0</v>
      </c>
      <c r="G220" s="55" t="n">
        <v>10</v>
      </c>
      <c r="H220" s="55" t="n">
        <v>0</v>
      </c>
      <c r="I220" s="55" t="n"/>
      <c r="J220" s="56" t="n"/>
      <c r="K220" s="56" t="inlineStr">
        <is>
          <t>https://amazon.com/dp/B0D684VLV2</t>
        </is>
      </c>
      <c r="L220" s="34">
        <f>HYPERLINK(TABLE220)</f>
        <v/>
      </c>
    </row>
    <row r="221">
      <c r="A221" s="30" t="inlineStr">
        <is>
          <t>Diagnostic Cable Fit for Paccar MX13 EPA17 ACM,for Heavy Duty/Commercial Vehicles,Engine Diagnose Issues Wiring Harness</t>
        </is>
      </c>
      <c r="B221" s="30" t="inlineStr">
        <is>
          <t>B0G1LLDH6C</t>
        </is>
      </c>
      <c r="C221" s="30" t="inlineStr">
        <is>
          <t>Cable/Adapter</t>
        </is>
      </c>
      <c r="D221" s="324" t="n">
        <v>59.99</v>
      </c>
      <c r="E221" s="53" t="n">
        <v>854.09</v>
      </c>
      <c r="F221" s="54" t="n">
        <v>0</v>
      </c>
      <c r="G221" s="55" t="n">
        <v>10</v>
      </c>
      <c r="H221" s="55" t="n">
        <v>0</v>
      </c>
      <c r="I221" s="55" t="n">
        <v>1</v>
      </c>
      <c r="J221" s="56" t="n">
        <v>1</v>
      </c>
      <c r="K221" s="56" t="inlineStr">
        <is>
          <t>https://amazon.com/dp/B0G1LLDH6C</t>
        </is>
      </c>
      <c r="L221" s="34">
        <f>HYPERLINK(TABLE221)</f>
        <v/>
      </c>
    </row>
    <row r="222">
      <c r="A222" s="30" t="inlineStr">
        <is>
          <t>DC24K Bluetooth OBD2 Scanner Diagnostic Tool 24V for iOS &amp; Android | Car Code Reader &amp; Engine Light Reset | Wireless Car Computer Diagnostic | OBDII Scanner for All Vehicles (RED)</t>
        </is>
      </c>
      <c r="B222" s="30" t="inlineStr">
        <is>
          <t>B0F8H9MCNW</t>
        </is>
      </c>
      <c r="C222" s="30" t="inlineStr">
        <is>
          <t>Dongle</t>
        </is>
      </c>
      <c r="D222" s="324" t="n">
        <v>34.99</v>
      </c>
      <c r="E222" s="53" t="n">
        <v>545.89</v>
      </c>
      <c r="F222" s="54" t="n">
        <v>0</v>
      </c>
      <c r="G222" s="55" t="n">
        <v>17</v>
      </c>
      <c r="H222" s="55" t="n">
        <v>0</v>
      </c>
      <c r="I222" s="55" t="n">
        <v>3</v>
      </c>
      <c r="J222" s="56" t="n">
        <v>3.4</v>
      </c>
      <c r="K222" s="56" t="inlineStr">
        <is>
          <t>https://amazon.com/dp/B0F8H9MCNW</t>
        </is>
      </c>
      <c r="L222" s="34">
        <f>HYPERLINK(TABLE222)</f>
        <v/>
      </c>
    </row>
    <row r="223">
      <c r="A223" s="30" t="inlineStr">
        <is>
          <t>DC24K Bluetooth OBD2 Scanner Diagnostic Tool 24V for iOS &amp; Android | Car Code Reader &amp; Engine Light Reset | Wireless Car Computer Diagnostic | OBDII Scanner for All Vehicles (Black)</t>
        </is>
      </c>
      <c r="B223" s="30" t="inlineStr">
        <is>
          <t>B0F8HHHCB4</t>
        </is>
      </c>
      <c r="C223" s="30" t="inlineStr">
        <is>
          <t>Dongle</t>
        </is>
      </c>
      <c r="D223" s="324" t="n">
        <v>34.99</v>
      </c>
      <c r="E223" s="53" t="n">
        <v>543.96</v>
      </c>
      <c r="F223" s="54" t="n">
        <v>0</v>
      </c>
      <c r="G223" s="55" t="n">
        <v>17</v>
      </c>
      <c r="H223" s="55" t="n">
        <v>0</v>
      </c>
      <c r="I223" s="55" t="n">
        <v>3</v>
      </c>
      <c r="J223" s="56" t="n">
        <v>3.4</v>
      </c>
      <c r="K223" s="56" t="inlineStr">
        <is>
          <t>https://amazon.com/dp/B0F8HHHCB4</t>
        </is>
      </c>
      <c r="L223" s="34">
        <f>HYPERLINK(TABLE223)</f>
        <v/>
      </c>
    </row>
    <row r="224">
      <c r="A224" s="30" t="inlineStr">
        <is>
          <t>DC24K Bluetooth OBD2 Scanner Diagnostic Tool 24V for iOS &amp; Android | Car Code Reader &amp; Engine Light Reset | Wireless Car Computer Diagnostic | OBDII Scanner for All Vehicles (Green)</t>
        </is>
      </c>
      <c r="B224" s="30" t="inlineStr">
        <is>
          <t>B0F8HFRDHR</t>
        </is>
      </c>
      <c r="C224" s="30" t="inlineStr">
        <is>
          <t>Dongle</t>
        </is>
      </c>
      <c r="D224" s="324" t="n">
        <v>34.99</v>
      </c>
      <c r="E224" s="53" t="n">
        <v>545.3500000000001</v>
      </c>
      <c r="F224" s="54" t="n">
        <v>0</v>
      </c>
      <c r="G224" s="55" t="n">
        <v>16</v>
      </c>
      <c r="H224" s="55" t="n">
        <v>0</v>
      </c>
      <c r="I224" s="55" t="n">
        <v>3</v>
      </c>
      <c r="J224" s="56" t="n">
        <v>3.4</v>
      </c>
      <c r="K224" s="56" t="inlineStr">
        <is>
          <t>https://amazon.com/dp/B0F8HFRDHR</t>
        </is>
      </c>
      <c r="L224" s="34">
        <f>HYPERLINK(TABLE224)</f>
        <v/>
      </c>
    </row>
    <row r="225">
      <c r="A225" s="30" t="inlineStr">
        <is>
          <t>for Z-TEK FTDI chip USB Connector for Wintrac Thermo King Diagnostic Tool with V5.7 Software Diagnostic Cable Auto Scanner</t>
        </is>
      </c>
      <c r="B225" s="30" t="inlineStr">
        <is>
          <t>B0CJHK9F2Y</t>
        </is>
      </c>
      <c r="C225" s="30" t="inlineStr">
        <is>
          <t>Cable/Adapter</t>
        </is>
      </c>
      <c r="D225" s="324" t="n">
        <v>264</v>
      </c>
      <c r="E225" s="53" t="n">
        <v>2757.63</v>
      </c>
      <c r="F225" s="54" t="n">
        <v>0</v>
      </c>
      <c r="G225" s="55" t="n">
        <v>11</v>
      </c>
      <c r="H225" s="55" t="n">
        <v>0</v>
      </c>
      <c r="I225" s="55" t="n"/>
      <c r="J225" s="56" t="n"/>
      <c r="K225" s="56" t="inlineStr">
        <is>
          <t>https://amazon.com/dp/B0CJHK9F2Y</t>
        </is>
      </c>
      <c r="L225" s="34">
        <f>HYPERLINK(TABLE225)</f>
        <v/>
      </c>
    </row>
    <row r="226">
      <c r="A226" s="30" t="inlineStr">
        <is>
          <t>OBD2 Scanner Diagnostic Tool - Professional Car Code Reader, Check Engine Code Reader with Real-Time Data, Freeze Frame, I/M Readiness for All OBDII Protocol Cars Since 1996 (MS 309)</t>
        </is>
      </c>
      <c r="B226" s="30" t="inlineStr">
        <is>
          <t>B0DLW7YST8</t>
        </is>
      </c>
      <c r="C226" s="30" t="inlineStr">
        <is>
          <t>Handheld</t>
        </is>
      </c>
      <c r="D226" s="324" t="n">
        <v>14.99</v>
      </c>
      <c r="E226" s="53" t="n">
        <v>88.12</v>
      </c>
      <c r="F226" s="54" t="n">
        <v>0</v>
      </c>
      <c r="G226" s="55" t="n">
        <v>6</v>
      </c>
      <c r="H226" s="55" t="n">
        <v>0</v>
      </c>
      <c r="I226" s="55" t="n">
        <v>1</v>
      </c>
      <c r="J226" s="56" t="n">
        <v>5</v>
      </c>
      <c r="K226" s="56" t="inlineStr">
        <is>
          <t>https://amazon.com/dp/B0DLW7YST8</t>
        </is>
      </c>
      <c r="L226" s="34">
        <f>HYPERLINK(TABLE226)</f>
        <v/>
      </c>
    </row>
    <row r="227">
      <c r="A227" s="30" t="inlineStr">
        <is>
          <t>OBD2 USB KKL COM 409.1 Interface V-AG 409.1 with FT232RL Chip</t>
        </is>
      </c>
      <c r="B227" s="30" t="inlineStr">
        <is>
          <t>B0D6GVTD8S</t>
        </is>
      </c>
      <c r="C227" s="30" t="inlineStr">
        <is>
          <t>Cable/Adapter</t>
        </is>
      </c>
      <c r="D227" s="324" t="n">
        <v>14.99</v>
      </c>
      <c r="E227" s="53" t="n">
        <v>1005.84</v>
      </c>
      <c r="F227" s="54" t="n">
        <v>0</v>
      </c>
      <c r="G227" s="55" t="n">
        <v>62</v>
      </c>
      <c r="H227" s="55" t="n">
        <v>0</v>
      </c>
      <c r="I227" s="55" t="n">
        <v>7</v>
      </c>
      <c r="J227" s="56" t="n">
        <v>4.1</v>
      </c>
      <c r="K227" s="56" t="inlineStr">
        <is>
          <t>https://amazon.com/dp/B0D6GVTD8S</t>
        </is>
      </c>
      <c r="L227" s="34">
        <f>HYPERLINK(TABLE227)</f>
        <v/>
      </c>
    </row>
    <row r="228">
      <c r="A228" s="30" t="inlineStr">
        <is>
          <t>for MTU Diagnostic Kit USB-to-CAN Diasys 2.72 MEDC ADEC Full Kit Diesel Engine Truck Diagnosis Scanner Tool (Only MTU Tool)</t>
        </is>
      </c>
      <c r="B228" s="30" t="inlineStr">
        <is>
          <t>B0CLHY5XFK</t>
        </is>
      </c>
      <c r="C228" s="30" t="inlineStr">
        <is>
          <t>VCI</t>
        </is>
      </c>
      <c r="D228" s="324" t="n">
        <v>1206</v>
      </c>
      <c r="E228" s="53" t="n">
        <v>9122.08</v>
      </c>
      <c r="F228" s="54" t="n">
        <v>0</v>
      </c>
      <c r="G228" s="55" t="n">
        <v>8</v>
      </c>
      <c r="H228" s="55" t="n">
        <v>0</v>
      </c>
      <c r="I228" s="55" t="n"/>
      <c r="J228" s="56" t="n"/>
      <c r="K228" s="56" t="inlineStr">
        <is>
          <t>https://amazon.com/dp/B0CLHY5XFK</t>
        </is>
      </c>
      <c r="L228" s="34">
        <f>HYPERLINK(TABLE228)</f>
        <v/>
      </c>
    </row>
    <row r="229">
      <c r="A229" s="30" t="inlineStr">
        <is>
          <t>for Z-TEK FTDI chip USB Connector for Wintrac Thermo King Diagnostic Tool with V5.7 Software Diagnostic Cable Auto Scanner</t>
        </is>
      </c>
      <c r="B229" s="30" t="inlineStr">
        <is>
          <t>B0CLCYX7VG</t>
        </is>
      </c>
      <c r="C229" s="30" t="inlineStr">
        <is>
          <t>Cable/Adapter</t>
        </is>
      </c>
      <c r="D229" s="324" t="n">
        <v>264</v>
      </c>
      <c r="E229" s="53" t="n">
        <v>975.4299999999999</v>
      </c>
      <c r="F229" s="54" t="n">
        <v>0</v>
      </c>
      <c r="G229" s="55" t="n">
        <v>4</v>
      </c>
      <c r="H229" s="55" t="n">
        <v>0</v>
      </c>
      <c r="I229" s="55" t="n">
        <v>1</v>
      </c>
      <c r="J229" s="56" t="n">
        <v>1</v>
      </c>
      <c r="K229" s="56" t="inlineStr">
        <is>
          <t>https://amazon.com/dp/B0CLCYX7VG</t>
        </is>
      </c>
      <c r="L229" s="34">
        <f>HYPERLINK(TABLE229)</f>
        <v/>
      </c>
    </row>
    <row r="230">
      <c r="A230" s="30" t="inlineStr">
        <is>
          <t>MPDR Software 3.33 Heavy Duty Diagnostic Tool Tester for Hitachi Software ZX-1 ZX-3 ZX-3G ZX-5 ZX-6 ZX-7 Version Software</t>
        </is>
      </c>
      <c r="B230" s="30" t="inlineStr">
        <is>
          <t>B0CJ6JGYD9</t>
        </is>
      </c>
      <c r="C230" s="30" t="inlineStr">
        <is>
          <t>VCI</t>
        </is>
      </c>
      <c r="D230" s="324" t="n">
        <v>189</v>
      </c>
      <c r="E230" s="53" t="n">
        <v>541.29</v>
      </c>
      <c r="F230" s="54" t="n">
        <v>0</v>
      </c>
      <c r="G230" s="55" t="n">
        <v>3</v>
      </c>
      <c r="H230" s="55" t="n">
        <v>0</v>
      </c>
      <c r="I230" s="55" t="n"/>
      <c r="J230" s="56" t="n"/>
      <c r="K230" s="56" t="inlineStr">
        <is>
          <t>https://amazon.com/dp/B0CJ6JGYD9</t>
        </is>
      </c>
      <c r="L230" s="34">
        <f>HYPERLINK(TABLE230)</f>
        <v/>
      </c>
    </row>
    <row r="231">
      <c r="A231" s="30" t="inlineStr">
        <is>
          <t>Heavy Duty Cable Diagnostic Tool Tester MPDR Software 3.9 The Latest Version for EX Dr Full Range of Excavator</t>
        </is>
      </c>
      <c r="B231" s="30" t="inlineStr">
        <is>
          <t>B0CHF8557B</t>
        </is>
      </c>
      <c r="C231" s="30" t="inlineStr">
        <is>
          <t>Cable/Adapter</t>
        </is>
      </c>
      <c r="D231" s="324" t="n">
        <v>171.6</v>
      </c>
      <c r="E231" s="53" t="n">
        <v>0</v>
      </c>
      <c r="F231" s="54" t="n">
        <v>0</v>
      </c>
      <c r="G231" s="55" t="n">
        <v>0</v>
      </c>
      <c r="H231" s="55" t="n">
        <v>0</v>
      </c>
      <c r="I231" s="55" t="n"/>
      <c r="J231" s="56" t="n"/>
      <c r="K231" s="56" t="inlineStr">
        <is>
          <t>https://amazon.com/dp/B0CHF8557B</t>
        </is>
      </c>
      <c r="L231" s="34">
        <f>HYPERLINK(TABLE231)</f>
        <v/>
      </c>
    </row>
    <row r="232">
      <c r="A232" s="30" t="inlineStr">
        <is>
          <t>Car OBD2 Scanner, Diagnostic Error Finder, Fault Code Detection and Real-Time Data Stream, Compatible with All OBD II Protocol Vehicles from 1996+</t>
        </is>
      </c>
      <c r="B232" s="30" t="inlineStr">
        <is>
          <t>B0G4QSCH81</t>
        </is>
      </c>
      <c r="C232" s="30" t="inlineStr">
        <is>
          <t>Handheld</t>
        </is>
      </c>
      <c r="D232" s="324" t="n">
        <v>39.9</v>
      </c>
      <c r="E232" s="53" t="n">
        <v>58.21</v>
      </c>
      <c r="F232" s="54" t="n">
        <v>0</v>
      </c>
      <c r="G232" s="55" t="n">
        <v>1</v>
      </c>
      <c r="H232" s="55" t="n">
        <v>0</v>
      </c>
      <c r="I232" s="55" t="n"/>
      <c r="J232" s="56" t="n"/>
      <c r="K232" s="56" t="inlineStr">
        <is>
          <t>https://amazon.com/dp/B0G4QSCH81</t>
        </is>
      </c>
      <c r="L232" s="34">
        <f>HYPERLINK(TABLE232)</f>
        <v/>
      </c>
    </row>
    <row r="233">
      <c r="A233" s="30" t="inlineStr">
        <is>
          <t>MS310 Automobile Diagnostic Instrument Car Engine Fault Code Reader CAN Tool OBD II Scanner LCD OBD2/EOBD for All OBD2 Vehicles Since 1996&amp;Newer</t>
        </is>
      </c>
      <c r="B233" s="30" t="inlineStr">
        <is>
          <t>B0DFH2V1V5</t>
        </is>
      </c>
      <c r="C233" s="30" t="inlineStr">
        <is>
          <t>Handheld</t>
        </is>
      </c>
      <c r="D233" s="324" t="n">
        <v>29.99</v>
      </c>
      <c r="E233" s="53" t="n">
        <v>61.43</v>
      </c>
      <c r="F233" s="54" t="n">
        <v>0</v>
      </c>
      <c r="G233" s="55" t="n">
        <v>2</v>
      </c>
      <c r="H233" s="55" t="n">
        <v>0</v>
      </c>
      <c r="I233" s="55" t="n"/>
      <c r="J233" s="56" t="n"/>
      <c r="K233" s="56" t="inlineStr">
        <is>
          <t>https://amazon.com/dp/B0DFH2V1V5</t>
        </is>
      </c>
      <c r="L233" s="34">
        <f>HYPERLINK(TABLE233)</f>
        <v/>
      </c>
    </row>
    <row r="234">
      <c r="A234" s="30" t="inlineStr">
        <is>
          <t>HPT MPVI4 Diagnostic Code Reader Scanner and Tool</t>
        </is>
      </c>
      <c r="B234" s="30" t="inlineStr">
        <is>
          <t>B0GWCVGPKN</t>
        </is>
      </c>
      <c r="C234" s="30" t="inlineStr">
        <is>
          <t>Dongle</t>
        </is>
      </c>
      <c r="D234" s="324" t="n">
        <v>399.99</v>
      </c>
      <c r="E234" s="53" t="n">
        <v>0</v>
      </c>
      <c r="F234" s="54" t="n">
        <v>0</v>
      </c>
      <c r="G234" s="55" t="n">
        <v>0</v>
      </c>
      <c r="H234" s="55" t="n">
        <v>0</v>
      </c>
      <c r="I234" s="55" t="n"/>
      <c r="J234" s="56" t="n"/>
      <c r="K234" s="56" t="inlineStr">
        <is>
          <t>https://amazon.com/dp/B0GWCVGPKN</t>
        </is>
      </c>
      <c r="L234" s="34">
        <f>HYPERLINK(TABLE234)</f>
        <v/>
      </c>
    </row>
    <row r="235">
      <c r="A235" s="30" t="inlineStr">
        <is>
          <t>VN-CI 6154A Diagnostic Scanner for VW/Audi/Skoda/Seat Vehicles, Compatible with origianl ODIS Driver and Software.</t>
        </is>
      </c>
      <c r="B235" s="30" t="inlineStr">
        <is>
          <t>B0FX3SQSSG</t>
        </is>
      </c>
      <c r="C235" s="30" t="inlineStr">
        <is>
          <t>Cable/Adapter</t>
        </is>
      </c>
      <c r="D235" s="324" t="n">
        <v>215</v>
      </c>
      <c r="E235" s="53" t="n">
        <v>388.34</v>
      </c>
      <c r="F235" s="54" t="n">
        <v>0</v>
      </c>
      <c r="G235" s="55" t="n">
        <v>2</v>
      </c>
      <c r="H235" s="55" t="n">
        <v>0</v>
      </c>
      <c r="I235" s="55" t="n"/>
      <c r="J235" s="56" t="n"/>
      <c r="K235" s="56" t="inlineStr">
        <is>
          <t>https://amazon.com/dp/B0FX3SQSSG</t>
        </is>
      </c>
      <c r="L235" s="34">
        <f>HYPERLINK(TABLE235)</f>
        <v/>
      </c>
    </row>
    <row r="236">
      <c r="A236" s="30" t="inlineStr">
        <is>
          <t>V100 Professional OBD2 Scanner, Car Diagnostic Code Reader, Red, LCD Display, Multi-Protocol Support, Compatible with Vehicles After 1996, 9 Languages (Black)</t>
        </is>
      </c>
      <c r="B236" s="30" t="inlineStr">
        <is>
          <t>B0FGQ9ZFCV</t>
        </is>
      </c>
      <c r="C236" s="30" t="inlineStr">
        <is>
          <t>Handheld</t>
        </is>
      </c>
      <c r="D236" s="324" t="n">
        <v>19.9</v>
      </c>
      <c r="E236" s="53" t="n">
        <v>20.96</v>
      </c>
      <c r="F236" s="54" t="n">
        <v>0</v>
      </c>
      <c r="G236" s="55" t="n">
        <v>2</v>
      </c>
      <c r="H236" s="55" t="n">
        <v>0</v>
      </c>
      <c r="I236" s="55" t="n"/>
      <c r="J236" s="56" t="n"/>
      <c r="K236" s="56" t="inlineStr">
        <is>
          <t>https://amazon.com/dp/B0FGQ9ZFCV</t>
        </is>
      </c>
      <c r="L236" s="34">
        <f>HYPERLINK(TABLE236)</f>
        <v/>
      </c>
    </row>
    <row r="237">
      <c r="A237" s="30" t="inlineStr">
        <is>
          <t>V100 Professional OBD2 Scanner, Car Diagnostic Code Reader, Red, LCD Display, Multi-Protocol Support, Compatible with Vehicles After 1996, 9 Languages (Red)</t>
        </is>
      </c>
      <c r="B237" s="30" t="inlineStr">
        <is>
          <t>B0FGPY6BPN</t>
        </is>
      </c>
      <c r="C237" s="30" t="inlineStr">
        <is>
          <t>Handheld</t>
        </is>
      </c>
      <c r="D237" s="324" t="n">
        <v>19.89</v>
      </c>
      <c r="E237" s="53" t="n">
        <v>20.63</v>
      </c>
      <c r="F237" s="54" t="n">
        <v>0</v>
      </c>
      <c r="G237" s="55" t="n">
        <v>2</v>
      </c>
      <c r="H237" s="55" t="n">
        <v>0</v>
      </c>
      <c r="I237" s="55" t="n"/>
      <c r="J237" s="56" t="n"/>
      <c r="K237" s="56" t="inlineStr">
        <is>
          <t>https://amazon.com/dp/B0FGPY6BPN</t>
        </is>
      </c>
      <c r="L237" s="34">
        <f>HYPERLINK(TABLE237)</f>
        <v/>
      </c>
    </row>
    <row r="238">
      <c r="A238" s="30" t="inlineStr">
        <is>
          <t>Diagnostic OBD-II Port Adapter Service Cable OBD2 for Tesla Model 3 2017-2018</t>
        </is>
      </c>
      <c r="B238" s="30" t="inlineStr">
        <is>
          <t>B0C6YNHLFB</t>
        </is>
      </c>
      <c r="C238" s="30" t="inlineStr">
        <is>
          <t>Handheld</t>
        </is>
      </c>
      <c r="D238" s="324" t="n">
        <v>44.95</v>
      </c>
      <c r="E238" s="53" t="n">
        <v>172.94</v>
      </c>
      <c r="F238" s="54" t="n">
        <v>0</v>
      </c>
      <c r="G238" s="55" t="n">
        <v>6</v>
      </c>
      <c r="H238" s="55" t="n">
        <v>0</v>
      </c>
      <c r="I238" s="55" t="n">
        <v>2</v>
      </c>
      <c r="J238" s="56" t="n">
        <v>3.5</v>
      </c>
      <c r="K238" s="56" t="inlineStr">
        <is>
          <t>https://amazon.com/dp/B0C6YNHLFB</t>
        </is>
      </c>
      <c r="L238" s="34">
        <f>HYPERLINK(TABLE238)</f>
        <v/>
      </c>
    </row>
    <row r="239">
      <c r="A239" s="30" t="inlineStr">
        <is>
          <t>for Isuzu IDSS Diagnostic Tool Kit E-IDSS for Isuzu Vehicles Excavator Diagnostic Scanner Tool with Program (for excavators)</t>
        </is>
      </c>
      <c r="B239" s="30" t="inlineStr">
        <is>
          <t>B0CJ6PHM9X</t>
        </is>
      </c>
      <c r="C239" s="30" t="inlineStr">
        <is>
          <t>VCI</t>
        </is>
      </c>
      <c r="D239" s="324" t="n">
        <v>485.89</v>
      </c>
      <c r="E239" s="53" t="n">
        <v>1482.16</v>
      </c>
      <c r="F239" s="54" t="n">
        <v>0</v>
      </c>
      <c r="G239" s="55" t="n">
        <v>3</v>
      </c>
      <c r="H239" s="55" t="n">
        <v>0</v>
      </c>
      <c r="I239" s="55" t="n"/>
      <c r="J239" s="56" t="n"/>
      <c r="K239" s="56" t="inlineStr">
        <is>
          <t>https://amazon.com/dp/B0CJ6PHM9X</t>
        </is>
      </c>
      <c r="L239" s="34">
        <f>HYPERLINK(TABLE239)</f>
        <v/>
      </c>
    </row>
    <row r="240">
      <c r="A240" s="30" t="inlineStr">
        <is>
          <t>for MTU Diagnostic Kit USB-to-CAN Diasys 2.72 MEDC ADEC Full Kit Diesel Engine Truck Diagnosis Scanner Tool (MTU Tool with Software)</t>
        </is>
      </c>
      <c r="B240" s="30" t="inlineStr">
        <is>
          <t>B0CLHZY179</t>
        </is>
      </c>
      <c r="C240" s="30" t="inlineStr">
        <is>
          <t>VCI</t>
        </is>
      </c>
      <c r="D240" s="324" t="n">
        <v>1407</v>
      </c>
      <c r="E240" s="53" t="n">
        <v>2896.53</v>
      </c>
      <c r="F240" s="54" t="n">
        <v>0</v>
      </c>
      <c r="G240" s="55" t="n">
        <v>2</v>
      </c>
      <c r="H240" s="55" t="n">
        <v>0</v>
      </c>
      <c r="I240" s="55" t="n"/>
      <c r="J240" s="56" t="n"/>
      <c r="K240" s="56" t="inlineStr">
        <is>
          <t>https://amazon.com/dp/B0CLHZY179</t>
        </is>
      </c>
      <c r="L240" s="34">
        <f>HYPERLINK(TABLE240)</f>
        <v/>
      </c>
    </row>
    <row r="241">
      <c r="A241" s="30" t="inlineStr">
        <is>
          <t>for Isuzu IDSS Diagnostic Tool Kit G-IDSS E-IDSS for Isuzu Vehicles Excavator Diagnostic Scanner Tool with Program (for Trucks)</t>
        </is>
      </c>
      <c r="B241" s="30" t="inlineStr">
        <is>
          <t>B0CJRMR5HP</t>
        </is>
      </c>
      <c r="C241" s="30" t="inlineStr">
        <is>
          <t>VCI</t>
        </is>
      </c>
      <c r="D241" s="324" t="n">
        <v>428</v>
      </c>
      <c r="E241" s="53" t="n">
        <v>2052.01</v>
      </c>
      <c r="F241" s="54" t="n">
        <v>0</v>
      </c>
      <c r="G241" s="55" t="n">
        <v>5</v>
      </c>
      <c r="H241" s="55" t="n">
        <v>0</v>
      </c>
      <c r="I241" s="55" t="n"/>
      <c r="J241" s="56" t="n"/>
      <c r="K241" s="56" t="inlineStr">
        <is>
          <t>https://amazon.com/dp/B0CJRMR5HP</t>
        </is>
      </c>
      <c r="L241" s="34">
        <f>HYPERLINK(TABLE241)</f>
        <v/>
      </c>
    </row>
    <row r="242">
      <c r="A242" s="30" t="inlineStr">
        <is>
          <t>ET-4 478-0235 538-5051 Diagnostic Adapter Tool for Cat Heavy Equipment, Truck Excavator CAT ET4 Diagnostic Tool (ET4 with Software v2025A) (Tool with Software,Small)</t>
        </is>
      </c>
      <c r="B242" s="30" t="inlineStr">
        <is>
          <t>B0FHDMZDM6</t>
        </is>
      </c>
      <c r="C242" s="30" t="inlineStr">
        <is>
          <t>VCI</t>
        </is>
      </c>
      <c r="D242" s="324" t="n">
        <v>337</v>
      </c>
      <c r="E242" s="53" t="n">
        <v>0</v>
      </c>
      <c r="F242" s="54" t="n">
        <v>0</v>
      </c>
      <c r="G242" s="55" t="n">
        <v>0</v>
      </c>
      <c r="H242" s="55" t="n">
        <v>0</v>
      </c>
      <c r="I242" s="55" t="n"/>
      <c r="J242" s="56" t="n"/>
      <c r="K242" s="56" t="inlineStr">
        <is>
          <t>https://amazon.com/dp/B0FHDMZDM6</t>
        </is>
      </c>
      <c r="L242" s="34">
        <f>HYPERLINK(TABLE242)</f>
        <v/>
      </c>
    </row>
    <row r="243">
      <c r="A243" s="30" t="inlineStr">
        <is>
          <t>ET-4 478-0235 538-5051 Diagnostic Adapter Tool for Cat Heavy Equipment, Truck Excavator CAT ET4 Diagnostic Tool (ET4 with Software v2025A) (Tool with 53 Laptop,Small)</t>
        </is>
      </c>
      <c r="B243" s="30" t="inlineStr">
        <is>
          <t>B0FHD7J611</t>
        </is>
      </c>
      <c r="C243" s="30" t="inlineStr">
        <is>
          <t>VCI</t>
        </is>
      </c>
      <c r="D243" s="324" t="n">
        <v>977</v>
      </c>
      <c r="E243" s="53" t="n">
        <v>0</v>
      </c>
      <c r="F243" s="54" t="n">
        <v>0</v>
      </c>
      <c r="G243" s="55" t="n">
        <v>0</v>
      </c>
      <c r="H243" s="55" t="n">
        <v>0</v>
      </c>
      <c r="I243" s="55" t="n"/>
      <c r="J243" s="56" t="n"/>
      <c r="K243" s="56" t="inlineStr">
        <is>
          <t>https://amazon.com/dp/B0FHD7J611</t>
        </is>
      </c>
      <c r="L243" s="34">
        <f>HYPERLINK(TABLE243)</f>
        <v/>
      </c>
    </row>
    <row r="244">
      <c r="A244" s="30" t="inlineStr">
        <is>
          <t>OBD2 Scanner MS309 Automotive Check Engine Code Reader, Check Emission Monitor Status, CAN Diagnostic Scan Tool for All OBDII Protocol Vehicles After 1996</t>
        </is>
      </c>
      <c r="B244" s="30" t="inlineStr">
        <is>
          <t>B0D1YNQNWZ</t>
        </is>
      </c>
      <c r="C244" s="30" t="inlineStr">
        <is>
          <t>Handheld</t>
        </is>
      </c>
      <c r="D244" s="324" t="n">
        <v>14.99</v>
      </c>
      <c r="E244" s="53" t="n">
        <v>28.54</v>
      </c>
      <c r="F244" s="54" t="n">
        <v>0</v>
      </c>
      <c r="G244" s="55" t="n">
        <v>2</v>
      </c>
      <c r="H244" s="55" t="n">
        <v>0</v>
      </c>
      <c r="I244" s="55" t="n"/>
      <c r="J244" s="56" t="n"/>
      <c r="K244" s="56" t="inlineStr">
        <is>
          <t>https://amazon.com/dp/B0D1YNQNWZ</t>
        </is>
      </c>
      <c r="L244" s="34">
        <f>HYPERLINK(TABLE244)</f>
        <v/>
      </c>
    </row>
    <row r="245">
      <c r="A245" s="30" t="inlineStr">
        <is>
          <t>DDEC Marine Adapter (Locking) for NEXIQ USB Link 2 &amp; 3</t>
        </is>
      </c>
      <c r="B245" s="30" t="inlineStr">
        <is>
          <t>B0CRWLRQQ9</t>
        </is>
      </c>
      <c r="C245" s="30" t="inlineStr">
        <is>
          <t>Cable/Adapter</t>
        </is>
      </c>
      <c r="D245" s="324" t="n">
        <v>178.95</v>
      </c>
      <c r="E245" s="53" t="n">
        <v>345.98</v>
      </c>
      <c r="F245" s="54" t="n">
        <v>0</v>
      </c>
      <c r="G245" s="55" t="n">
        <v>2</v>
      </c>
      <c r="H245" s="55" t="n">
        <v>0</v>
      </c>
      <c r="I245" s="55" t="n"/>
      <c r="J245" s="56" t="n"/>
      <c r="K245" s="56" t="inlineStr">
        <is>
          <t>https://amazon.com/dp/B0CRWLRQQ9</t>
        </is>
      </c>
      <c r="L245" s="34">
        <f>HYPERLINK(TABLE245)</f>
        <v/>
      </c>
    </row>
    <row r="246">
      <c r="A246" s="30" t="inlineStr">
        <is>
          <t>for Kobelco Engine Failure Diagnostic Tool for Hino Excavator Scaner Detector 09993-E9070 Data Link Communication</t>
        </is>
      </c>
      <c r="B246" s="30" t="inlineStr">
        <is>
          <t>B0CLD4QGH2</t>
        </is>
      </c>
      <c r="C246" s="30" t="inlineStr">
        <is>
          <t>VCI</t>
        </is>
      </c>
      <c r="D246" s="324" t="n">
        <v>288</v>
      </c>
      <c r="E246" s="53" t="n">
        <v>1678.03</v>
      </c>
      <c r="F246" s="54" t="n">
        <v>0</v>
      </c>
      <c r="G246" s="55" t="n">
        <v>6</v>
      </c>
      <c r="H246" s="55" t="n">
        <v>0</v>
      </c>
      <c r="I246" s="55" t="n"/>
      <c r="J246" s="56" t="n"/>
      <c r="K246" s="56" t="inlineStr">
        <is>
          <t>https://amazon.com/dp/B0CLD4QGH2</t>
        </is>
      </c>
      <c r="L246" s="34">
        <f>HYPERLINK(TABLE246)</f>
        <v/>
      </c>
    </row>
    <row r="247">
      <c r="A247" s="30" t="inlineStr">
        <is>
          <t>478-0235 538-5051 317-7485 ET4 Communication Adapter 2023A Heavy Duty Diagnostic Tester Tool for Caterpillar Truck Excavator Scanner</t>
        </is>
      </c>
      <c r="B247" s="30" t="inlineStr">
        <is>
          <t>B0CJ6GMTGV</t>
        </is>
      </c>
      <c r="C247" s="30" t="inlineStr">
        <is>
          <t>VCI</t>
        </is>
      </c>
      <c r="D247" s="324" t="n">
        <v>340</v>
      </c>
      <c r="E247" s="53" t="n">
        <v>1026.77</v>
      </c>
      <c r="F247" s="54" t="n">
        <v>0</v>
      </c>
      <c r="G247" s="55" t="n">
        <v>3</v>
      </c>
      <c r="H247" s="55" t="n">
        <v>0</v>
      </c>
      <c r="I247" s="55" t="n"/>
      <c r="J247" s="56" t="n"/>
      <c r="K247" s="56" t="inlineStr">
        <is>
          <t>https://amazon.com/dp/B0CJ6GMTGV</t>
        </is>
      </c>
      <c r="L247" s="34">
        <f>HYPERLINK(TABLE247)</f>
        <v/>
      </c>
    </row>
    <row r="248">
      <c r="A248" s="30" t="inlineStr">
        <is>
          <t>OBD Code Reader Automotive OBD2 Scanner Car Check Engine Fault Diagnostic Tool</t>
        </is>
      </c>
      <c r="B248" s="30" t="inlineStr">
        <is>
          <t>B0CPLYXDBH</t>
        </is>
      </c>
      <c r="C248" s="30" t="inlineStr">
        <is>
          <t>Handheld</t>
        </is>
      </c>
      <c r="D248" s="324" t="n">
        <v>14.99</v>
      </c>
      <c r="E248" s="53" t="n">
        <v>0</v>
      </c>
      <c r="F248" s="54" t="n">
        <v>0</v>
      </c>
      <c r="G248" s="55" t="n">
        <v>0</v>
      </c>
      <c r="H248" s="55" t="n">
        <v>0</v>
      </c>
      <c r="I248" s="55" t="n"/>
      <c r="J248" s="56" t="n"/>
      <c r="K248" s="56" t="inlineStr">
        <is>
          <t>https://amazon.com/dp/B0CPLYXDBH</t>
        </is>
      </c>
      <c r="L248" s="34">
        <f>HYPERLINK(TABLE248)</f>
        <v/>
      </c>
    </row>
    <row r="249">
      <c r="A249" s="30" t="inlineStr">
        <is>
          <t>Code Reader, Check Engine Code Reader,Your Ultimate Road-Trip Assistant, Enabling Swift Vehicle Diagnostics,for OM123，OBDMATE,OBDII,OBD2,EOBD+CAN,Highly Portable&amp;Reliable,Scanner for Car (Orange)</t>
        </is>
      </c>
      <c r="B249" s="30" t="inlineStr">
        <is>
          <t>B0CCCV38MM</t>
        </is>
      </c>
      <c r="C249" s="30" t="inlineStr">
        <is>
          <t>Handheld</t>
        </is>
      </c>
      <c r="D249" s="324" t="n">
        <v>49.88</v>
      </c>
      <c r="E249" s="53" t="n">
        <v>208.13</v>
      </c>
      <c r="F249" s="54" t="n">
        <v>0</v>
      </c>
      <c r="G249" s="55" t="n">
        <v>4</v>
      </c>
      <c r="H249" s="55" t="n">
        <v>0</v>
      </c>
      <c r="I249" s="55" t="n"/>
      <c r="J249" s="56" t="n"/>
      <c r="K249" s="56" t="inlineStr">
        <is>
          <t>https://amazon.com/dp/B0CCCV38MM</t>
        </is>
      </c>
      <c r="L249" s="34">
        <f>HYPERLINK(TABLE249)</f>
        <v/>
      </c>
    </row>
    <row r="250">
      <c r="A250" s="30" t="inlineStr">
        <is>
          <t>FOXWELL NT530 for Dodge - All Systems, All Maintenance Service - Bidirectional Diagnostic Scan Tool OBD2 Scanner Automotive Code Reader ABS Bleed SRS Airbag SAS TPMS TPS EPB Oil Reset CKP</t>
        </is>
      </c>
      <c r="B250" s="30" t="inlineStr">
        <is>
          <t>B0C2DBCPQ5</t>
        </is>
      </c>
      <c r="C250" s="30" t="inlineStr">
        <is>
          <t>Handheld</t>
        </is>
      </c>
      <c r="D250" s="324" t="n">
        <v>169.95</v>
      </c>
      <c r="E250" s="53" t="n">
        <v>1198.44</v>
      </c>
      <c r="F250" s="54" t="n">
        <v>0</v>
      </c>
      <c r="G250" s="55" t="n">
        <v>8</v>
      </c>
      <c r="H250" s="55" t="n">
        <v>0</v>
      </c>
      <c r="I250" s="55" t="n"/>
      <c r="J250" s="56" t="n"/>
      <c r="K250" s="56" t="inlineStr">
        <is>
          <t>https://amazon.com/dp/B0C2DBCPQ5</t>
        </is>
      </c>
      <c r="L250" s="34">
        <f>HYPERLINK(TABLE250)</f>
        <v/>
      </c>
    </row>
    <row r="251">
      <c r="A251" s="30" t="inlineStr">
        <is>
          <t>for Isuzu IDSS Diagnostic Tool Kit G-IDSS E-IDSS for Isuzu Vehicles Excavator Diagnostic Scanner Tool with Program (for excavators)</t>
        </is>
      </c>
      <c r="B251" s="30" t="inlineStr">
        <is>
          <t>B0CJRNCP8R</t>
        </is>
      </c>
      <c r="C251" s="30" t="inlineStr">
        <is>
          <t>VCI</t>
        </is>
      </c>
      <c r="D251" s="324" t="n">
        <v>485.89</v>
      </c>
      <c r="E251" s="53" t="n">
        <v>311.11</v>
      </c>
      <c r="F251" s="54" t="n">
        <v>0</v>
      </c>
      <c r="G251" s="55" t="n">
        <v>1</v>
      </c>
      <c r="H251" s="55" t="n">
        <v>0</v>
      </c>
      <c r="I251" s="55" t="n"/>
      <c r="J251" s="56" t="n"/>
      <c r="K251" s="56" t="inlineStr">
        <is>
          <t>https://amazon.com/dp/B0CJRNCP8R</t>
        </is>
      </c>
      <c r="L251" s="34">
        <f>HYPERLINK(TABLE251)</f>
        <v/>
      </c>
    </row>
    <row r="252">
      <c r="A252" s="30" t="inlineStr">
        <is>
          <t>for AK90+ AK90 Auto Key Programmer for EWS Version V3.19 AK90 Key Maker for Programming Tool</t>
        </is>
      </c>
      <c r="B252" s="30" t="inlineStr">
        <is>
          <t>B0FC6M4J5H</t>
        </is>
      </c>
      <c r="C252" s="30" t="inlineStr">
        <is>
          <t>Handheld</t>
        </is>
      </c>
      <c r="D252" s="324" t="n">
        <v>39</v>
      </c>
      <c r="E252" s="53" t="n">
        <v>1202.38</v>
      </c>
      <c r="F252" s="54" t="n">
        <v>0</v>
      </c>
      <c r="G252" s="55" t="n">
        <v>31</v>
      </c>
      <c r="H252" s="55" t="n">
        <v>0</v>
      </c>
      <c r="I252" s="55" t="n">
        <v>5</v>
      </c>
      <c r="J252" s="56" t="n">
        <v>2.7</v>
      </c>
      <c r="K252" s="56" t="inlineStr">
        <is>
          <t>https://amazon.com/dp/B0FC6M4J5H</t>
        </is>
      </c>
      <c r="L252" s="34">
        <f>HYPERLINK(TABLE252)</f>
        <v/>
      </c>
    </row>
    <row r="253">
      <c r="A253" s="30" t="inlineStr">
        <is>
          <t>for Isuzu IDSS Diagnostic Tool Kit G-IDSS for Isuzu Vehicles Excavator Diagnostic Scanner Tool with Program (for Trucks)</t>
        </is>
      </c>
      <c r="B253" s="30" t="inlineStr">
        <is>
          <t>B0CJ6QLJHW</t>
        </is>
      </c>
      <c r="C253" s="30" t="inlineStr">
        <is>
          <t>VCI</t>
        </is>
      </c>
      <c r="D253" s="324" t="n">
        <v>428</v>
      </c>
      <c r="E253" s="53" t="n">
        <v>0</v>
      </c>
      <c r="F253" s="54" t="n">
        <v>0</v>
      </c>
      <c r="G253" s="55" t="n">
        <v>0</v>
      </c>
      <c r="H253" s="55" t="n">
        <v>0</v>
      </c>
      <c r="I253" s="55" t="n"/>
      <c r="J253" s="56" t="n"/>
      <c r="K253" s="56" t="inlineStr">
        <is>
          <t>https://amazon.com/dp/B0CJ6QLJHW</t>
        </is>
      </c>
      <c r="L253" s="34">
        <f>HYPERLINK(TABLE253)</f>
        <v/>
      </c>
    </row>
    <row r="254">
      <c r="A254" s="33" t="inlineStr">
        <is>
          <t>Total</t>
        </is>
      </c>
      <c r="B254" s="32" t="n"/>
      <c r="C254" s="325" t="n"/>
      <c r="D254" s="325" t="n"/>
      <c r="E254" s="59">
        <f>SUM(Table544[Estimated 12mo Revenue])</f>
        <v/>
      </c>
      <c r="F254" s="59">
        <f>SUM(Table544[Monthly Rev])</f>
        <v/>
      </c>
      <c r="I254" s="286" t="n"/>
      <c r="J254" s="287" t="n"/>
    </row>
    <row r="257">
      <c r="A257" s="283" t="inlineStr">
        <is>
          <t>Rank by Units</t>
        </is>
      </c>
    </row>
    <row r="258">
      <c r="A258" s="38" t="inlineStr">
        <is>
          <t>Product Name</t>
        </is>
      </c>
      <c r="B258" s="39" t="inlineStr">
        <is>
          <t>ASIN</t>
        </is>
      </c>
      <c r="C258" s="39" t="inlineStr">
        <is>
          <t>Type</t>
        </is>
      </c>
      <c r="D258" s="322" t="inlineStr">
        <is>
          <t>Avg Price</t>
        </is>
      </c>
      <c r="E258" s="41" t="inlineStr">
        <is>
          <t>Estimated 12mo Revenue</t>
        </is>
      </c>
      <c r="F258" s="39" t="inlineStr">
        <is>
          <t>Monthly Rev</t>
        </is>
      </c>
      <c r="G258" s="42" t="inlineStr">
        <is>
          <t>Estimated 12mo Units</t>
        </is>
      </c>
      <c r="H258" s="45" t="inlineStr">
        <is>
          <t>Monthly Units</t>
        </is>
      </c>
      <c r="I258" s="42" t="inlineStr">
        <is>
          <t># of Reviews</t>
        </is>
      </c>
      <c r="J258" s="43" t="inlineStr">
        <is>
          <t xml:space="preserve">Tool Rating </t>
        </is>
      </c>
      <c r="K258" s="43" t="inlineStr">
        <is>
          <t>Column1</t>
        </is>
      </c>
      <c r="L258" s="323" t="inlineStr">
        <is>
          <t>Link</t>
        </is>
      </c>
    </row>
    <row r="259">
      <c r="A259" s="30" t="inlineStr">
        <is>
          <t>HPT MPVI4 Diagnostic Code Reader Scanner and Tool</t>
        </is>
      </c>
      <c r="B259" s="30" t="inlineStr">
        <is>
          <t>B0FZ26RBDC</t>
        </is>
      </c>
      <c r="C259" s="30" t="inlineStr">
        <is>
          <t>Dongle</t>
        </is>
      </c>
      <c r="D259" s="324" t="n">
        <v>399.9256140350877</v>
      </c>
      <c r="E259" s="53" t="n">
        <v>2847107.959999999</v>
      </c>
      <c r="F259" s="53" t="n">
        <v>273549.12</v>
      </c>
      <c r="G259" s="55" t="n">
        <v>2699</v>
      </c>
      <c r="H259" s="57" t="n">
        <v>684</v>
      </c>
      <c r="I259" s="55" t="n">
        <v>139</v>
      </c>
      <c r="J259" s="56" t="n">
        <v>4.8</v>
      </c>
      <c r="K259" s="56" t="inlineStr">
        <is>
          <t>https://amazon.com/dp/B0FZ26RBDC</t>
        </is>
      </c>
      <c r="L259" s="34">
        <f>HYPERLINK(Table65[[#This Row],[Column1]])</f>
        <v/>
      </c>
    </row>
    <row r="260">
      <c r="A260" s="30" t="inlineStr">
        <is>
          <t>HPT MPVI4 Diagnostic Code Reader Scanner and Tool</t>
        </is>
      </c>
      <c r="B260" s="30" t="inlineStr">
        <is>
          <t>B0FY7MYBX7</t>
        </is>
      </c>
      <c r="C260" s="30" t="inlineStr">
        <is>
          <t>Dongle</t>
        </is>
      </c>
      <c r="D260" s="324" t="n">
        <v>400.4040771349862</v>
      </c>
      <c r="E260" s="53" t="n">
        <v>1578101.223076923</v>
      </c>
      <c r="F260" s="53" t="n">
        <v>145346.68</v>
      </c>
      <c r="G260" s="55" t="n">
        <v>1597</v>
      </c>
      <c r="H260" s="57" t="n">
        <v>363</v>
      </c>
      <c r="I260" s="55" t="n">
        <v>31</v>
      </c>
      <c r="J260" s="56" t="n">
        <v>4.8</v>
      </c>
      <c r="K260" s="56" t="inlineStr">
        <is>
          <t>https://amazon.com/dp/B0FY7MYBX7</t>
        </is>
      </c>
      <c r="L260" s="34">
        <f>HYPERLINK(Table65[[#This Row],[Column1]])</f>
        <v/>
      </c>
    </row>
    <row r="261">
      <c r="A261" s="30" t="inlineStr">
        <is>
          <t>V500 OBD2 Scanner Diagnostic Tool, Professional Code Reader with Live Data Stream, DTC Lookup, I/M Readiness, O2 Sensor Test, EVAP System Test, Vehicle Info Display</t>
        </is>
      </c>
      <c r="B261" s="30" t="inlineStr">
        <is>
          <t>B0GMJWZVVK</t>
        </is>
      </c>
      <c r="C261" s="30" t="inlineStr">
        <is>
          <t>Handheld</t>
        </is>
      </c>
      <c r="D261" s="324" t="n">
        <v>25.34763803680982</v>
      </c>
      <c r="E261" s="53" t="n">
        <v>93429.56153846155</v>
      </c>
      <c r="F261" s="53" t="n">
        <v>8263.33</v>
      </c>
      <c r="G261" s="55" t="n">
        <v>385</v>
      </c>
      <c r="H261" s="57" t="n">
        <v>326</v>
      </c>
      <c r="I261" s="55" t="n">
        <v>3</v>
      </c>
      <c r="J261" s="56" t="n">
        <v>5</v>
      </c>
      <c r="K261" s="56" t="inlineStr">
        <is>
          <t>https://amazon.com/dp/B0GMJWZVVK</t>
        </is>
      </c>
      <c r="L261" s="34">
        <f>HYPERLINK(Table65[[#This Row],[Column1]])</f>
        <v/>
      </c>
    </row>
    <row r="262">
      <c r="A262" s="30" t="inlineStr">
        <is>
          <t>FOXWELL NT530 Plus for BMW - All Systems, All Maintenance Service - Bidirectional Diagnostic Tool OBD2 Scanner Automotive Code Reader ABS Bleed SRS Airbag SAS TPMS TPS EPB Oil Reset CKP</t>
        </is>
      </c>
      <c r="B262" s="30" t="inlineStr">
        <is>
          <t>B0BZDWC5J5</t>
        </is>
      </c>
      <c r="C262" s="30" t="inlineStr">
        <is>
          <t>Handheld</t>
        </is>
      </c>
      <c r="D262" s="324" t="n">
        <v>169.979702970297</v>
      </c>
      <c r="E262" s="53" t="n">
        <v>123435.8</v>
      </c>
      <c r="F262" s="53" t="n">
        <v>34335.9</v>
      </c>
      <c r="G262" s="55" t="n">
        <v>727</v>
      </c>
      <c r="H262" s="57" t="n">
        <v>202</v>
      </c>
      <c r="I262" s="55" t="n">
        <v>23</v>
      </c>
      <c r="J262" s="56" t="n">
        <v>4.2</v>
      </c>
      <c r="K262" s="56" t="inlineStr">
        <is>
          <t>https://amazon.com/dp/B0BZDWC5J5</t>
        </is>
      </c>
      <c r="L262" s="34">
        <f>HYPERLINK(Table65[[#This Row],[Column1]])</f>
        <v/>
      </c>
    </row>
    <row r="263">
      <c r="A263" s="30" t="inlineStr">
        <is>
          <t>6 Pin to 16 Pin OBD2 Adapter Cable for BRP &amp; CAN-AM, Motorcycle Diagnostic Tool Connector Fits for CAN-AM Spyder, ATV, UTV and BRP Moto Bike</t>
        </is>
      </c>
      <c r="B263" s="30" t="inlineStr">
        <is>
          <t>B0FQNXVNLL</t>
        </is>
      </c>
      <c r="C263" s="30" t="inlineStr">
        <is>
          <t>Cable/Adapter</t>
        </is>
      </c>
      <c r="D263" s="324" t="n">
        <v>9.482139303482588</v>
      </c>
      <c r="E263" s="53" t="n">
        <v>18056.85076923077</v>
      </c>
      <c r="F263" s="53" t="n">
        <v>1905.91</v>
      </c>
      <c r="G263" s="55" t="n">
        <v>554</v>
      </c>
      <c r="H263" s="57" t="n">
        <v>201</v>
      </c>
      <c r="I263" s="55" t="n">
        <v>16</v>
      </c>
      <c r="J263" s="56" t="n">
        <v>3.4</v>
      </c>
      <c r="K263" s="56" t="inlineStr">
        <is>
          <t>https://amazon.com/dp/B0FQNXVNLL</t>
        </is>
      </c>
      <c r="L263" s="34">
        <f>HYPERLINK(Table65[[#This Row],[Column1]])</f>
        <v/>
      </c>
    </row>
    <row r="264">
      <c r="A264" s="30" t="inlineStr">
        <is>
          <t>TEMEDA- PT 30 ELD - Electronic Logging Device + Cable - HOS &amp; FMCSA Compliant - Easy to Install - New (PT30+Green 9 Pin Round Cable)</t>
        </is>
      </c>
      <c r="B264" s="30" t="inlineStr">
        <is>
          <t>B0CVR2LWNX</t>
        </is>
      </c>
      <c r="C264" s="30" t="inlineStr">
        <is>
          <t>Other</t>
        </is>
      </c>
      <c r="D264" s="324" t="n">
        <v>190.1238</v>
      </c>
      <c r="E264" s="53" t="n">
        <v>255473.16</v>
      </c>
      <c r="F264" s="53" t="n">
        <v>38024.76</v>
      </c>
      <c r="G264" s="55" t="n">
        <v>1357</v>
      </c>
      <c r="H264" s="57" t="n">
        <v>200</v>
      </c>
      <c r="I264" s="55" t="n">
        <v>41</v>
      </c>
      <c r="J264" s="56" t="n">
        <v>4.7</v>
      </c>
      <c r="K264" s="56" t="inlineStr">
        <is>
          <t>https://amazon.com/dp/B0CVR2LWNX</t>
        </is>
      </c>
      <c r="L264" s="34">
        <f>HYPERLINK(Table65[[#This Row],[Column1]])</f>
        <v/>
      </c>
    </row>
    <row r="265">
      <c r="A265" s="30" t="inlineStr">
        <is>
          <t>OBD2 to USB Cable Diagnostic Tool OBD2 Code Reader Scanner USB Interface OBD to USB Adapter OBD2 Connector OBDII Scan Automotive for GM Chevy Ford Toyota Honda Car SUV Pickup for Laptop</t>
        </is>
      </c>
      <c r="B265" s="30" t="inlineStr">
        <is>
          <t>B0GL42JYN7</t>
        </is>
      </c>
      <c r="C265" s="30" t="inlineStr">
        <is>
          <t>Cable/Adapter</t>
        </is>
      </c>
      <c r="D265" s="324" t="n">
        <v>13.71792</v>
      </c>
      <c r="E265" s="53" t="n">
        <v>19125.94615384616</v>
      </c>
      <c r="F265" s="53" t="n">
        <v>1714.74</v>
      </c>
      <c r="G265" s="55" t="n">
        <v>125</v>
      </c>
      <c r="H265" s="57" t="n">
        <v>125</v>
      </c>
      <c r="I265" s="55" t="n">
        <v>1</v>
      </c>
      <c r="J265" s="56" t="n">
        <v>5</v>
      </c>
      <c r="K265" s="56" t="inlineStr">
        <is>
          <t>https://amazon.com/dp/B0GL42JYN7</t>
        </is>
      </c>
      <c r="L265" s="34">
        <f>HYPERLINK(Table65[[#This Row],[Column1]])</f>
        <v/>
      </c>
    </row>
    <row r="266">
      <c r="A266" s="30" t="inlineStr">
        <is>
          <t>Generic H00008000 Interface Cable for Edge CS2 CTS2 CTS3 Cord, OBDII to HDMI Monitor/Tuner/Insight</t>
        </is>
      </c>
      <c r="B266" s="30" t="inlineStr">
        <is>
          <t>B0B2MMYSK7</t>
        </is>
      </c>
      <c r="C266" s="30" t="inlineStr">
        <is>
          <t>Handheld</t>
        </is>
      </c>
      <c r="D266" s="324" t="n">
        <v>23.15268292682927</v>
      </c>
      <c r="E266" s="53" t="n">
        <v>32521.11</v>
      </c>
      <c r="F266" s="53" t="n">
        <v>2847.78</v>
      </c>
      <c r="G266" s="55" t="n">
        <v>1466</v>
      </c>
      <c r="H266" s="57" t="n">
        <v>123</v>
      </c>
      <c r="I266" s="55" t="n">
        <v>71</v>
      </c>
      <c r="J266" s="56" t="n">
        <v>4.6</v>
      </c>
      <c r="K266" s="56" t="inlineStr">
        <is>
          <t>https://amazon.com/dp/B0B2MMYSK7</t>
        </is>
      </c>
      <c r="L266" s="34">
        <f>HYPERLINK(Table65[[#This Row],[Column1]])</f>
        <v/>
      </c>
    </row>
    <row r="267">
      <c r="A267" s="30" t="inlineStr">
        <is>
          <t>FOXWELL NT530 for Porsche - All Systems, All Maintenance Service - Bidirectional Diagnostic Scan Tool OBD2 Scanner Automotive Code Reader ABS Bleed SRS Airbag SAS TPMS TPS EPB Oil Reset CKP</t>
        </is>
      </c>
      <c r="B267" s="30" t="inlineStr">
        <is>
          <t>B0C3J1V5N8</t>
        </is>
      </c>
      <c r="C267" s="30" t="inlineStr">
        <is>
          <t>Handheld</t>
        </is>
      </c>
      <c r="D267" s="324" t="n">
        <v>170.397476635514</v>
      </c>
      <c r="E267" s="53" t="n">
        <v>173868.88</v>
      </c>
      <c r="F267" s="53" t="n">
        <v>18232.53</v>
      </c>
      <c r="G267" s="55" t="n">
        <v>1024</v>
      </c>
      <c r="H267" s="57" t="n">
        <v>107</v>
      </c>
      <c r="I267" s="55" t="n">
        <v>70</v>
      </c>
      <c r="J267" s="56" t="n">
        <v>4</v>
      </c>
      <c r="K267" s="56" t="inlineStr">
        <is>
          <t>https://amazon.com/dp/B0C3J1V5N8</t>
        </is>
      </c>
      <c r="L267" s="34">
        <f>HYPERLINK(Table65[[#This Row],[Column1]])</f>
        <v/>
      </c>
    </row>
    <row r="268">
      <c r="A268" s="30" t="inlineStr">
        <is>
          <t>OBDII Motorcycle Adapter Cable - 16 Pin to 8 Pin Polaris Connector for Diagnostic Code Reader Scanner, Fits RZR, Ranger, Slingshot, Sportsman ATV</t>
        </is>
      </c>
      <c r="B268" s="30" t="inlineStr">
        <is>
          <t>B0FQP1L2NG</t>
        </is>
      </c>
      <c r="C268" s="30" t="inlineStr">
        <is>
          <t>Cable/Adapter</t>
        </is>
      </c>
      <c r="D268" s="324" t="n">
        <v>10.4339603960396</v>
      </c>
      <c r="E268" s="53" t="n">
        <v>13420.24923076923</v>
      </c>
      <c r="F268" s="53" t="n">
        <v>1053.83</v>
      </c>
      <c r="G268" s="55" t="n">
        <v>576</v>
      </c>
      <c r="H268" s="57" t="n">
        <v>101</v>
      </c>
      <c r="I268" s="55" t="n">
        <v>9</v>
      </c>
      <c r="J268" s="56" t="n">
        <v>3.8</v>
      </c>
      <c r="K268" s="56" t="inlineStr">
        <is>
          <t>https://amazon.com/dp/B0FQP1L2NG</t>
        </is>
      </c>
      <c r="L268" s="34">
        <f>HYPERLINK(Table65[[#This Row],[Column1]])</f>
        <v/>
      </c>
    </row>
    <row r="269">
      <c r="A269" s="30" t="inlineStr">
        <is>
          <t>FOXWELL NT530 for BMW - All Systems, All Maintenance Service - Bidirectional Diagnostic Scan Tool OBD2 Scanner Automotive Code Reader ABS Bleed SRS Airbag SAS TPMS TPS EPB Oil Reset CKP</t>
        </is>
      </c>
      <c r="B269" s="30" t="inlineStr">
        <is>
          <t>B0C3J1QFX4</t>
        </is>
      </c>
      <c r="C269" s="30" t="inlineStr">
        <is>
          <t>Handheld</t>
        </is>
      </c>
      <c r="D269" s="324" t="n">
        <v>170.4728712871287</v>
      </c>
      <c r="E269" s="53" t="n">
        <v>215947.82</v>
      </c>
      <c r="F269" s="53" t="n">
        <v>17217.76</v>
      </c>
      <c r="G269" s="55" t="n">
        <v>1270</v>
      </c>
      <c r="H269" s="57" t="n">
        <v>101</v>
      </c>
      <c r="I269" s="55" t="n">
        <v>78</v>
      </c>
      <c r="J269" s="56" t="n">
        <v>4.3</v>
      </c>
      <c r="K269" s="56" t="inlineStr">
        <is>
          <t>https://amazon.com/dp/B0C3J1QFX4</t>
        </is>
      </c>
      <c r="L269" s="34">
        <f>HYPERLINK(Table65[[#This Row],[Column1]])</f>
        <v/>
      </c>
    </row>
    <row r="270">
      <c r="A270" s="30" t="inlineStr">
        <is>
          <t>OBD2 Adapter for Harleyy, 2-in-1 [4 Pin + 6 Pin] to 16 Pin Motorcycle Diagnostic Cable, Professional Scanner Tool Connector for Softail, Sportster Models</t>
        </is>
      </c>
      <c r="B270" s="30" t="inlineStr">
        <is>
          <t>B0FR4VC5L5</t>
        </is>
      </c>
      <c r="C270" s="30" t="inlineStr">
        <is>
          <t>Cable/Adapter</t>
        </is>
      </c>
      <c r="D270" s="324" t="n">
        <v>11.48068965517241</v>
      </c>
      <c r="E270" s="53" t="n">
        <v>8307.233846153847</v>
      </c>
      <c r="F270" s="53" t="n">
        <v>998.8200000000001</v>
      </c>
      <c r="G270" s="55" t="n">
        <v>148</v>
      </c>
      <c r="H270" s="57" t="n">
        <v>87</v>
      </c>
      <c r="I270" s="55" t="n">
        <v>4</v>
      </c>
      <c r="J270" s="56" t="n">
        <v>4.3</v>
      </c>
      <c r="K270" s="56" t="inlineStr">
        <is>
          <t>https://amazon.com/dp/B0FR4VC5L5</t>
        </is>
      </c>
      <c r="L270" s="34">
        <f>HYPERLINK(Table65[[#This Row],[Column1]])</f>
        <v/>
      </c>
    </row>
    <row r="271">
      <c r="A271" s="30" t="inlineStr">
        <is>
          <t>NEXIQ Universal J560 PLC Adapter – Enhanced ABS Diagnostic Tool for Heavy-Duty Vehicles</t>
        </is>
      </c>
      <c r="B271" s="30" t="inlineStr">
        <is>
          <t>B07F9XPZ6W</t>
        </is>
      </c>
      <c r="C271" s="30" t="inlineStr">
        <is>
          <t>Cable/Adapter</t>
        </is>
      </c>
      <c r="D271" s="324" t="n">
        <v>349.1241935483871</v>
      </c>
      <c r="E271" s="53" t="n">
        <v>313635.3061538461</v>
      </c>
      <c r="F271" s="53" t="n">
        <v>21645.7</v>
      </c>
      <c r="G271" s="55" t="n">
        <v>866</v>
      </c>
      <c r="H271" s="57" t="n">
        <v>62</v>
      </c>
      <c r="I271" s="55" t="n">
        <v>34</v>
      </c>
      <c r="J271" s="56" t="n">
        <v>4.8</v>
      </c>
      <c r="K271" s="56" t="inlineStr">
        <is>
          <t>https://amazon.com/dp/B07F9XPZ6W</t>
        </is>
      </c>
      <c r="L271" s="34">
        <f>HYPERLINK(Table65[[#This Row],[Column1]])</f>
        <v/>
      </c>
    </row>
    <row r="272">
      <c r="A272" s="30" t="inlineStr">
        <is>
          <t>FOXWELL NT530 for Honda Acura - All Systems, All Maintenance Service - Bidirectional Diagnostic Scan Tool OBD2 Scanner Automotive Code Reader ABS Bleed SRS Airbag SAS TPMS TPS EPB Oil Reset CKP</t>
        </is>
      </c>
      <c r="B272" s="30" t="inlineStr">
        <is>
          <t>B0C2DBJYCD</t>
        </is>
      </c>
      <c r="C272" s="30" t="inlineStr">
        <is>
          <t>Handheld</t>
        </is>
      </c>
      <c r="D272" s="324" t="n">
        <v>170.7471111111111</v>
      </c>
      <c r="E272" s="53" t="n">
        <v>58997.04000000001</v>
      </c>
      <c r="F272" s="53" t="n">
        <v>7683.62</v>
      </c>
      <c r="G272" s="55" t="n">
        <v>348</v>
      </c>
      <c r="H272" s="57" t="n">
        <v>45</v>
      </c>
      <c r="I272" s="55" t="n">
        <v>46</v>
      </c>
      <c r="J272" s="56" t="n">
        <v>4</v>
      </c>
      <c r="K272" s="56" t="inlineStr">
        <is>
          <t>https://amazon.com/dp/B0C2DBJYCD</t>
        </is>
      </c>
      <c r="L272" s="34">
        <f>HYPERLINK(Table65[[#This Row],[Column1]])</f>
        <v/>
      </c>
    </row>
    <row r="273">
      <c r="A273" s="30" t="inlineStr">
        <is>
          <t>MPVI4 Professional Automotive Diagnostic Scanner Tool, High-Speed Data Logging, Multi-Vehicle Programming Compatibility 0 Credits (MPVI4-00, 0 Credits)</t>
        </is>
      </c>
      <c r="B273" s="30" t="inlineStr">
        <is>
          <t>B0FYQN779L</t>
        </is>
      </c>
      <c r="C273" s="30" t="inlineStr">
        <is>
          <t>Dongle</t>
        </is>
      </c>
      <c r="D273" s="324" t="n">
        <v>403.9316279069768</v>
      </c>
      <c r="E273" s="53" t="n">
        <v>202052.6076923077</v>
      </c>
      <c r="F273" s="53" t="n">
        <v>17369.06</v>
      </c>
      <c r="G273" s="55" t="n">
        <v>184</v>
      </c>
      <c r="H273" s="57" t="n">
        <v>43</v>
      </c>
      <c r="I273" s="55" t="n">
        <v>5</v>
      </c>
      <c r="J273" s="56" t="n">
        <v>4</v>
      </c>
      <c r="K273" s="56" t="inlineStr">
        <is>
          <t>https://amazon.com/dp/B0FYQN779L</t>
        </is>
      </c>
      <c r="L273" s="34">
        <f>HYPERLINK(Table65[[#This Row],[Column1]])</f>
        <v/>
      </c>
    </row>
    <row r="274">
      <c r="A274" s="30" t="inlineStr">
        <is>
          <t>FOXWELL NT530 for GM Chevrolet - All Systems, All Maintenance Service - Bidirectional Diagnostic Tool - OBD2 Scanner - Code Reader ABS Bleed SRS Airbag SAS TPMS TPS EPB Oil</t>
        </is>
      </c>
      <c r="B274" s="30" t="inlineStr">
        <is>
          <t>B0C46TXHWG</t>
        </is>
      </c>
      <c r="C274" s="30" t="inlineStr">
        <is>
          <t>Handheld</t>
        </is>
      </c>
      <c r="D274" s="324" t="n">
        <v>167.9218421052632</v>
      </c>
      <c r="E274" s="53" t="n">
        <v>68843.95000000001</v>
      </c>
      <c r="F274" s="53" t="n">
        <v>6381.03</v>
      </c>
      <c r="G274" s="55" t="n">
        <v>406</v>
      </c>
      <c r="H274" s="57" t="n">
        <v>38</v>
      </c>
      <c r="I274" s="55" t="n">
        <v>32</v>
      </c>
      <c r="J274" s="56" t="n">
        <v>4.3</v>
      </c>
      <c r="K274" s="56" t="inlineStr">
        <is>
          <t>https://amazon.com/dp/B0C46TXHWG</t>
        </is>
      </c>
      <c r="L274" s="34">
        <f>HYPERLINK(Table65[[#This Row],[Column1]])</f>
        <v/>
      </c>
    </row>
    <row r="275">
      <c r="A275" s="30" t="inlineStr">
        <is>
          <t>PT30+Cable Bundle-ELD Geosavi Buy America (PT30+Light Duty OBDII Square Cable)</t>
        </is>
      </c>
      <c r="B275" s="30" t="inlineStr">
        <is>
          <t>B0CTTXT5S5</t>
        </is>
      </c>
      <c r="C275" s="30" t="inlineStr">
        <is>
          <t>VCI</t>
        </is>
      </c>
      <c r="D275" s="324" t="n">
        <v>187.6217647058824</v>
      </c>
      <c r="E275" s="53" t="n">
        <v>33450.52</v>
      </c>
      <c r="F275" s="53" t="n">
        <v>6379.14</v>
      </c>
      <c r="G275" s="55" t="n">
        <v>180</v>
      </c>
      <c r="H275" s="57" t="n">
        <v>34</v>
      </c>
      <c r="I275" s="55" t="n">
        <v>5</v>
      </c>
      <c r="J275" s="56" t="n">
        <v>5</v>
      </c>
      <c r="K275" s="56" t="inlineStr">
        <is>
          <t>https://amazon.com/dp/B0CTTXT5S5</t>
        </is>
      </c>
      <c r="L275" s="34">
        <f>HYPERLINK(Table65[[#This Row],[Column1]])</f>
        <v/>
      </c>
    </row>
    <row r="276">
      <c r="A276" s="30" t="inlineStr">
        <is>
          <t>Generic NEXIQ 9-Pin Deutsch Adapter (1-Meter) for USB-Link 2 &amp; 3, black</t>
        </is>
      </c>
      <c r="B276" s="30" t="inlineStr">
        <is>
          <t>B0CRVX1JLN</t>
        </is>
      </c>
      <c r="C276" s="30" t="inlineStr">
        <is>
          <t>Cable/Adapter</t>
        </is>
      </c>
      <c r="D276" s="324" t="n">
        <v>175.5145454545454</v>
      </c>
      <c r="E276" s="53" t="n">
        <v>85794.46307692307</v>
      </c>
      <c r="F276" s="53" t="n">
        <v>5791.98</v>
      </c>
      <c r="G276" s="55" t="n">
        <v>459</v>
      </c>
      <c r="H276" s="57" t="n">
        <v>33</v>
      </c>
      <c r="I276" s="55" t="n">
        <v>11</v>
      </c>
      <c r="J276" s="56" t="n">
        <v>4</v>
      </c>
      <c r="K276" s="56" t="inlineStr">
        <is>
          <t>https://amazon.com/dp/B0CRVX1JLN</t>
        </is>
      </c>
      <c r="L276" s="34">
        <f>HYPERLINK(Table65[[#This Row],[Column1]])</f>
        <v/>
      </c>
    </row>
    <row r="277">
      <c r="A277" s="30" t="inlineStr">
        <is>
          <t>FOXWELL NT530 for Toyota, Lexus, Scion - All Systems, All Maintenance Service - Bidirectional Diagnostic Scan Tool OBD2 Scanner Automotive Code Reader ABS Bleed SRS Airbag SAS TPMS TPS EPB Oil Reset</t>
        </is>
      </c>
      <c r="B277" s="30" t="inlineStr">
        <is>
          <t>B0CZ7DVCN7</t>
        </is>
      </c>
      <c r="C277" s="30" t="inlineStr">
        <is>
          <t>Handheld</t>
        </is>
      </c>
      <c r="D277" s="324" t="n">
        <v>168.6396875</v>
      </c>
      <c r="E277" s="53" t="n">
        <v>38925.98</v>
      </c>
      <c r="F277" s="53" t="n">
        <v>5396.47</v>
      </c>
      <c r="G277" s="55" t="n">
        <v>230</v>
      </c>
      <c r="H277" s="57" t="n">
        <v>32</v>
      </c>
      <c r="I277" s="55" t="n">
        <v>11</v>
      </c>
      <c r="J277" s="56" t="n">
        <v>4.4</v>
      </c>
      <c r="K277" s="56" t="inlineStr">
        <is>
          <t>https://amazon.com/dp/B0CZ7DVCN7</t>
        </is>
      </c>
      <c r="L277" s="34">
        <f>HYPERLINK(Table65[[#This Row],[Column1]])</f>
        <v/>
      </c>
    </row>
    <row r="278">
      <c r="A278" s="30" t="inlineStr">
        <is>
          <t>FOXWELL NT530 for Dodge Jeep Chrysler All Systems, All Maintenance Service - Bidirectional Diagnostic Scan Tool OBD2 Scanner Automotive Code Reader ABS Bleed SRS Airbag SAS TPMS TPS EPB Oil Reset CKP</t>
        </is>
      </c>
      <c r="B278" s="30" t="inlineStr">
        <is>
          <t>B0C2D87BM8</t>
        </is>
      </c>
      <c r="C278" s="30" t="inlineStr">
        <is>
          <t>Handheld</t>
        </is>
      </c>
      <c r="D278" s="324" t="n">
        <v>172.0504347826087</v>
      </c>
      <c r="E278" s="53" t="n">
        <v>35836.18000000001</v>
      </c>
      <c r="F278" s="53" t="n">
        <v>3957.16</v>
      </c>
      <c r="G278" s="55" t="n">
        <v>213</v>
      </c>
      <c r="H278" s="57" t="n">
        <v>23</v>
      </c>
      <c r="I278" s="55" t="n">
        <v>28</v>
      </c>
      <c r="J278" s="56" t="n">
        <v>4</v>
      </c>
      <c r="K278" s="56" t="inlineStr">
        <is>
          <t>https://amazon.com/dp/B0C2D87BM8</t>
        </is>
      </c>
      <c r="L278" s="34">
        <f>HYPERLINK(Table65[[#This Row],[Column1]])</f>
        <v/>
      </c>
    </row>
    <row r="279">
      <c r="A279" s="30" t="inlineStr">
        <is>
          <t>FOXWELL NT530 for Kia and Hyundai - All Systems, All Maintenance Service - Bidirectional Diagnostic Scan Tool OBD2 Scanner Automotive Code Reader ABS Bleed SRS Airbag SAS TPMS TPS EPB Oil Reset CKP</t>
        </is>
      </c>
      <c r="B279" s="30" t="inlineStr">
        <is>
          <t>B0C2DDGKYK</t>
        </is>
      </c>
      <c r="C279" s="30" t="inlineStr">
        <is>
          <t>Handheld</t>
        </is>
      </c>
      <c r="D279" s="324" t="n">
        <v>169.902380952381</v>
      </c>
      <c r="E279" s="53" t="n">
        <v>49839.77</v>
      </c>
      <c r="F279" s="53" t="n">
        <v>3567.95</v>
      </c>
      <c r="G279" s="55" t="n">
        <v>294</v>
      </c>
      <c r="H279" s="57" t="n">
        <v>21</v>
      </c>
      <c r="I279" s="55" t="n">
        <v>39</v>
      </c>
      <c r="J279" s="56" t="n">
        <v>3.8</v>
      </c>
      <c r="K279" s="56" t="inlineStr">
        <is>
          <t>https://amazon.com/dp/B0C2DDGKYK</t>
        </is>
      </c>
      <c r="L279" s="34">
        <f>HYPERLINK(Table65[[#This Row],[Column1]])</f>
        <v/>
      </c>
    </row>
    <row r="280">
      <c r="A280" s="30" t="inlineStr">
        <is>
          <t>FOXWELL NT530 for Mercedes Benz 38 Pin - All Systems, All Maintenance Service - Bidirectional Diagnostic Scan Tool OBD2 Scanner Automotive Code Reader ABS Bleed SRS Airbag SAS TPMS TPS EPB Oil Reset</t>
        </is>
      </c>
      <c r="B280" s="30" t="inlineStr">
        <is>
          <t>B0C3HXTNLL</t>
        </is>
      </c>
      <c r="C280" s="30" t="inlineStr">
        <is>
          <t>Handheld</t>
        </is>
      </c>
      <c r="D280" s="324" t="n">
        <v>201.3405</v>
      </c>
      <c r="E280" s="53" t="n">
        <v>22329.97</v>
      </c>
      <c r="F280" s="53" t="n">
        <v>4026.81</v>
      </c>
      <c r="G280" s="55" t="n">
        <v>112</v>
      </c>
      <c r="H280" s="57" t="n">
        <v>20</v>
      </c>
      <c r="I280" s="55" t="n">
        <v>19</v>
      </c>
      <c r="J280" s="56" t="n">
        <v>3.8</v>
      </c>
      <c r="K280" s="56" t="inlineStr">
        <is>
          <t>https://amazon.com/dp/B0C3HXTNLL</t>
        </is>
      </c>
      <c r="L280" s="34">
        <f>HYPERLINK(Table65[[#This Row],[Column1]])</f>
        <v/>
      </c>
    </row>
    <row r="281">
      <c r="A281" s="30" t="inlineStr">
        <is>
          <t>Car Key ECU Test Coil, Car Induction Card,Automatic Ignition Coil Tester for Checking The Lock Ring, Automotive Key Lock Chip Antenna Tester</t>
        </is>
      </c>
      <c r="B281" s="30" t="inlineStr">
        <is>
          <t>B0DK5J237N</t>
        </is>
      </c>
      <c r="C281" s="30" t="inlineStr">
        <is>
          <t>Key</t>
        </is>
      </c>
      <c r="D281" s="324" t="n">
        <v>4.5585</v>
      </c>
      <c r="E281" s="53" t="n">
        <v>1004.93</v>
      </c>
      <c r="F281" s="53" t="n">
        <v>91.17</v>
      </c>
      <c r="G281" s="55" t="n">
        <v>207</v>
      </c>
      <c r="H281" s="57" t="n">
        <v>20</v>
      </c>
      <c r="I281" s="55" t="n">
        <v>10</v>
      </c>
      <c r="J281" s="56" t="n">
        <v>4.4</v>
      </c>
      <c r="K281" s="56" t="inlineStr">
        <is>
          <t>https://amazon.com/dp/B0DK5J237N</t>
        </is>
      </c>
      <c r="L281" s="34">
        <f>HYPERLINK(Table65[[#This Row],[Column1]])</f>
        <v/>
      </c>
    </row>
    <row r="282">
      <c r="A282" s="30" t="inlineStr">
        <is>
          <t>Radar OBD Hardwire Kit for Dash Cam, Millimeter-Wave Motion Detection, Plug &amp; Play OBD Power Cable with Parking Mode, Low Voltage Protection</t>
        </is>
      </c>
      <c r="B282" s="30" t="inlineStr">
        <is>
          <t>B0GBW4F7BL</t>
        </is>
      </c>
      <c r="C282" s="30" t="inlineStr">
        <is>
          <t>Cable/Adapter</t>
        </is>
      </c>
      <c r="D282" s="324" t="n">
        <v>15.21157894736842</v>
      </c>
      <c r="E282" s="53" t="n">
        <v>3253.634615384616</v>
      </c>
      <c r="F282" s="53" t="n">
        <v>289.02</v>
      </c>
      <c r="G282" s="55" t="n">
        <v>21</v>
      </c>
      <c r="H282" s="57" t="n">
        <v>19</v>
      </c>
      <c r="I282" s="55" t="n">
        <v>2</v>
      </c>
      <c r="J282" s="56" t="n">
        <v>3</v>
      </c>
      <c r="K282" s="56" t="inlineStr">
        <is>
          <t>https://amazon.com/dp/B0GBW4F7BL</t>
        </is>
      </c>
      <c r="L282" s="34">
        <f>HYPERLINK(Table65[[#This Row],[Column1]])</f>
        <v/>
      </c>
    </row>
    <row r="283">
      <c r="A283" s="30" t="inlineStr">
        <is>
          <t>FOXWELL NT530 for Volkswagen and Audi - All Systems, All Maintenance Service - Bidirectional Diagnostic Scan Tool OBD2 Scanner Automotive Code Reader ABS Bleed SRS Airbag SAS TPMS TPS EPB Oil Reset</t>
        </is>
      </c>
      <c r="B283" s="30" t="inlineStr">
        <is>
          <t>B0C2D7X37X</t>
        </is>
      </c>
      <c r="C283" s="30" t="inlineStr">
        <is>
          <t>Handheld</t>
        </is>
      </c>
      <c r="D283" s="324" t="n">
        <v>165.5417647058823</v>
      </c>
      <c r="E283" s="53" t="n">
        <v>21765.38230769231</v>
      </c>
      <c r="F283" s="53" t="n">
        <v>2814.21</v>
      </c>
      <c r="G283" s="55" t="n">
        <v>114</v>
      </c>
      <c r="H283" s="57" t="n">
        <v>17</v>
      </c>
      <c r="I283" s="55" t="n">
        <v>7</v>
      </c>
      <c r="J283" s="56" t="n">
        <v>3.6</v>
      </c>
      <c r="K283" s="56" t="inlineStr">
        <is>
          <t>https://amazon.com/dp/B0C2D7X37X</t>
        </is>
      </c>
      <c r="L283" s="34">
        <f>HYPERLINK(Table65[[#This Row],[Column1]])</f>
        <v/>
      </c>
    </row>
    <row r="284">
      <c r="A284" s="30" t="inlineStr">
        <is>
          <t>FOXWELL NT530 for Land Rover, Range Rover, Jaguar - All Maintenance Service - Bidirectional Diagnostic Scan Tool OBD2 Scanner Automotive Code Reader ABS Bleed SRS Airbag SAS TPMS TPS EPB Oil Reset CKP</t>
        </is>
      </c>
      <c r="B284" s="30" t="inlineStr">
        <is>
          <t>B0C2DC88QC</t>
        </is>
      </c>
      <c r="C284" s="30" t="inlineStr">
        <is>
          <t>Handheld</t>
        </is>
      </c>
      <c r="D284" s="324" t="n">
        <v>171.7314285714286</v>
      </c>
      <c r="E284" s="53" t="n">
        <v>21134.89</v>
      </c>
      <c r="F284" s="53" t="n">
        <v>2404.24</v>
      </c>
      <c r="G284" s="55" t="n">
        <v>126</v>
      </c>
      <c r="H284" s="57" t="n">
        <v>14</v>
      </c>
      <c r="I284" s="55" t="n">
        <v>9</v>
      </c>
      <c r="J284" s="56" t="n">
        <v>3.4</v>
      </c>
      <c r="K284" s="56" t="inlineStr">
        <is>
          <t>https://amazon.com/dp/B0C2DC88QC</t>
        </is>
      </c>
      <c r="L284" s="34">
        <f>HYPERLINK(Table65[[#This Row],[Column1]])</f>
        <v/>
      </c>
    </row>
    <row r="285">
      <c r="A285" s="30" t="inlineStr">
        <is>
          <t>for 1pc AK90+ AK90 Auto Key Programmer for EWS Version V3.19 Key Maker for Programming Tool</t>
        </is>
      </c>
      <c r="B285" s="30" t="inlineStr">
        <is>
          <t>B0F9KG8N2Z</t>
        </is>
      </c>
      <c r="C285" s="30" t="inlineStr">
        <is>
          <t>Key</t>
        </is>
      </c>
      <c r="D285" s="324" t="n">
        <v>39.00357142857143</v>
      </c>
      <c r="E285" s="53" t="n">
        <v>4835.513076923076</v>
      </c>
      <c r="F285" s="53" t="n">
        <v>546.05</v>
      </c>
      <c r="G285" s="55" t="n">
        <v>33</v>
      </c>
      <c r="H285" s="57" t="n">
        <v>14</v>
      </c>
      <c r="I285" s="55" t="n">
        <v>1</v>
      </c>
      <c r="J285" s="56" t="n">
        <v>5</v>
      </c>
      <c r="K285" s="56" t="inlineStr">
        <is>
          <t>https://amazon.com/dp/B0F9KG8N2Z</t>
        </is>
      </c>
      <c r="L285" s="34">
        <f>HYPERLINK(Table65[[#This Row],[Column1]])</f>
        <v/>
      </c>
    </row>
    <row r="286">
      <c r="A286" s="30" t="inlineStr">
        <is>
          <t>FOXWELL NT530 for Ford - All Systems, All Maintenance Service - Bidirectional Diagnostic Scan Tool OBD2 Scanner Automotive Code Reader ABS Bleed SRS Airbag SAS TPMS TPS EPB Oil Reset CKP</t>
        </is>
      </c>
      <c r="B286" s="30" t="inlineStr">
        <is>
          <t>B0C2D7J4KX</t>
        </is>
      </c>
      <c r="C286" s="30" t="inlineStr">
        <is>
          <t>Handheld</t>
        </is>
      </c>
      <c r="D286" s="324" t="n">
        <v>175.8235714285715</v>
      </c>
      <c r="E286" s="53" t="n">
        <v>14611.87</v>
      </c>
      <c r="F286" s="53" t="n">
        <v>2461.53</v>
      </c>
      <c r="G286" s="55" t="n">
        <v>85</v>
      </c>
      <c r="H286" s="57" t="n">
        <v>14</v>
      </c>
      <c r="I286" s="55" t="n">
        <v>7</v>
      </c>
      <c r="J286" s="56" t="n">
        <v>4.3</v>
      </c>
      <c r="K286" s="56" t="inlineStr">
        <is>
          <t>https://amazon.com/dp/B0C2D7J4KX</t>
        </is>
      </c>
      <c r="L286" s="34">
        <f>HYPERLINK(Table65[[#This Row],[Column1]])</f>
        <v/>
      </c>
    </row>
    <row r="287">
      <c r="A287" s="30" t="inlineStr">
        <is>
          <t>MPVI4 HP Diagnostic Code Reader Tool, Professional Vehicle Scanner</t>
        </is>
      </c>
      <c r="B287" s="30" t="inlineStr">
        <is>
          <t>B0GSCG8HSX</t>
        </is>
      </c>
      <c r="C287" s="30" t="inlineStr">
        <is>
          <t>Dongle</t>
        </is>
      </c>
      <c r="D287" s="324" t="n">
        <v>362.8546153846154</v>
      </c>
      <c r="E287" s="53" t="n">
        <v>52613.91923076921</v>
      </c>
      <c r="F287" s="53" t="n">
        <v>4717.11</v>
      </c>
      <c r="G287" s="55" t="n">
        <v>13</v>
      </c>
      <c r="H287" s="57" t="n">
        <v>13</v>
      </c>
      <c r="I287" s="55" t="n"/>
      <c r="J287" s="56" t="n"/>
      <c r="K287" s="56" t="inlineStr">
        <is>
          <t>https://amazon.com/dp/B0GSCG8HSX</t>
        </is>
      </c>
      <c r="L287" s="34">
        <f>HYPERLINK(Table65[[#This Row],[Column1]])</f>
        <v/>
      </c>
    </row>
    <row r="288">
      <c r="A288" s="30" t="inlineStr">
        <is>
          <t>V519 OBD2 Scanner, Universal Check Engine Light Code Reader, Professional Diagnostic Scan Tool with Full OBDII Functions, Real-Time Data Stream, Erase Fault Codes for All Post-1996 Vehicles</t>
        </is>
      </c>
      <c r="B288" s="30" t="inlineStr">
        <is>
          <t>B0GQWWD67M</t>
        </is>
      </c>
      <c r="C288" s="30" t="inlineStr">
        <is>
          <t>Handheld</t>
        </is>
      </c>
      <c r="D288" s="324" t="n">
        <v>26.84384615384615</v>
      </c>
      <c r="E288" s="53" t="n">
        <v>4190.917692307694</v>
      </c>
      <c r="F288" s="53" t="n">
        <v>348.97</v>
      </c>
      <c r="G288" s="55" t="n">
        <v>22</v>
      </c>
      <c r="H288" s="57" t="n">
        <v>13</v>
      </c>
      <c r="I288" s="55" t="n"/>
      <c r="J288" s="56" t="n"/>
      <c r="K288" s="56" t="inlineStr">
        <is>
          <t>https://amazon.com/dp/B0GQWWD67M</t>
        </is>
      </c>
      <c r="L288" s="34">
        <f>HYPERLINK(Table65[[#This Row],[Column1]])</f>
        <v/>
      </c>
    </row>
    <row r="289">
      <c r="A289" s="30" t="inlineStr">
        <is>
          <t>HPT MPVI4 Diagnostic Scanner - 2 Credits</t>
        </is>
      </c>
      <c r="B289" s="30" t="inlineStr">
        <is>
          <t>B0GJJNLVTF</t>
        </is>
      </c>
      <c r="C289" s="30" t="inlineStr">
        <is>
          <t>Dongle</t>
        </is>
      </c>
      <c r="D289" s="324" t="n">
        <v>487.1308333333333</v>
      </c>
      <c r="E289" s="53" t="n">
        <v>67713.37846153845</v>
      </c>
      <c r="F289" s="53" t="n">
        <v>5845.57</v>
      </c>
      <c r="G289" s="55" t="n">
        <v>17</v>
      </c>
      <c r="H289" s="57" t="n">
        <v>12</v>
      </c>
      <c r="I289" s="55" t="n"/>
      <c r="J289" s="56" t="n"/>
      <c r="K289" s="56" t="inlineStr">
        <is>
          <t>https://amazon.com/dp/B0GJJNLVTF</t>
        </is>
      </c>
      <c r="L289" s="34">
        <f>HYPERLINK(Table65[[#This Row],[Column1]])</f>
        <v/>
      </c>
    </row>
    <row r="290">
      <c r="A290" s="30" t="inlineStr">
        <is>
          <t>for 1PC MPPS V18 EDC15 EDC16 EDC17 Multi-Language with Breakout Tricore Cable Tool</t>
        </is>
      </c>
      <c r="B290" s="30" t="inlineStr">
        <is>
          <t>B0F9Y5TRWS</t>
        </is>
      </c>
      <c r="C290" s="30" t="inlineStr">
        <is>
          <t>Cable/Adapter</t>
        </is>
      </c>
      <c r="D290" s="324" t="n">
        <v>38.80416666666667</v>
      </c>
      <c r="E290" s="53" t="n">
        <v>5623.619230769229</v>
      </c>
      <c r="F290" s="53" t="n">
        <v>465.65</v>
      </c>
      <c r="G290" s="55" t="n">
        <v>12</v>
      </c>
      <c r="H290" s="57" t="n">
        <v>12</v>
      </c>
      <c r="I290" s="55" t="n"/>
      <c r="J290" s="56" t="n"/>
      <c r="K290" s="56" t="inlineStr">
        <is>
          <t>https://amazon.com/dp/B0F9Y5TRWS</t>
        </is>
      </c>
      <c r="L290" s="34">
        <f>HYPERLINK(Table65[[#This Row],[Column1]])</f>
        <v/>
      </c>
    </row>
    <row r="291">
      <c r="A291" s="30" t="inlineStr">
        <is>
          <t>NEXIQ USB-Link 3 Wireless Vehicle Interface – Advanced Diagnostic Tool for Heavy-Duty and Light-Duty Vehicles</t>
        </is>
      </c>
      <c r="B291" s="30" t="inlineStr">
        <is>
          <t>B0BPYVCL6T</t>
        </is>
      </c>
      <c r="C291" s="30" t="inlineStr">
        <is>
          <t>VCI</t>
        </is>
      </c>
      <c r="D291" s="324" t="n">
        <v>784.5791666666668</v>
      </c>
      <c r="E291" s="53" t="n">
        <v>216511.84</v>
      </c>
      <c r="F291" s="53" t="n">
        <v>9414.950000000001</v>
      </c>
      <c r="G291" s="55" t="n">
        <v>272</v>
      </c>
      <c r="H291" s="57" t="n">
        <v>12</v>
      </c>
      <c r="I291" s="55" t="n">
        <v>8</v>
      </c>
      <c r="J291" s="56" t="n">
        <v>4.3</v>
      </c>
      <c r="K291" s="56" t="inlineStr">
        <is>
          <t>https://amazon.com/dp/B0BPYVCL6T</t>
        </is>
      </c>
      <c r="L291" s="34">
        <f>HYPERLINK(Table65[[#This Row],[Column1]])</f>
        <v/>
      </c>
    </row>
    <row r="292">
      <c r="A292" s="30" t="inlineStr">
        <is>
          <t>FOXWELL NT530 for Volvo - All Systems, All Maintenance Service - Bidirectional Diagnostic Scan Tool OBD2 Scanner Automotive Code Reader ABS Bleed SRS Airbag SAS TPMS TPS EPB Oil Reset CKP</t>
        </is>
      </c>
      <c r="B292" s="30" t="inlineStr">
        <is>
          <t>B0C2D7WYG9</t>
        </is>
      </c>
      <c r="C292" s="30" t="inlineStr">
        <is>
          <t>Handheld</t>
        </is>
      </c>
      <c r="D292" s="324" t="n">
        <v>169.1745454545455</v>
      </c>
      <c r="E292" s="53" t="n">
        <v>26684.34</v>
      </c>
      <c r="F292" s="53" t="n">
        <v>1860.92</v>
      </c>
      <c r="G292" s="55" t="n">
        <v>157</v>
      </c>
      <c r="H292" s="57" t="n">
        <v>11</v>
      </c>
      <c r="I292" s="55" t="n">
        <v>16</v>
      </c>
      <c r="J292" s="56" t="n">
        <v>4.2</v>
      </c>
      <c r="K292" s="56" t="inlineStr">
        <is>
          <t>https://amazon.com/dp/B0C2D7WYG9</t>
        </is>
      </c>
      <c r="L292" s="34">
        <f>HYPERLINK(Table65[[#This Row],[Column1]])</f>
        <v/>
      </c>
    </row>
    <row r="293">
      <c r="A293" s="30" t="inlineStr">
        <is>
          <t>OBD2 Scanner Car Code Reader with Voltage Test - Read &amp; Erase Check Engine Light Fault Codes, Live Data/Freeze Frame, Plug-and-Play CAN Diagnostic Tool for All Cars 1996 &amp; Newer</t>
        </is>
      </c>
      <c r="B293" s="30" t="inlineStr">
        <is>
          <t>B0FFSXN8WR</t>
        </is>
      </c>
      <c r="C293" s="30" t="inlineStr">
        <is>
          <t>Handheld</t>
        </is>
      </c>
      <c r="D293" s="324" t="n">
        <v>14.59909090909091</v>
      </c>
      <c r="E293" s="53" t="n">
        <v>2297.777692307693</v>
      </c>
      <c r="F293" s="53" t="n">
        <v>160.59</v>
      </c>
      <c r="G293" s="55" t="n">
        <v>105</v>
      </c>
      <c r="H293" s="57" t="n">
        <v>11</v>
      </c>
      <c r="I293" s="55" t="n">
        <v>29</v>
      </c>
      <c r="J293" s="56" t="n">
        <v>4.8</v>
      </c>
      <c r="K293" s="56" t="inlineStr">
        <is>
          <t>https://amazon.com/dp/B0FFSXN8WR</t>
        </is>
      </c>
      <c r="L293" s="34">
        <f>HYPERLINK(Table65[[#This Row],[Column1]])</f>
        <v/>
      </c>
    </row>
    <row r="294">
      <c r="A294" s="30" t="inlineStr">
        <is>
          <t>OBD2 Adapter Cable for Euro 5 Motorcycles, 6 Pin to 16 Pin Diagnostic Connector Compatible with Guzzi, Kawaskii, Suzuki, Yamaha, Piaggio, Vespa &amp; Honda, Works with OBD2 Code Readers</t>
        </is>
      </c>
      <c r="B294" s="30" t="inlineStr">
        <is>
          <t>B0FR44M4BP</t>
        </is>
      </c>
      <c r="C294" s="30" t="inlineStr">
        <is>
          <t>Cable/Adapter</t>
        </is>
      </c>
      <c r="D294" s="324" t="n">
        <v>12.979</v>
      </c>
      <c r="E294" s="53" t="n">
        <v>1567.463846153846</v>
      </c>
      <c r="F294" s="53" t="n">
        <v>129.79</v>
      </c>
      <c r="G294" s="55" t="n">
        <v>10</v>
      </c>
      <c r="H294" s="57" t="n">
        <v>10</v>
      </c>
      <c r="I294" s="55" t="n"/>
      <c r="J294" s="56" t="n"/>
      <c r="K294" s="56" t="inlineStr">
        <is>
          <t>https://amazon.com/dp/B0FR44M4BP</t>
        </is>
      </c>
      <c r="L294" s="34">
        <f>HYPERLINK(Table65[[#This Row],[Column1]])</f>
        <v/>
      </c>
    </row>
    <row r="295">
      <c r="A295" s="30" t="inlineStr">
        <is>
          <t>OBD II Port Lock – OBD2 Connector Security Lock to Prevent Unauthorized Access to Vehicle ECU, Carbon Fiber Construction, US Patented, Ships in 24 Hours</t>
        </is>
      </c>
      <c r="B295" s="30" t="inlineStr">
        <is>
          <t>B0BTW92ZPS</t>
        </is>
      </c>
      <c r="C295" s="30" t="inlineStr">
        <is>
          <t>Other</t>
        </is>
      </c>
      <c r="D295" s="324" t="n">
        <v>35.64888888888888</v>
      </c>
      <c r="E295" s="53" t="n">
        <v>8501.49</v>
      </c>
      <c r="F295" s="53" t="n">
        <v>320.84</v>
      </c>
      <c r="G295" s="55" t="n">
        <v>246</v>
      </c>
      <c r="H295" s="57" t="n">
        <v>9</v>
      </c>
      <c r="I295" s="55" t="n">
        <v>259</v>
      </c>
      <c r="J295" s="56" t="n">
        <v>4</v>
      </c>
      <c r="K295" s="56" t="inlineStr">
        <is>
          <t>https://amazon.com/dp/B0BTW92ZPS</t>
        </is>
      </c>
      <c r="L295" s="34">
        <f>HYPERLINK(Table65[[#This Row],[Column1]])</f>
        <v/>
      </c>
    </row>
    <row r="296">
      <c r="A296" s="30" t="inlineStr">
        <is>
          <t>MPVI4 Diagnostic Code Reader and Scan Tool with 0 Credits</t>
        </is>
      </c>
      <c r="B296" s="30" t="inlineStr">
        <is>
          <t>B0GPGL3BC4</t>
        </is>
      </c>
      <c r="C296" s="30" t="inlineStr">
        <is>
          <t>Dongle</t>
        </is>
      </c>
      <c r="D296" s="324" t="n">
        <v>397.8133333333333</v>
      </c>
      <c r="E296" s="53" t="n">
        <v>43239.24923076922</v>
      </c>
      <c r="F296" s="53" t="n">
        <v>3580.32</v>
      </c>
      <c r="G296" s="55" t="n">
        <v>9</v>
      </c>
      <c r="H296" s="57" t="n">
        <v>9</v>
      </c>
      <c r="I296" s="55" t="n"/>
      <c r="J296" s="56" t="n"/>
      <c r="K296" s="56" t="inlineStr">
        <is>
          <t>https://amazon.com/dp/B0GPGL3BC4</t>
        </is>
      </c>
      <c r="L296" s="34">
        <f>HYPERLINK(Table65[[#This Row],[Column1]])</f>
        <v/>
      </c>
    </row>
    <row r="297">
      <c r="A297" s="30" t="inlineStr">
        <is>
          <t>E-Car Connection 20-Pin to 16-Pin OBD2 OBD II Diagnostic Adapter Connector Cable for KIA</t>
        </is>
      </c>
      <c r="B297" s="30" t="inlineStr">
        <is>
          <t>B0DHZ9QFV2</t>
        </is>
      </c>
      <c r="C297" s="30" t="inlineStr">
        <is>
          <t>Cable/Adapter</t>
        </is>
      </c>
      <c r="D297" s="324" t="n">
        <v>12.68</v>
      </c>
      <c r="E297" s="53" t="n">
        <v>1225.083076923077</v>
      </c>
      <c r="F297" s="53" t="n">
        <v>101.44</v>
      </c>
      <c r="G297" s="55" t="n">
        <v>8</v>
      </c>
      <c r="H297" s="57" t="n">
        <v>8</v>
      </c>
      <c r="I297" s="55" t="n">
        <v>1</v>
      </c>
      <c r="J297" s="56" t="n">
        <v>5</v>
      </c>
      <c r="K297" s="56" t="inlineStr">
        <is>
          <t>https://amazon.com/dp/B0DHZ9QFV2</t>
        </is>
      </c>
      <c r="L297" s="34">
        <f>HYPERLINK(Table65[[#This Row],[Column1]])</f>
        <v/>
      </c>
    </row>
    <row r="298">
      <c r="A298" s="30" t="inlineStr">
        <is>
          <t>PT30+Cable Bundle-TT ELD -Bluestar ELD - ELD365 -ELD24/7 Geosavi Buy America (PT30+Cable Compatible with OBDII Heavy Duty Volvo Trucks)</t>
        </is>
      </c>
      <c r="B298" s="30" t="inlineStr">
        <is>
          <t>B0CHZ93Z9J</t>
        </is>
      </c>
      <c r="C298" s="30" t="inlineStr">
        <is>
          <t>Other</t>
        </is>
      </c>
      <c r="D298" s="324" t="n">
        <v>199.7575</v>
      </c>
      <c r="E298" s="53" t="n">
        <v>16336.63692307692</v>
      </c>
      <c r="F298" s="53" t="n">
        <v>1598.06</v>
      </c>
      <c r="G298" s="55" t="n">
        <v>64</v>
      </c>
      <c r="H298" s="57" t="n">
        <v>8</v>
      </c>
      <c r="I298" s="55" t="n">
        <v>8</v>
      </c>
      <c r="J298" s="56" t="n">
        <v>5</v>
      </c>
      <c r="K298" s="56" t="inlineStr">
        <is>
          <t>https://amazon.com/dp/B0CHZ93Z9J</t>
        </is>
      </c>
      <c r="L298" s="34">
        <f>HYPERLINK(Table65[[#This Row],[Column1]])</f>
        <v/>
      </c>
    </row>
    <row r="299">
      <c r="A299" s="30" t="inlineStr">
        <is>
          <t>FOXWELL NT530 for Mercedes Benz (16 Pin) - All Systems, All Maintenance Service - Bidirectional Diagnostic Scan Tool OBD2 Scanner Automotive Code Reader ABS Bleed SRS Airbag SAS TPMS TPS EPB Oil Reset</t>
        </is>
      </c>
      <c r="B299" s="30" t="inlineStr">
        <is>
          <t>B0C2DCY5PR</t>
        </is>
      </c>
      <c r="C299" s="30" t="inlineStr">
        <is>
          <t>Handheld</t>
        </is>
      </c>
      <c r="D299" s="324" t="n">
        <v>167.7542857142857</v>
      </c>
      <c r="E299" s="53" t="n">
        <v>33885.87</v>
      </c>
      <c r="F299" s="53" t="n">
        <v>1174.28</v>
      </c>
      <c r="G299" s="55" t="n">
        <v>202</v>
      </c>
      <c r="H299" s="57" t="n">
        <v>7</v>
      </c>
      <c r="I299" s="55" t="n">
        <v>15</v>
      </c>
      <c r="J299" s="56" t="n">
        <v>4.2</v>
      </c>
      <c r="K299" s="56" t="inlineStr">
        <is>
          <t>https://amazon.com/dp/B0C2DCY5PR</t>
        </is>
      </c>
      <c r="L299" s="34">
        <f>HYPERLINK(Table65[[#This Row],[Column1]])</f>
        <v/>
      </c>
    </row>
    <row r="300">
      <c r="A300" s="30" t="inlineStr">
        <is>
          <t>PT30+Cable Bundle-Holiday Sale-ELD Geosavi Buy America (PT30+ Panel Cables for Heavy-Duty Volvo - Black)</t>
        </is>
      </c>
      <c r="B300" s="30" t="inlineStr">
        <is>
          <t>B0CQF62P8R</t>
        </is>
      </c>
      <c r="C300" s="30" t="inlineStr">
        <is>
          <t>Other</t>
        </is>
      </c>
      <c r="D300" s="324" t="n">
        <v>181.4883333333333</v>
      </c>
      <c r="E300" s="53" t="n">
        <v>12414.74615384615</v>
      </c>
      <c r="F300" s="53" t="n">
        <v>1088.93</v>
      </c>
      <c r="G300" s="55" t="n">
        <v>60</v>
      </c>
      <c r="H300" s="57" t="n">
        <v>6</v>
      </c>
      <c r="I300" s="55" t="n">
        <v>2</v>
      </c>
      <c r="J300" s="56" t="n">
        <v>3.9</v>
      </c>
      <c r="K300" s="56" t="inlineStr">
        <is>
          <t>https://amazon.com/dp/B0CQF62P8R</t>
        </is>
      </c>
      <c r="L300" s="34">
        <f>HYPERLINK(Table65[[#This Row],[Column1]])</f>
        <v/>
      </c>
    </row>
    <row r="301">
      <c r="A301" s="30" t="inlineStr">
        <is>
          <t>PT30+Cable Bundle-Holiday Sale-ELD Geosavi Buy America (PT30+Green Cable - Molex to 9-pin Green)</t>
        </is>
      </c>
      <c r="B301" s="30" t="inlineStr">
        <is>
          <t>B0CQDKMY2J</t>
        </is>
      </c>
      <c r="C301" s="30" t="inlineStr">
        <is>
          <t>Other</t>
        </is>
      </c>
      <c r="D301" s="324" t="n">
        <v>172.454</v>
      </c>
      <c r="E301" s="53" t="n">
        <v>9906.636923076923</v>
      </c>
      <c r="F301" s="53" t="n">
        <v>862.27</v>
      </c>
      <c r="G301" s="55" t="n">
        <v>7</v>
      </c>
      <c r="H301" s="57" t="n">
        <v>5</v>
      </c>
      <c r="I301" s="55" t="n">
        <v>1</v>
      </c>
      <c r="J301" s="56" t="n">
        <v>5</v>
      </c>
      <c r="K301" s="56" t="inlineStr">
        <is>
          <t>https://amazon.com/dp/B0CQDKMY2J</t>
        </is>
      </c>
      <c r="L301" s="34">
        <f>HYPERLINK(Table65[[#This Row],[Column1]])</f>
        <v/>
      </c>
    </row>
    <row r="302">
      <c r="A302" s="30" t="inlineStr">
        <is>
          <t>YouEn Tech Hydra Edl V2 for Type-C Device</t>
        </is>
      </c>
      <c r="B302" s="30" t="inlineStr">
        <is>
          <t>B0B6N2D6JX</t>
        </is>
      </c>
      <c r="C302" s="30" t="inlineStr">
        <is>
          <t>Other</t>
        </is>
      </c>
      <c r="D302" s="324" t="n">
        <v>13.938</v>
      </c>
      <c r="E302" s="53" t="n">
        <v>392.9076923076923</v>
      </c>
      <c r="F302" s="53" t="n">
        <v>69.69</v>
      </c>
      <c r="G302" s="55" t="n">
        <v>13</v>
      </c>
      <c r="H302" s="57" t="n">
        <v>5</v>
      </c>
      <c r="I302" s="55" t="n">
        <v>2</v>
      </c>
      <c r="J302" s="56" t="n">
        <v>5</v>
      </c>
      <c r="K302" s="56" t="inlineStr">
        <is>
          <t>https://amazon.com/dp/B0B6N2D6JX</t>
        </is>
      </c>
      <c r="L302" s="34">
        <f>HYPERLINK(Table65[[#This Row],[Column1]])</f>
        <v/>
      </c>
    </row>
    <row r="303">
      <c r="A303" s="30" t="inlineStr">
        <is>
          <t>OBD2 Diagnostic Tool, Compliant with All OBDII Standards, Reads/Clears Codes, Freezes Views, wit/IM Ready, Suitable for Automotive and Truck Fault Diagnosis Instruments for All Vehicles Since 1996</t>
        </is>
      </c>
      <c r="B303" s="30" t="inlineStr">
        <is>
          <t>B0FDWQSF4K</t>
        </is>
      </c>
      <c r="C303" s="30" t="inlineStr">
        <is>
          <t>Handheld</t>
        </is>
      </c>
      <c r="D303" s="324" t="n">
        <v>28.206</v>
      </c>
      <c r="E303" s="53" t="n">
        <v>705.5146153846155</v>
      </c>
      <c r="F303" s="53" t="n">
        <v>141.03</v>
      </c>
      <c r="G303" s="55" t="n">
        <v>11</v>
      </c>
      <c r="H303" s="57" t="n">
        <v>5</v>
      </c>
      <c r="I303" s="55" t="n"/>
      <c r="J303" s="56" t="n"/>
      <c r="K303" s="56" t="inlineStr">
        <is>
          <t>https://amazon.com/dp/B0FDWQSF4K</t>
        </is>
      </c>
      <c r="L303" s="34">
        <f>HYPERLINK(Table65[[#This Row],[Column1]])</f>
        <v/>
      </c>
    </row>
    <row r="304">
      <c r="A304" s="30" t="inlineStr">
        <is>
          <t>for SM2 P/RO J2534 Update Version V1.21.22 with Dongle Program Read and Write 67 in 1 OBDII Tools Full Engineer (SM2 PRO US Standard with 2 dongles)</t>
        </is>
      </c>
      <c r="B304" s="30" t="inlineStr">
        <is>
          <t>B0FWQZ15FQ</t>
        </is>
      </c>
      <c r="C304" s="30" t="inlineStr">
        <is>
          <t>VCI</t>
        </is>
      </c>
      <c r="D304" s="324" t="n">
        <v>115.202</v>
      </c>
      <c r="E304" s="53" t="n">
        <v>6133.462307692308</v>
      </c>
      <c r="F304" s="53" t="n">
        <v>576.01</v>
      </c>
      <c r="G304" s="55" t="n">
        <v>17</v>
      </c>
      <c r="H304" s="57" t="n">
        <v>5</v>
      </c>
      <c r="I304" s="55" t="n"/>
      <c r="J304" s="56" t="n"/>
      <c r="K304" s="56" t="inlineStr">
        <is>
          <t>https://amazon.com/dp/B0FWQZ15FQ</t>
        </is>
      </c>
      <c r="L304" s="34">
        <f>HYPERLINK(Table65[[#This Row],[Column1]])</f>
        <v/>
      </c>
    </row>
    <row r="305">
      <c r="A305" s="30" t="inlineStr">
        <is>
          <t>FOXWELL NT680 OBD2 Scanner - All Systems Car Diagnostic Tool for All Makes All Models - Oil Reset, Electronic Parking Brake Reset OBD Scanner Diagnostic Tool</t>
        </is>
      </c>
      <c r="B305" s="30" t="inlineStr">
        <is>
          <t>B0C46TNYVM</t>
        </is>
      </c>
      <c r="C305" s="30" t="inlineStr">
        <is>
          <t>Handheld</t>
        </is>
      </c>
      <c r="D305" s="324" t="n">
        <v>185.784</v>
      </c>
      <c r="E305" s="53" t="n">
        <v>11097.02</v>
      </c>
      <c r="F305" s="53" t="n">
        <v>928.92</v>
      </c>
      <c r="G305" s="55" t="n">
        <v>56</v>
      </c>
      <c r="H305" s="57" t="n">
        <v>5</v>
      </c>
      <c r="I305" s="55" t="n">
        <v>8</v>
      </c>
      <c r="J305" s="56" t="n">
        <v>3.4</v>
      </c>
      <c r="K305" s="56" t="inlineStr">
        <is>
          <t>https://amazon.com/dp/B0C46TNYVM</t>
        </is>
      </c>
      <c r="L305" s="34">
        <f>HYPERLINK(Table65[[#This Row],[Column1]])</f>
        <v/>
      </c>
    </row>
    <row r="306">
      <c r="A306" s="30" t="inlineStr">
        <is>
          <t>88894000 for Vocom II Communications Unit Adapter - Diagnostic Tool with Software for Trucks, Excavators, Buses and Yachts (Tool with Software)</t>
        </is>
      </c>
      <c r="B306" s="30" t="inlineStr">
        <is>
          <t>B0FH4MV5CT</t>
        </is>
      </c>
      <c r="C306" s="30" t="inlineStr">
        <is>
          <t>VCI</t>
        </is>
      </c>
      <c r="D306" s="324" t="n">
        <v>421.65</v>
      </c>
      <c r="E306" s="53" t="n">
        <v>16638.10923076923</v>
      </c>
      <c r="F306" s="53" t="n">
        <v>1686.6</v>
      </c>
      <c r="G306" s="55" t="n">
        <v>15</v>
      </c>
      <c r="H306" s="57" t="n">
        <v>4</v>
      </c>
      <c r="I306" s="55" t="n"/>
      <c r="J306" s="56" t="n"/>
      <c r="K306" s="56" t="inlineStr">
        <is>
          <t>https://amazon.com/dp/B0FH4MV5CT</t>
        </is>
      </c>
      <c r="L306" s="34">
        <f>HYPERLINK(Table65[[#This Row],[Column1]])</f>
        <v/>
      </c>
    </row>
    <row r="307">
      <c r="A307" s="30" t="inlineStr">
        <is>
          <t>2024 G' M MDI2 Multi Diagnostic Interface Scanner EL-52100-AM for DLC Cable Plug 2 WF Interface Scanner Kit with OBD2 USB 2.0 Interface (No WiFi)</t>
        </is>
      </c>
      <c r="B307" s="30" t="inlineStr">
        <is>
          <t>B0FWQZVLZC</t>
        </is>
      </c>
      <c r="C307" s="30" t="inlineStr">
        <is>
          <t>VCI</t>
        </is>
      </c>
      <c r="D307" s="324" t="n">
        <v>326.2925</v>
      </c>
      <c r="E307" s="53" t="n">
        <v>11971.75615384616</v>
      </c>
      <c r="F307" s="53" t="n">
        <v>1305.17</v>
      </c>
      <c r="G307" s="55" t="n">
        <v>11</v>
      </c>
      <c r="H307" s="57" t="n">
        <v>4</v>
      </c>
      <c r="I307" s="55" t="n"/>
      <c r="J307" s="56" t="n"/>
      <c r="K307" s="56" t="inlineStr">
        <is>
          <t>https://amazon.com/dp/B0FWQZVLZC</t>
        </is>
      </c>
      <c r="L307" s="34">
        <f>HYPERLINK(Table65[[#This Row],[Column1]])</f>
        <v/>
      </c>
    </row>
    <row r="308">
      <c r="A308" s="30" t="inlineStr">
        <is>
          <t>Candi Interface Module Adapter Diagnostic Tool OBD for GM Tech 2 Tech2</t>
        </is>
      </c>
      <c r="B308" s="30" t="inlineStr">
        <is>
          <t>B0D6YV36GQ</t>
        </is>
      </c>
      <c r="C308" s="30" t="inlineStr">
        <is>
          <t>Cable/Adapter</t>
        </is>
      </c>
      <c r="D308" s="324" t="n">
        <v>70.54000000000001</v>
      </c>
      <c r="E308" s="53" t="n">
        <v>2112.37</v>
      </c>
      <c r="F308" s="53" t="n">
        <v>211.62</v>
      </c>
      <c r="G308" s="55" t="n">
        <v>24</v>
      </c>
      <c r="H308" s="57" t="n">
        <v>3</v>
      </c>
      <c r="I308" s="55" t="n">
        <v>3</v>
      </c>
      <c r="J308" s="56" t="n">
        <v>3.3</v>
      </c>
      <c r="K308" s="56" t="inlineStr">
        <is>
          <t>https://amazon.com/dp/B0D6YV36GQ</t>
        </is>
      </c>
      <c r="L308" s="34">
        <f>HYPERLINK(Table65[[#This Row],[Column1]])</f>
        <v/>
      </c>
    </row>
    <row r="309">
      <c r="A309" s="30" t="inlineStr">
        <is>
          <t>Cable for PT30 HOS ELD Logbook, Compliant ECM w/DOT-Electronic Logging Device ForMackVOLVO Square Black Heavy Duty OBDII Cable, Part # PTSSOV15</t>
        </is>
      </c>
      <c r="B309" s="30" t="inlineStr">
        <is>
          <t>B0CFNPH9QS</t>
        </is>
      </c>
      <c r="C309" s="30" t="inlineStr">
        <is>
          <t>Handheld</t>
        </is>
      </c>
      <c r="D309" s="324" t="n">
        <v>23.33333333333333</v>
      </c>
      <c r="E309" s="53" t="n">
        <v>370.2</v>
      </c>
      <c r="F309" s="53" t="n">
        <v>70</v>
      </c>
      <c r="G309" s="55" t="n">
        <v>15</v>
      </c>
      <c r="H309" s="57" t="n">
        <v>3</v>
      </c>
      <c r="I309" s="55" t="n">
        <v>2</v>
      </c>
      <c r="J309" s="56" t="n">
        <v>5</v>
      </c>
      <c r="K309" s="56" t="inlineStr">
        <is>
          <t>https://amazon.com/dp/B0CFNPH9QS</t>
        </is>
      </c>
      <c r="L309" s="34">
        <f>HYPERLINK(Table65[[#This Row],[Column1]])</f>
        <v/>
      </c>
    </row>
    <row r="310">
      <c r="A310" s="30" t="inlineStr">
        <is>
          <t>2 PCS Car Key ECU Test Coil, Car Induction Card,Automatic Ignition Coil Tester for Checking The Lock Ring, Automotive Key Lock Chip Antenna Tester</t>
        </is>
      </c>
      <c r="B310" s="30" t="inlineStr">
        <is>
          <t>B0F1TKP7YF</t>
        </is>
      </c>
      <c r="C310" s="30" t="inlineStr">
        <is>
          <t>Other</t>
        </is>
      </c>
      <c r="D310" s="324" t="n">
        <v>6.473333333333334</v>
      </c>
      <c r="E310" s="53" t="n">
        <v>599.8623076923077</v>
      </c>
      <c r="F310" s="53" t="n">
        <v>19.42</v>
      </c>
      <c r="G310" s="55" t="n">
        <v>92</v>
      </c>
      <c r="H310" s="57" t="n">
        <v>3</v>
      </c>
      <c r="I310" s="55" t="n">
        <v>1</v>
      </c>
      <c r="J310" s="56" t="n">
        <v>5</v>
      </c>
      <c r="K310" s="56" t="inlineStr">
        <is>
          <t>https://amazon.com/dp/B0F1TKP7YF</t>
        </is>
      </c>
      <c r="L310" s="34">
        <f>HYPERLINK(Table65[[#This Row],[Column1]])</f>
        <v/>
      </c>
    </row>
    <row r="311">
      <c r="A311" s="30" t="inlineStr">
        <is>
          <t>V519 OBD II Car Scanner, Diagnostic Error Finder, Fault Code Detection and Real-Time Data Stream, Compatible with All OBD II Protocol Vehicles from 1996+</t>
        </is>
      </c>
      <c r="B311" s="30" t="inlineStr">
        <is>
          <t>B0G4QQY3N8</t>
        </is>
      </c>
      <c r="C311" s="30" t="inlineStr">
        <is>
          <t>Handheld</t>
        </is>
      </c>
      <c r="D311" s="324" t="n">
        <v>42.97666666666667</v>
      </c>
      <c r="E311" s="53" t="n">
        <v>1402.030769230769</v>
      </c>
      <c r="F311" s="53" t="n">
        <v>128.93</v>
      </c>
      <c r="G311" s="55" t="n">
        <v>8</v>
      </c>
      <c r="H311" s="57" t="n">
        <v>3</v>
      </c>
      <c r="I311" s="55" t="n"/>
      <c r="J311" s="56" t="n"/>
      <c r="K311" s="56" t="inlineStr">
        <is>
          <t>https://amazon.com/dp/B0G4QQY3N8</t>
        </is>
      </c>
      <c r="L311" s="34">
        <f>HYPERLINK(Table65[[#This Row],[Column1]])</f>
        <v/>
      </c>
    </row>
    <row r="312">
      <c r="A312" s="30" t="inlineStr">
        <is>
          <t>AK90+ Key Programmer for EWS2/3/4 Code Reader V3.19 Version AK90 Maker Programming Tool</t>
        </is>
      </c>
      <c r="B312" s="30" t="inlineStr">
        <is>
          <t>B0FLLG3M7D</t>
        </is>
      </c>
      <c r="C312" s="30" t="inlineStr">
        <is>
          <t>Handheld</t>
        </is>
      </c>
      <c r="D312" s="324" t="n">
        <v>50.87666666666667</v>
      </c>
      <c r="E312" s="53" t="n">
        <v>1333.006153846154</v>
      </c>
      <c r="F312" s="53" t="n">
        <v>152.63</v>
      </c>
      <c r="G312" s="55" t="n">
        <v>11</v>
      </c>
      <c r="H312" s="57" t="n">
        <v>3</v>
      </c>
      <c r="I312" s="55" t="n">
        <v>1</v>
      </c>
      <c r="J312" s="56" t="n">
        <v>1</v>
      </c>
      <c r="K312" s="56" t="inlineStr">
        <is>
          <t>https://amazon.com/dp/B0FLLG3M7D</t>
        </is>
      </c>
      <c r="L312" s="34">
        <f>HYPERLINK(Table65[[#This Row],[Column1]])</f>
        <v/>
      </c>
    </row>
    <row r="313">
      <c r="A313" s="30" t="inlineStr">
        <is>
          <t>ET3 317-7485 for Caterpillar CAT Communication Adapter Diagnostic Tool Truck Excavator Engine with 2019C 6+9+14pin Cable (with Laptop)</t>
        </is>
      </c>
      <c r="B313" s="30" t="inlineStr">
        <is>
          <t>B0CLD5Y59K</t>
        </is>
      </c>
      <c r="C313" s="30" t="inlineStr">
        <is>
          <t>VCI</t>
        </is>
      </c>
      <c r="D313" s="324" t="n">
        <v>829.365</v>
      </c>
      <c r="E313" s="53" t="n">
        <v>4530.820000000001</v>
      </c>
      <c r="F313" s="53" t="n">
        <v>1658.73</v>
      </c>
      <c r="G313" s="55" t="n">
        <v>7</v>
      </c>
      <c r="H313" s="57" t="n">
        <v>2</v>
      </c>
      <c r="I313" s="55" t="n"/>
      <c r="J313" s="56" t="n"/>
      <c r="K313" s="56" t="inlineStr">
        <is>
          <t>https://amazon.com/dp/B0CLD5Y59K</t>
        </is>
      </c>
      <c r="L313" s="34">
        <f>HYPERLINK(Table65[[#This Row],[Column1]])</f>
        <v/>
      </c>
    </row>
    <row r="314">
      <c r="A314" s="30" t="inlineStr">
        <is>
          <t>FROYUIO MS309 CAN OBD2 Scanner: Car Diagnostic Tool with Check Engine Light Reset, CAN Code Reader, Multi-Language for All OBD2 Vehicles (SAE J1962, EOBD Compliant) (Red)</t>
        </is>
      </c>
      <c r="B314" s="30" t="inlineStr">
        <is>
          <t>B0DZRH98LB</t>
        </is>
      </c>
      <c r="C314" s="30" t="inlineStr">
        <is>
          <t>Handheld</t>
        </is>
      </c>
      <c r="D314" s="324" t="n">
        <v>15.58</v>
      </c>
      <c r="E314" s="53" t="n">
        <v>446.0615384615385</v>
      </c>
      <c r="F314" s="53" t="n">
        <v>31.16</v>
      </c>
      <c r="G314" s="55" t="n">
        <v>21</v>
      </c>
      <c r="H314" s="57" t="n">
        <v>2</v>
      </c>
      <c r="I314" s="55" t="n">
        <v>4</v>
      </c>
      <c r="J314" s="56" t="n">
        <v>4.6</v>
      </c>
      <c r="K314" s="56" t="inlineStr">
        <is>
          <t>https://amazon.com/dp/B0DZRH98LB</t>
        </is>
      </c>
      <c r="L314" s="34">
        <f>HYPERLINK(Table65[[#This Row],[Column1]])</f>
        <v/>
      </c>
    </row>
    <row r="315">
      <c r="A315" s="30" t="inlineStr">
        <is>
          <t>HUF TPMS DT41 TOOL &amp; 20 DUAL-BAND SENSORS BUNDLE ALL WIRES and PLUGS.</t>
        </is>
      </c>
      <c r="B315" s="30" t="inlineStr">
        <is>
          <t>B0B781MXYQ</t>
        </is>
      </c>
      <c r="C315" s="30" t="inlineStr">
        <is>
          <t>Other</t>
        </is>
      </c>
      <c r="D315" s="324" t="n">
        <v>457.975</v>
      </c>
      <c r="E315" s="53" t="n">
        <v>10591.65846153846</v>
      </c>
      <c r="F315" s="53" t="n">
        <v>915.95</v>
      </c>
      <c r="G315" s="55" t="n">
        <v>9</v>
      </c>
      <c r="H315" s="57" t="n">
        <v>2</v>
      </c>
      <c r="I315" s="55" t="n"/>
      <c r="J315" s="56" t="n"/>
      <c r="K315" s="56" t="inlineStr">
        <is>
          <t>https://amazon.com/dp/B0B781MXYQ</t>
        </is>
      </c>
      <c r="L315" s="34">
        <f>HYPERLINK(Table65[[#This Row],[Column1]])</f>
        <v/>
      </c>
    </row>
    <row r="316">
      <c r="A316" s="30" t="inlineStr">
        <is>
          <t>Universal Diagnostic Tool for 124032 Nexiq USB Link 2, Used for Diagnostic Scanning of Diesel Heavy-Duty Trucks and Excavators,Scanner with Bluetooth and USB Interface Adapter</t>
        </is>
      </c>
      <c r="B316" s="30" t="inlineStr">
        <is>
          <t>B0FS1NCT24</t>
        </is>
      </c>
      <c r="C316" s="30" t="inlineStr">
        <is>
          <t>VCI</t>
        </is>
      </c>
      <c r="D316" s="324" t="n">
        <v>199.31</v>
      </c>
      <c r="E316" s="53" t="n">
        <v>5073.016153846153</v>
      </c>
      <c r="F316" s="53" t="n">
        <v>398.62</v>
      </c>
      <c r="G316" s="55" t="n">
        <v>5</v>
      </c>
      <c r="H316" s="57" t="n">
        <v>2</v>
      </c>
      <c r="I316" s="55" t="n"/>
      <c r="J316" s="56" t="n"/>
      <c r="K316" s="56" t="inlineStr">
        <is>
          <t>https://amazon.com/dp/B0FS1NCT24</t>
        </is>
      </c>
      <c r="L316" s="34">
        <f>HYPERLINK(Table65[[#This Row],[Column1]])</f>
        <v/>
      </c>
    </row>
    <row r="317">
      <c r="A317" s="30" t="inlineStr">
        <is>
          <t>478-0235 538-5051 317-7485 ET4 Communication Adapter 3 2019C 2023A for Caterpillar cat Adapter 3 Heavy Duty Truck Diagnostic Tool (ET4)</t>
        </is>
      </c>
      <c r="B317" s="30" t="inlineStr">
        <is>
          <t>B0CJTTSGFQ</t>
        </is>
      </c>
      <c r="C317" s="30" t="inlineStr">
        <is>
          <t>VCI</t>
        </is>
      </c>
      <c r="D317" s="324" t="n">
        <v>370.35</v>
      </c>
      <c r="E317" s="53" t="n">
        <v>9203.470000000001</v>
      </c>
      <c r="F317" s="53" t="n">
        <v>740.7</v>
      </c>
      <c r="G317" s="55" t="n">
        <v>26</v>
      </c>
      <c r="H317" s="57" t="n">
        <v>2</v>
      </c>
      <c r="I317" s="55" t="n">
        <v>1</v>
      </c>
      <c r="J317" s="56" t="n">
        <v>5</v>
      </c>
      <c r="K317" s="56" t="inlineStr">
        <is>
          <t>https://amazon.com/dp/B0CJTTSGFQ</t>
        </is>
      </c>
      <c r="L317" s="34">
        <f>HYPERLINK(Table65[[#This Row],[Column1]])</f>
        <v/>
      </c>
    </row>
    <row r="318">
      <c r="A318" s="30" t="inlineStr">
        <is>
          <t>for Hitachi Diagnostic Scanner Dr ZX Excavator Truck with PDA EX&amp;ZX Construction Mining Equipment Diagnostic Tool</t>
        </is>
      </c>
      <c r="B318" s="30" t="inlineStr">
        <is>
          <t>B0CJ6JLTBY</t>
        </is>
      </c>
      <c r="C318" s="30" t="inlineStr">
        <is>
          <t>VCI</t>
        </is>
      </c>
      <c r="D318" s="324" t="n">
        <v>155.645</v>
      </c>
      <c r="E318" s="53" t="n">
        <v>3086.506923076922</v>
      </c>
      <c r="F318" s="53" t="n">
        <v>311.29</v>
      </c>
      <c r="G318" s="55" t="n">
        <v>4</v>
      </c>
      <c r="H318" s="57" t="n">
        <v>2</v>
      </c>
      <c r="I318" s="55" t="n"/>
      <c r="J318" s="56" t="n"/>
      <c r="K318" s="56" t="inlineStr">
        <is>
          <t>https://amazon.com/dp/B0CJ6JLTBY</t>
        </is>
      </c>
      <c r="L318" s="34">
        <f>HYPERLINK(Table65[[#This Row],[Column1]])</f>
        <v/>
      </c>
    </row>
    <row r="319">
      <c r="A319" s="30" t="inlineStr">
        <is>
          <t>26 Pin OBD Diagnostic Adapter for Tesla Model 3/Y, Enables Direct Connection to Standard 16-Pin OBDII Code Readers &amp; Scanner Tools</t>
        </is>
      </c>
      <c r="B319" s="30" t="inlineStr">
        <is>
          <t>B0FQVDZT73</t>
        </is>
      </c>
      <c r="C319" s="30" t="inlineStr">
        <is>
          <t>Cable/Adapter</t>
        </is>
      </c>
      <c r="D319" s="324" t="n">
        <v>18.525</v>
      </c>
      <c r="E319" s="53" t="n">
        <v>431.5699999999999</v>
      </c>
      <c r="F319" s="53" t="n">
        <v>37.05</v>
      </c>
      <c r="G319" s="55" t="n">
        <v>6</v>
      </c>
      <c r="H319" s="57" t="n">
        <v>2</v>
      </c>
      <c r="I319" s="55" t="n"/>
      <c r="J319" s="56" t="n"/>
      <c r="K319" s="56" t="inlineStr">
        <is>
          <t>https://amazon.com/dp/B0FQVDZT73</t>
        </is>
      </c>
      <c r="L319" s="34">
        <f>HYPERLINK(Table65[[#This Row],[Column1]])</f>
        <v/>
      </c>
    </row>
    <row r="320">
      <c r="A320" s="30" t="inlineStr">
        <is>
          <t>FOXWELL NT680 Pro OBD2 Scanner - Diagnostic Scan Tool, Full System Car Scanner - 19 Reset Service Code Reader - Automotive Professional Scanner with Oil Light, EPB/TPS Reset</t>
        </is>
      </c>
      <c r="B320" s="30" t="inlineStr">
        <is>
          <t>B0C46Z3Q91</t>
        </is>
      </c>
      <c r="C320" s="30" t="inlineStr">
        <is>
          <t>Handheld</t>
        </is>
      </c>
      <c r="D320" s="324" t="n">
        <v>220.015</v>
      </c>
      <c r="E320" s="53" t="n">
        <v>14803.86</v>
      </c>
      <c r="F320" s="53" t="n">
        <v>440.03</v>
      </c>
      <c r="G320" s="55" t="n">
        <v>53</v>
      </c>
      <c r="H320" s="57" t="n">
        <v>2</v>
      </c>
      <c r="I320" s="55" t="n">
        <v>8</v>
      </c>
      <c r="J320" s="56" t="n">
        <v>3.8</v>
      </c>
      <c r="K320" s="56" t="inlineStr">
        <is>
          <t>https://amazon.com/dp/B0C46Z3Q91</t>
        </is>
      </c>
      <c r="L320" s="34">
        <f>HYPERLINK(Table65[[#This Row],[Column1]])</f>
        <v/>
      </c>
    </row>
    <row r="321">
      <c r="A321" s="30" t="inlineStr">
        <is>
          <t>Car OBD2 Scanner Diagnostic Tool for Suzuki Kizashi 2010 2011 2012 2013 2014 2015 2016 2017, Live Data Modes 6/8 Check Engine Fault Code Reader OBDII V539 40000+ Library</t>
        </is>
      </c>
      <c r="B321" s="30" t="inlineStr">
        <is>
          <t>B0GTNDPJY8</t>
        </is>
      </c>
      <c r="C321" s="30" t="inlineStr">
        <is>
          <t>Handheld</t>
        </is>
      </c>
      <c r="D321" s="324" t="n">
        <v>51.99</v>
      </c>
      <c r="E321" s="53" t="n">
        <v>627.8792307692307</v>
      </c>
      <c r="F321" s="53" t="n">
        <v>51.99</v>
      </c>
      <c r="G321" s="55" t="n">
        <v>1</v>
      </c>
      <c r="H321" s="57" t="n">
        <v>1</v>
      </c>
      <c r="I321" s="55" t="n"/>
      <c r="J321" s="56" t="n"/>
      <c r="K321" s="56" t="inlineStr">
        <is>
          <t>https://amazon.com/dp/B0GTNDPJY8</t>
        </is>
      </c>
      <c r="L321" s="34">
        <f>HYPERLINK(Table65[[#This Row],[Column1]])</f>
        <v/>
      </c>
    </row>
    <row r="322">
      <c r="A322" s="30" t="inlineStr">
        <is>
          <t>for 3165033 Inline 6 Data Link Adapter Insite 8.7 Heavy Duty Diagnostic Tool Scanner Interface CAN Flasher Remapper</t>
        </is>
      </c>
      <c r="B322" s="30" t="inlineStr">
        <is>
          <t>B0CJ6DTJHS</t>
        </is>
      </c>
      <c r="C322" s="30" t="inlineStr">
        <is>
          <t>VCI</t>
        </is>
      </c>
      <c r="D322" s="324" t="n">
        <v>245.81</v>
      </c>
      <c r="E322" s="53" t="n">
        <v>1331.341538461538</v>
      </c>
      <c r="F322" s="53" t="n">
        <v>245.81</v>
      </c>
      <c r="G322" s="55" t="n">
        <v>5</v>
      </c>
      <c r="H322" s="57" t="n">
        <v>1</v>
      </c>
      <c r="I322" s="55" t="n"/>
      <c r="J322" s="56" t="n"/>
      <c r="K322" s="56" t="inlineStr">
        <is>
          <t>https://amazon.com/dp/B0CJ6DTJHS</t>
        </is>
      </c>
      <c r="L322" s="34">
        <f>HYPERLINK(Table65[[#This Row],[Column1]])</f>
        <v/>
      </c>
    </row>
    <row r="323">
      <c r="A323" s="30" t="inlineStr">
        <is>
          <t>NEXIQ USB Link 3 Wireless Bundle with J560 PLC Adapter</t>
        </is>
      </c>
      <c r="B323" s="30" t="inlineStr">
        <is>
          <t>B0D68GNPH5</t>
        </is>
      </c>
      <c r="C323" s="30" t="inlineStr">
        <is>
          <t>VCI</t>
        </is>
      </c>
      <c r="D323" s="324" t="n">
        <v>1133.89</v>
      </c>
      <c r="E323" s="53" t="n">
        <v>17243.06</v>
      </c>
      <c r="F323" s="53" t="n">
        <v>1133.89</v>
      </c>
      <c r="G323" s="55" t="n">
        <v>17</v>
      </c>
      <c r="H323" s="57" t="n">
        <v>1</v>
      </c>
      <c r="I323" s="55" t="n"/>
      <c r="J323" s="56" t="n"/>
      <c r="K323" s="56" t="inlineStr">
        <is>
          <t>https://amazon.com/dp/B0D68GNPH5</t>
        </is>
      </c>
      <c r="L323" s="34">
        <f>HYPERLINK(Table65[[#This Row],[Column1]])</f>
        <v/>
      </c>
    </row>
    <row r="324">
      <c r="A324" s="30" t="inlineStr">
        <is>
          <t>MS309 Universal OBD2 Scanner – Professional Car Engine Diagnostic Tool</t>
        </is>
      </c>
      <c r="B324" s="30" t="inlineStr">
        <is>
          <t>B0F5JGMR6V</t>
        </is>
      </c>
      <c r="C324" s="30" t="inlineStr">
        <is>
          <t>Handheld</t>
        </is>
      </c>
      <c r="D324" s="324" t="n">
        <v>13.98</v>
      </c>
      <c r="E324" s="53" t="n">
        <v>152.2746153846154</v>
      </c>
      <c r="F324" s="53" t="n">
        <v>13.98</v>
      </c>
      <c r="G324" s="55" t="n">
        <v>10</v>
      </c>
      <c r="H324" s="57" t="n">
        <v>1</v>
      </c>
      <c r="I324" s="55" t="n"/>
      <c r="J324" s="56" t="n"/>
      <c r="K324" s="56" t="inlineStr">
        <is>
          <t>https://amazon.com/dp/B0F5JGMR6V</t>
        </is>
      </c>
      <c r="L324" s="34">
        <f>HYPERLINK(Table65[[#This Row],[Column1]])</f>
        <v/>
      </c>
    </row>
    <row r="325">
      <c r="A325" s="30" t="inlineStr">
        <is>
          <t>Professional OBD2 Scanner AL319 Code Reader, Enhanced Check and Reset Engine Fault Code, Live Data, Freeze Frame, CAN Car Diagnostic Scan Tools for All OBDII Vehicles After 1996, 2023 Upgraded</t>
        </is>
      </c>
      <c r="B325" s="30" t="inlineStr">
        <is>
          <t>B0CPM1CKRW</t>
        </is>
      </c>
      <c r="C325" s="30" t="inlineStr">
        <is>
          <t>Handheld</t>
        </is>
      </c>
      <c r="D325" s="324" t="n">
        <v>15.46</v>
      </c>
      <c r="E325" s="53" t="n">
        <v>46.66</v>
      </c>
      <c r="F325" s="53" t="n">
        <v>15.46</v>
      </c>
      <c r="G325" s="55" t="n">
        <v>3</v>
      </c>
      <c r="H325" s="57" t="n">
        <v>1</v>
      </c>
      <c r="I325" s="55" t="n"/>
      <c r="J325" s="56" t="n"/>
      <c r="K325" s="56" t="inlineStr">
        <is>
          <t>https://amazon.com/dp/B0CPM1CKRW</t>
        </is>
      </c>
      <c r="L325" s="34">
        <f>HYPERLINK(Table65[[#This Row],[Column1]])</f>
        <v/>
      </c>
    </row>
    <row r="326">
      <c r="A326" s="30" t="inlineStr">
        <is>
          <t>for Cummins INLINE6 3165033 Data Link Adapter Insite 8.7 Heavy Duty Diagnostic Tool Scanner Interface CAN Flasher Remapper</t>
        </is>
      </c>
      <c r="B326" s="30" t="inlineStr">
        <is>
          <t>B0CJV71C7C</t>
        </is>
      </c>
      <c r="C326" s="30" t="inlineStr">
        <is>
          <t>VCI</t>
        </is>
      </c>
      <c r="D326" s="324" t="n">
        <v>188.83</v>
      </c>
      <c r="E326" s="53" t="n">
        <v>958.25</v>
      </c>
      <c r="F326" s="53" t="n">
        <v>188.83</v>
      </c>
      <c r="G326" s="55" t="n">
        <v>5</v>
      </c>
      <c r="H326" s="57" t="n">
        <v>1</v>
      </c>
      <c r="I326" s="55" t="n"/>
      <c r="J326" s="56" t="n"/>
      <c r="K326" s="56" t="inlineStr">
        <is>
          <t>https://amazon.com/dp/B0CJV71C7C</t>
        </is>
      </c>
      <c r="L326" s="34">
        <f>HYPERLINK(Table65[[#This Row],[Column1]])</f>
        <v/>
      </c>
    </row>
    <row r="327">
      <c r="A327" s="30" t="inlineStr">
        <is>
          <t>Openport 2.0 ECU Flash OBD2 Scanner OPENPORT2.0 OBDII Protocols ECU Chip Tunning Tactrix Open Port 2(Normal Quality)</t>
        </is>
      </c>
      <c r="B327" s="30" t="inlineStr">
        <is>
          <t>B0DXBX7X9N</t>
        </is>
      </c>
      <c r="C327" s="30" t="inlineStr">
        <is>
          <t>Other</t>
        </is>
      </c>
      <c r="D327" s="324" t="n">
        <v>79.01000000000001</v>
      </c>
      <c r="E327" s="53" t="n">
        <v>756.7646153846156</v>
      </c>
      <c r="F327" s="53" t="n">
        <v>79.01000000000001</v>
      </c>
      <c r="G327" s="55" t="n">
        <v>7</v>
      </c>
      <c r="H327" s="57" t="n">
        <v>1</v>
      </c>
      <c r="I327" s="55" t="n">
        <v>1</v>
      </c>
      <c r="J327" s="56" t="n">
        <v>5</v>
      </c>
      <c r="K327" s="56" t="inlineStr">
        <is>
          <t>https://amazon.com/dp/B0DXBX7X9N</t>
        </is>
      </c>
      <c r="L327" s="34">
        <f>HYPERLINK(Table65[[#This Row],[Column1]])</f>
        <v/>
      </c>
    </row>
    <row r="328">
      <c r="A328" s="30" t="inlineStr">
        <is>
          <t>Generic NEXIQ 9-Pin Deutsch Adapter - Locking - for USB-Link 2 and USB-Link 3</t>
        </is>
      </c>
      <c r="B328" s="30" t="inlineStr">
        <is>
          <t>B0CRVVLMJQ</t>
        </is>
      </c>
      <c r="C328" s="30" t="inlineStr">
        <is>
          <t>Cable/Adapter</t>
        </is>
      </c>
      <c r="D328" s="324" t="n">
        <v>187.94</v>
      </c>
      <c r="E328" s="53" t="n">
        <v>1294.463076923077</v>
      </c>
      <c r="F328" s="53" t="n">
        <v>187.94</v>
      </c>
      <c r="G328" s="55" t="n">
        <v>6</v>
      </c>
      <c r="H328" s="57" t="n">
        <v>1</v>
      </c>
      <c r="I328" s="55" t="n"/>
      <c r="J328" s="56" t="n"/>
      <c r="K328" s="56" t="inlineStr">
        <is>
          <t>https://amazon.com/dp/B0CRVVLMJQ</t>
        </is>
      </c>
      <c r="L328" s="34">
        <f>HYPERLINK(Table65[[#This Row],[Column1]])</f>
        <v/>
      </c>
    </row>
    <row r="329">
      <c r="A329" s="30" t="inlineStr">
        <is>
          <t>New! Fits ICON T7 Professional Wired Diagnostics Tablet Scanner Mechanic's Choice OBD2 Scanner Gives Full Access to All Systems, Including Bidirectional Controls, Resets, Relearns &amp; Special Functions</t>
        </is>
      </c>
      <c r="B329" s="30" t="inlineStr">
        <is>
          <t>B0DGCDH3TY</t>
        </is>
      </c>
      <c r="C329" s="30" t="inlineStr">
        <is>
          <t>Tablet</t>
        </is>
      </c>
      <c r="D329" s="324" t="n">
        <v>733.25</v>
      </c>
      <c r="E329" s="53" t="n">
        <v>3896.95</v>
      </c>
      <c r="F329" s="53" t="n">
        <v>733.25</v>
      </c>
      <c r="G329" s="55" t="n">
        <v>5</v>
      </c>
      <c r="H329" s="57" t="n">
        <v>1</v>
      </c>
      <c r="I329" s="55" t="n">
        <v>1</v>
      </c>
      <c r="J329" s="56" t="n">
        <v>5</v>
      </c>
      <c r="K329" s="56" t="inlineStr">
        <is>
          <t>https://amazon.com/dp/B0DGCDH3TY</t>
        </is>
      </c>
      <c r="L329" s="34">
        <f>HYPERLINK(Table65[[#This Row],[Column1]])</f>
        <v/>
      </c>
    </row>
    <row r="330">
      <c r="A330" s="30" t="inlineStr">
        <is>
          <t>88890300 Vocom I Engine Diagnostic Scanner Tool,for VOCOM Interface Excavators Or Heavy-Duty Truck Scanner (88890300 Tools)</t>
        </is>
      </c>
      <c r="B330" s="30" t="inlineStr">
        <is>
          <t>B0FJLDHFTJ</t>
        </is>
      </c>
      <c r="C330" s="30" t="inlineStr">
        <is>
          <t>VCI</t>
        </is>
      </c>
      <c r="D330" s="324" t="n">
        <v>570.49</v>
      </c>
      <c r="E330" s="53" t="n">
        <v>3203.520769230769</v>
      </c>
      <c r="F330" s="53" t="n">
        <v>570.49</v>
      </c>
      <c r="G330" s="55" t="n">
        <v>1</v>
      </c>
      <c r="H330" s="57" t="n">
        <v>1</v>
      </c>
      <c r="I330" s="55" t="n"/>
      <c r="J330" s="56" t="n"/>
      <c r="K330" s="56" t="inlineStr">
        <is>
          <t>https://amazon.com/dp/B0FJLDHFTJ</t>
        </is>
      </c>
      <c r="L330" s="34">
        <f>HYPERLINK(Table65[[#This Row],[Column1]])</f>
        <v/>
      </c>
    </row>
    <row r="331">
      <c r="A331" s="30" t="inlineStr">
        <is>
          <t>Scanner Diagnostic Tool Service System IDSS Hardware and Software Solution for Truck Diagnosis and Repair for Isuzu G-IDSS Products are unive (G-IDSS Tool)</t>
        </is>
      </c>
      <c r="B331" s="30" t="inlineStr">
        <is>
          <t>B0CLGVMJ3M</t>
        </is>
      </c>
      <c r="C331" s="30" t="inlineStr">
        <is>
          <t>VCI</t>
        </is>
      </c>
      <c r="D331" s="324" t="n">
        <v>1209.28</v>
      </c>
      <c r="E331" s="53" t="n">
        <v>14237.41</v>
      </c>
      <c r="F331" s="53" t="n">
        <v>1209.28</v>
      </c>
      <c r="G331" s="55" t="n">
        <v>10</v>
      </c>
      <c r="H331" s="57" t="n">
        <v>1</v>
      </c>
      <c r="I331" s="55" t="n"/>
      <c r="J331" s="56" t="n"/>
      <c r="K331" s="56" t="inlineStr">
        <is>
          <t>https://amazon.com/dp/B0CLGVMJ3M</t>
        </is>
      </c>
      <c r="L331" s="34">
        <f>HYPERLINK(Table65[[#This Row],[Column1]])</f>
        <v/>
      </c>
    </row>
    <row r="332">
      <c r="A332" s="30" t="inlineStr">
        <is>
          <t>FOXWELL i70 OE-Level All System Diagnostic Scanner - 24+ Service Reset and Clear - ABS Bleeding, EPB, SAS Calibration, Battery Replacement, TPMS, Oil Reset, Engine, Transmission, EPS and More</t>
        </is>
      </c>
      <c r="B332" s="30" t="inlineStr">
        <is>
          <t>B0C46S21YS</t>
        </is>
      </c>
      <c r="C332" s="30" t="inlineStr">
        <is>
          <t>Tablet</t>
        </is>
      </c>
      <c r="D332" s="324" t="n">
        <v>300.45</v>
      </c>
      <c r="E332" s="53" t="n">
        <v>1948.65</v>
      </c>
      <c r="F332" s="53" t="n">
        <v>300.45</v>
      </c>
      <c r="G332" s="55" t="n">
        <v>7</v>
      </c>
      <c r="H332" s="57" t="n">
        <v>1</v>
      </c>
      <c r="I332" s="55" t="n">
        <v>1</v>
      </c>
      <c r="J332" s="56" t="n">
        <v>2</v>
      </c>
      <c r="K332" s="56" t="inlineStr">
        <is>
          <t>https://amazon.com/dp/B0C46S21YS</t>
        </is>
      </c>
      <c r="L332" s="34">
        <f>HYPERLINK(Table65[[#This Row],[Column1]])</f>
        <v/>
      </c>
    </row>
    <row r="333">
      <c r="A333" s="30" t="inlineStr">
        <is>
          <t>Generic for Mpps V22 OBD Read Writer ECU Data Tuning OBD Read and Write Data Power Upgrade, 6924023140328</t>
        </is>
      </c>
      <c r="B333" s="30" t="inlineStr">
        <is>
          <t>B0D24Y71J3</t>
        </is>
      </c>
      <c r="C333" s="30" t="inlineStr">
        <is>
          <t>VCI</t>
        </is>
      </c>
      <c r="D333" s="324" t="n">
        <v>132.03</v>
      </c>
      <c r="E333" s="53" t="n">
        <v>1594.516153846154</v>
      </c>
      <c r="F333" s="53" t="n">
        <v>132.03</v>
      </c>
      <c r="G333" s="55" t="n">
        <v>1</v>
      </c>
      <c r="H333" s="57" t="n">
        <v>1</v>
      </c>
      <c r="I333" s="55" t="n"/>
      <c r="J333" s="56" t="n"/>
      <c r="K333" s="56" t="inlineStr">
        <is>
          <t>https://amazon.com/dp/B0D24Y71J3</t>
        </is>
      </c>
      <c r="L333" s="34">
        <f>HYPERLINK(Table65[[#This Row],[Column1]])</f>
        <v/>
      </c>
    </row>
    <row r="334">
      <c r="A334" s="30" t="inlineStr">
        <is>
          <t>for DOOSAN uVIM Diagnostic Scanner, Excavator Forklift Engine Fault Code Reader OBD Interface, SCR DPF G2 ECU DCU Diagnostic Tool 2025 Software (vcm3)</t>
        </is>
      </c>
      <c r="B334" s="30" t="inlineStr">
        <is>
          <t>B0FXWNCLGG</t>
        </is>
      </c>
      <c r="C334" s="30" t="inlineStr">
        <is>
          <t>VCI</t>
        </is>
      </c>
      <c r="D334" s="324" t="n">
        <v>829.98</v>
      </c>
      <c r="E334" s="53" t="n">
        <v>10023.60461538462</v>
      </c>
      <c r="F334" s="53" t="n">
        <v>829.98</v>
      </c>
      <c r="G334" s="55" t="n">
        <v>1</v>
      </c>
      <c r="H334" s="57" t="n">
        <v>1</v>
      </c>
      <c r="I334" s="55" t="n"/>
      <c r="J334" s="56" t="n"/>
      <c r="K334" s="56" t="inlineStr">
        <is>
          <t>https://amazon.com/dp/B0FXWNCLGG</t>
        </is>
      </c>
      <c r="L334" s="34">
        <f>HYPERLINK(TABLE334)</f>
        <v/>
      </c>
    </row>
    <row r="335">
      <c r="A335" s="30" t="inlineStr">
        <is>
          <t>MUT-Ⅲ Scanner Tool for Mitsubishi obd2 Excavators Heavy Machinery Diagnostic Tool (Only Tool no Software)</t>
        </is>
      </c>
      <c r="B335" s="30" t="inlineStr">
        <is>
          <t>B0CLLNLZR5</t>
        </is>
      </c>
      <c r="C335" s="30" t="inlineStr">
        <is>
          <t>VCI</t>
        </is>
      </c>
      <c r="D335" s="324" t="n">
        <v>412.47</v>
      </c>
      <c r="E335" s="53" t="n">
        <v>2223.88</v>
      </c>
      <c r="F335" s="53" t="n">
        <v>412.47</v>
      </c>
      <c r="G335" s="55" t="n">
        <v>4</v>
      </c>
      <c r="H335" s="57" t="n">
        <v>1</v>
      </c>
      <c r="I335" s="55" t="n"/>
      <c r="J335" s="56" t="n"/>
      <c r="K335" s="56" t="inlineStr">
        <is>
          <t>https://amazon.com/dp/B0CLLNLZR5</t>
        </is>
      </c>
      <c r="L335" s="34">
        <f>HYPERLINK(TABLE335)</f>
        <v/>
      </c>
    </row>
    <row r="336">
      <c r="A336" s="30" t="inlineStr">
        <is>
          <t>MUT-Ⅲ Scanner Tool for Mitsubishi obd2 Excavators Heavy Machinery Diagnostic Tool (with Engine Scope Software)</t>
        </is>
      </c>
      <c r="B336" s="30" t="inlineStr">
        <is>
          <t>B0CLLQGS3Y</t>
        </is>
      </c>
      <c r="C336" s="30" t="inlineStr">
        <is>
          <t>VCI</t>
        </is>
      </c>
      <c r="D336" s="324" t="n">
        <v>424.6</v>
      </c>
      <c r="E336" s="53" t="n">
        <v>1714.02</v>
      </c>
      <c r="F336" s="53" t="n">
        <v>424.6</v>
      </c>
      <c r="G336" s="55" t="n">
        <v>3</v>
      </c>
      <c r="H336" s="57" t="n">
        <v>1</v>
      </c>
      <c r="I336" s="55" t="n"/>
      <c r="J336" s="56" t="n"/>
      <c r="K336" s="56" t="inlineStr">
        <is>
          <t>https://amazon.com/dp/B0CLLQGS3Y</t>
        </is>
      </c>
      <c r="L336" s="34">
        <f>HYPERLINK(TABLE336)</f>
        <v/>
      </c>
    </row>
    <row r="337">
      <c r="A337" s="30" t="inlineStr">
        <is>
          <t>ET3 317-7485 Communication Adapter Diagnostic Tool is Suitable for CAT Trucks, excavators and Engines, Equipped with 2023A, 2021B, 2019C Type 6+9+14 pin Cables (ET3 with Software)</t>
        </is>
      </c>
      <c r="B337" s="30" t="inlineStr">
        <is>
          <t>B0FH9J4N6W</t>
        </is>
      </c>
      <c r="C337" s="30" t="inlineStr">
        <is>
          <t>VCI</t>
        </is>
      </c>
      <c r="D337" s="324" t="n">
        <v>214.19</v>
      </c>
      <c r="E337" s="53" t="n">
        <v>1617.459230769231</v>
      </c>
      <c r="F337" s="53" t="n">
        <v>214.19</v>
      </c>
      <c r="G337" s="55" t="n">
        <v>3</v>
      </c>
      <c r="H337" s="57" t="n">
        <v>1</v>
      </c>
      <c r="I337" s="55" t="n"/>
      <c r="J337" s="56" t="n"/>
      <c r="K337" s="56" t="inlineStr">
        <is>
          <t>https://amazon.com/dp/B0FH9J4N6W</t>
        </is>
      </c>
      <c r="L337" s="34">
        <f>HYPERLINK(TABLE337)</f>
        <v/>
      </c>
    </row>
    <row r="338">
      <c r="A338" s="30" t="inlineStr">
        <is>
          <t>ET3 317-7485 for Caterpillar Communication Adapter Diagnostic Tool Truck Excavator Engine with 2019C 6+9+14pin Cable (with Tablet)</t>
        </is>
      </c>
      <c r="B338" s="30" t="inlineStr">
        <is>
          <t>B0CJ6HY3BX</t>
        </is>
      </c>
      <c r="C338" s="30" t="inlineStr">
        <is>
          <t>VCI</t>
        </is>
      </c>
      <c r="D338" s="324" t="n">
        <v>730.26</v>
      </c>
      <c r="E338" s="53" t="n">
        <v>6569.129999999999</v>
      </c>
      <c r="F338" s="53" t="n">
        <v>730.26</v>
      </c>
      <c r="G338" s="55" t="n">
        <v>10</v>
      </c>
      <c r="H338" s="57" t="n">
        <v>1</v>
      </c>
      <c r="I338" s="55" t="n">
        <v>3</v>
      </c>
      <c r="J338" s="56" t="n">
        <v>3.7</v>
      </c>
      <c r="K338" s="56" t="inlineStr">
        <is>
          <t>https://amazon.com/dp/B0CJ6HY3BX</t>
        </is>
      </c>
      <c r="L338" s="34">
        <f>HYPERLINK(TABLE338)</f>
        <v/>
      </c>
    </row>
    <row r="339">
      <c r="A339" s="30" t="inlineStr">
        <is>
          <t>for 1PC Carprog V13.77 10.93/8.21 Auto Key Programmer No Keygen Car Prog V13.77</t>
        </is>
      </c>
      <c r="B339" s="30" t="inlineStr">
        <is>
          <t>B0F9Y691QZ</t>
        </is>
      </c>
      <c r="C339" s="30" t="inlineStr">
        <is>
          <t>Key</t>
        </is>
      </c>
      <c r="D339" s="324" t="n">
        <v>111.75</v>
      </c>
      <c r="E339" s="53" t="n">
        <v>1513.616923076923</v>
      </c>
      <c r="F339" s="53" t="n">
        <v>111.75</v>
      </c>
      <c r="G339" s="55" t="n">
        <v>7</v>
      </c>
      <c r="H339" s="57" t="n">
        <v>1</v>
      </c>
      <c r="I339" s="55" t="n"/>
      <c r="J339" s="56" t="n"/>
      <c r="K339" s="56" t="inlineStr">
        <is>
          <t>https://amazon.com/dp/B0F9Y691QZ</t>
        </is>
      </c>
      <c r="L339" s="34">
        <f>HYPERLINK(TABLE339)</f>
        <v/>
      </c>
    </row>
    <row r="340">
      <c r="A340" s="30" t="inlineStr">
        <is>
          <t>OBD2 Scanner Car Diagnostic Tool with 2.8" Color Display, Read &amp; Clear Check Engine Codes, Live Data, I/M Readiness, O2 Sensor Test, Battery Voltage Check for Most 12V OBDII Vehicles</t>
        </is>
      </c>
      <c r="B340" s="30" t="inlineStr">
        <is>
          <t>B0GCS6NMKW</t>
        </is>
      </c>
      <c r="C340" s="30" t="inlineStr">
        <is>
          <t>Handheld</t>
        </is>
      </c>
      <c r="D340" s="324" t="n">
        <v>29.93</v>
      </c>
      <c r="E340" s="53" t="n">
        <v>1043.734615384615</v>
      </c>
      <c r="F340" s="53" t="n">
        <v>29.93</v>
      </c>
      <c r="G340" s="55" t="n">
        <v>19</v>
      </c>
      <c r="H340" s="57" t="n">
        <v>1</v>
      </c>
      <c r="I340" s="55" t="n"/>
      <c r="J340" s="56" t="n"/>
      <c r="K340" s="56" t="inlineStr">
        <is>
          <t>https://amazon.com/dp/B0GCS6NMKW</t>
        </is>
      </c>
      <c r="L340" s="34">
        <f>HYPERLINK(TABLE340)</f>
        <v/>
      </c>
    </row>
    <row r="341">
      <c r="A341" s="30" t="inlineStr">
        <is>
          <t>478-0235 538-5051 317-7485 ET4 Communication Adapter 3 2019C 2023A for Caterpillar cat Adapter 3 Heavy Duty Truck Diagnostic Tool (with Laptop)</t>
        </is>
      </c>
      <c r="B341" s="30" t="inlineStr">
        <is>
          <t>B0CJTX3M2Q</t>
        </is>
      </c>
      <c r="C341" s="30" t="inlineStr">
        <is>
          <t>VCI</t>
        </is>
      </c>
      <c r="D341" s="324" t="n">
        <v>415.63</v>
      </c>
      <c r="E341" s="53" t="n">
        <v>4500.22</v>
      </c>
      <c r="F341" s="53" t="n">
        <v>415.63</v>
      </c>
      <c r="G341" s="55" t="n">
        <v>7</v>
      </c>
      <c r="H341" s="57" t="n">
        <v>1</v>
      </c>
      <c r="I341" s="55" t="n"/>
      <c r="J341" s="56" t="n"/>
      <c r="K341" s="56" t="inlineStr">
        <is>
          <t>https://amazon.com/dp/B0CJTX3M2Q</t>
        </is>
      </c>
      <c r="L341" s="34">
        <f>HYPERLINK(TABLE341)</f>
        <v/>
      </c>
    </row>
    <row r="342">
      <c r="A342" s="30" t="inlineStr">
        <is>
          <t>OBD Advanced OBD2 Bluetooth Scanner, Car Diagnostic Tool with Real-time Data, Engine Fault Code Reader for Android iOS Windows, Vehicle Battery Powered, Pack of 1</t>
        </is>
      </c>
      <c r="B342" s="30" t="inlineStr">
        <is>
          <t>B0GNJ7R1D9</t>
        </is>
      </c>
      <c r="C342" s="30" t="inlineStr">
        <is>
          <t>Handheld</t>
        </is>
      </c>
      <c r="D342" s="324" t="n">
        <v>27.23</v>
      </c>
      <c r="E342" s="53" t="n">
        <v>568.8592307692309</v>
      </c>
      <c r="F342" s="53" t="n">
        <v>27.23</v>
      </c>
      <c r="G342" s="55" t="n">
        <v>15</v>
      </c>
      <c r="H342" s="57" t="n">
        <v>1</v>
      </c>
      <c r="I342" s="55" t="n">
        <v>1</v>
      </c>
      <c r="J342" s="56" t="n">
        <v>5</v>
      </c>
      <c r="K342" s="56" t="inlineStr">
        <is>
          <t>https://amazon.com/dp/B0GNJ7R1D9</t>
        </is>
      </c>
      <c r="L342" s="34">
        <f>HYPERLINK(TABLE342)</f>
        <v/>
      </c>
    </row>
    <row r="343">
      <c r="A343" s="30" t="inlineStr">
        <is>
          <t>478-0235 538-5051 317-7485 ET4 Communication Adapter 3 2019C 2023A for Caterpillar cat Adapter 3 Heavy Duty Truck Diagnostic Tool (with Tablet)</t>
        </is>
      </c>
      <c r="B343" s="30" t="inlineStr">
        <is>
          <t>B0CJTXZL59</t>
        </is>
      </c>
      <c r="C343" s="30" t="inlineStr">
        <is>
          <t>VCI</t>
        </is>
      </c>
      <c r="D343" s="324" t="n">
        <v>850.2</v>
      </c>
      <c r="E343" s="53" t="n">
        <v>9921.41</v>
      </c>
      <c r="F343" s="53" t="n">
        <v>850.2</v>
      </c>
      <c r="G343" s="55" t="n">
        <v>13</v>
      </c>
      <c r="H343" s="57" t="n">
        <v>1</v>
      </c>
      <c r="I343" s="55" t="n"/>
      <c r="J343" s="56" t="n"/>
      <c r="K343" s="56" t="inlineStr">
        <is>
          <t>https://amazon.com/dp/B0CJTXZL59</t>
        </is>
      </c>
      <c r="L343" s="34">
        <f>HYPERLINK(TABLE343)</f>
        <v/>
      </c>
    </row>
    <row r="344">
      <c r="A344" s="30" t="inlineStr">
        <is>
          <t>Generic 9-Pin Deutsch Caterpillar T Adapter for NEXIQ USB Link 2 &amp; 3</t>
        </is>
      </c>
      <c r="B344" s="30" t="inlineStr">
        <is>
          <t>B0CRVY7YMP</t>
        </is>
      </c>
      <c r="C344" s="30" t="inlineStr">
        <is>
          <t>Cable/Adapter</t>
        </is>
      </c>
      <c r="D344" s="324" t="n">
        <v>234.14</v>
      </c>
      <c r="E344" s="53" t="n">
        <v>2809.809999999999</v>
      </c>
      <c r="F344" s="53" t="n">
        <v>234.14</v>
      </c>
      <c r="G344" s="55" t="n">
        <v>14</v>
      </c>
      <c r="H344" s="57" t="n">
        <v>1</v>
      </c>
      <c r="I344" s="55" t="n"/>
      <c r="J344" s="56" t="n"/>
      <c r="K344" s="56" t="inlineStr">
        <is>
          <t>https://amazon.com/dp/B0CRVY7YMP</t>
        </is>
      </c>
      <c r="L344" s="34">
        <f>HYPERLINK(TABLE344)</f>
        <v/>
      </c>
    </row>
    <row r="345">
      <c r="A345" s="30" t="inlineStr">
        <is>
          <t>FOXWELL NT530 for Honda - All Systems, All Maintenance Service - Bidirectional Diagnostic Scan Tool OBD2 Scanner Automotive Code Reader ABS Bleed SRS Airbag SAS TPMS TPS EPB Oil Reset CKP</t>
        </is>
      </c>
      <c r="B345" s="30" t="inlineStr">
        <is>
          <t>B0BYT6PBLB</t>
        </is>
      </c>
      <c r="C345" s="30" t="inlineStr">
        <is>
          <t>Handheld</t>
        </is>
      </c>
      <c r="D345" s="324" t="n">
        <v>173.43</v>
      </c>
      <c r="E345" s="53" t="n">
        <v>173.43</v>
      </c>
      <c r="F345" s="53" t="n">
        <v>173.43</v>
      </c>
      <c r="G345" s="55" t="n">
        <v>1</v>
      </c>
      <c r="H345" s="57" t="n">
        <v>1</v>
      </c>
      <c r="I345" s="55" t="n">
        <v>1</v>
      </c>
      <c r="J345" s="56" t="n">
        <v>2</v>
      </c>
      <c r="K345" s="56" t="inlineStr">
        <is>
          <t>https://amazon.com/dp/B0BYT6PBLB</t>
        </is>
      </c>
      <c r="L345" s="34">
        <f>HYPERLINK(TABLE345)</f>
        <v/>
      </c>
    </row>
    <row r="346">
      <c r="A346" s="30" t="inlineStr">
        <is>
          <t>OBD2 Breakout Box with 59 inch Extension Cable, OBDII Protocol Detector for Automotive Diagnostic Tool,Digital Voltage for DLC 16 Pin, CAN Tester Box for Car CAN Bus Module Testing on Bench</t>
        </is>
      </c>
      <c r="B346" s="30" t="inlineStr">
        <is>
          <t>B0CPLRQ4VP</t>
        </is>
      </c>
      <c r="C346" s="30" t="inlineStr">
        <is>
          <t>Handheld</t>
        </is>
      </c>
      <c r="D346" s="324" t="n">
        <v>64.97</v>
      </c>
      <c r="E346" s="53" t="n">
        <v>2938.86</v>
      </c>
      <c r="F346" s="53" t="n">
        <v>64.97</v>
      </c>
      <c r="G346" s="55" t="n">
        <v>45</v>
      </c>
      <c r="H346" s="57" t="n">
        <v>1</v>
      </c>
      <c r="I346" s="55" t="n">
        <v>6</v>
      </c>
      <c r="J346" s="56" t="n">
        <v>4.2</v>
      </c>
      <c r="K346" s="56" t="inlineStr">
        <is>
          <t>https://amazon.com/dp/B0CPLRQ4VP</t>
        </is>
      </c>
      <c r="L346" s="34">
        <f>HYPERLINK(TABLE346)</f>
        <v/>
      </c>
    </row>
    <row r="347">
      <c r="A347" s="30" t="inlineStr">
        <is>
          <t>OBD2 Scanner Code Reader – Diagnostic Tool for Cars and Trucks, Engine Code Reader &amp; Check Engine Light Scanner, Real-Time Data Display, Plug-and-Play OBDII Code Reader</t>
        </is>
      </c>
      <c r="B347" s="30" t="inlineStr">
        <is>
          <t>B0FZKLFBLK</t>
        </is>
      </c>
      <c r="C347" s="30" t="inlineStr">
        <is>
          <t>Handheld</t>
        </is>
      </c>
      <c r="D347" s="324" t="n">
        <v>72.22</v>
      </c>
      <c r="E347" s="53" t="n">
        <v>830.1169230769233</v>
      </c>
      <c r="F347" s="53" t="n">
        <v>72.22</v>
      </c>
      <c r="G347" s="55" t="n">
        <v>4</v>
      </c>
      <c r="H347" s="57" t="n">
        <v>1</v>
      </c>
      <c r="I347" s="55" t="n">
        <v>1</v>
      </c>
      <c r="J347" s="56" t="n">
        <v>5</v>
      </c>
      <c r="K347" s="56" t="inlineStr">
        <is>
          <t>https://amazon.com/dp/B0FZKLFBLK</t>
        </is>
      </c>
      <c r="L347" s="34">
        <f>HYPERLINK(TABLE347)</f>
        <v/>
      </c>
    </row>
    <row r="348">
      <c r="A348" s="30" t="inlineStr">
        <is>
          <t>WiFi/BT Elm327 Code Reader Support OBDII Protocol Vehicle iCar 3 Scan for Android/PC(icar3 WiFi red)</t>
        </is>
      </c>
      <c r="B348" s="30" t="inlineStr">
        <is>
          <t>B0DXBZ8335</t>
        </is>
      </c>
      <c r="C348" s="30" t="inlineStr">
        <is>
          <t>Dongle</t>
        </is>
      </c>
      <c r="D348" s="324" t="n">
        <v>49.85</v>
      </c>
      <c r="E348" s="53" t="n">
        <v>0</v>
      </c>
      <c r="F348" s="53" t="n">
        <v>0</v>
      </c>
      <c r="G348" s="55" t="n">
        <v>0</v>
      </c>
      <c r="H348" s="57" t="n">
        <v>0</v>
      </c>
      <c r="I348" s="55" t="n"/>
      <c r="J348" s="56" t="n"/>
      <c r="K348" s="56" t="inlineStr">
        <is>
          <t>https://amazon.com/dp/B0DXBZ8335</t>
        </is>
      </c>
      <c r="L348" s="34">
        <f>HYPERLINK(TABLE348)</f>
        <v/>
      </c>
    </row>
    <row r="349">
      <c r="A349" s="30" t="inlineStr">
        <is>
          <t>Diagnostic Tool uVIM Excavator Forklift Engine Fault Detection OBD Interface DDT CARNICS SCR+DPF+G2 DCU+G2 ECU+G2 Scanner with 2016 Software</t>
        </is>
      </c>
      <c r="B349" s="30" t="inlineStr">
        <is>
          <t>B0CJ6KDC97</t>
        </is>
      </c>
      <c r="C349" s="30" t="inlineStr">
        <is>
          <t>VCI</t>
        </is>
      </c>
      <c r="D349" s="324" t="n">
        <v>340</v>
      </c>
      <c r="E349" s="53" t="n">
        <v>0</v>
      </c>
      <c r="F349" s="53" t="n">
        <v>0</v>
      </c>
      <c r="G349" s="55" t="n">
        <v>0</v>
      </c>
      <c r="H349" s="57" t="n">
        <v>0</v>
      </c>
      <c r="I349" s="55" t="n"/>
      <c r="J349" s="56" t="n"/>
      <c r="K349" s="56" t="inlineStr">
        <is>
          <t>https://amazon.com/dp/B0CJ6KDC97</t>
        </is>
      </c>
      <c r="L349" s="34">
        <f>HYPERLINK(TABLE349)</f>
        <v/>
      </c>
    </row>
    <row r="350">
      <c r="A350" s="30" t="inlineStr">
        <is>
          <t>Dual Female Y Splitter Elbow 16Pin OBD 2 Extender ODB OBD2 Cable 16 Pin Male to Female Flat Noodle OBD2 Extension Cable(60CM Cable)</t>
        </is>
      </c>
      <c r="B350" s="30" t="inlineStr">
        <is>
          <t>B0DZ2MWL2Y</t>
        </is>
      </c>
      <c r="C350" s="30" t="inlineStr">
        <is>
          <t>Cable/Adapter</t>
        </is>
      </c>
      <c r="D350" s="324" t="n">
        <v>16.99</v>
      </c>
      <c r="E350" s="53" t="n">
        <v>0</v>
      </c>
      <c r="F350" s="53" t="n">
        <v>0</v>
      </c>
      <c r="G350" s="55" t="n">
        <v>0</v>
      </c>
      <c r="H350" s="57" t="n">
        <v>0</v>
      </c>
      <c r="I350" s="55" t="n"/>
      <c r="J350" s="56" t="n"/>
      <c r="K350" s="56" t="inlineStr">
        <is>
          <t>https://amazon.com/dp/B0DZ2MWL2Y</t>
        </is>
      </c>
      <c r="L350" s="34">
        <f>HYPERLINK(TABLE350)</f>
        <v/>
      </c>
    </row>
    <row r="351">
      <c r="A351" s="30" t="inlineStr">
        <is>
          <t>ET4 478-0235 for CAT 2025 ET Software and SIS Communication Adapter Diagnostic Tool (ET4 with 2025ET SIS Laptop (CF53))</t>
        </is>
      </c>
      <c r="B351" s="30" t="inlineStr">
        <is>
          <t>B0FWR1T8H4</t>
        </is>
      </c>
      <c r="C351" s="30" t="inlineStr">
        <is>
          <t>VCI</t>
        </is>
      </c>
      <c r="D351" s="324" t="n">
        <v>909</v>
      </c>
      <c r="E351" s="53" t="n">
        <v>1770.03</v>
      </c>
      <c r="F351" s="53" t="n">
        <v>0</v>
      </c>
      <c r="G351" s="55" t="n">
        <v>2</v>
      </c>
      <c r="H351" s="57" t="n">
        <v>0</v>
      </c>
      <c r="I351" s="55" t="n"/>
      <c r="J351" s="56" t="n"/>
      <c r="K351" s="56" t="inlineStr">
        <is>
          <t>https://amazon.com/dp/B0FWR1T8H4</t>
        </is>
      </c>
      <c r="L351" s="34">
        <f>HYPERLINK(TABLE351)</f>
        <v/>
      </c>
    </row>
    <row r="352">
      <c r="A352" s="30" t="inlineStr">
        <is>
          <t>AFM Disabler for GM Vehicles, OBD2 Active Fuel Management Delete Device for V6 V8 Engines, Compatible with Chevy Silverado Tahoe GMC Sierra Yukon Cadillac Escalade 4.3L 5.3L 6.0L 6.2L</t>
        </is>
      </c>
      <c r="B352" s="30" t="inlineStr">
        <is>
          <t>B0GM6LMXQ4</t>
        </is>
      </c>
      <c r="C352" s="30" t="n"/>
      <c r="D352" s="324" t="n">
        <v>68.98999999999999</v>
      </c>
      <c r="E352" s="53" t="n">
        <v>0</v>
      </c>
      <c r="F352" s="53" t="n">
        <v>0</v>
      </c>
      <c r="G352" s="55" t="n">
        <v>0</v>
      </c>
      <c r="H352" s="57" t="n">
        <v>0</v>
      </c>
      <c r="I352" s="55" t="n"/>
      <c r="J352" s="56" t="n"/>
      <c r="K352" s="56" t="inlineStr">
        <is>
          <t>https://amazon.com/dp/B0GM6LMXQ4</t>
        </is>
      </c>
      <c r="L352" s="34">
        <f>HYPERLINK(TABLE352)</f>
        <v/>
      </c>
    </row>
    <row r="353">
      <c r="A353" s="30" t="inlineStr">
        <is>
          <t>26pin to 16pin OBD2 Car Diagnostic Harness Electronic Cable Connector for Tesla Model 3 Model Y After Jan 2019</t>
        </is>
      </c>
      <c r="B353" s="30" t="inlineStr">
        <is>
          <t>B0FMYW834Q</t>
        </is>
      </c>
      <c r="C353" s="30" t="inlineStr">
        <is>
          <t>Cable/Adapter</t>
        </is>
      </c>
      <c r="D353" s="324" t="n">
        <v>15.88</v>
      </c>
      <c r="E353" s="53" t="n">
        <v>0</v>
      </c>
      <c r="F353" s="53" t="n">
        <v>0</v>
      </c>
      <c r="G353" s="55" t="n">
        <v>0</v>
      </c>
      <c r="H353" s="57" t="n">
        <v>0</v>
      </c>
      <c r="I353" s="55" t="n"/>
      <c r="J353" s="56" t="n"/>
      <c r="K353" s="56" t="inlineStr">
        <is>
          <t>https://amazon.com/dp/B0FMYW834Q</t>
        </is>
      </c>
      <c r="L353" s="34">
        <f>HYPERLINK(TABLE353)</f>
        <v/>
      </c>
    </row>
    <row r="354">
      <c r="A354" s="30" t="inlineStr">
        <is>
          <t>DLA+ 2.0 Adapter Kit with New 2025 V3 Software,Diagnostic Tool Scanner for J P- R 0 Diesel Heavy Duty Trucks Fleet Maintenance Tool (DLA 2.0 Tool with Software)</t>
        </is>
      </c>
      <c r="B354" s="30" t="inlineStr">
        <is>
          <t>B0FQCBZC6G</t>
        </is>
      </c>
      <c r="C354" s="30" t="inlineStr">
        <is>
          <t>VCI</t>
        </is>
      </c>
      <c r="D354" s="324" t="n">
        <v>365</v>
      </c>
      <c r="E354" s="53" t="n">
        <v>0</v>
      </c>
      <c r="F354" s="53" t="n">
        <v>0</v>
      </c>
      <c r="G354" s="55" t="n">
        <v>0</v>
      </c>
      <c r="H354" s="57" t="n">
        <v>0</v>
      </c>
      <c r="I354" s="55" t="n"/>
      <c r="J354" s="56" t="n"/>
      <c r="K354" s="56" t="inlineStr">
        <is>
          <t>https://amazon.com/dp/B0FQCBZC6G</t>
        </is>
      </c>
      <c r="L354" s="34">
        <f>HYPERLINK(TABLE354)</f>
        <v/>
      </c>
    </row>
    <row r="355">
      <c r="A355" s="30" t="inlineStr">
        <is>
          <t>Excavator Scanner Diagnostic Service System IDSS Hardware and Software Solution for Diagnosis and Repair for Isuzu E-IDSS Products are unive (E-IDSS with Laptop)</t>
        </is>
      </c>
      <c r="B355" s="30" t="inlineStr">
        <is>
          <t>B0CJC3419Q</t>
        </is>
      </c>
      <c r="C355" s="30" t="inlineStr">
        <is>
          <t>VCI</t>
        </is>
      </c>
      <c r="D355" s="324" t="n">
        <v>1703</v>
      </c>
      <c r="E355" s="53" t="n">
        <v>0</v>
      </c>
      <c r="F355" s="53" t="n">
        <v>0</v>
      </c>
      <c r="G355" s="55" t="n">
        <v>0</v>
      </c>
      <c r="H355" s="57" t="n">
        <v>0</v>
      </c>
      <c r="I355" s="55" t="n"/>
      <c r="J355" s="56" t="n"/>
      <c r="K355" s="56" t="inlineStr">
        <is>
          <t>https://amazon.com/dp/B0CJC3419Q</t>
        </is>
      </c>
      <c r="L355" s="34">
        <f>HYPERLINK(TABLE355)</f>
        <v/>
      </c>
    </row>
    <row r="356">
      <c r="A356" s="30" t="inlineStr">
        <is>
          <t>for Kawasaki Motorcycle OBD2 Adapter, 6 Pin to 16 Pin Diagnostic Cable Fit for Z900/Z1000/ZX10R/ZX14R/H2, Works with OBDII Code Readers</t>
        </is>
      </c>
      <c r="B356" s="30" t="inlineStr">
        <is>
          <t>B0FR4H4YXQ</t>
        </is>
      </c>
      <c r="C356" s="30" t="inlineStr">
        <is>
          <t>Cable/Adapter</t>
        </is>
      </c>
      <c r="D356" s="324" t="n">
        <v>14.99</v>
      </c>
      <c r="E356" s="53" t="n">
        <v>0</v>
      </c>
      <c r="F356" s="53" t="n">
        <v>0</v>
      </c>
      <c r="G356" s="55" t="n">
        <v>0</v>
      </c>
      <c r="H356" s="57" t="n">
        <v>0</v>
      </c>
      <c r="I356" s="55" t="n"/>
      <c r="J356" s="56" t="n"/>
      <c r="K356" s="56" t="inlineStr">
        <is>
          <t>https://amazon.com/dp/B0FR4H4YXQ</t>
        </is>
      </c>
      <c r="L356" s="34">
        <f>HYPERLINK(TABLE356)</f>
        <v/>
      </c>
    </row>
    <row r="357">
      <c r="A357" s="30" t="inlineStr">
        <is>
          <t>OBD2 Scanner MS309 Automotive Check Engine Code Reader, Check Emission Monitor Status, CAN Diagnostic Scan Tool for All OBDII Protocol Vehicles After 1996…</t>
        </is>
      </c>
      <c r="B357" s="30" t="inlineStr">
        <is>
          <t>B0CPLXCR35</t>
        </is>
      </c>
      <c r="C357" s="30" t="inlineStr">
        <is>
          <t>Handheld</t>
        </is>
      </c>
      <c r="D357" s="324" t="n">
        <v>14.99</v>
      </c>
      <c r="E357" s="53" t="n">
        <v>11.96</v>
      </c>
      <c r="F357" s="53" t="n">
        <v>0</v>
      </c>
      <c r="G357" s="55" t="n">
        <v>1</v>
      </c>
      <c r="H357" s="57" t="n">
        <v>0</v>
      </c>
      <c r="I357" s="55" t="n"/>
      <c r="J357" s="56" t="n"/>
      <c r="K357" s="56" t="inlineStr">
        <is>
          <t>https://amazon.com/dp/B0CPLXCR35</t>
        </is>
      </c>
      <c r="L357" s="34">
        <f>HYPERLINK(TABLE357)</f>
        <v/>
      </c>
    </row>
    <row r="358">
      <c r="A358" s="30" t="inlineStr">
        <is>
          <t>ET3 317-7485 Communication Adapter Diagnostic Tool is Suitable for CAT Trucks, excavators and Engines, Equipped with 2023A, 2021B, 2019C Type 6+9+14 pin Cables (ET3 with Laptop)</t>
        </is>
      </c>
      <c r="B358" s="30" t="inlineStr">
        <is>
          <t>B0FH9LWV7R</t>
        </is>
      </c>
      <c r="C358" s="30" t="inlineStr">
        <is>
          <t>VCI</t>
        </is>
      </c>
      <c r="D358" s="324" t="n">
        <v>797</v>
      </c>
      <c r="E358" s="53" t="n">
        <v>0</v>
      </c>
      <c r="F358" s="53" t="n">
        <v>0</v>
      </c>
      <c r="G358" s="55" t="n">
        <v>0</v>
      </c>
      <c r="H358" s="57" t="n">
        <v>0</v>
      </c>
      <c r="I358" s="55" t="n"/>
      <c r="J358" s="56" t="n"/>
      <c r="K358" s="56" t="inlineStr">
        <is>
          <t>https://amazon.com/dp/B0FH9LWV7R</t>
        </is>
      </c>
      <c r="L358" s="34">
        <f>HYPERLINK(TABLE358)</f>
        <v/>
      </c>
    </row>
    <row r="359">
      <c r="A359" s="30" t="inlineStr">
        <is>
          <t>Diagnostic uvim Scanner kit Heavy Duty Communication Interface Forklift Excavator Loader 2023 Software Diagnostic Tool with Laptop</t>
        </is>
      </c>
      <c r="B359" s="30" t="inlineStr">
        <is>
          <t>B0CLCL7JJV</t>
        </is>
      </c>
      <c r="C359" s="30" t="inlineStr">
        <is>
          <t>Tablet</t>
        </is>
      </c>
      <c r="D359" s="324" t="n">
        <v>1410</v>
      </c>
      <c r="E359" s="53" t="n">
        <v>0</v>
      </c>
      <c r="F359" s="53" t="n">
        <v>0</v>
      </c>
      <c r="G359" s="55" t="n">
        <v>0</v>
      </c>
      <c r="H359" s="57" t="n">
        <v>0</v>
      </c>
      <c r="I359" s="55" t="n"/>
      <c r="J359" s="56" t="n"/>
      <c r="K359" s="56" t="inlineStr">
        <is>
          <t>https://amazon.com/dp/B0CLCL7JJV</t>
        </is>
      </c>
      <c r="L359" s="34">
        <f>HYPERLINK(TABLE359)</f>
        <v/>
      </c>
    </row>
    <row r="360">
      <c r="A360" s="30" t="inlineStr">
        <is>
          <t>for Cummins Inline 7 Data Link Adapter Diesel Truck Diagnostic Tool with Insite Software (Inline 7 with Laptop(9.0 Software))</t>
        </is>
      </c>
      <c r="B360" s="30" t="inlineStr">
        <is>
          <t>B0FMNBZ7KF</t>
        </is>
      </c>
      <c r="C360" s="30" t="inlineStr">
        <is>
          <t>VCI</t>
        </is>
      </c>
      <c r="D360" s="324" t="n">
        <v>699</v>
      </c>
      <c r="E360" s="53" t="n">
        <v>0</v>
      </c>
      <c r="F360" s="53" t="n">
        <v>0</v>
      </c>
      <c r="G360" s="55" t="n">
        <v>0</v>
      </c>
      <c r="H360" s="57" t="n">
        <v>0</v>
      </c>
      <c r="I360" s="55" t="n"/>
      <c r="J360" s="56" t="n"/>
      <c r="K360" s="56" t="inlineStr">
        <is>
          <t>https://amazon.com/dp/B0FMNBZ7KF</t>
        </is>
      </c>
      <c r="L360" s="34">
        <f>HYPERLINK(TABLE360)</f>
        <v/>
      </c>
    </row>
    <row r="361">
      <c r="A361" s="30" t="inlineStr">
        <is>
          <t>Fits CEN-TECH OBD II Code Reader - Diagnose Your Car’s Engine Problems, Read &amp; Clear Trouble Codes &amp; Check Engine Light, Reads Control Modules &amp; O2 Sensor Data, Data Freeze Frame &amp; Multi-Lingual Menu</t>
        </is>
      </c>
      <c r="B361" s="30" t="inlineStr">
        <is>
          <t>B0DLSY8PM9</t>
        </is>
      </c>
      <c r="C361" s="30" t="inlineStr">
        <is>
          <t>Handheld</t>
        </is>
      </c>
      <c r="D361" s="324" t="n">
        <v>69</v>
      </c>
      <c r="E361" s="53" t="n">
        <v>0</v>
      </c>
      <c r="F361" s="53" t="n">
        <v>0</v>
      </c>
      <c r="G361" s="55" t="n">
        <v>0</v>
      </c>
      <c r="H361" s="57" t="n">
        <v>0</v>
      </c>
      <c r="I361" s="55" t="n"/>
      <c r="J361" s="56" t="n"/>
      <c r="K361" s="56" t="inlineStr">
        <is>
          <t>https://amazon.com/dp/B0DLSY8PM9</t>
        </is>
      </c>
      <c r="L361" s="34">
        <f>HYPERLINK(TABLE361)</f>
        <v/>
      </c>
    </row>
    <row r="362">
      <c r="A362" s="30" t="inlineStr">
        <is>
          <t>OBD2 Scanner Car Scan Diagnostic Tool Reset Clear Check Engine Code Reader</t>
        </is>
      </c>
      <c r="B362" s="30" t="inlineStr">
        <is>
          <t>B0FN42LFCM</t>
        </is>
      </c>
      <c r="C362" s="30" t="inlineStr">
        <is>
          <t>Dongle</t>
        </is>
      </c>
      <c r="D362" s="324" t="n">
        <v>14.99</v>
      </c>
      <c r="E362" s="53" t="n">
        <v>0</v>
      </c>
      <c r="F362" s="53" t="n">
        <v>0</v>
      </c>
      <c r="G362" s="55" t="n">
        <v>0</v>
      </c>
      <c r="H362" s="57" t="n">
        <v>0</v>
      </c>
      <c r="I362" s="55" t="n"/>
      <c r="J362" s="56" t="n"/>
      <c r="K362" s="56" t="inlineStr">
        <is>
          <t>https://amazon.com/dp/B0FN42LFCM</t>
        </is>
      </c>
      <c r="L362" s="34">
        <f>HYPERLINK(TABLE362)</f>
        <v/>
      </c>
    </row>
    <row r="363">
      <c r="A363" s="30" t="inlineStr">
        <is>
          <t>Diagnostic for DOOSAN uvim Scanner kit Heavy Duty Communication Interface Forklift Excavator Loader Diagnostic Tool (2023 Software)</t>
        </is>
      </c>
      <c r="B363" s="30" t="inlineStr">
        <is>
          <t>B0CJ6J43GS</t>
        </is>
      </c>
      <c r="C363" s="30" t="inlineStr">
        <is>
          <t>VCI</t>
        </is>
      </c>
      <c r="D363" s="324" t="n">
        <v>895</v>
      </c>
      <c r="E363" s="53" t="n">
        <v>1820.11</v>
      </c>
      <c r="F363" s="53" t="n">
        <v>0</v>
      </c>
      <c r="G363" s="55" t="n">
        <v>2</v>
      </c>
      <c r="H363" s="57" t="n">
        <v>0</v>
      </c>
      <c r="I363" s="55" t="n"/>
      <c r="J363" s="56" t="n"/>
      <c r="K363" s="56" t="inlineStr">
        <is>
          <t>https://amazon.com/dp/B0CJ6J43GS</t>
        </is>
      </c>
      <c r="L363" s="34">
        <f>HYPERLINK(TABLE363)</f>
        <v/>
      </c>
    </row>
    <row r="364">
      <c r="A364" s="30" t="inlineStr">
        <is>
          <t>EST Diagnostic Tester 2761040 27610402 Communication Adapter 3 for Perkins Diagnosis Tool Heavy Duty Excavator EST 2021B Scanner (Adapter)</t>
        </is>
      </c>
      <c r="B364" s="30" t="inlineStr">
        <is>
          <t>B0CJRL7Q4M</t>
        </is>
      </c>
      <c r="C364" s="30" t="inlineStr">
        <is>
          <t>VCI</t>
        </is>
      </c>
      <c r="D364" s="324" t="n">
        <v>328</v>
      </c>
      <c r="E364" s="53" t="n">
        <v>553.3299999999999</v>
      </c>
      <c r="F364" s="53" t="n">
        <v>0</v>
      </c>
      <c r="G364" s="55" t="n">
        <v>2</v>
      </c>
      <c r="H364" s="57" t="n">
        <v>0</v>
      </c>
      <c r="I364" s="55" t="n"/>
      <c r="J364" s="56" t="n"/>
      <c r="K364" s="56" t="inlineStr">
        <is>
          <t>https://amazon.com/dp/B0CJRL7Q4M</t>
        </is>
      </c>
      <c r="L364" s="34">
        <f>HYPERLINK(TABLE364)</f>
        <v/>
      </c>
    </row>
    <row r="365">
      <c r="A365" s="30" t="inlineStr">
        <is>
          <t>2024 G' M MDI2 Multi Diagnostic Interface Scanner EL-52100-AM for DLC Cable Plug 2 WF Interface Scanner Kit with OBD2 USB 2.0 Interface (with WiFi)</t>
        </is>
      </c>
      <c r="B365" s="30" t="inlineStr">
        <is>
          <t>B0FWR143KZ</t>
        </is>
      </c>
      <c r="C365" s="30" t="inlineStr">
        <is>
          <t>Handheld</t>
        </is>
      </c>
      <c r="D365" s="324" t="n">
        <v>399</v>
      </c>
      <c r="E365" s="53" t="n">
        <v>0</v>
      </c>
      <c r="F365" s="53" t="n">
        <v>0</v>
      </c>
      <c r="G365" s="55" t="n">
        <v>0</v>
      </c>
      <c r="H365" s="57" t="n">
        <v>0</v>
      </c>
      <c r="I365" s="55" t="n"/>
      <c r="J365" s="56" t="n"/>
      <c r="K365" s="56" t="inlineStr">
        <is>
          <t>https://amazon.com/dp/B0FWR143KZ</t>
        </is>
      </c>
      <c r="L365" s="34">
        <f>HYPERLINK(TABLE365)</f>
        <v/>
      </c>
    </row>
    <row r="366">
      <c r="A366" s="30" t="inlineStr">
        <is>
          <t>Diagnostic for DOOSAN uvim Scanner kit Heavy Duty Communication Interface Forklift Excavator Loader Diagnostic Tool (2016 Software)</t>
        </is>
      </c>
      <c r="B366" s="30" t="inlineStr">
        <is>
          <t>B0CJ6HL1CS</t>
        </is>
      </c>
      <c r="C366" s="30" t="inlineStr">
        <is>
          <t>VCI</t>
        </is>
      </c>
      <c r="D366" s="324" t="n">
        <v>895</v>
      </c>
      <c r="E366" s="53" t="n">
        <v>897.52</v>
      </c>
      <c r="F366" s="53" t="n">
        <v>0</v>
      </c>
      <c r="G366" s="55" t="n">
        <v>1</v>
      </c>
      <c r="H366" s="57" t="n">
        <v>0</v>
      </c>
      <c r="I366" s="55" t="n"/>
      <c r="J366" s="56" t="n"/>
      <c r="K366" s="56" t="inlineStr">
        <is>
          <t>https://amazon.com/dp/B0CJ6HL1CS</t>
        </is>
      </c>
      <c r="L366" s="34">
        <f>HYPERLINK(TABLE366)</f>
        <v/>
      </c>
    </row>
    <row r="367">
      <c r="A367" s="30" t="inlineStr">
        <is>
          <t>MPDR Software 3.9 for Heavy Duty Diagnostic Tool Tester The Latest Version for Hitachi EX ZX-1 ZX-3G ZX-3 ZX-5 ZX-6 ZX-7 of Excavator</t>
        </is>
      </c>
      <c r="B367" s="30" t="inlineStr">
        <is>
          <t>B0CJV4W22M</t>
        </is>
      </c>
      <c r="C367" s="30" t="inlineStr">
        <is>
          <t>Cable/Adapter</t>
        </is>
      </c>
      <c r="D367" s="324" t="n">
        <v>90</v>
      </c>
      <c r="E367" s="53" t="n">
        <v>0</v>
      </c>
      <c r="F367" s="53" t="n">
        <v>0</v>
      </c>
      <c r="G367" s="55" t="n">
        <v>0</v>
      </c>
      <c r="H367" s="57" t="n">
        <v>0</v>
      </c>
      <c r="I367" s="55" t="n"/>
      <c r="J367" s="56" t="n"/>
      <c r="K367" s="56" t="inlineStr">
        <is>
          <t>https://amazon.com/dp/B0CJV4W22M</t>
        </is>
      </c>
      <c r="L367" s="34">
        <f>HYPERLINK(TABLE367)</f>
        <v/>
      </c>
    </row>
    <row r="368">
      <c r="A368" s="30" t="inlineStr">
        <is>
          <t>for SCA-nia VCI3 Truck Bus Heavy Vehicle Diagnostic Tool,with SDP3 Software</t>
        </is>
      </c>
      <c r="B368" s="30" t="inlineStr">
        <is>
          <t>B0FKT64HD8</t>
        </is>
      </c>
      <c r="C368" s="30" t="inlineStr">
        <is>
          <t>VCI</t>
        </is>
      </c>
      <c r="D368" s="324" t="n">
        <v>137</v>
      </c>
      <c r="E368" s="53" t="n">
        <v>0</v>
      </c>
      <c r="F368" s="53" t="n">
        <v>0</v>
      </c>
      <c r="G368" s="55" t="n">
        <v>0</v>
      </c>
      <c r="H368" s="57" t="n">
        <v>0</v>
      </c>
      <c r="I368" s="55" t="n"/>
      <c r="J368" s="56" t="n"/>
      <c r="K368" s="56" t="inlineStr">
        <is>
          <t>https://amazon.com/dp/B0FKT64HD8</t>
        </is>
      </c>
      <c r="L368" s="34">
        <f>HYPERLINK(TABLE368)</f>
        <v/>
      </c>
    </row>
    <row r="369">
      <c r="A369" s="30" t="inlineStr">
        <is>
          <t>New MB Star C4 Plus DOIP Function Diagnostic Tool 2025 Xentry Software with DOIP Function for MB Software Car Truck Scanner (MB C4 with Laptop)</t>
        </is>
      </c>
      <c r="B369" s="30" t="inlineStr">
        <is>
          <t>B0FJLXMDG8</t>
        </is>
      </c>
      <c r="C369" s="30" t="inlineStr">
        <is>
          <t>VCI</t>
        </is>
      </c>
      <c r="D369" s="324" t="n">
        <v>928</v>
      </c>
      <c r="E369" s="53" t="n">
        <v>3699.65</v>
      </c>
      <c r="F369" s="53" t="n">
        <v>0</v>
      </c>
      <c r="G369" s="55" t="n">
        <v>4</v>
      </c>
      <c r="H369" s="57" t="n">
        <v>0</v>
      </c>
      <c r="I369" s="55" t="n"/>
      <c r="J369" s="56" t="n"/>
      <c r="K369" s="56" t="inlineStr">
        <is>
          <t>https://amazon.com/dp/B0FJLXMDG8</t>
        </is>
      </c>
      <c r="L369" s="34">
        <f>HYPERLINK(TABLE369)</f>
        <v/>
      </c>
    </row>
    <row r="370">
      <c r="A370" s="30" t="inlineStr">
        <is>
          <t>Diagnostic KIT USB-to-CAN for MTU Diasys 2.72 MEDC ADEC Full Kit Diesel Engine Truck Diagnosis Scanner Tool (MTU Tool with Software)</t>
        </is>
      </c>
      <c r="B370" s="30" t="inlineStr">
        <is>
          <t>B0CLHVWY16</t>
        </is>
      </c>
      <c r="C370" s="30" t="inlineStr">
        <is>
          <t>VCI</t>
        </is>
      </c>
      <c r="D370" s="324" t="n">
        <v>1407</v>
      </c>
      <c r="E370" s="53" t="n">
        <v>2641.36</v>
      </c>
      <c r="F370" s="53" t="n">
        <v>0</v>
      </c>
      <c r="G370" s="55" t="n">
        <v>2</v>
      </c>
      <c r="H370" s="57" t="n">
        <v>0</v>
      </c>
      <c r="I370" s="55" t="n"/>
      <c r="J370" s="56" t="n"/>
      <c r="K370" s="56" t="inlineStr">
        <is>
          <t>https://amazon.com/dp/B0CLHVWY16</t>
        </is>
      </c>
      <c r="L370" s="34">
        <f>HYPERLINK(TABLE370)</f>
        <v/>
      </c>
    </row>
    <row r="371">
      <c r="A371" s="30" t="inlineStr">
        <is>
          <t>Diagnostic KIT USB-to-CAN for MTU Diasys 2.72 MEDC ADEC Full Kit Diesel Engine Truck Diagnosis Scanner Tool (Only MTU Tool)</t>
        </is>
      </c>
      <c r="B371" s="30" t="inlineStr">
        <is>
          <t>B0CLHXCBNG</t>
        </is>
      </c>
      <c r="C371" s="30" t="inlineStr">
        <is>
          <t>VCI</t>
        </is>
      </c>
      <c r="D371" s="324" t="n">
        <v>1206</v>
      </c>
      <c r="E371" s="53" t="n">
        <v>6205.56</v>
      </c>
      <c r="F371" s="53" t="n">
        <v>0</v>
      </c>
      <c r="G371" s="55" t="n">
        <v>5</v>
      </c>
      <c r="H371" s="57" t="n">
        <v>0</v>
      </c>
      <c r="I371" s="55" t="n"/>
      <c r="J371" s="56" t="n"/>
      <c r="K371" s="56" t="inlineStr">
        <is>
          <t>https://amazon.com/dp/B0CLHXCBNG</t>
        </is>
      </c>
      <c r="L371" s="34">
        <f>HYPERLINK(TABLE371)</f>
        <v/>
      </c>
    </row>
    <row r="372">
      <c r="A372" s="30" t="inlineStr">
        <is>
          <t>Automatic MCU 51 Microcontroller Downloader Auto Programmer / 3.3V 5V Universal/Dual Voltage USB to TTL Download Cable</t>
        </is>
      </c>
      <c r="B372" s="30" t="inlineStr">
        <is>
          <t>B0CPCZ2WZD</t>
        </is>
      </c>
      <c r="C372" s="30" t="inlineStr">
        <is>
          <t>Handheld</t>
        </is>
      </c>
      <c r="D372" s="324" t="n">
        <v>8.289999999999999</v>
      </c>
      <c r="E372" s="53" t="n">
        <v>8.279999999999999</v>
      </c>
      <c r="F372" s="53" t="n">
        <v>0</v>
      </c>
      <c r="G372" s="55" t="n">
        <v>1</v>
      </c>
      <c r="H372" s="57" t="n">
        <v>0</v>
      </c>
      <c r="I372" s="55" t="n"/>
      <c r="J372" s="56" t="n"/>
      <c r="K372" s="56" t="inlineStr">
        <is>
          <t>https://amazon.com/dp/B0CPCZ2WZD</t>
        </is>
      </c>
      <c r="L372" s="34">
        <f>HYPERLINK(TABLE372)</f>
        <v/>
      </c>
    </row>
    <row r="373">
      <c r="A373" s="30" t="inlineStr">
        <is>
          <t>iCar2 ELM327 obd2 Bluetooth Scanner elm 327 V2.1 OBD 2 WiFi icar 2 auto Diagnostic Scanner for Android/PC Code Reader(V2.1)</t>
        </is>
      </c>
      <c r="B373" s="30" t="inlineStr">
        <is>
          <t>B0DXBX9BS3</t>
        </is>
      </c>
      <c r="C373" s="30" t="inlineStr">
        <is>
          <t>Dongle</t>
        </is>
      </c>
      <c r="D373" s="324" t="n">
        <v>18.8</v>
      </c>
      <c r="E373" s="53" t="n">
        <v>0</v>
      </c>
      <c r="F373" s="53" t="n">
        <v>0</v>
      </c>
      <c r="G373" s="55" t="n">
        <v>0</v>
      </c>
      <c r="H373" s="57" t="n">
        <v>0</v>
      </c>
      <c r="I373" s="55" t="n">
        <v>1</v>
      </c>
      <c r="J373" s="56" t="n">
        <v>5</v>
      </c>
      <c r="K373" s="56" t="inlineStr">
        <is>
          <t>https://amazon.com/dp/B0DXBX9BS3</t>
        </is>
      </c>
      <c r="L373" s="34">
        <f>HYPERLINK(TABLE373)</f>
        <v/>
      </c>
    </row>
    <row r="374">
      <c r="A374" s="30" t="inlineStr">
        <is>
          <t>THKY OBDII OBD2 Extension Cable, 16 Pin Male to Female Diagnostic Extender, 5ft 150cm 1.5m for Auto Car</t>
        </is>
      </c>
      <c r="B374" s="30" t="inlineStr">
        <is>
          <t>B0CDWT7YVX</t>
        </is>
      </c>
      <c r="C374" s="30" t="inlineStr">
        <is>
          <t>Cable/Adapter</t>
        </is>
      </c>
      <c r="D374" s="324" t="n">
        <v>9.99</v>
      </c>
      <c r="E374" s="53" t="n">
        <v>0</v>
      </c>
      <c r="F374" s="53" t="n">
        <v>0</v>
      </c>
      <c r="G374" s="55" t="n">
        <v>0</v>
      </c>
      <c r="H374" s="57" t="n">
        <v>0</v>
      </c>
      <c r="I374" s="55" t="n"/>
      <c r="J374" s="56" t="n"/>
      <c r="K374" s="56" t="inlineStr">
        <is>
          <t>https://amazon.com/dp/B0CDWT7YVX</t>
        </is>
      </c>
      <c r="L374" s="34">
        <f>HYPERLINK(TABLE374)</f>
        <v/>
      </c>
    </row>
    <row r="375">
      <c r="A375" s="30" t="inlineStr">
        <is>
          <t>EST Diagnostic Tester 27610402 Communication Adapter 3 for Perkins Diagnosis Tool Heavy Duty Excavator EST 2021B Scanner</t>
        </is>
      </c>
      <c r="B375" s="30" t="inlineStr">
        <is>
          <t>B0CJ6Q61VG</t>
        </is>
      </c>
      <c r="C375" s="30" t="inlineStr">
        <is>
          <t>VCI</t>
        </is>
      </c>
      <c r="D375" s="324" t="n">
        <v>328</v>
      </c>
      <c r="E375" s="53" t="n">
        <v>0</v>
      </c>
      <c r="F375" s="53" t="n">
        <v>0</v>
      </c>
      <c r="G375" s="55" t="n">
        <v>0</v>
      </c>
      <c r="H375" s="57" t="n">
        <v>0</v>
      </c>
      <c r="I375" s="55" t="n"/>
      <c r="J375" s="56" t="n"/>
      <c r="K375" s="56" t="inlineStr">
        <is>
          <t>https://amazon.com/dp/B0CJ6Q61VG</t>
        </is>
      </c>
      <c r="L375" s="34">
        <f>HYPERLINK(TABLE375)</f>
        <v/>
      </c>
    </row>
    <row r="376">
      <c r="A376" s="30" t="inlineStr">
        <is>
          <t>Generic Diagnostic Port Adapter Cable OBD-II CAN for Tesla Model S/X 2012 - September 2015</t>
        </is>
      </c>
      <c r="B376" s="30" t="inlineStr">
        <is>
          <t>B0C6YNS37B</t>
        </is>
      </c>
      <c r="C376" s="30" t="inlineStr">
        <is>
          <t>Cable/Adapter</t>
        </is>
      </c>
      <c r="D376" s="324" t="n">
        <v>34.95</v>
      </c>
      <c r="E376" s="53" t="n">
        <v>35.53</v>
      </c>
      <c r="F376" s="53" t="n">
        <v>0</v>
      </c>
      <c r="G376" s="55" t="n">
        <v>1</v>
      </c>
      <c r="H376" s="57" t="n">
        <v>0</v>
      </c>
      <c r="I376" s="55" t="n">
        <v>1</v>
      </c>
      <c r="J376" s="56" t="n">
        <v>4</v>
      </c>
      <c r="K376" s="56" t="inlineStr">
        <is>
          <t>https://amazon.com/dp/B0C6YNS37B</t>
        </is>
      </c>
      <c r="L376" s="34">
        <f>HYPERLINK(TABLE376)</f>
        <v/>
      </c>
    </row>
    <row r="377">
      <c r="A377" s="30" t="inlineStr">
        <is>
          <t>V2.1 OBD Mini ELM327 OBD2 Bluetooth Auto Scanner OBDII 2 Car ELM 327 Tester Diagnostic Tool for Android Windows Symbian（7）</t>
        </is>
      </c>
      <c r="B377" s="30" t="inlineStr">
        <is>
          <t>B0DZ2NS9XL</t>
        </is>
      </c>
      <c r="C377" s="30" t="inlineStr">
        <is>
          <t>Dongle</t>
        </is>
      </c>
      <c r="D377" s="324" t="n">
        <v>14.13</v>
      </c>
      <c r="E377" s="53" t="n">
        <v>44.64</v>
      </c>
      <c r="F377" s="53" t="n">
        <v>0</v>
      </c>
      <c r="G377" s="55" t="n">
        <v>3</v>
      </c>
      <c r="H377" s="57" t="n">
        <v>0</v>
      </c>
      <c r="I377" s="55" t="n"/>
      <c r="J377" s="56" t="n"/>
      <c r="K377" s="56" t="inlineStr">
        <is>
          <t>https://amazon.com/dp/B0DZ2NS9XL</t>
        </is>
      </c>
      <c r="L377" s="34">
        <f>HYPERLINK(TABLE377)</f>
        <v/>
      </c>
    </row>
    <row r="378">
      <c r="A378" s="30" t="inlineStr">
        <is>
          <t>Generic OBD2 Scanner Diagnostic Tool [V520], Reads And Clears Faults,Car Diagnostic Scan Tool OBDII Scanner Live Data with Vehicle I/M readiness-Works for All OBDII Compliant Cars</t>
        </is>
      </c>
      <c r="B378" s="30" t="inlineStr">
        <is>
          <t>B0CTK9GF5Z</t>
        </is>
      </c>
      <c r="C378" s="30" t="inlineStr">
        <is>
          <t>Handheld</t>
        </is>
      </c>
      <c r="D378" s="324" t="n">
        <v>42.88</v>
      </c>
      <c r="E378" s="53" t="n">
        <v>49.6</v>
      </c>
      <c r="F378" s="53" t="n">
        <v>0</v>
      </c>
      <c r="G378" s="55" t="n">
        <v>1</v>
      </c>
      <c r="H378" s="57" t="n">
        <v>0</v>
      </c>
      <c r="I378" s="55" t="n"/>
      <c r="J378" s="56" t="n"/>
      <c r="K378" s="56" t="inlineStr">
        <is>
          <t>https://amazon.com/dp/B0CTK9GF5Z</t>
        </is>
      </c>
      <c r="L378" s="34">
        <f>HYPERLINK(TABLE378)</f>
        <v/>
      </c>
    </row>
    <row r="379">
      <c r="A379" s="30" t="inlineStr">
        <is>
          <t>Generic OBD2 Scanner Professional OBD2 Scanner Diagnostic Tool Car Code Reader Check Engine Fault Code/Live Data/Voltage Enhanced Engine Fault Scanner Fit for Vehicle After 1996 Blue, 14.7x7.7x2.4cm</t>
        </is>
      </c>
      <c r="B379" s="30" t="inlineStr">
        <is>
          <t>B0CY9DX116</t>
        </is>
      </c>
      <c r="C379" s="30" t="inlineStr">
        <is>
          <t>Handheld</t>
        </is>
      </c>
      <c r="D379" s="324" t="n">
        <v>29.29</v>
      </c>
      <c r="E379" s="53" t="n">
        <v>36.47</v>
      </c>
      <c r="F379" s="53" t="n">
        <v>0</v>
      </c>
      <c r="G379" s="55" t="n">
        <v>2</v>
      </c>
      <c r="H379" s="57" t="n">
        <v>0</v>
      </c>
      <c r="I379" s="55" t="n"/>
      <c r="J379" s="56" t="n"/>
      <c r="K379" s="56" t="inlineStr">
        <is>
          <t>https://amazon.com/dp/B0CY9DX116</t>
        </is>
      </c>
      <c r="L379" s="34">
        <f>HYPERLINK(TABLE379)</f>
        <v/>
      </c>
    </row>
    <row r="380">
      <c r="A380" s="30" t="inlineStr">
        <is>
          <t>Openport 2.0 ECU Flash OBD2 Scanner OPENPORT2.0 OBDII Protocols ECU Chip Tunning Tactrix Open Port 2(a Full chip)</t>
        </is>
      </c>
      <c r="B380" s="30" t="inlineStr">
        <is>
          <t>B0DXBXF4R3</t>
        </is>
      </c>
      <c r="C380" s="30" t="inlineStr">
        <is>
          <t>Handheld</t>
        </is>
      </c>
      <c r="D380" s="324" t="n">
        <v>98.86</v>
      </c>
      <c r="E380" s="53" t="n">
        <v>98.86</v>
      </c>
      <c r="F380" s="53" t="n">
        <v>0</v>
      </c>
      <c r="G380" s="55" t="n">
        <v>1</v>
      </c>
      <c r="H380" s="57" t="n">
        <v>0</v>
      </c>
      <c r="I380" s="55" t="n"/>
      <c r="J380" s="56" t="n"/>
      <c r="K380" s="56" t="inlineStr">
        <is>
          <t>https://amazon.com/dp/B0DXBXF4R3</t>
        </is>
      </c>
      <c r="L380" s="34">
        <f>HYPERLINK(TABLE380)</f>
        <v/>
      </c>
    </row>
    <row r="381">
      <c r="A381" s="30" t="inlineStr">
        <is>
          <t>Professional OBD2 Scanner Compatible with Zurich ZR11S Advanced Automotive Diagnostic Scan Tools with ABS SRS Reset &amp; Live Data - Battery Test, Freeze Frame, Multi-Language Support -</t>
        </is>
      </c>
      <c r="B381" s="30" t="inlineStr">
        <is>
          <t>B0F8KS9PVL</t>
        </is>
      </c>
      <c r="C381" s="30" t="inlineStr">
        <is>
          <t>Handheld</t>
        </is>
      </c>
      <c r="D381" s="324" t="n">
        <v>199</v>
      </c>
      <c r="E381" s="53" t="n">
        <v>198.99</v>
      </c>
      <c r="F381" s="53" t="n">
        <v>0</v>
      </c>
      <c r="G381" s="55" t="n">
        <v>1</v>
      </c>
      <c r="H381" s="57" t="n">
        <v>0</v>
      </c>
      <c r="I381" s="55" t="n"/>
      <c r="J381" s="56" t="n"/>
      <c r="K381" s="56" t="inlineStr">
        <is>
          <t>https://amazon.com/dp/B0F8KS9PVL</t>
        </is>
      </c>
      <c r="L381" s="34">
        <f>HYPERLINK(TABLE381)</f>
        <v/>
      </c>
    </row>
    <row r="382">
      <c r="A382" s="30" t="inlineStr">
        <is>
          <t>Nexiq Pocket HD with Complete ABS and HD/LMT DPF Software</t>
        </is>
      </c>
      <c r="B382" s="30" t="inlineStr">
        <is>
          <t>B0CMRTNCNS</t>
        </is>
      </c>
      <c r="C382" s="30" t="inlineStr">
        <is>
          <t>Handheld</t>
        </is>
      </c>
      <c r="D382" s="324" t="n">
        <v>2199</v>
      </c>
      <c r="E382" s="53" t="n">
        <v>14077.29</v>
      </c>
      <c r="F382" s="53" t="n">
        <v>0</v>
      </c>
      <c r="G382" s="55" t="n">
        <v>6</v>
      </c>
      <c r="H382" s="57" t="n">
        <v>0</v>
      </c>
      <c r="I382" s="55" t="n"/>
      <c r="J382" s="56" t="n"/>
      <c r="K382" s="56" t="inlineStr">
        <is>
          <t>https://amazon.com/dp/B0CMRTNCNS</t>
        </is>
      </c>
      <c r="L382" s="34">
        <f>HYPERLINK(TABLE382)</f>
        <v/>
      </c>
    </row>
    <row r="383">
      <c r="A383" s="30" t="inlineStr">
        <is>
          <t>X300M Car A djustment Tool for C Luster C al ibration and OBDII for Exact Correct m ilea-ge Special Before Ordering Contact Us for List</t>
        </is>
      </c>
      <c r="B383" s="30" t="inlineStr">
        <is>
          <t>B0FTFHMBXW</t>
        </is>
      </c>
      <c r="C383" s="30" t="inlineStr">
        <is>
          <t>Handheld</t>
        </is>
      </c>
      <c r="D383" s="324" t="n">
        <v>379</v>
      </c>
      <c r="E383" s="53" t="n">
        <v>6738.38</v>
      </c>
      <c r="F383" s="53" t="n">
        <v>0</v>
      </c>
      <c r="G383" s="55" t="n">
        <v>19</v>
      </c>
      <c r="H383" s="57" t="n">
        <v>0</v>
      </c>
      <c r="I383" s="55" t="n">
        <v>1</v>
      </c>
      <c r="J383" s="56" t="n">
        <v>1</v>
      </c>
      <c r="K383" s="56" t="inlineStr">
        <is>
          <t>https://amazon.com/dp/B0FTFHMBXW</t>
        </is>
      </c>
      <c r="L383" s="34">
        <f>HYPERLINK(TABLE383)</f>
        <v/>
      </c>
    </row>
    <row r="384">
      <c r="A384" s="30" t="inlineStr">
        <is>
          <t>OBD2 Scanner Tool, Professional Car Diagnostic Code Reader, Digital with Live Data Stream, Battery Voltage Test, Yellow</t>
        </is>
      </c>
      <c r="B384" s="30" t="inlineStr">
        <is>
          <t>B0FPXBW4DF</t>
        </is>
      </c>
      <c r="C384" s="30" t="inlineStr">
        <is>
          <t>Handheld</t>
        </is>
      </c>
      <c r="D384" s="324" t="n">
        <v>10.635</v>
      </c>
      <c r="E384" s="53" t="n">
        <v>35.16</v>
      </c>
      <c r="F384" s="53" t="n">
        <v>0</v>
      </c>
      <c r="G384" s="55" t="n">
        <v>3</v>
      </c>
      <c r="H384" s="57" t="n">
        <v>0</v>
      </c>
      <c r="I384" s="55" t="n"/>
      <c r="J384" s="56" t="n"/>
      <c r="K384" s="56" t="inlineStr">
        <is>
          <t>https://amazon.com/dp/B0FPXBW4DF</t>
        </is>
      </c>
      <c r="L384" s="34">
        <f>HYPERLINK(TABLE384)</f>
        <v/>
      </c>
    </row>
    <row r="385">
      <c r="A385" s="30" t="inlineStr">
        <is>
          <t>Professional Car Code Reader, OBD2 Scanner for All 1996 and Newer Cars, Full OBDII Functions Automotive Engine Fault Diagnostic Scanner Tool with Color Screen</t>
        </is>
      </c>
      <c r="B385" s="30" t="inlineStr">
        <is>
          <t>B0F43R6N8J</t>
        </is>
      </c>
      <c r="C385" s="30" t="inlineStr">
        <is>
          <t>Handheld</t>
        </is>
      </c>
      <c r="D385" s="324" t="n">
        <v>18.72</v>
      </c>
      <c r="E385" s="53" t="n">
        <v>265.09</v>
      </c>
      <c r="F385" s="53" t="n">
        <v>0</v>
      </c>
      <c r="G385" s="55" t="n">
        <v>18</v>
      </c>
      <c r="H385" s="57" t="n">
        <v>0</v>
      </c>
      <c r="I385" s="55" t="n"/>
      <c r="J385" s="56" t="n"/>
      <c r="K385" s="56" t="inlineStr">
        <is>
          <t>https://amazon.com/dp/B0F43R6N8J</t>
        </is>
      </c>
      <c r="L385" s="34">
        <f>HYPERLINK(TABLE385)</f>
        <v/>
      </c>
    </row>
    <row r="386">
      <c r="A386" s="30" t="inlineStr">
        <is>
          <t>OBD2 Scanner Professional Car Diagnostic Code Reader, Digital with Live Data Stream, Battery Voltage Test, Red</t>
        </is>
      </c>
      <c r="B386" s="30" t="inlineStr">
        <is>
          <t>B0FP4V8SLT</t>
        </is>
      </c>
      <c r="C386" s="30" t="inlineStr">
        <is>
          <t>Handheld</t>
        </is>
      </c>
      <c r="D386" s="324" t="n">
        <v>9.06</v>
      </c>
      <c r="E386" s="53" t="n">
        <v>18.12</v>
      </c>
      <c r="F386" s="53" t="n">
        <v>0</v>
      </c>
      <c r="G386" s="55" t="n">
        <v>2</v>
      </c>
      <c r="H386" s="57" t="n">
        <v>0</v>
      </c>
      <c r="I386" s="55" t="n"/>
      <c r="J386" s="56" t="n"/>
      <c r="K386" s="56" t="inlineStr">
        <is>
          <t>https://amazon.com/dp/B0FP4V8SLT</t>
        </is>
      </c>
      <c r="L386" s="34">
        <f>HYPERLINK(TABLE386)</f>
        <v/>
      </c>
    </row>
    <row r="387">
      <c r="A387" s="30" t="inlineStr">
        <is>
          <t>Generic Nexiq 12-Pin Adapter for USB-Link 2 &amp; USB-Link 3</t>
        </is>
      </c>
      <c r="B387" s="30" t="inlineStr">
        <is>
          <t>B0CRVTG64N</t>
        </is>
      </c>
      <c r="C387" s="30" t="inlineStr">
        <is>
          <t>Cable/Adapter</t>
        </is>
      </c>
      <c r="D387" s="324" t="n">
        <v>98.48</v>
      </c>
      <c r="E387" s="53" t="n">
        <v>3300.48</v>
      </c>
      <c r="F387" s="53" t="n">
        <v>0</v>
      </c>
      <c r="G387" s="55" t="n">
        <v>35</v>
      </c>
      <c r="H387" s="57" t="n">
        <v>0</v>
      </c>
      <c r="I387" s="55" t="n"/>
      <c r="J387" s="56" t="n"/>
      <c r="K387" s="56" t="inlineStr">
        <is>
          <t>https://amazon.com/dp/B0CRVTG64N</t>
        </is>
      </c>
      <c r="L387" s="34">
        <f>HYPERLINK(TABLE387)</f>
        <v/>
      </c>
    </row>
    <row r="388">
      <c r="A388" s="30" t="inlineStr">
        <is>
          <t>OBD2 Adapter Scanner Reader for iOS iPhone and Android Phones OBD2 to Bluetooth OBD 2 ELM 327 Adapter Scanner Diagnostic Scan Tools OBDii ELM327 Interface Code Readers</t>
        </is>
      </c>
      <c r="B388" s="30" t="inlineStr">
        <is>
          <t>B0DY5P6SPD</t>
        </is>
      </c>
      <c r="C388" s="30" t="inlineStr">
        <is>
          <t>Dongle</t>
        </is>
      </c>
      <c r="D388" s="324" t="n">
        <v>10.05692307692308</v>
      </c>
      <c r="E388" s="53" t="n">
        <v>824.9400000000001</v>
      </c>
      <c r="F388" s="53" t="n">
        <v>0</v>
      </c>
      <c r="G388" s="55" t="n">
        <v>85</v>
      </c>
      <c r="H388" s="57" t="n">
        <v>0</v>
      </c>
      <c r="I388" s="55" t="n">
        <v>5</v>
      </c>
      <c r="J388" s="56" t="n">
        <v>3.5</v>
      </c>
      <c r="K388" s="56" t="inlineStr">
        <is>
          <t>https://amazon.com/dp/B0DY5P6SPD</t>
        </is>
      </c>
      <c r="L388" s="34">
        <f>HYPERLINK(TABLE388)</f>
        <v/>
      </c>
    </row>
    <row r="389">
      <c r="A389" s="30" t="inlineStr">
        <is>
          <t>OBD2 Scanner V519, Professional Car Diagnostic Code Reader, Digital with Live Data Stream, Battery Voltage Test, Red and Black</t>
        </is>
      </c>
      <c r="B389" s="30" t="inlineStr">
        <is>
          <t>B0FM3T7R37</t>
        </is>
      </c>
      <c r="C389" s="30" t="inlineStr">
        <is>
          <t>Handheld</t>
        </is>
      </c>
      <c r="D389" s="324" t="n">
        <v>10.10428571428571</v>
      </c>
      <c r="E389" s="53" t="n">
        <v>1166.2</v>
      </c>
      <c r="F389" s="53" t="n">
        <v>0</v>
      </c>
      <c r="G389" s="55" t="n">
        <v>92</v>
      </c>
      <c r="H389" s="57" t="n">
        <v>0</v>
      </c>
      <c r="I389" s="55" t="n">
        <v>3</v>
      </c>
      <c r="J389" s="56" t="n">
        <v>3.9</v>
      </c>
      <c r="K389" s="56" t="inlineStr">
        <is>
          <t>https://amazon.com/dp/B0FM3T7R37</t>
        </is>
      </c>
      <c r="L389" s="34">
        <f>HYPERLINK(TABLE389)</f>
        <v/>
      </c>
    </row>
    <row r="390">
      <c r="A390" s="30" t="inlineStr">
        <is>
          <t>Nexiq 12-Pin Adapter for Komatsu - USB Link 2 Compatible</t>
        </is>
      </c>
      <c r="B390" s="30" t="inlineStr">
        <is>
          <t>B09R8YV16D</t>
        </is>
      </c>
      <c r="C390" s="30" t="inlineStr">
        <is>
          <t>Handheld</t>
        </is>
      </c>
      <c r="D390" s="324" t="n">
        <v>195.9714285714286</v>
      </c>
      <c r="E390" s="53" t="n">
        <v>25884.27</v>
      </c>
      <c r="F390" s="53" t="n">
        <v>0</v>
      </c>
      <c r="G390" s="55" t="n">
        <v>138</v>
      </c>
      <c r="H390" s="57" t="n">
        <v>0</v>
      </c>
      <c r="I390" s="55" t="n">
        <v>7</v>
      </c>
      <c r="J390" s="56" t="n">
        <v>3.8</v>
      </c>
      <c r="K390" s="56" t="inlineStr">
        <is>
          <t>https://amazon.com/dp/B09R8YV16D</t>
        </is>
      </c>
      <c r="L390" s="34">
        <f>HYPERLINK(TABLE390)</f>
        <v/>
      </c>
    </row>
    <row r="391">
      <c r="A391" s="30" t="inlineStr">
        <is>
          <t>PT30 ELD Device + 16-Pin OBDII (Light Medium Duty) Electronic Logging Device with 16-Pin OBDII Cable</t>
        </is>
      </c>
      <c r="B391" s="30" t="inlineStr">
        <is>
          <t>B0DRSZL595</t>
        </is>
      </c>
      <c r="C391" s="30" t="inlineStr">
        <is>
          <t>Cable/Adapter</t>
        </is>
      </c>
      <c r="D391" s="324" t="n">
        <v>199.204705882353</v>
      </c>
      <c r="E391" s="53" t="n">
        <v>53088.51</v>
      </c>
      <c r="F391" s="53" t="n">
        <v>0</v>
      </c>
      <c r="G391" s="55" t="n">
        <v>296</v>
      </c>
      <c r="H391" s="57" t="n">
        <v>0</v>
      </c>
      <c r="I391" s="55" t="n">
        <v>7</v>
      </c>
      <c r="J391" s="56" t="n">
        <v>4.1</v>
      </c>
      <c r="K391" s="56" t="inlineStr">
        <is>
          <t>https://amazon.com/dp/B0DRSZL595</t>
        </is>
      </c>
      <c r="L391" s="34">
        <f>HYPERLINK(TABLE391)</f>
        <v/>
      </c>
    </row>
    <row r="392">
      <c r="A392" s="30" t="inlineStr">
        <is>
          <t>PT30 ELD Device with 14 Pin Cable RP1226 for Flex ELD, TT ELD, Green ELD, Hero ELD</t>
        </is>
      </c>
      <c r="B392" s="30" t="inlineStr">
        <is>
          <t>B0DZGY8QR9</t>
        </is>
      </c>
      <c r="C392" s="30" t="inlineStr">
        <is>
          <t>Cable/Adapter</t>
        </is>
      </c>
      <c r="D392" s="324" t="n">
        <v>200.9371428571428</v>
      </c>
      <c r="E392" s="53" t="n">
        <v>7600.32</v>
      </c>
      <c r="F392" s="53" t="n">
        <v>0</v>
      </c>
      <c r="G392" s="55" t="n">
        <v>41</v>
      </c>
      <c r="H392" s="57" t="n">
        <v>0</v>
      </c>
      <c r="I392" s="55" t="n"/>
      <c r="J392" s="56" t="n"/>
      <c r="K392" s="56" t="inlineStr">
        <is>
          <t>https://amazon.com/dp/B0DZGY8QR9</t>
        </is>
      </c>
      <c r="L392" s="34">
        <f>HYPERLINK(TABLE392)</f>
        <v/>
      </c>
    </row>
    <row r="393">
      <c r="A393" s="30" t="inlineStr">
        <is>
          <t>OBDII to HDMI Monitor/Tuner/Insight Interface Cable, OBDII to HDMI Monitor Cable Plug for Edge CS2 CTS2 CTS3, Replace#H00008000 - [73.2 inches/186 cm]</t>
        </is>
      </c>
      <c r="B393" s="30" t="inlineStr">
        <is>
          <t>B0FNWNYL5G</t>
        </is>
      </c>
      <c r="C393" s="30" t="inlineStr">
        <is>
          <t>Handheld</t>
        </is>
      </c>
      <c r="D393" s="324" t="n">
        <v>13.83</v>
      </c>
      <c r="E393" s="53" t="n">
        <v>70.44</v>
      </c>
      <c r="F393" s="53" t="n">
        <v>0</v>
      </c>
      <c r="G393" s="55" t="n">
        <v>5</v>
      </c>
      <c r="H393" s="57" t="n">
        <v>0</v>
      </c>
      <c r="I393" s="55" t="n">
        <v>1</v>
      </c>
      <c r="J393" s="56" t="n">
        <v>4</v>
      </c>
      <c r="K393" s="56" t="inlineStr">
        <is>
          <t>https://amazon.com/dp/B0FNWNYL5G</t>
        </is>
      </c>
      <c r="L393" s="34">
        <f>HYPERLINK(TABLE393)</f>
        <v/>
      </c>
    </row>
    <row r="394">
      <c r="A394" s="30" t="inlineStr">
        <is>
          <t>NEXIQ Locking 9-Pin CAT Engines Cable for USB- Link 2 &amp; 3</t>
        </is>
      </c>
      <c r="B394" s="30" t="inlineStr">
        <is>
          <t>B0CRVXXBDV</t>
        </is>
      </c>
      <c r="C394" s="30" t="inlineStr">
        <is>
          <t>Cable/Adapter</t>
        </is>
      </c>
      <c r="D394" s="324" t="n">
        <v>172.1975</v>
      </c>
      <c r="E394" s="53" t="n">
        <v>13861.22</v>
      </c>
      <c r="F394" s="53" t="n">
        <v>0</v>
      </c>
      <c r="G394" s="55" t="n">
        <v>80</v>
      </c>
      <c r="H394" s="57" t="n">
        <v>0</v>
      </c>
      <c r="I394" s="55" t="n">
        <v>2</v>
      </c>
      <c r="J394" s="56" t="n">
        <v>5</v>
      </c>
      <c r="K394" s="56" t="inlineStr">
        <is>
          <t>https://amazon.com/dp/B0CRVXXBDV</t>
        </is>
      </c>
      <c r="L394" s="34">
        <f>HYPERLINK(TABLE394)</f>
        <v/>
      </c>
    </row>
    <row r="395">
      <c r="A395" s="30" t="inlineStr">
        <is>
          <t>Generic NEXIQ J1962 Adapter - 16-Pin OBD 2-1 Meter, Black</t>
        </is>
      </c>
      <c r="B395" s="30" t="inlineStr">
        <is>
          <t>B0CRVWCFFD</t>
        </is>
      </c>
      <c r="C395" s="30" t="inlineStr">
        <is>
          <t>Cable/Adapter</t>
        </is>
      </c>
      <c r="D395" s="324" t="n">
        <v>169.442</v>
      </c>
      <c r="E395" s="53" t="n">
        <v>7261.040000000002</v>
      </c>
      <c r="F395" s="53" t="n">
        <v>0</v>
      </c>
      <c r="G395" s="55" t="n">
        <v>44</v>
      </c>
      <c r="H395" s="57" t="n">
        <v>0</v>
      </c>
      <c r="I395" s="55" t="n">
        <v>2</v>
      </c>
      <c r="J395" s="56" t="n">
        <v>3.6</v>
      </c>
      <c r="K395" s="56" t="inlineStr">
        <is>
          <t>https://amazon.com/dp/B0CRVWCFFD</t>
        </is>
      </c>
      <c r="L395" s="34">
        <f>HYPERLINK(TABLE395)</f>
        <v/>
      </c>
    </row>
    <row r="396">
      <c r="A396" s="30" t="inlineStr">
        <is>
          <t>OBD2 WiFi Scanner for iPhone iOS Android Windows Car Code Reader Enhanced Auto Diagnostic Scan Tool Odb2 OBDII Adapter Check Engine Light Live Data Reset Vehicle Performance Test</t>
        </is>
      </c>
      <c r="B396" s="30" t="inlineStr">
        <is>
          <t>B0FCNLM45F</t>
        </is>
      </c>
      <c r="C396" s="30" t="inlineStr">
        <is>
          <t>Dongle</t>
        </is>
      </c>
      <c r="D396" s="324" t="n">
        <v>9.472105263157896</v>
      </c>
      <c r="E396" s="53" t="n">
        <v>3707.3</v>
      </c>
      <c r="F396" s="53" t="n">
        <v>0</v>
      </c>
      <c r="G396" s="55" t="n">
        <v>373</v>
      </c>
      <c r="H396" s="57" t="n">
        <v>0</v>
      </c>
      <c r="I396" s="55" t="n">
        <v>17</v>
      </c>
      <c r="J396" s="56" t="n">
        <v>3.3</v>
      </c>
      <c r="K396" s="56" t="inlineStr">
        <is>
          <t>https://amazon.com/dp/B0FCNLM45F</t>
        </is>
      </c>
      <c r="L396" s="34">
        <f>HYPERLINK(TABLE396)</f>
        <v/>
      </c>
    </row>
    <row r="397">
      <c r="A397" s="30" t="inlineStr">
        <is>
          <t>Diagnostic Tool for DOOSAN uVIM Excavator Forklift Engine Fault Detection OBD Interface DDT CARNICS SCR+DPF+G2 ECU+G2 DCU+G2 2023 Software Scanner</t>
        </is>
      </c>
      <c r="B397" s="30" t="inlineStr">
        <is>
          <t>B0CJV676KM</t>
        </is>
      </c>
      <c r="C397" s="30" t="inlineStr">
        <is>
          <t>VCI</t>
        </is>
      </c>
      <c r="D397" s="324" t="n">
        <v>345</v>
      </c>
      <c r="E397" s="53" t="n">
        <v>0</v>
      </c>
      <c r="F397" s="53" t="n">
        <v>0</v>
      </c>
      <c r="G397" s="55" t="n">
        <v>0</v>
      </c>
      <c r="H397" s="57" t="n">
        <v>0</v>
      </c>
      <c r="I397" s="55" t="n"/>
      <c r="J397" s="56" t="n"/>
      <c r="K397" s="56" t="inlineStr">
        <is>
          <t>https://amazon.com/dp/B0CJV676KM</t>
        </is>
      </c>
      <c r="L397" s="34">
        <f>HYPERLINK(TABLE397)</f>
        <v/>
      </c>
    </row>
    <row r="398">
      <c r="A398" s="30" t="inlineStr">
        <is>
          <t>PT30+Cable for Log Book HOS, DriverLog - Ships Fast-Buy America-Bundle Deal - Panel Cables for Heavy-Duty Volvo - White</t>
        </is>
      </c>
      <c r="B398" s="30" t="inlineStr">
        <is>
          <t>B0CQ419JQ9</t>
        </is>
      </c>
      <c r="C398" s="30" t="inlineStr">
        <is>
          <t>Other</t>
        </is>
      </c>
      <c r="D398" s="324" t="n">
        <v>189.99</v>
      </c>
      <c r="E398" s="53" t="n">
        <v>0</v>
      </c>
      <c r="F398" s="53" t="n">
        <v>0</v>
      </c>
      <c r="G398" s="55" t="n">
        <v>0</v>
      </c>
      <c r="H398" s="57" t="n">
        <v>0</v>
      </c>
      <c r="I398" s="55" t="n"/>
      <c r="J398" s="56" t="n"/>
      <c r="K398" s="56" t="inlineStr">
        <is>
          <t>https://amazon.com/dp/B0CQ419JQ9</t>
        </is>
      </c>
      <c r="L398" s="34">
        <f>HYPERLINK(TABLE398)</f>
        <v/>
      </c>
    </row>
    <row r="399">
      <c r="A399" s="30" t="inlineStr">
        <is>
          <t>478-0235 538-5051 317-7485 ET4 Communication Adapter 2019C 2023A Heavy Duty Diagnostic Tool Tester for Caterpillar CAT Truck Excavator (with Tablet)</t>
        </is>
      </c>
      <c r="B399" s="30" t="inlineStr">
        <is>
          <t>B0CJX1XS84</t>
        </is>
      </c>
      <c r="C399" s="30" t="inlineStr">
        <is>
          <t>VCI</t>
        </is>
      </c>
      <c r="D399" s="324" t="n">
        <v>720</v>
      </c>
      <c r="E399" s="53" t="n">
        <v>0</v>
      </c>
      <c r="F399" s="53" t="n">
        <v>0</v>
      </c>
      <c r="G399" s="55" t="n">
        <v>0</v>
      </c>
      <c r="H399" s="57" t="n">
        <v>0</v>
      </c>
      <c r="I399" s="55" t="n">
        <v>2</v>
      </c>
      <c r="J399" s="56" t="n">
        <v>2.9</v>
      </c>
      <c r="K399" s="56" t="inlineStr">
        <is>
          <t>https://amazon.com/dp/B0CJX1XS84</t>
        </is>
      </c>
      <c r="L399" s="34">
        <f>HYPERLINK(TABLE399)</f>
        <v/>
      </c>
    </row>
    <row r="400">
      <c r="A400" s="30" t="inlineStr">
        <is>
          <t>478-0235 538-5051 317-7485 ET4 Communication Adapter 2019C 2021B Heavy Duty Diagnostic Tool Tester for Caterpillar CAT Truck Excavator (Adapter)</t>
        </is>
      </c>
      <c r="B400" s="30" t="inlineStr">
        <is>
          <t>B0CJTW6VJB</t>
        </is>
      </c>
      <c r="C400" s="30" t="inlineStr">
        <is>
          <t>VCI</t>
        </is>
      </c>
      <c r="D400" s="324" t="n">
        <v>285</v>
      </c>
      <c r="E400" s="53" t="n">
        <v>253.62</v>
      </c>
      <c r="F400" s="53" t="n">
        <v>0</v>
      </c>
      <c r="G400" s="55" t="n">
        <v>1</v>
      </c>
      <c r="H400" s="57" t="n">
        <v>0</v>
      </c>
      <c r="I400" s="55" t="n">
        <v>2</v>
      </c>
      <c r="J400" s="56" t="n">
        <v>2.9</v>
      </c>
      <c r="K400" s="56" t="inlineStr">
        <is>
          <t>https://amazon.com/dp/B0CJTW6VJB</t>
        </is>
      </c>
      <c r="L400" s="34">
        <f>HYPERLINK(TABLE400)</f>
        <v/>
      </c>
    </row>
    <row r="401">
      <c r="A401" s="30" t="inlineStr">
        <is>
          <t>Obd2 Code Scanner Professional Car Scanner Diagnostic Tool,Car Engine Fault Code Reader,Applicable to All Cars That Comply with OBD II Protocol</t>
        </is>
      </c>
      <c r="B401" s="30" t="inlineStr">
        <is>
          <t>B0DBTN7CQH</t>
        </is>
      </c>
      <c r="C401" s="30" t="inlineStr">
        <is>
          <t>Handheld</t>
        </is>
      </c>
      <c r="D401" s="324" t="n">
        <v>29.99</v>
      </c>
      <c r="E401" s="53" t="n">
        <v>0</v>
      </c>
      <c r="F401" s="53" t="n">
        <v>0</v>
      </c>
      <c r="G401" s="55" t="n">
        <v>0</v>
      </c>
      <c r="H401" s="57" t="n">
        <v>0</v>
      </c>
      <c r="I401" s="55" t="n"/>
      <c r="J401" s="56" t="n"/>
      <c r="K401" s="56" t="inlineStr">
        <is>
          <t>https://amazon.com/dp/B0DBTN7CQH</t>
        </is>
      </c>
      <c r="L401" s="34">
        <f>HYPERLINK(TABLE401)</f>
        <v/>
      </c>
    </row>
    <row r="402">
      <c r="A402" s="30" t="inlineStr">
        <is>
          <t>Pacific Track PT30 - Comes with 1 Black Square Light Duty OBDII Cable- Molex to OBD-II Cable (Light-/Medium-Duty) 1.5m, P/N: PTSSOL15</t>
        </is>
      </c>
      <c r="B402" s="30" t="inlineStr">
        <is>
          <t>B0C3826SWW</t>
        </is>
      </c>
      <c r="C402" s="30" t="inlineStr">
        <is>
          <t>Cable/Adapter</t>
        </is>
      </c>
      <c r="D402" s="324" t="n">
        <v>189.99</v>
      </c>
      <c r="E402" s="53" t="n">
        <v>207.38</v>
      </c>
      <c r="F402" s="53" t="n">
        <v>0</v>
      </c>
      <c r="G402" s="55" t="n">
        <v>1</v>
      </c>
      <c r="H402" s="57" t="n">
        <v>0</v>
      </c>
      <c r="I402" s="55" t="n"/>
      <c r="J402" s="56" t="n"/>
      <c r="K402" s="56" t="inlineStr">
        <is>
          <t>https://amazon.com/dp/B0C3826SWW</t>
        </is>
      </c>
      <c r="L402" s="34">
        <f>HYPERLINK(TABLE402)</f>
        <v/>
      </c>
    </row>
    <row r="403">
      <c r="A403" s="30" t="inlineStr">
        <is>
          <t>MPDR Software 3.33 Heavy Duty Diagnostic Tool Tester for Hitachi Software ZX-1 ZX-3 ZX-3G ZX-5 ZX-6 ZX-7 Version Software</t>
        </is>
      </c>
      <c r="B403" s="30" t="inlineStr">
        <is>
          <t>B0CJ6JGYD9</t>
        </is>
      </c>
      <c r="C403" s="30" t="inlineStr">
        <is>
          <t>VCI</t>
        </is>
      </c>
      <c r="D403" s="324" t="n">
        <v>189</v>
      </c>
      <c r="E403" s="53" t="n">
        <v>541.29</v>
      </c>
      <c r="F403" s="53" t="n">
        <v>0</v>
      </c>
      <c r="G403" s="55" t="n">
        <v>3</v>
      </c>
      <c r="H403" s="57" t="n">
        <v>0</v>
      </c>
      <c r="I403" s="55" t="n"/>
      <c r="J403" s="56" t="n"/>
      <c r="K403" s="56" t="inlineStr">
        <is>
          <t>https://amazon.com/dp/B0CJ6JGYD9</t>
        </is>
      </c>
      <c r="L403" s="34">
        <f>HYPERLINK(TABLE403)</f>
        <v/>
      </c>
    </row>
    <row r="404">
      <c r="A404" s="30" t="inlineStr">
        <is>
          <t>MPDR Software 3.9 for Heavy Duty Diagnostic Tool Tester The Latest Version for Hitachi EX ZX-1 ZX-3 ZX-3G ZX-5 ZX-6 ZX-7 of Excavator</t>
        </is>
      </c>
      <c r="B404" s="30" t="inlineStr">
        <is>
          <t>B0CJ6F62P9</t>
        </is>
      </c>
      <c r="C404" s="30" t="inlineStr">
        <is>
          <t>VCI</t>
        </is>
      </c>
      <c r="D404" s="324" t="n">
        <v>90</v>
      </c>
      <c r="E404" s="53" t="n">
        <v>91.42</v>
      </c>
      <c r="F404" s="53" t="n">
        <v>0</v>
      </c>
      <c r="G404" s="55" t="n">
        <v>1</v>
      </c>
      <c r="H404" s="57" t="n">
        <v>0</v>
      </c>
      <c r="I404" s="55" t="n"/>
      <c r="J404" s="56" t="n"/>
      <c r="K404" s="56" t="inlineStr">
        <is>
          <t>https://amazon.com/dp/B0CJ6F62P9</t>
        </is>
      </c>
      <c r="L404" s="34">
        <f>HYPERLINK(TABLE404)</f>
        <v/>
      </c>
    </row>
    <row r="405">
      <c r="A405" s="30" t="inlineStr">
        <is>
          <t>for Z-TEK FTDI chip USB Connector for Wintrac Thermo King Diagnostic Tool with V5.7 Software Diagnostic Cable Auto Scanner</t>
        </is>
      </c>
      <c r="B405" s="30" t="inlineStr">
        <is>
          <t>B0CLCYX7VG</t>
        </is>
      </c>
      <c r="C405" s="30" t="inlineStr">
        <is>
          <t>Cable/Adapter</t>
        </is>
      </c>
      <c r="D405" s="324" t="n">
        <v>264</v>
      </c>
      <c r="E405" s="53" t="n">
        <v>975.4299999999999</v>
      </c>
      <c r="F405" s="53" t="n">
        <v>0</v>
      </c>
      <c r="G405" s="55" t="n">
        <v>4</v>
      </c>
      <c r="H405" s="57" t="n">
        <v>0</v>
      </c>
      <c r="I405" s="55" t="n">
        <v>1</v>
      </c>
      <c r="J405" s="56" t="n">
        <v>1</v>
      </c>
      <c r="K405" s="56" t="inlineStr">
        <is>
          <t>https://amazon.com/dp/B0CLCYX7VG</t>
        </is>
      </c>
      <c r="L405" s="34">
        <f>HYPERLINK(TABLE405)</f>
        <v/>
      </c>
    </row>
    <row r="406">
      <c r="A406" s="30" t="inlineStr">
        <is>
          <t>Waterproof Motorcycle OBD2 Diagnosis Connector Set - 6 Pin Male Plug and Female Socket with Cable for Hong-da Yamha</t>
        </is>
      </c>
      <c r="B406" s="30" t="inlineStr">
        <is>
          <t>B0D67B8HJB</t>
        </is>
      </c>
      <c r="C406" s="30" t="inlineStr">
        <is>
          <t>Cable/Adapter</t>
        </is>
      </c>
      <c r="D406" s="324" t="n">
        <v>10.99</v>
      </c>
      <c r="E406" s="53" t="n">
        <v>70.20999999999999</v>
      </c>
      <c r="F406" s="53" t="n">
        <v>0</v>
      </c>
      <c r="G406" s="55" t="n">
        <v>6</v>
      </c>
      <c r="H406" s="57" t="n">
        <v>0</v>
      </c>
      <c r="I406" s="55" t="n"/>
      <c r="J406" s="56" t="n"/>
      <c r="K406" s="56" t="inlineStr">
        <is>
          <t>https://amazon.com/dp/B0D67B8HJB</t>
        </is>
      </c>
      <c r="L406" s="34">
        <f>HYPERLINK(TABLE406)</f>
        <v/>
      </c>
    </row>
    <row r="407">
      <c r="A407" s="30" t="inlineStr">
        <is>
          <t>VCM3 Diagnostic Tool Vehicle Diagnostic Scanner with Drivers Communication VCM 3 Module 3 with Software Installed (VCM3)</t>
        </is>
      </c>
      <c r="B407" s="30" t="inlineStr">
        <is>
          <t>B0FWR24SH7</t>
        </is>
      </c>
      <c r="C407" s="30" t="inlineStr">
        <is>
          <t>VCI</t>
        </is>
      </c>
      <c r="D407" s="324" t="n">
        <v>845</v>
      </c>
      <c r="E407" s="53" t="n">
        <v>0</v>
      </c>
      <c r="F407" s="53" t="n">
        <v>0</v>
      </c>
      <c r="G407" s="55" t="n">
        <v>0</v>
      </c>
      <c r="H407" s="57" t="n">
        <v>0</v>
      </c>
      <c r="I407" s="55" t="n"/>
      <c r="J407" s="56" t="n"/>
      <c r="K407" s="56" t="inlineStr">
        <is>
          <t>https://amazon.com/dp/B0FWR24SH7</t>
        </is>
      </c>
      <c r="L407" s="34">
        <f>HYPERLINK(TABLE407)</f>
        <v/>
      </c>
    </row>
    <row r="408">
      <c r="A408" s="30" t="inlineStr">
        <is>
          <t>for Deutz Diagnostic Scanner Tool for Deutz DeCOM SerDia Software Support CAN K/L-Line for Deutz DECOM Controllers Diagnosis kit with 4.0 Dongle Software</t>
        </is>
      </c>
      <c r="B408" s="30" t="inlineStr">
        <is>
          <t>B0CJ6JDW4Z</t>
        </is>
      </c>
      <c r="C408" s="30" t="inlineStr">
        <is>
          <t>VCI</t>
        </is>
      </c>
      <c r="D408" s="324" t="n">
        <v>1430</v>
      </c>
      <c r="E408" s="53" t="n">
        <v>15031.41</v>
      </c>
      <c r="F408" s="53" t="n">
        <v>0</v>
      </c>
      <c r="G408" s="55" t="n">
        <v>10</v>
      </c>
      <c r="H408" s="57" t="n">
        <v>0</v>
      </c>
      <c r="I408" s="55" t="n"/>
      <c r="J408" s="56" t="n"/>
      <c r="K408" s="56" t="inlineStr">
        <is>
          <t>https://amazon.com/dp/B0CJ6JDW4Z</t>
        </is>
      </c>
      <c r="L408" s="34">
        <f>HYPERLINK(TABLE408)</f>
        <v/>
      </c>
    </row>
    <row r="409">
      <c r="A409" s="30" t="inlineStr">
        <is>
          <t>PT30+Cable Bundle-ELD Geosavi Buy America (PT30+Orange &amp; Gray Cable ForVolvoTrucks)</t>
        </is>
      </c>
      <c r="B409" s="30" t="inlineStr">
        <is>
          <t>B0CTTWQWXK</t>
        </is>
      </c>
      <c r="C409" s="30" t="inlineStr">
        <is>
          <t>Other</t>
        </is>
      </c>
      <c r="D409" s="324" t="n">
        <v>189.99</v>
      </c>
      <c r="E409" s="53" t="n">
        <v>1176.56</v>
      </c>
      <c r="F409" s="53" t="n">
        <v>0</v>
      </c>
      <c r="G409" s="55" t="n">
        <v>6</v>
      </c>
      <c r="H409" s="57" t="n">
        <v>0</v>
      </c>
      <c r="I409" s="55" t="n"/>
      <c r="J409" s="56" t="n"/>
      <c r="K409" s="56" t="inlineStr">
        <is>
          <t>https://amazon.com/dp/B0CTTWQWXK</t>
        </is>
      </c>
      <c r="L409" s="34">
        <f>HYPERLINK(TABLE409)</f>
        <v/>
      </c>
    </row>
    <row r="410">
      <c r="A410" s="30" t="inlineStr">
        <is>
          <t>Scanner Diagnostic Tool Service System IDSS Hardware and Software Solution for Truck Diagnosis and Repair for Isuzu G-IDSS Products are unive (G-IDSS with Laptop)</t>
        </is>
      </c>
      <c r="B410" s="30" t="inlineStr">
        <is>
          <t>B0CLGSCRKN</t>
        </is>
      </c>
      <c r="C410" s="30" t="inlineStr">
        <is>
          <t>VCI</t>
        </is>
      </c>
      <c r="D410" s="324" t="n">
        <v>1782</v>
      </c>
      <c r="E410" s="53" t="n">
        <v>4662.71</v>
      </c>
      <c r="F410" s="53" t="n">
        <v>0</v>
      </c>
      <c r="G410" s="55" t="n">
        <v>3</v>
      </c>
      <c r="H410" s="57" t="n">
        <v>0</v>
      </c>
      <c r="I410" s="55" t="n"/>
      <c r="J410" s="56" t="n"/>
      <c r="K410" s="56" t="inlineStr">
        <is>
          <t>https://amazon.com/dp/B0CLGSCRKN</t>
        </is>
      </c>
      <c r="L410" s="34">
        <f>HYPERLINK(TABLE410)</f>
        <v/>
      </c>
    </row>
    <row r="411">
      <c r="A411" s="30" t="inlineStr">
        <is>
          <t>LCD Screen for Autel MaxiCOM MX808 DS808 MP808 MK808 MK808TS MK808</t>
        </is>
      </c>
      <c r="B411" s="30" t="inlineStr">
        <is>
          <t>B0DSHVB5CH</t>
        </is>
      </c>
      <c r="C411" s="30" t="inlineStr">
        <is>
          <t>Tablet</t>
        </is>
      </c>
      <c r="D411" s="324" t="n">
        <v>58.9</v>
      </c>
      <c r="E411" s="53" t="n">
        <v>197.6</v>
      </c>
      <c r="F411" s="53" t="n">
        <v>0</v>
      </c>
      <c r="G411" s="55" t="n">
        <v>3</v>
      </c>
      <c r="H411" s="57" t="n">
        <v>0</v>
      </c>
      <c r="I411" s="55" t="n"/>
      <c r="J411" s="56" t="n"/>
      <c r="K411" s="56" t="inlineStr">
        <is>
          <t>https://amazon.com/dp/B0DSHVB5CH</t>
        </is>
      </c>
      <c r="L411" s="34">
        <f>HYPERLINK(TABLE411)</f>
        <v/>
      </c>
    </row>
    <row r="412">
      <c r="A412" s="30" t="inlineStr">
        <is>
          <t>SDP3 2.50.1 for SCA-nia VCI-3 VCI3 Scanner WiFi Wireless SCAN Trucks Heavy Duty Diagnostic Tool</t>
        </is>
      </c>
      <c r="B412" s="30" t="inlineStr">
        <is>
          <t>B0CJ6JKXT1</t>
        </is>
      </c>
      <c r="C412" s="30" t="inlineStr">
        <is>
          <t>VCI</t>
        </is>
      </c>
      <c r="D412" s="324" t="n">
        <v>115</v>
      </c>
      <c r="E412" s="53" t="n">
        <v>886.51</v>
      </c>
      <c r="F412" s="53" t="n">
        <v>0</v>
      </c>
      <c r="G412" s="55" t="n">
        <v>7</v>
      </c>
      <c r="H412" s="57" t="n">
        <v>0</v>
      </c>
      <c r="I412" s="55" t="n"/>
      <c r="J412" s="56" t="n"/>
      <c r="K412" s="56" t="inlineStr">
        <is>
          <t>https://amazon.com/dp/B0CJ6JKXT1</t>
        </is>
      </c>
      <c r="L412" s="34">
        <f>HYPERLINK(TABLE412)</f>
        <v/>
      </c>
    </row>
    <row r="413">
      <c r="A413" s="30" t="inlineStr">
        <is>
          <t>for Nexiq 3 121054 USB Link 3 Wired Edition,Universal Truck Excavator Diagnostic Scanner Repair for Heavy Duty Diesel Engine Code Reader Tool (Nexiq 3)</t>
        </is>
      </c>
      <c r="B413" s="30" t="inlineStr">
        <is>
          <t>B0FNR1N6TM</t>
        </is>
      </c>
      <c r="C413" s="30" t="inlineStr">
        <is>
          <t>VCI</t>
        </is>
      </c>
      <c r="D413" s="324" t="n">
        <v>658</v>
      </c>
      <c r="E413" s="53" t="n">
        <v>2609.97</v>
      </c>
      <c r="F413" s="53" t="n">
        <v>0</v>
      </c>
      <c r="G413" s="55" t="n">
        <v>5</v>
      </c>
      <c r="H413" s="57" t="n">
        <v>0</v>
      </c>
      <c r="I413" s="55" t="n"/>
      <c r="J413" s="56" t="n"/>
      <c r="K413" s="56" t="inlineStr">
        <is>
          <t>https://amazon.com/dp/B0FNR1N6TM</t>
        </is>
      </c>
      <c r="L413" s="34">
        <f>HYPERLINK(TABLE413)</f>
        <v/>
      </c>
    </row>
    <row r="414">
      <c r="A414" s="30" t="inlineStr">
        <is>
          <t>88894000 for Vocom II Communications Unit Adapter - Diagnostic Tool with Software for Trucks, Excavators, Buses and Yachts (Tool with Laptop CF53)</t>
        </is>
      </c>
      <c r="B414" s="30" t="inlineStr">
        <is>
          <t>B0FH4RW9GG</t>
        </is>
      </c>
      <c r="C414" s="30" t="inlineStr">
        <is>
          <t>VCI</t>
        </is>
      </c>
      <c r="D414" s="324" t="n">
        <v>920</v>
      </c>
      <c r="E414" s="53" t="n">
        <v>950.99</v>
      </c>
      <c r="F414" s="53" t="n">
        <v>0</v>
      </c>
      <c r="G414" s="55" t="n">
        <v>1</v>
      </c>
      <c r="H414" s="57" t="n">
        <v>0</v>
      </c>
      <c r="I414" s="55" t="n"/>
      <c r="J414" s="56" t="n"/>
      <c r="K414" s="56" t="inlineStr">
        <is>
          <t>https://amazon.com/dp/B0FH4RW9GG</t>
        </is>
      </c>
      <c r="L414" s="34">
        <f>HYPERLINK(TABLE414)</f>
        <v/>
      </c>
    </row>
    <row r="415">
      <c r="A415" s="30" t="inlineStr">
        <is>
          <t>for Nexiq 3 121054 USB Link 3 Wired Edition,Universal Truck Excavator Diagnostic Scanner Repair for Heavy Duty Diesel Engine Code Reader Tool (Nexiq3 Laptop with All Software)</t>
        </is>
      </c>
      <c r="B415" s="30" t="inlineStr">
        <is>
          <t>B0FNR29DJB</t>
        </is>
      </c>
      <c r="C415" s="30" t="inlineStr">
        <is>
          <t>VCI</t>
        </is>
      </c>
      <c r="D415" s="324" t="n">
        <v>1499</v>
      </c>
      <c r="E415" s="53" t="n">
        <v>0</v>
      </c>
      <c r="F415" s="53" t="n">
        <v>0</v>
      </c>
      <c r="G415" s="55" t="n">
        <v>0</v>
      </c>
      <c r="H415" s="57" t="n">
        <v>0</v>
      </c>
      <c r="I415" s="55" t="n"/>
      <c r="J415" s="56" t="n"/>
      <c r="K415" s="56" t="inlineStr">
        <is>
          <t>https://amazon.com/dp/B0FNR29DJB</t>
        </is>
      </c>
      <c r="L415" s="34">
        <f>HYPERLINK(TABLE415)</f>
        <v/>
      </c>
    </row>
    <row r="416">
      <c r="A416" s="30" t="inlineStr">
        <is>
          <t>OBD2 USB KKL COM 409.1 Interface V-AG 409.1 with FT232RL Chip</t>
        </is>
      </c>
      <c r="B416" s="30" t="inlineStr">
        <is>
          <t>B0D6GVTD8S</t>
        </is>
      </c>
      <c r="C416" s="30" t="inlineStr">
        <is>
          <t>Cable/Adapter</t>
        </is>
      </c>
      <c r="D416" s="324" t="n">
        <v>14.99</v>
      </c>
      <c r="E416" s="53" t="n">
        <v>1005.84</v>
      </c>
      <c r="F416" s="53" t="n">
        <v>0</v>
      </c>
      <c r="G416" s="55" t="n">
        <v>62</v>
      </c>
      <c r="H416" s="57" t="n">
        <v>0</v>
      </c>
      <c r="I416" s="55" t="n">
        <v>7</v>
      </c>
      <c r="J416" s="56" t="n">
        <v>4.1</v>
      </c>
      <c r="K416" s="56" t="inlineStr">
        <is>
          <t>https://amazon.com/dp/B0D6GVTD8S</t>
        </is>
      </c>
      <c r="L416" s="34">
        <f>HYPERLINK(TABLE416)</f>
        <v/>
      </c>
    </row>
    <row r="417">
      <c r="A417" s="30" t="inlineStr">
        <is>
          <t>317-7485 for Caterpillar ET3 Communication Adapter Diagnostic Tool Truck Excavator Engine with 2019C 6+9+14pin Cable</t>
        </is>
      </c>
      <c r="B417" s="30" t="inlineStr">
        <is>
          <t>B0CJ6JS9M1</t>
        </is>
      </c>
      <c r="C417" s="30" t="inlineStr">
        <is>
          <t>VCI</t>
        </is>
      </c>
      <c r="D417" s="324" t="n">
        <v>260</v>
      </c>
      <c r="E417" s="53" t="n">
        <v>1786.74</v>
      </c>
      <c r="F417" s="53" t="n">
        <v>0</v>
      </c>
      <c r="G417" s="55" t="n">
        <v>7</v>
      </c>
      <c r="H417" s="57" t="n">
        <v>0</v>
      </c>
      <c r="I417" s="55" t="n">
        <v>3</v>
      </c>
      <c r="J417" s="56" t="n">
        <v>2.2</v>
      </c>
      <c r="K417" s="56" t="inlineStr">
        <is>
          <t>https://amazon.com/dp/B0CJ6JS9M1</t>
        </is>
      </c>
      <c r="L417" s="34">
        <f>HYPERLINK(TABLE417)</f>
        <v/>
      </c>
    </row>
    <row r="418">
      <c r="A418" s="30" t="inlineStr">
        <is>
          <t>Diagnostic for DOOSAN uvim Scanner kit Heavy Duty Communication Interface Forklift Excavator Loader Diagnostic Tool (Tool with 2024 Software)</t>
        </is>
      </c>
      <c r="B418" s="30" t="inlineStr">
        <is>
          <t>B0CJTYN26R</t>
        </is>
      </c>
      <c r="C418" s="30" t="inlineStr">
        <is>
          <t>VCI</t>
        </is>
      </c>
      <c r="D418" s="324" t="n">
        <v>895</v>
      </c>
      <c r="E418" s="53" t="n">
        <v>3833.6</v>
      </c>
      <c r="F418" s="53" t="n">
        <v>0</v>
      </c>
      <c r="G418" s="55" t="n">
        <v>5</v>
      </c>
      <c r="H418" s="57" t="n">
        <v>0</v>
      </c>
      <c r="I418" s="55" t="n"/>
      <c r="J418" s="56" t="n"/>
      <c r="K418" s="56" t="inlineStr">
        <is>
          <t>https://amazon.com/dp/B0CJTYN26R</t>
        </is>
      </c>
      <c r="L418" s="34">
        <f>HYPERLINK(TABLE418)</f>
        <v/>
      </c>
    </row>
    <row r="419">
      <c r="A419" s="30" t="inlineStr">
        <is>
          <t>478-0235 538-5051 317-7485 ET4 Communication Adapter 3 2023A 2021B 2019C for Caterpillar Adapter 3 Heavy Duty Truck Diagnostic Tool (with Laptop)</t>
        </is>
      </c>
      <c r="B419" s="30" t="inlineStr">
        <is>
          <t>B0CJ6JK5Q4</t>
        </is>
      </c>
      <c r="C419" s="30" t="inlineStr">
        <is>
          <t>VCI</t>
        </is>
      </c>
      <c r="D419" s="324" t="n">
        <v>800</v>
      </c>
      <c r="E419" s="53" t="n">
        <v>5124.71</v>
      </c>
      <c r="F419" s="53" t="n">
        <v>0</v>
      </c>
      <c r="G419" s="55" t="n">
        <v>7</v>
      </c>
      <c r="H419" s="57" t="n">
        <v>0</v>
      </c>
      <c r="I419" s="55" t="n">
        <v>4</v>
      </c>
      <c r="J419" s="56" t="n">
        <v>3.8</v>
      </c>
      <c r="K419" s="56" t="inlineStr">
        <is>
          <t>https://amazon.com/dp/B0CJ6JK5Q4</t>
        </is>
      </c>
      <c r="L419" s="34">
        <f>HYPERLINK(TABLE419)</f>
        <v/>
      </c>
    </row>
    <row r="420">
      <c r="A420" s="30" t="inlineStr">
        <is>
          <t>Diagnostic for DOOSAN uvim Scanner kit Heavy Duty Communication Interface Forklift Excavator Loader Diagnostic Tool (2016 Software)</t>
        </is>
      </c>
      <c r="B420" s="30" t="inlineStr">
        <is>
          <t>B0CJTWYTVB</t>
        </is>
      </c>
      <c r="C420" s="30" t="inlineStr">
        <is>
          <t>VCI</t>
        </is>
      </c>
      <c r="D420" s="324" t="n">
        <v>880</v>
      </c>
      <c r="E420" s="53" t="n">
        <v>12320.74</v>
      </c>
      <c r="F420" s="53" t="n">
        <v>0</v>
      </c>
      <c r="G420" s="55" t="n">
        <v>15</v>
      </c>
      <c r="H420" s="57" t="n">
        <v>0</v>
      </c>
      <c r="I420" s="55" t="n"/>
      <c r="J420" s="56" t="n"/>
      <c r="K420" s="56" t="inlineStr">
        <is>
          <t>https://amazon.com/dp/B0CJTWYTVB</t>
        </is>
      </c>
      <c r="L420" s="34">
        <f>HYPERLINK(TABLE420)</f>
        <v/>
      </c>
    </row>
    <row r="421">
      <c r="A421" s="30" t="inlineStr">
        <is>
          <t>V750 OBDII Auto Scanner Diagnostic Tool for 12V Cars, Check Engine Light Fault Code Reader, CAN EOBD Scanner for 1996+ Vehicles Scan Tool</t>
        </is>
      </c>
      <c r="B421" s="30" t="inlineStr">
        <is>
          <t>B0GWFJDBN3</t>
        </is>
      </c>
      <c r="C421" s="30" t="inlineStr">
        <is>
          <t>Handheld</t>
        </is>
      </c>
      <c r="D421" s="324" t="n">
        <v>17.99</v>
      </c>
      <c r="E421" s="53" t="n">
        <v>0</v>
      </c>
      <c r="F421" s="53" t="n">
        <v>0</v>
      </c>
      <c r="G421" s="55" t="n">
        <v>0</v>
      </c>
      <c r="H421" s="57" t="n">
        <v>0</v>
      </c>
      <c r="I421" s="55" t="n"/>
      <c r="J421" s="56" t="n"/>
      <c r="K421" s="56" t="inlineStr">
        <is>
          <t>https://amazon.com/dp/B0GWFJDBN3</t>
        </is>
      </c>
      <c r="L421" s="34">
        <f>HYPERLINK(TABLE421)</f>
        <v/>
      </c>
    </row>
    <row r="422">
      <c r="A422" s="30" t="inlineStr">
        <is>
          <t>NEXIQ USB Link 3 Wired Bundle with J560 PLC Adapter</t>
        </is>
      </c>
      <c r="B422" s="30" t="inlineStr">
        <is>
          <t>B0D684VLV2</t>
        </is>
      </c>
      <c r="C422" s="30" t="inlineStr">
        <is>
          <t>VCI</t>
        </is>
      </c>
      <c r="D422" s="324" t="n">
        <v>1075</v>
      </c>
      <c r="E422" s="53" t="n">
        <v>9326.380000000001</v>
      </c>
      <c r="F422" s="53" t="n">
        <v>0</v>
      </c>
      <c r="G422" s="55" t="n">
        <v>10</v>
      </c>
      <c r="H422" s="57" t="n">
        <v>0</v>
      </c>
      <c r="I422" s="55" t="n"/>
      <c r="J422" s="56" t="n"/>
      <c r="K422" s="56" t="inlineStr">
        <is>
          <t>https://amazon.com/dp/B0D684VLV2</t>
        </is>
      </c>
      <c r="L422" s="34">
        <f>HYPERLINK(TABLE422)</f>
        <v/>
      </c>
    </row>
    <row r="423">
      <c r="A423" s="30" t="inlineStr">
        <is>
          <t>EOKING OBD2 Scanner Diagnostic Tool, Check Engine Code Reader OBD2 Scanner with Reset 65,000+DTCs Auto Check Engine Light Fixd Car Scan OBD/EOBD Reset &amp; I/M for All OBDII Vehicles Since 1996 &amp; Newer</t>
        </is>
      </c>
      <c r="B423" s="30" t="inlineStr">
        <is>
          <t>B0D8TF3XR6</t>
        </is>
      </c>
      <c r="C423" s="30" t="inlineStr">
        <is>
          <t>Handheld</t>
        </is>
      </c>
      <c r="D423" s="324" t="n">
        <v>49.99</v>
      </c>
      <c r="E423" s="53" t="n">
        <v>933.48</v>
      </c>
      <c r="F423" s="53" t="n">
        <v>0</v>
      </c>
      <c r="G423" s="55" t="n">
        <v>29</v>
      </c>
      <c r="H423" s="57" t="n">
        <v>0</v>
      </c>
      <c r="I423" s="55" t="n">
        <v>71</v>
      </c>
      <c r="J423" s="56" t="n">
        <v>3.9</v>
      </c>
      <c r="K423" s="56" t="inlineStr">
        <is>
          <t>https://amazon.com/dp/B0D8TF3XR6</t>
        </is>
      </c>
      <c r="L423" s="34">
        <f>HYPERLINK(TABLE423)</f>
        <v/>
      </c>
    </row>
    <row r="424">
      <c r="A424" s="30" t="inlineStr">
        <is>
          <t>Diagnostic Cable Fit for Paccar MX13 EPA17 ACM,for Heavy Duty/Commercial Vehicles,Engine Diagnose Issues Wiring Harness</t>
        </is>
      </c>
      <c r="B424" s="30" t="inlineStr">
        <is>
          <t>B0G1LLDH6C</t>
        </is>
      </c>
      <c r="C424" s="30" t="inlineStr">
        <is>
          <t>Cable/Adapter</t>
        </is>
      </c>
      <c r="D424" s="324" t="n">
        <v>59.99</v>
      </c>
      <c r="E424" s="53" t="n">
        <v>854.09</v>
      </c>
      <c r="F424" s="53" t="n">
        <v>0</v>
      </c>
      <c r="G424" s="55" t="n">
        <v>10</v>
      </c>
      <c r="H424" s="57" t="n">
        <v>0</v>
      </c>
      <c r="I424" s="55" t="n">
        <v>1</v>
      </c>
      <c r="J424" s="56" t="n">
        <v>1</v>
      </c>
      <c r="K424" s="56" t="inlineStr">
        <is>
          <t>https://amazon.com/dp/B0G1LLDH6C</t>
        </is>
      </c>
      <c r="L424" s="34">
        <f>HYPERLINK(TABLE424)</f>
        <v/>
      </c>
    </row>
    <row r="425">
      <c r="A425" s="30" t="inlineStr">
        <is>
          <t>DC24K Bluetooth OBD2 Scanner Diagnostic Tool 24V for iOS &amp; Android | Car Code Reader &amp; Engine Light Reset | Wireless Car Computer Diagnostic | OBDII Scanner for All Vehicles (RED)</t>
        </is>
      </c>
      <c r="B425" s="30" t="inlineStr">
        <is>
          <t>B0F8H9MCNW</t>
        </is>
      </c>
      <c r="C425" s="30" t="inlineStr">
        <is>
          <t>Dongle</t>
        </is>
      </c>
      <c r="D425" s="324" t="n">
        <v>34.99</v>
      </c>
      <c r="E425" s="53" t="n">
        <v>545.89</v>
      </c>
      <c r="F425" s="53" t="n">
        <v>0</v>
      </c>
      <c r="G425" s="55" t="n">
        <v>17</v>
      </c>
      <c r="H425" s="57" t="n">
        <v>0</v>
      </c>
      <c r="I425" s="55" t="n">
        <v>3</v>
      </c>
      <c r="J425" s="56" t="n">
        <v>3.4</v>
      </c>
      <c r="K425" s="56" t="inlineStr">
        <is>
          <t>https://amazon.com/dp/B0F8H9MCNW</t>
        </is>
      </c>
      <c r="L425" s="34">
        <f>HYPERLINK(TABLE425)</f>
        <v/>
      </c>
    </row>
    <row r="426">
      <c r="A426" s="30" t="inlineStr">
        <is>
          <t>DC24K Bluetooth OBD2 Scanner Diagnostic Tool 24V for iOS &amp; Android | Car Code Reader &amp; Engine Light Reset | Wireless Car Computer Diagnostic | OBDII Scanner for All Vehicles (Black)</t>
        </is>
      </c>
      <c r="B426" s="30" t="inlineStr">
        <is>
          <t>B0F8HHHCB4</t>
        </is>
      </c>
      <c r="C426" s="30" t="inlineStr">
        <is>
          <t>Dongle</t>
        </is>
      </c>
      <c r="D426" s="324" t="n">
        <v>34.99</v>
      </c>
      <c r="E426" s="53" t="n">
        <v>543.96</v>
      </c>
      <c r="F426" s="53" t="n">
        <v>0</v>
      </c>
      <c r="G426" s="55" t="n">
        <v>17</v>
      </c>
      <c r="H426" s="57" t="n">
        <v>0</v>
      </c>
      <c r="I426" s="55" t="n">
        <v>3</v>
      </c>
      <c r="J426" s="56" t="n">
        <v>3.4</v>
      </c>
      <c r="K426" s="56" t="inlineStr">
        <is>
          <t>https://amazon.com/dp/B0F8HHHCB4</t>
        </is>
      </c>
      <c r="L426" s="34">
        <f>HYPERLINK(TABLE426)</f>
        <v/>
      </c>
    </row>
    <row r="427">
      <c r="A427" s="30" t="inlineStr">
        <is>
          <t>DC24K Bluetooth OBD2 Scanner Diagnostic Tool 24V for iOS &amp; Android | Car Code Reader &amp; Engine Light Reset | Wireless Car Computer Diagnostic | OBDII Scanner for All Vehicles (Green)</t>
        </is>
      </c>
      <c r="B427" s="30" t="inlineStr">
        <is>
          <t>B0F8HFRDHR</t>
        </is>
      </c>
      <c r="C427" s="30" t="inlineStr">
        <is>
          <t>Dongle</t>
        </is>
      </c>
      <c r="D427" s="324" t="n">
        <v>34.99</v>
      </c>
      <c r="E427" s="53" t="n">
        <v>545.3500000000001</v>
      </c>
      <c r="F427" s="53" t="n">
        <v>0</v>
      </c>
      <c r="G427" s="55" t="n">
        <v>16</v>
      </c>
      <c r="H427" s="57" t="n">
        <v>0</v>
      </c>
      <c r="I427" s="55" t="n">
        <v>3</v>
      </c>
      <c r="J427" s="56" t="n">
        <v>3.4</v>
      </c>
      <c r="K427" s="56" t="inlineStr">
        <is>
          <t>https://amazon.com/dp/B0F8HFRDHR</t>
        </is>
      </c>
      <c r="L427" s="34">
        <f>HYPERLINK(TABLE427)</f>
        <v/>
      </c>
    </row>
    <row r="428">
      <c r="A428" s="30" t="inlineStr">
        <is>
          <t>OBD2 Scanner Code Reader – Plug-in Car Diagnostic Tool for Check Engine Light – Compatible with Most 1996 &amp; Newer Cars, Trucks &amp; SUVs – Easy-to-Use OBD II Reader for DIY Mechanics</t>
        </is>
      </c>
      <c r="B428" s="30" t="inlineStr">
        <is>
          <t>B0CVKZNZPJ</t>
        </is>
      </c>
      <c r="C428" s="30" t="inlineStr">
        <is>
          <t>Handheld</t>
        </is>
      </c>
      <c r="D428" s="324" t="n">
        <v>49.95</v>
      </c>
      <c r="E428" s="53" t="n">
        <v>1323.26</v>
      </c>
      <c r="F428" s="53" t="n">
        <v>0</v>
      </c>
      <c r="G428" s="55" t="n">
        <v>35</v>
      </c>
      <c r="H428" s="57" t="n">
        <v>0</v>
      </c>
      <c r="I428" s="55" t="n">
        <v>45</v>
      </c>
      <c r="J428" s="56" t="n">
        <v>4.5</v>
      </c>
      <c r="K428" s="56" t="inlineStr">
        <is>
          <t>https://amazon.com/dp/B0CVKZNZPJ</t>
        </is>
      </c>
      <c r="L428" s="34">
        <f>HYPERLINK(TABLE428)</f>
        <v/>
      </c>
    </row>
    <row r="429">
      <c r="A429" s="30" t="inlineStr">
        <is>
          <t>HPT MPVI4 Diagnostic Code Reader Scanner and Tool</t>
        </is>
      </c>
      <c r="B429" s="30" t="inlineStr">
        <is>
          <t>B0GWCVGPKN</t>
        </is>
      </c>
      <c r="C429" s="30" t="inlineStr">
        <is>
          <t>Dongle</t>
        </is>
      </c>
      <c r="D429" s="324" t="n">
        <v>399.99</v>
      </c>
      <c r="E429" s="53" t="n">
        <v>0</v>
      </c>
      <c r="F429" s="53" t="n">
        <v>0</v>
      </c>
      <c r="G429" s="55" t="n">
        <v>0</v>
      </c>
      <c r="H429" s="57" t="n">
        <v>0</v>
      </c>
      <c r="I429" s="55" t="n"/>
      <c r="J429" s="56" t="n"/>
      <c r="K429" s="56" t="inlineStr">
        <is>
          <t>https://amazon.com/dp/B0GWCVGPKN</t>
        </is>
      </c>
      <c r="L429" s="34">
        <f>HYPERLINK(TABLE429)</f>
        <v/>
      </c>
    </row>
    <row r="430">
      <c r="A430" s="30" t="inlineStr">
        <is>
          <t>Generic NEXIQ J1962 Adapter (16-Pin OBD II) - 1 Meter, Black, 493113</t>
        </is>
      </c>
      <c r="B430" s="30" t="inlineStr">
        <is>
          <t>B0CRVW3MQT</t>
        </is>
      </c>
      <c r="C430" s="30" t="inlineStr">
        <is>
          <t>Cable/Adapter</t>
        </is>
      </c>
      <c r="D430" s="324" t="n">
        <v>183.75</v>
      </c>
      <c r="E430" s="53" t="n">
        <v>6052.94</v>
      </c>
      <c r="F430" s="53" t="n">
        <v>0</v>
      </c>
      <c r="G430" s="55" t="n">
        <v>34</v>
      </c>
      <c r="H430" s="57" t="n">
        <v>0</v>
      </c>
      <c r="I430" s="55" t="n">
        <v>4</v>
      </c>
      <c r="J430" s="56" t="n">
        <v>3.6</v>
      </c>
      <c r="K430" s="56" t="inlineStr">
        <is>
          <t>https://amazon.com/dp/B0CRVW3MQT</t>
        </is>
      </c>
      <c r="L430" s="34">
        <f>HYPERLINK(TABLE430)</f>
        <v/>
      </c>
    </row>
    <row r="431">
      <c r="A431" s="30" t="inlineStr">
        <is>
          <t>OBD2 Scanner MaxiScan MS309 Car Check Engine Code Reader, Check Emission Monitor Status, CAN Diagnostic Scan Tool for All OBD II Protocol Vehicles After 1996</t>
        </is>
      </c>
      <c r="B431" s="30" t="inlineStr">
        <is>
          <t>B0CPLZ7CC5</t>
        </is>
      </c>
      <c r="C431" s="30" t="inlineStr">
        <is>
          <t>Handheld</t>
        </is>
      </c>
      <c r="D431" s="324" t="n">
        <v>14.99</v>
      </c>
      <c r="E431" s="53" t="n">
        <v>110.41</v>
      </c>
      <c r="F431" s="53" t="n">
        <v>0</v>
      </c>
      <c r="G431" s="55" t="n">
        <v>7</v>
      </c>
      <c r="H431" s="57" t="n">
        <v>0</v>
      </c>
      <c r="I431" s="55" t="n">
        <v>2</v>
      </c>
      <c r="J431" s="56" t="n">
        <v>4.6</v>
      </c>
      <c r="K431" s="56" t="inlineStr">
        <is>
          <t>https://amazon.com/dp/B0CPLZ7CC5</t>
        </is>
      </c>
      <c r="L431" s="34">
        <f>HYPERLINK(TABLE431)</f>
        <v/>
      </c>
    </row>
    <row r="432">
      <c r="A432" s="30" t="inlineStr">
        <is>
          <t>VTech OBD2 Bluetooth Scanner Car Diagnostic Tool, Auto Code Reader with Real-time Data, Engine Fault Check for Android iOS Windows, 2-Pack Value Bundle</t>
        </is>
      </c>
      <c r="B432" s="30" t="inlineStr">
        <is>
          <t>B0GMDGH1CB</t>
        </is>
      </c>
      <c r="C432" s="30" t="inlineStr">
        <is>
          <t>Handheld</t>
        </is>
      </c>
      <c r="D432" s="324" t="n">
        <v>25.94</v>
      </c>
      <c r="E432" s="53" t="n">
        <v>91.73999999999999</v>
      </c>
      <c r="F432" s="53" t="n">
        <v>0</v>
      </c>
      <c r="G432" s="55" t="n">
        <v>4</v>
      </c>
      <c r="H432" s="57" t="n">
        <v>0</v>
      </c>
      <c r="I432" s="55" t="n"/>
      <c r="J432" s="56" t="n"/>
      <c r="K432" s="56" t="inlineStr">
        <is>
          <t>https://amazon.com/dp/B0GMDGH1CB</t>
        </is>
      </c>
      <c r="L432" s="34">
        <f>HYPERLINK(TABLE432)</f>
        <v/>
      </c>
    </row>
    <row r="433">
      <c r="A433" s="30" t="inlineStr">
        <is>
          <t>for Z-TEK FTDI chip USB Connector for Wintrac Thermo King Diagnostic Tool with V5.7 Software Diagnostic Cable Auto Scanner</t>
        </is>
      </c>
      <c r="B433" s="30" t="inlineStr">
        <is>
          <t>B0CJHK9F2Y</t>
        </is>
      </c>
      <c r="C433" s="30" t="inlineStr">
        <is>
          <t>Cable/Adapter</t>
        </is>
      </c>
      <c r="D433" s="324" t="n">
        <v>264</v>
      </c>
      <c r="E433" s="53" t="n">
        <v>2757.63</v>
      </c>
      <c r="F433" s="53" t="n">
        <v>0</v>
      </c>
      <c r="G433" s="55" t="n">
        <v>11</v>
      </c>
      <c r="H433" s="57" t="n">
        <v>0</v>
      </c>
      <c r="I433" s="55" t="n"/>
      <c r="J433" s="56" t="n"/>
      <c r="K433" s="56" t="inlineStr">
        <is>
          <t>https://amazon.com/dp/B0CJHK9F2Y</t>
        </is>
      </c>
      <c r="L433" s="34">
        <f>HYPERLINK(TABLE433)</f>
        <v/>
      </c>
    </row>
    <row r="434">
      <c r="A434" s="30" t="inlineStr">
        <is>
          <t>ET-4 478-0235 538-5051 Diagnostic Adapter Tool for Cat Heavy Equipment, Truck Excavator CAT ET4 Diagnostic Tool (ET4 with Software v2025A) (Tool with Software,Small)</t>
        </is>
      </c>
      <c r="B434" s="30" t="inlineStr">
        <is>
          <t>B0FHDMZDM6</t>
        </is>
      </c>
      <c r="C434" s="30" t="inlineStr">
        <is>
          <t>VCI</t>
        </is>
      </c>
      <c r="D434" s="324" t="n">
        <v>337</v>
      </c>
      <c r="E434" s="53" t="n">
        <v>0</v>
      </c>
      <c r="F434" s="53" t="n">
        <v>0</v>
      </c>
      <c r="G434" s="55" t="n">
        <v>0</v>
      </c>
      <c r="H434" s="57" t="n">
        <v>0</v>
      </c>
      <c r="I434" s="55" t="n"/>
      <c r="J434" s="56" t="n"/>
      <c r="K434" s="56" t="inlineStr">
        <is>
          <t>https://amazon.com/dp/B0FHDMZDM6</t>
        </is>
      </c>
      <c r="L434" s="34">
        <f>HYPERLINK(TABLE434)</f>
        <v/>
      </c>
    </row>
    <row r="435">
      <c r="A435" s="30" t="inlineStr">
        <is>
          <t>Heavy Duty Cable Diagnostic Tool Tester MPDR Software 3.9 The Latest Version for EX Dr Full Range of Excavator</t>
        </is>
      </c>
      <c r="B435" s="30" t="inlineStr">
        <is>
          <t>B0CHF8557B</t>
        </is>
      </c>
      <c r="C435" s="30" t="inlineStr">
        <is>
          <t>Cable/Adapter</t>
        </is>
      </c>
      <c r="D435" s="324" t="n">
        <v>171.6</v>
      </c>
      <c r="E435" s="53" t="n">
        <v>0</v>
      </c>
      <c r="F435" s="53" t="n">
        <v>0</v>
      </c>
      <c r="G435" s="55" t="n">
        <v>0</v>
      </c>
      <c r="H435" s="57" t="n">
        <v>0</v>
      </c>
      <c r="I435" s="55" t="n"/>
      <c r="J435" s="56" t="n"/>
      <c r="K435" s="56" t="inlineStr">
        <is>
          <t>https://amazon.com/dp/B0CHF8557B</t>
        </is>
      </c>
      <c r="L435" s="34">
        <f>HYPERLINK(TABLE435)</f>
        <v/>
      </c>
    </row>
    <row r="436">
      <c r="A436" s="30" t="inlineStr">
        <is>
          <t>Car OBD2 Scanner, Diagnostic Error Finder, Fault Code Detection and Real-Time Data Stream, Compatible with All OBD II Protocol Vehicles from 1996+</t>
        </is>
      </c>
      <c r="B436" s="30" t="inlineStr">
        <is>
          <t>B0G4QSCH81</t>
        </is>
      </c>
      <c r="C436" s="30" t="inlineStr">
        <is>
          <t>Handheld</t>
        </is>
      </c>
      <c r="D436" s="324" t="n">
        <v>39.9</v>
      </c>
      <c r="E436" s="53" t="n">
        <v>58.21</v>
      </c>
      <c r="F436" s="53" t="n">
        <v>0</v>
      </c>
      <c r="G436" s="55" t="n">
        <v>1</v>
      </c>
      <c r="H436" s="57" t="n">
        <v>0</v>
      </c>
      <c r="I436" s="55" t="n"/>
      <c r="J436" s="56" t="n"/>
      <c r="K436" s="56" t="inlineStr">
        <is>
          <t>https://amazon.com/dp/B0G4QSCH81</t>
        </is>
      </c>
      <c r="L436" s="34">
        <f>HYPERLINK(TABLE436)</f>
        <v/>
      </c>
    </row>
    <row r="437">
      <c r="A437" s="30" t="inlineStr">
        <is>
          <t>MS310 Automobile Diagnostic Instrument Car Engine Fault Code Reader CAN Tool OBD II Scanner LCD OBD2/EOBD for All OBD2 Vehicles Since 1996&amp;Newer</t>
        </is>
      </c>
      <c r="B437" s="30" t="inlineStr">
        <is>
          <t>B0DFH2V1V5</t>
        </is>
      </c>
      <c r="C437" s="30" t="inlineStr">
        <is>
          <t>Handheld</t>
        </is>
      </c>
      <c r="D437" s="324" t="n">
        <v>29.99</v>
      </c>
      <c r="E437" s="53" t="n">
        <v>61.43</v>
      </c>
      <c r="F437" s="53" t="n">
        <v>0</v>
      </c>
      <c r="G437" s="55" t="n">
        <v>2</v>
      </c>
      <c r="H437" s="57" t="n">
        <v>0</v>
      </c>
      <c r="I437" s="55" t="n"/>
      <c r="J437" s="56" t="n"/>
      <c r="K437" s="56" t="inlineStr">
        <is>
          <t>https://amazon.com/dp/B0DFH2V1V5</t>
        </is>
      </c>
      <c r="L437" s="34">
        <f>HYPERLINK(TABLE437)</f>
        <v/>
      </c>
    </row>
    <row r="438">
      <c r="A438" s="30" t="inlineStr">
        <is>
          <t>for AK90+ AK90 Auto Key Programmer for EWS Version V3.19 AK90 Key Maker for Programming Tool</t>
        </is>
      </c>
      <c r="B438" s="30" t="inlineStr">
        <is>
          <t>B0FC6M4J5H</t>
        </is>
      </c>
      <c r="C438" s="30" t="inlineStr">
        <is>
          <t>Handheld</t>
        </is>
      </c>
      <c r="D438" s="324" t="n">
        <v>39</v>
      </c>
      <c r="E438" s="53" t="n">
        <v>1202.38</v>
      </c>
      <c r="F438" s="53" t="n">
        <v>0</v>
      </c>
      <c r="G438" s="55" t="n">
        <v>31</v>
      </c>
      <c r="H438" s="57" t="n">
        <v>0</v>
      </c>
      <c r="I438" s="55" t="n">
        <v>5</v>
      </c>
      <c r="J438" s="56" t="n">
        <v>2.7</v>
      </c>
      <c r="K438" s="56" t="inlineStr">
        <is>
          <t>https://amazon.com/dp/B0FC6M4J5H</t>
        </is>
      </c>
      <c r="L438" s="34">
        <f>HYPERLINK(TABLE438)</f>
        <v/>
      </c>
    </row>
    <row r="439">
      <c r="A439" s="30" t="inlineStr">
        <is>
          <t>VN-CI 6154A Diagnostic Scanner for VW/Audi/Skoda/Seat Vehicles, Compatible with origianl ODIS Driver and Software.</t>
        </is>
      </c>
      <c r="B439" s="30" t="inlineStr">
        <is>
          <t>B0FX3SQSSG</t>
        </is>
      </c>
      <c r="C439" s="30" t="inlineStr">
        <is>
          <t>Cable/Adapter</t>
        </is>
      </c>
      <c r="D439" s="324" t="n">
        <v>215</v>
      </c>
      <c r="E439" s="53" t="n">
        <v>388.34</v>
      </c>
      <c r="F439" s="53" t="n">
        <v>0</v>
      </c>
      <c r="G439" s="55" t="n">
        <v>2</v>
      </c>
      <c r="H439" s="57" t="n">
        <v>0</v>
      </c>
      <c r="I439" s="55" t="n"/>
      <c r="J439" s="56" t="n"/>
      <c r="K439" s="56" t="inlineStr">
        <is>
          <t>https://amazon.com/dp/B0FX3SQSSG</t>
        </is>
      </c>
      <c r="L439" s="34">
        <f>HYPERLINK(TABLE439)</f>
        <v/>
      </c>
    </row>
    <row r="440">
      <c r="A440" s="30" t="inlineStr">
        <is>
          <t>V100 Professional OBD2 Scanner, Car Diagnostic Code Reader, Red, LCD Display, Multi-Protocol Support, Compatible with Vehicles After 1996, 9 Languages (Black)</t>
        </is>
      </c>
      <c r="B440" s="30" t="inlineStr">
        <is>
          <t>B0FGQ9ZFCV</t>
        </is>
      </c>
      <c r="C440" s="30" t="inlineStr">
        <is>
          <t>Handheld</t>
        </is>
      </c>
      <c r="D440" s="324" t="n">
        <v>19.9</v>
      </c>
      <c r="E440" s="53" t="n">
        <v>20.96</v>
      </c>
      <c r="F440" s="53" t="n">
        <v>0</v>
      </c>
      <c r="G440" s="55" t="n">
        <v>2</v>
      </c>
      <c r="H440" s="57" t="n">
        <v>0</v>
      </c>
      <c r="I440" s="55" t="n"/>
      <c r="J440" s="56" t="n"/>
      <c r="K440" s="56" t="inlineStr">
        <is>
          <t>https://amazon.com/dp/B0FGQ9ZFCV</t>
        </is>
      </c>
      <c r="L440" s="34">
        <f>HYPERLINK(TABLE440)</f>
        <v/>
      </c>
    </row>
    <row r="441">
      <c r="A441" s="30" t="inlineStr">
        <is>
          <t>V100 Professional OBD2 Scanner, Car Diagnostic Code Reader, Red, LCD Display, Multi-Protocol Support, Compatible with Vehicles After 1996, 9 Languages (Red)</t>
        </is>
      </c>
      <c r="B441" s="30" t="inlineStr">
        <is>
          <t>B0FGPY6BPN</t>
        </is>
      </c>
      <c r="C441" s="30" t="inlineStr">
        <is>
          <t>Handheld</t>
        </is>
      </c>
      <c r="D441" s="324" t="n">
        <v>19.89</v>
      </c>
      <c r="E441" s="53" t="n">
        <v>20.63</v>
      </c>
      <c r="F441" s="53" t="n">
        <v>0</v>
      </c>
      <c r="G441" s="55" t="n">
        <v>2</v>
      </c>
      <c r="H441" s="57" t="n">
        <v>0</v>
      </c>
      <c r="I441" s="55" t="n"/>
      <c r="J441" s="56" t="n"/>
      <c r="K441" s="56" t="inlineStr">
        <is>
          <t>https://amazon.com/dp/B0FGPY6BPN</t>
        </is>
      </c>
      <c r="L441" s="34">
        <f>HYPERLINK(TABLE441)</f>
        <v/>
      </c>
    </row>
    <row r="442">
      <c r="A442" s="30" t="inlineStr">
        <is>
          <t>Diagnostic OBD-II Port Adapter Service Cable OBD2 for Tesla Model 3 2017-2018</t>
        </is>
      </c>
      <c r="B442" s="30" t="inlineStr">
        <is>
          <t>B0C6YNHLFB</t>
        </is>
      </c>
      <c r="C442" s="30" t="inlineStr">
        <is>
          <t>Handheld</t>
        </is>
      </c>
      <c r="D442" s="324" t="n">
        <v>44.95</v>
      </c>
      <c r="E442" s="53" t="n">
        <v>172.94</v>
      </c>
      <c r="F442" s="53" t="n">
        <v>0</v>
      </c>
      <c r="G442" s="55" t="n">
        <v>6</v>
      </c>
      <c r="H442" s="57" t="n">
        <v>0</v>
      </c>
      <c r="I442" s="55" t="n">
        <v>2</v>
      </c>
      <c r="J442" s="56" t="n">
        <v>3.5</v>
      </c>
      <c r="K442" s="56" t="inlineStr">
        <is>
          <t>https://amazon.com/dp/B0C6YNHLFB</t>
        </is>
      </c>
      <c r="L442" s="34">
        <f>HYPERLINK(TABLE442)</f>
        <v/>
      </c>
    </row>
    <row r="443">
      <c r="A443" s="30" t="inlineStr">
        <is>
          <t>for Isuzu IDSS Diagnostic Tool Kit E-IDSS for Isuzu Vehicles Excavator Diagnostic Scanner Tool with Program (for excavators)</t>
        </is>
      </c>
      <c r="B443" s="30" t="inlineStr">
        <is>
          <t>B0CJ6PHM9X</t>
        </is>
      </c>
      <c r="C443" s="30" t="inlineStr">
        <is>
          <t>VCI</t>
        </is>
      </c>
      <c r="D443" s="324" t="n">
        <v>485.89</v>
      </c>
      <c r="E443" s="53" t="n">
        <v>1482.16</v>
      </c>
      <c r="F443" s="53" t="n">
        <v>0</v>
      </c>
      <c r="G443" s="55" t="n">
        <v>3</v>
      </c>
      <c r="H443" s="57" t="n">
        <v>0</v>
      </c>
      <c r="I443" s="55" t="n"/>
      <c r="J443" s="56" t="n"/>
      <c r="K443" s="56" t="inlineStr">
        <is>
          <t>https://amazon.com/dp/B0CJ6PHM9X</t>
        </is>
      </c>
      <c r="L443" s="34">
        <f>HYPERLINK(TABLE443)</f>
        <v/>
      </c>
    </row>
    <row r="444">
      <c r="A444" s="30" t="inlineStr">
        <is>
          <t>for MTU Diagnostic Kit USB-to-CAN Diasys 2.72 MEDC ADEC Full Kit Diesel Engine Truck Diagnosis Scanner Tool (Only MTU Tool)</t>
        </is>
      </c>
      <c r="B444" s="30" t="inlineStr">
        <is>
          <t>B0CLHY5XFK</t>
        </is>
      </c>
      <c r="C444" s="30" t="inlineStr">
        <is>
          <t>VCI</t>
        </is>
      </c>
      <c r="D444" s="324" t="n">
        <v>1206</v>
      </c>
      <c r="E444" s="53" t="n">
        <v>9122.08</v>
      </c>
      <c r="F444" s="53" t="n">
        <v>0</v>
      </c>
      <c r="G444" s="55" t="n">
        <v>8</v>
      </c>
      <c r="H444" s="57" t="n">
        <v>0</v>
      </c>
      <c r="I444" s="55" t="n"/>
      <c r="J444" s="56" t="n"/>
      <c r="K444" s="56" t="inlineStr">
        <is>
          <t>https://amazon.com/dp/B0CLHY5XFK</t>
        </is>
      </c>
      <c r="L444" s="34">
        <f>HYPERLINK(TABLE444)</f>
        <v/>
      </c>
    </row>
    <row r="445">
      <c r="A445" s="30" t="inlineStr">
        <is>
          <t>for MTU Diagnostic Kit USB-to-CAN Diasys 2.72 MEDC ADEC Full Kit Diesel Engine Truck Diagnosis Scanner Tool (MTU Tool with Software)</t>
        </is>
      </c>
      <c r="B445" s="30" t="inlineStr">
        <is>
          <t>B0CLHZY179</t>
        </is>
      </c>
      <c r="C445" s="30" t="inlineStr">
        <is>
          <t>VCI</t>
        </is>
      </c>
      <c r="D445" s="324" t="n">
        <v>1407</v>
      </c>
      <c r="E445" s="53" t="n">
        <v>2896.53</v>
      </c>
      <c r="F445" s="53" t="n">
        <v>0</v>
      </c>
      <c r="G445" s="55" t="n">
        <v>2</v>
      </c>
      <c r="H445" s="57" t="n">
        <v>0</v>
      </c>
      <c r="I445" s="55" t="n"/>
      <c r="J445" s="56" t="n"/>
      <c r="K445" s="56" t="inlineStr">
        <is>
          <t>https://amazon.com/dp/B0CLHZY179</t>
        </is>
      </c>
      <c r="L445" s="34">
        <f>HYPERLINK(TABLE445)</f>
        <v/>
      </c>
    </row>
    <row r="446">
      <c r="A446" s="30" t="inlineStr">
        <is>
          <t>ET-4 478-0235 538-5051 Diagnostic Adapter Tool for Cat Heavy Equipment, Truck Excavator CAT ET4 Diagnostic Tool (ET4 with Software v2025A) (Tool with 53 Laptop,Small)</t>
        </is>
      </c>
      <c r="B446" s="30" t="inlineStr">
        <is>
          <t>B0FHD7J611</t>
        </is>
      </c>
      <c r="C446" s="30" t="inlineStr">
        <is>
          <t>VCI</t>
        </is>
      </c>
      <c r="D446" s="324" t="n">
        <v>977</v>
      </c>
      <c r="E446" s="53" t="n">
        <v>0</v>
      </c>
      <c r="F446" s="53" t="n">
        <v>0</v>
      </c>
      <c r="G446" s="55" t="n">
        <v>0</v>
      </c>
      <c r="H446" s="57" t="n">
        <v>0</v>
      </c>
      <c r="I446" s="55" t="n"/>
      <c r="J446" s="56" t="n"/>
      <c r="K446" s="56" t="inlineStr">
        <is>
          <t>https://amazon.com/dp/B0FHD7J611</t>
        </is>
      </c>
      <c r="L446" s="34">
        <f>HYPERLINK(TABLE446)</f>
        <v/>
      </c>
    </row>
    <row r="447">
      <c r="A447" s="30" t="inlineStr">
        <is>
          <t>CAR Diagnostic Scanner G-SCAN Zenith Z5: Basic KIT 12, 24 vl Automotive Diagnosis Best Asian Vehicle Coverage Nissan, Hyundai, and Kia</t>
        </is>
      </c>
      <c r="B447" s="30" t="inlineStr">
        <is>
          <t>B0CZ7K5VGB</t>
        </is>
      </c>
      <c r="C447" s="30" t="inlineStr">
        <is>
          <t>Handheld</t>
        </is>
      </c>
      <c r="D447" s="324" t="n">
        <v>1590</v>
      </c>
      <c r="E447" s="53" t="n">
        <v>4170</v>
      </c>
      <c r="F447" s="53" t="n">
        <v>0</v>
      </c>
      <c r="G447" s="55" t="n">
        <v>3</v>
      </c>
      <c r="H447" s="57" t="n">
        <v>0</v>
      </c>
      <c r="I447" s="55" t="n"/>
      <c r="J447" s="56" t="n"/>
      <c r="K447" s="56" t="inlineStr">
        <is>
          <t>https://amazon.com/dp/B0CZ7K5VGB</t>
        </is>
      </c>
      <c r="L447" s="34">
        <f>HYPERLINK(TABLE447)</f>
        <v/>
      </c>
    </row>
    <row r="448">
      <c r="A448" s="30" t="inlineStr">
        <is>
          <t>OBD2 Scanner MS309 Automotive Check Engine Code Reader, Check Emission Monitor Status, CAN Diagnostic Scan Tool for All OBDII Protocol Vehicles After 1996</t>
        </is>
      </c>
      <c r="B448" s="30" t="inlineStr">
        <is>
          <t>B0D1YNQNWZ</t>
        </is>
      </c>
      <c r="C448" s="30" t="inlineStr">
        <is>
          <t>Handheld</t>
        </is>
      </c>
      <c r="D448" s="324" t="n">
        <v>14.99</v>
      </c>
      <c r="E448" s="53" t="n">
        <v>28.54</v>
      </c>
      <c r="F448" s="53" t="n">
        <v>0</v>
      </c>
      <c r="G448" s="55" t="n">
        <v>2</v>
      </c>
      <c r="H448" s="57" t="n">
        <v>0</v>
      </c>
      <c r="I448" s="55" t="n"/>
      <c r="J448" s="56" t="n"/>
      <c r="K448" s="56" t="inlineStr">
        <is>
          <t>https://amazon.com/dp/B0D1YNQNWZ</t>
        </is>
      </c>
      <c r="L448" s="34">
        <f>HYPERLINK(TABLE448)</f>
        <v/>
      </c>
    </row>
    <row r="449">
      <c r="A449" s="30" t="inlineStr">
        <is>
          <t>DDEC Marine Adapter (Locking) for NEXIQ USB Link 2 &amp; 3</t>
        </is>
      </c>
      <c r="B449" s="30" t="inlineStr">
        <is>
          <t>B0CRWLRQQ9</t>
        </is>
      </c>
      <c r="C449" s="30" t="inlineStr">
        <is>
          <t>Cable/Adapter</t>
        </is>
      </c>
      <c r="D449" s="324" t="n">
        <v>178.95</v>
      </c>
      <c r="E449" s="53" t="n">
        <v>345.98</v>
      </c>
      <c r="F449" s="53" t="n">
        <v>0</v>
      </c>
      <c r="G449" s="55" t="n">
        <v>2</v>
      </c>
      <c r="H449" s="57" t="n">
        <v>0</v>
      </c>
      <c r="I449" s="55" t="n"/>
      <c r="J449" s="56" t="n"/>
      <c r="K449" s="56" t="inlineStr">
        <is>
          <t>https://amazon.com/dp/B0CRWLRQQ9</t>
        </is>
      </c>
      <c r="L449" s="34">
        <f>HYPERLINK(TABLE449)</f>
        <v/>
      </c>
    </row>
    <row r="450">
      <c r="A450" s="30" t="inlineStr">
        <is>
          <t>for Kobelco Engine Failure Diagnostic Tool for Hino Excavator Scaner Detector 09993-E9070 Data Link Communication</t>
        </is>
      </c>
      <c r="B450" s="30" t="inlineStr">
        <is>
          <t>B0CLD4QGH2</t>
        </is>
      </c>
      <c r="C450" s="30" t="inlineStr">
        <is>
          <t>VCI</t>
        </is>
      </c>
      <c r="D450" s="324" t="n">
        <v>288</v>
      </c>
      <c r="E450" s="53" t="n">
        <v>1678.03</v>
      </c>
      <c r="F450" s="53" t="n">
        <v>0</v>
      </c>
      <c r="G450" s="55" t="n">
        <v>6</v>
      </c>
      <c r="H450" s="57" t="n">
        <v>0</v>
      </c>
      <c r="I450" s="55" t="n"/>
      <c r="J450" s="56" t="n"/>
      <c r="K450" s="56" t="inlineStr">
        <is>
          <t>https://amazon.com/dp/B0CLD4QGH2</t>
        </is>
      </c>
      <c r="L450" s="34">
        <f>HYPERLINK(TABLE450)</f>
        <v/>
      </c>
    </row>
    <row r="451">
      <c r="A451" s="30" t="inlineStr">
        <is>
          <t>478-0235 538-5051 317-7485 ET4 Communication Adapter 2023A Heavy Duty Diagnostic Tester Tool for Caterpillar Truck Excavator Scanner</t>
        </is>
      </c>
      <c r="B451" s="30" t="inlineStr">
        <is>
          <t>B0CJ6GMTGV</t>
        </is>
      </c>
      <c r="C451" s="30" t="inlineStr">
        <is>
          <t>VCI</t>
        </is>
      </c>
      <c r="D451" s="324" t="n">
        <v>340</v>
      </c>
      <c r="E451" s="53" t="n">
        <v>1026.77</v>
      </c>
      <c r="F451" s="53" t="n">
        <v>0</v>
      </c>
      <c r="G451" s="55" t="n">
        <v>3</v>
      </c>
      <c r="H451" s="57" t="n">
        <v>0</v>
      </c>
      <c r="I451" s="55" t="n"/>
      <c r="J451" s="56" t="n"/>
      <c r="K451" s="56" t="inlineStr">
        <is>
          <t>https://amazon.com/dp/B0CJ6GMTGV</t>
        </is>
      </c>
      <c r="L451" s="34">
        <f>HYPERLINK(TABLE451)</f>
        <v/>
      </c>
    </row>
    <row r="452">
      <c r="A452" s="30" t="inlineStr">
        <is>
          <t>OBD Code Reader Automotive OBD2 Scanner Car Check Engine Fault Diagnostic Tool</t>
        </is>
      </c>
      <c r="B452" s="30" t="inlineStr">
        <is>
          <t>B0CPLYXDBH</t>
        </is>
      </c>
      <c r="C452" s="30" t="inlineStr">
        <is>
          <t>Handheld</t>
        </is>
      </c>
      <c r="D452" s="324" t="n">
        <v>14.99</v>
      </c>
      <c r="E452" s="53" t="n">
        <v>0</v>
      </c>
      <c r="F452" s="53" t="n">
        <v>0</v>
      </c>
      <c r="G452" s="55" t="n">
        <v>0</v>
      </c>
      <c r="H452" s="57" t="n">
        <v>0</v>
      </c>
      <c r="I452" s="55" t="n"/>
      <c r="J452" s="56" t="n"/>
      <c r="K452" s="56" t="inlineStr">
        <is>
          <t>https://amazon.com/dp/B0CPLYXDBH</t>
        </is>
      </c>
      <c r="L452" s="34">
        <f>HYPERLINK(TABLE452)</f>
        <v/>
      </c>
    </row>
    <row r="453">
      <c r="A453" s="30" t="inlineStr">
        <is>
          <t>Code Reader, Check Engine Code Reader,Your Ultimate Road-Trip Assistant, Enabling Swift Vehicle Diagnostics,for OM123，OBDMATE,OBDII,OBD2,EOBD+CAN,Highly Portable&amp;Reliable,Scanner for Car (Orange)</t>
        </is>
      </c>
      <c r="B453" s="30" t="inlineStr">
        <is>
          <t>B0CCCV38MM</t>
        </is>
      </c>
      <c r="C453" s="30" t="inlineStr">
        <is>
          <t>Handheld</t>
        </is>
      </c>
      <c r="D453" s="324" t="n">
        <v>49.88</v>
      </c>
      <c r="E453" s="53" t="n">
        <v>208.13</v>
      </c>
      <c r="F453" s="53" t="n">
        <v>0</v>
      </c>
      <c r="G453" s="55" t="n">
        <v>4</v>
      </c>
      <c r="H453" s="57" t="n">
        <v>0</v>
      </c>
      <c r="I453" s="55" t="n"/>
      <c r="J453" s="56" t="n"/>
      <c r="K453" s="56" t="inlineStr">
        <is>
          <t>https://amazon.com/dp/B0CCCV38MM</t>
        </is>
      </c>
      <c r="L453" s="34">
        <f>HYPERLINK(TABLE453)</f>
        <v/>
      </c>
    </row>
    <row r="454">
      <c r="A454" s="30" t="inlineStr">
        <is>
          <t>FOXWELL NT530 for Dodge - All Systems, All Maintenance Service - Bidirectional Diagnostic Scan Tool OBD2 Scanner Automotive Code Reader ABS Bleed SRS Airbag SAS TPMS TPS EPB Oil Reset CKP</t>
        </is>
      </c>
      <c r="B454" s="30" t="inlineStr">
        <is>
          <t>B0C2DBCPQ5</t>
        </is>
      </c>
      <c r="C454" s="30" t="inlineStr">
        <is>
          <t>Handheld</t>
        </is>
      </c>
      <c r="D454" s="324" t="n">
        <v>169.95</v>
      </c>
      <c r="E454" s="53" t="n">
        <v>1198.44</v>
      </c>
      <c r="F454" s="53" t="n">
        <v>0</v>
      </c>
      <c r="G454" s="55" t="n">
        <v>8</v>
      </c>
      <c r="H454" s="57" t="n">
        <v>0</v>
      </c>
      <c r="I454" s="55" t="n"/>
      <c r="J454" s="56" t="n"/>
      <c r="K454" s="56" t="inlineStr">
        <is>
          <t>https://amazon.com/dp/B0C2DBCPQ5</t>
        </is>
      </c>
      <c r="L454" s="34">
        <f>HYPERLINK(TABLE454)</f>
        <v/>
      </c>
    </row>
    <row r="455">
      <c r="A455" s="30" t="inlineStr">
        <is>
          <t>for Isuzu IDSS Diagnostic Tool Kit G-IDSS E-IDSS for Isuzu Vehicles Excavator Diagnostic Scanner Tool with Program (for excavators)</t>
        </is>
      </c>
      <c r="B455" s="30" t="inlineStr">
        <is>
          <t>B0CJRNCP8R</t>
        </is>
      </c>
      <c r="C455" s="30" t="inlineStr">
        <is>
          <t>VCI</t>
        </is>
      </c>
      <c r="D455" s="324" t="n">
        <v>485.89</v>
      </c>
      <c r="E455" s="53" t="n">
        <v>311.11</v>
      </c>
      <c r="F455" s="53" t="n">
        <v>0</v>
      </c>
      <c r="G455" s="55" t="n">
        <v>1</v>
      </c>
      <c r="H455" s="57" t="n">
        <v>0</v>
      </c>
      <c r="I455" s="55" t="n"/>
      <c r="J455" s="56" t="n"/>
      <c r="K455" s="56" t="inlineStr">
        <is>
          <t>https://amazon.com/dp/B0CJRNCP8R</t>
        </is>
      </c>
      <c r="L455" s="34">
        <f>HYPERLINK(TABLE455)</f>
        <v/>
      </c>
    </row>
    <row r="456">
      <c r="A456" s="30" t="inlineStr">
        <is>
          <t>Multi-Function LED BDM Frame Holder ECU Read/Write Station with 4 Probe pens for BDM100 Kess KTAG</t>
        </is>
      </c>
      <c r="B456" s="30" t="inlineStr">
        <is>
          <t>B0DH1KLHB8</t>
        </is>
      </c>
      <c r="C456" s="30" t="inlineStr">
        <is>
          <t>Other</t>
        </is>
      </c>
      <c r="D456" s="324" t="n">
        <v>49.99</v>
      </c>
      <c r="E456" s="53" t="n">
        <v>605.6099999999999</v>
      </c>
      <c r="F456" s="53" t="n">
        <v>0</v>
      </c>
      <c r="G456" s="55" t="n">
        <v>12</v>
      </c>
      <c r="H456" s="57" t="n">
        <v>0</v>
      </c>
      <c r="I456" s="55" t="n">
        <v>1</v>
      </c>
      <c r="J456" s="56" t="n">
        <v>5</v>
      </c>
      <c r="K456" s="56" t="inlineStr">
        <is>
          <t>https://amazon.com/dp/B0DH1KLHB8</t>
        </is>
      </c>
      <c r="L456" s="34">
        <f>HYPERLINK(TABLE456)</f>
        <v/>
      </c>
    </row>
    <row r="457">
      <c r="A457" s="30" t="inlineStr">
        <is>
          <t>for Isuzu IDSS Diagnostic Tool Kit G-IDSS E-IDSS for Isuzu Vehicles Excavator Diagnostic Scanner Tool with Program (for Trucks)</t>
        </is>
      </c>
      <c r="B457" s="30" t="inlineStr">
        <is>
          <t>B0CJRMR5HP</t>
        </is>
      </c>
      <c r="C457" s="30" t="inlineStr">
        <is>
          <t>VCI</t>
        </is>
      </c>
      <c r="D457" s="324" t="n">
        <v>428</v>
      </c>
      <c r="E457" s="53" t="n">
        <v>2052.01</v>
      </c>
      <c r="F457" s="53" t="n">
        <v>0</v>
      </c>
      <c r="G457" s="55" t="n">
        <v>5</v>
      </c>
      <c r="H457" s="57" t="n">
        <v>0</v>
      </c>
      <c r="I457" s="55" t="n"/>
      <c r="J457" s="56" t="n"/>
      <c r="K457" s="56" t="inlineStr">
        <is>
          <t>https://amazon.com/dp/B0CJRMR5HP</t>
        </is>
      </c>
      <c r="L457" s="34">
        <f>HYPERLINK(TABLE457)</f>
        <v/>
      </c>
    </row>
    <row r="458">
      <c r="A458" s="30" t="inlineStr">
        <is>
          <t>OBD2 Scanner Diagnostic Tool - Professional Car Code Reader, Check Engine Code Reader with Real-Time Data, Freeze Frame, I/M Readiness for All OBDII Protocol Cars Since 1996 (MS 309)</t>
        </is>
      </c>
      <c r="B458" s="30" t="inlineStr">
        <is>
          <t>B0DLW7YST8</t>
        </is>
      </c>
      <c r="C458" s="30" t="inlineStr">
        <is>
          <t>Handheld</t>
        </is>
      </c>
      <c r="D458" s="324" t="n">
        <v>14.99</v>
      </c>
      <c r="E458" s="53" t="n">
        <v>88.12</v>
      </c>
      <c r="F458" s="53" t="n">
        <v>0</v>
      </c>
      <c r="G458" s="55" t="n">
        <v>6</v>
      </c>
      <c r="H458" s="57" t="n">
        <v>0</v>
      </c>
      <c r="I458" s="55" t="n">
        <v>1</v>
      </c>
      <c r="J458" s="56" t="n">
        <v>5</v>
      </c>
      <c r="K458" s="56" t="inlineStr">
        <is>
          <t>https://amazon.com/dp/B0DLW7YST8</t>
        </is>
      </c>
      <c r="L458" s="34">
        <f>HYPERLINK(TABLE458)</f>
        <v/>
      </c>
    </row>
    <row r="459">
      <c r="A459" s="30" t="inlineStr">
        <is>
          <t>for Isuzu IDSS Diagnostic Tool Kit G-IDSS for Isuzu Vehicles Excavator Diagnostic Scanner Tool with Program (for Trucks)</t>
        </is>
      </c>
      <c r="B459" s="30" t="inlineStr">
        <is>
          <t>B0CJ6QLJHW</t>
        </is>
      </c>
      <c r="C459" s="30" t="inlineStr">
        <is>
          <t>VCI</t>
        </is>
      </c>
      <c r="D459" s="324" t="n">
        <v>428</v>
      </c>
      <c r="E459" s="53" t="n">
        <v>0</v>
      </c>
      <c r="F459" s="53" t="n">
        <v>0</v>
      </c>
      <c r="G459" s="55" t="n">
        <v>0</v>
      </c>
      <c r="H459" s="57" t="n">
        <v>0</v>
      </c>
      <c r="I459" s="55" t="n"/>
      <c r="J459" s="56" t="n"/>
      <c r="K459" s="56" t="inlineStr">
        <is>
          <t>https://amazon.com/dp/B0CJ6QLJHW</t>
        </is>
      </c>
      <c r="L459" s="34">
        <f>HYPERLINK(TABLE459)</f>
        <v/>
      </c>
    </row>
    <row r="460">
      <c r="A460" s="33" t="inlineStr">
        <is>
          <t>Total</t>
        </is>
      </c>
      <c r="B460" s="32" t="n"/>
      <c r="C460" s="325" t="n"/>
      <c r="D460" s="59" t="n"/>
      <c r="E460" s="32" t="n"/>
      <c r="F460" s="32" t="n"/>
      <c r="G460" s="36">
        <f>SUM(G259:G459)</f>
        <v/>
      </c>
      <c r="H460" s="36">
        <f>SUM(H259:H459)</f>
        <v/>
      </c>
      <c r="I460" s="36" t="n"/>
      <c r="J460" s="167" t="n"/>
      <c r="K460" s="168" t="n"/>
      <c r="L460" s="32" t="n"/>
    </row>
  </sheetData>
  <mergeCells count="3">
    <mergeCell ref="A1:M5"/>
    <mergeCell ref="A131:L131"/>
    <mergeCell ref="A51:L51"/>
  </mergeCells>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29.xml><?xml version="1.0" encoding="utf-8"?>
<worksheet xmlns="http://schemas.openxmlformats.org/spreadsheetml/2006/main">
  <sheetPr codeName="Sheet6">
    <outlinePr summaryBelow="1" summaryRight="1"/>
    <pageSetUpPr/>
  </sheetPr>
  <dimension ref="A1:Q208"/>
  <sheetViews>
    <sheetView workbookViewId="0">
      <selection activeCell="A1" sqref="A1"/>
    </sheetView>
  </sheetViews>
  <sheetFormatPr baseColWidth="10" defaultColWidth="10.83203125" defaultRowHeight="16"/>
  <cols>
    <col width="50.6640625" customWidth="1" style="284" min="1" max="1"/>
    <col width="12.6640625" customWidth="1" style="284" min="2" max="2"/>
    <col width="12.6640625" customWidth="1" style="320" min="3" max="3"/>
    <col width="11.1640625" customWidth="1" style="296" min="4" max="4"/>
    <col width="24.83203125" bestFit="1" customWidth="1" style="284" min="5" max="5"/>
    <col width="17.6640625" bestFit="1" customWidth="1" style="286" min="6" max="6"/>
    <col width="21.6640625" bestFit="1" customWidth="1" style="286" min="7" max="7"/>
    <col width="19.1640625" bestFit="1" customWidth="1" style="286" min="8" max="8"/>
    <col width="13.5" bestFit="1" customWidth="1" style="287" min="9" max="9"/>
    <col width="13" bestFit="1" customWidth="1" style="284" min="10" max="10"/>
    <col hidden="1" width="29" customWidth="1" style="284" min="11" max="11"/>
    <col width="35.6640625" customWidth="1" style="284" min="12" max="12"/>
    <col width="15.6640625" customWidth="1" style="284" min="13" max="13"/>
    <col width="10.83203125" customWidth="1" style="284" min="14" max="16384"/>
  </cols>
  <sheetData>
    <row r="1">
      <c r="A1" s="282" t="inlineStr">
        <is>
          <t>Innovative Products Of America Monthly Summary</t>
        </is>
      </c>
    </row>
    <row r="2"/>
    <row r="3"/>
    <row r="4"/>
    <row r="5"/>
    <row r="6">
      <c r="A6" s="29" t="n"/>
      <c r="B6" s="29" t="n"/>
      <c r="C6" s="321" t="n"/>
      <c r="D6" s="47" t="n"/>
      <c r="E6" s="48" t="n"/>
      <c r="F6" s="48" t="n"/>
      <c r="G6" s="48" t="n"/>
      <c r="H6" s="48" t="n"/>
      <c r="I6" s="49" t="n"/>
      <c r="J6" s="50" t="n"/>
    </row>
    <row r="7" ht="32" customHeight="1" s="290">
      <c r="A7" s="80" t="n"/>
      <c r="B7" s="81" t="inlineStr">
        <is>
          <t>Avg Price</t>
        </is>
      </c>
      <c r="C7" s="81" t="inlineStr">
        <is>
          <t>Avg Price MoM</t>
        </is>
      </c>
      <c r="D7" s="82" t="inlineStr">
        <is>
          <t>Avg Price YoY</t>
        </is>
      </c>
      <c r="E7" s="81" t="inlineStr">
        <is>
          <t>Quantity/Mo</t>
        </is>
      </c>
      <c r="F7" s="84" t="inlineStr">
        <is>
          <t>Qty by %</t>
        </is>
      </c>
      <c r="G7" s="84" t="inlineStr">
        <is>
          <t>Qty MoM</t>
        </is>
      </c>
      <c r="H7" s="82" t="inlineStr">
        <is>
          <t>Qty YoY</t>
        </is>
      </c>
      <c r="I7" s="309" t="inlineStr">
        <is>
          <t>Revenue/Mo</t>
        </is>
      </c>
      <c r="J7" s="126" t="inlineStr">
        <is>
          <t>Revenue by %</t>
        </is>
      </c>
      <c r="K7" s="173" t="n"/>
      <c r="L7" s="126" t="inlineStr">
        <is>
          <t>Revenue MoM</t>
        </is>
      </c>
      <c r="M7" s="310" t="inlineStr">
        <is>
          <t>Revenue YoY</t>
        </is>
      </c>
      <c r="N7" s="286" t="n"/>
      <c r="O7" s="286" t="n"/>
      <c r="P7" s="49" t="n"/>
      <c r="Q7" s="50" t="n"/>
    </row>
    <row r="8">
      <c r="A8" s="93" t="inlineStr">
        <is>
          <t>Tablet $800+</t>
        </is>
      </c>
      <c r="B8" s="298" t="n"/>
      <c r="C8" s="270" t="n"/>
      <c r="D8" s="271" t="n"/>
      <c r="E8" s="269" t="n">
        <v>0</v>
      </c>
      <c r="F8" s="270" t="n">
        <v>0</v>
      </c>
      <c r="G8" s="270" t="n"/>
      <c r="H8" s="271" t="n"/>
      <c r="I8" s="95" t="n">
        <v>0</v>
      </c>
      <c r="J8" s="128" t="n">
        <v>0</v>
      </c>
      <c r="L8" s="169" t="n"/>
      <c r="M8" s="169" t="n"/>
      <c r="N8" s="286" t="n"/>
      <c r="O8" s="286" t="n"/>
      <c r="P8" s="49" t="n"/>
      <c r="Q8" s="50" t="n"/>
    </row>
    <row r="9">
      <c r="A9" s="93" t="inlineStr">
        <is>
          <t>Tablet $400-$800</t>
        </is>
      </c>
      <c r="B9" s="298" t="n"/>
      <c r="C9" s="270" t="n"/>
      <c r="D9" s="271" t="n"/>
      <c r="E9" s="269" t="n">
        <v>0</v>
      </c>
      <c r="F9" s="270" t="n">
        <v>0</v>
      </c>
      <c r="G9" s="270" t="n"/>
      <c r="H9" s="271" t="n"/>
      <c r="I9" s="95" t="n">
        <v>0</v>
      </c>
      <c r="J9" s="128" t="n">
        <v>0</v>
      </c>
      <c r="L9" s="169" t="n"/>
      <c r="M9" s="169" t="n"/>
      <c r="N9" s="286" t="n"/>
      <c r="O9" s="286" t="n"/>
      <c r="P9" s="49" t="n"/>
      <c r="Q9" s="50" t="n"/>
    </row>
    <row r="10">
      <c r="A10" s="96" t="inlineStr">
        <is>
          <t>Tablet $400-</t>
        </is>
      </c>
      <c r="B10" s="299" t="n"/>
      <c r="C10" s="274" t="n"/>
      <c r="D10" s="275" t="n"/>
      <c r="E10" s="273" t="n">
        <v>0</v>
      </c>
      <c r="F10" s="274" t="n">
        <v>0</v>
      </c>
      <c r="G10" s="274" t="n"/>
      <c r="H10" s="275" t="n"/>
      <c r="I10" s="98" t="n">
        <v>0</v>
      </c>
      <c r="J10" s="127" t="n">
        <v>0</v>
      </c>
      <c r="L10" s="171" t="n"/>
      <c r="M10" s="171" t="n"/>
      <c r="N10" s="286" t="n"/>
      <c r="O10" s="286" t="n"/>
      <c r="P10" s="49" t="n"/>
      <c r="Q10" s="50" t="n"/>
    </row>
    <row r="11">
      <c r="A11" s="101" t="inlineStr">
        <is>
          <t>Total Tablet</t>
        </is>
      </c>
      <c r="B11" s="300" t="n"/>
      <c r="C11" s="112" t="n"/>
      <c r="D11" s="104" t="n"/>
      <c r="E11" s="116" t="n">
        <v>0</v>
      </c>
      <c r="F11" s="112" t="n">
        <v>0</v>
      </c>
      <c r="G11" s="112" t="n"/>
      <c r="H11" s="104" t="n"/>
      <c r="I11" s="103" t="n">
        <v>0</v>
      </c>
      <c r="J11" s="129" t="n">
        <v>0</v>
      </c>
      <c r="L11" s="170" t="n"/>
      <c r="M11" s="170" t="n"/>
      <c r="N11" s="286" t="n"/>
      <c r="O11" s="286" t="n"/>
      <c r="P11" s="49" t="n"/>
      <c r="Q11" s="50" t="n"/>
    </row>
    <row r="12">
      <c r="A12" s="93" t="inlineStr">
        <is>
          <t>Handheld $75+</t>
        </is>
      </c>
      <c r="B12" s="298" t="n"/>
      <c r="C12" s="270" t="n"/>
      <c r="D12" s="271" t="n"/>
      <c r="E12" s="269" t="n">
        <v>0</v>
      </c>
      <c r="F12" s="270" t="n">
        <v>0</v>
      </c>
      <c r="G12" s="270" t="n"/>
      <c r="H12" s="271" t="n"/>
      <c r="I12" s="95" t="n">
        <v>0</v>
      </c>
      <c r="J12" s="128" t="n">
        <v>0</v>
      </c>
      <c r="L12" s="169" t="n"/>
      <c r="M12" s="169" t="n"/>
      <c r="N12" s="286" t="n"/>
      <c r="O12" s="286" t="n"/>
      <c r="P12" s="49" t="n"/>
      <c r="Q12" s="50" t="n"/>
    </row>
    <row r="13">
      <c r="A13" s="96" t="inlineStr">
        <is>
          <t>Handheld $75-</t>
        </is>
      </c>
      <c r="B13" s="299" t="n"/>
      <c r="C13" s="274" t="n"/>
      <c r="D13" s="275" t="n"/>
      <c r="E13" s="273" t="n">
        <v>0</v>
      </c>
      <c r="F13" s="274" t="n">
        <v>0</v>
      </c>
      <c r="G13" s="274" t="n"/>
      <c r="H13" s="275" t="n"/>
      <c r="I13" s="98" t="n">
        <v>0</v>
      </c>
      <c r="J13" s="127" t="n">
        <v>0</v>
      </c>
      <c r="L13" s="171" t="n"/>
      <c r="M13" s="171" t="n"/>
      <c r="N13" s="286" t="n"/>
      <c r="O13" s="286" t="n"/>
      <c r="P13" s="49" t="n"/>
      <c r="Q13" s="50" t="n"/>
    </row>
    <row r="14">
      <c r="A14" s="101" t="inlineStr">
        <is>
          <t>Total Handheld</t>
        </is>
      </c>
      <c r="B14" s="300" t="n"/>
      <c r="C14" s="112" t="n"/>
      <c r="D14" s="104" t="n"/>
      <c r="E14" s="116" t="n">
        <v>0</v>
      </c>
      <c r="F14" s="112" t="n">
        <v>0</v>
      </c>
      <c r="G14" s="112" t="n"/>
      <c r="H14" s="104" t="n"/>
      <c r="I14" s="103" t="n">
        <v>0</v>
      </c>
      <c r="J14" s="129" t="n">
        <v>0</v>
      </c>
      <c r="L14" s="170" t="n"/>
      <c r="M14" s="170" t="n"/>
      <c r="N14" s="286" t="n"/>
      <c r="O14" s="286" t="n"/>
      <c r="P14" s="49" t="n"/>
      <c r="Q14" s="50" t="n"/>
    </row>
    <row r="15">
      <c r="A15" s="78" t="inlineStr">
        <is>
          <t>Total Dongle</t>
        </is>
      </c>
      <c r="B15" s="301" t="n"/>
      <c r="C15" s="113" t="n"/>
      <c r="D15" s="107" t="n"/>
      <c r="E15" s="99" t="n">
        <v>0</v>
      </c>
      <c r="F15" s="113" t="n">
        <v>0</v>
      </c>
      <c r="G15" s="113" t="n"/>
      <c r="H15" s="107" t="n"/>
      <c r="I15" s="76" t="n">
        <v>0</v>
      </c>
      <c r="J15" s="130" t="n">
        <v>0</v>
      </c>
      <c r="L15" s="174" t="n"/>
      <c r="M15" s="174" t="n"/>
      <c r="N15" s="286" t="n"/>
      <c r="O15" s="286" t="n"/>
      <c r="P15" s="49" t="n"/>
      <c r="Q15" s="50" t="n"/>
    </row>
    <row r="16">
      <c r="A16" s="78" t="inlineStr">
        <is>
          <t>Total Other Tools</t>
        </is>
      </c>
      <c r="B16" s="301" t="n">
        <v>261.5719402985075</v>
      </c>
      <c r="C16" s="113" t="n">
        <v>0.1236944227509558</v>
      </c>
      <c r="D16" s="107" t="n">
        <v>-0.9448601608069642</v>
      </c>
      <c r="E16" s="99" t="n">
        <v>804</v>
      </c>
      <c r="F16" s="113" t="n">
        <v>1</v>
      </c>
      <c r="G16" s="113" t="n">
        <v>-0.1203501094091903</v>
      </c>
      <c r="H16" s="107" t="n">
        <v>88.33333333333333</v>
      </c>
      <c r="I16" s="76" t="n">
        <v>210303.84</v>
      </c>
      <c r="J16" s="130" t="n">
        <v>1</v>
      </c>
      <c r="L16" s="174" t="n">
        <v>-0.01154232396961874</v>
      </c>
      <c r="M16" s="174" t="n">
        <v>3.925825634577868</v>
      </c>
      <c r="N16" s="286" t="n"/>
      <c r="O16" s="286" t="n"/>
      <c r="P16" s="49" t="n"/>
      <c r="Q16" s="50" t="n"/>
    </row>
    <row r="17">
      <c r="A17" s="86" t="inlineStr">
        <is>
          <t>Total</t>
        </is>
      </c>
      <c r="B17" s="302" t="n">
        <v>261.5719402985075</v>
      </c>
      <c r="C17" s="109" t="n">
        <v>0.1236944227509558</v>
      </c>
      <c r="D17" s="108" t="n">
        <v>-0.9448601608069642</v>
      </c>
      <c r="E17" s="100" t="n">
        <v>804</v>
      </c>
      <c r="F17" s="109" t="n">
        <v>1</v>
      </c>
      <c r="G17" s="109" t="n">
        <v>-0.1203501094091903</v>
      </c>
      <c r="H17" s="108" t="n">
        <v>88.33333333333333</v>
      </c>
      <c r="I17" s="85" t="n">
        <v>210303.84</v>
      </c>
      <c r="J17" s="109" t="n">
        <v>1</v>
      </c>
      <c r="L17" s="172" t="n">
        <v>-0.01154232396961874</v>
      </c>
      <c r="M17" s="172" t="n">
        <v>3.925825634577868</v>
      </c>
      <c r="N17" s="286" t="n"/>
      <c r="O17" s="286" t="n"/>
      <c r="P17" s="49" t="n"/>
      <c r="Q17" s="50" t="n"/>
    </row>
    <row r="18">
      <c r="A18" s="29" t="n"/>
      <c r="B18" s="29" t="n"/>
      <c r="C18" s="321" t="n"/>
      <c r="D18" s="47" t="n"/>
      <c r="E18" s="48" t="n"/>
      <c r="F18" s="48" t="n"/>
      <c r="G18" s="48" t="n"/>
      <c r="H18" s="48" t="n"/>
      <c r="I18" s="49" t="n"/>
      <c r="J18" s="50" t="n"/>
    </row>
    <row r="19">
      <c r="A19" s="29" t="n"/>
      <c r="B19" s="29" t="n"/>
      <c r="C19" s="321" t="n"/>
      <c r="D19" s="47" t="n"/>
      <c r="E19" s="48" t="n"/>
      <c r="F19" s="48" t="n"/>
      <c r="G19" s="48" t="n"/>
      <c r="H19" s="48" t="n"/>
      <c r="I19" s="49" t="n"/>
      <c r="J19" s="50" t="n"/>
    </row>
    <row r="20">
      <c r="A20" s="29" t="n"/>
      <c r="B20" s="29" t="n"/>
      <c r="C20" s="321" t="n"/>
      <c r="D20" s="47" t="n"/>
      <c r="E20" s="48" t="n"/>
      <c r="F20" s="48" t="n"/>
      <c r="G20" s="48" t="n"/>
      <c r="H20" s="48" t="n"/>
      <c r="I20" s="49" t="n"/>
      <c r="J20" s="50" t="n"/>
    </row>
    <row r="21">
      <c r="A21" s="29" t="n"/>
      <c r="B21" s="29" t="n"/>
      <c r="C21" s="321" t="n"/>
      <c r="D21" s="47" t="n"/>
      <c r="E21" s="48" t="n"/>
      <c r="F21" s="48" t="n"/>
      <c r="G21" s="48" t="n"/>
      <c r="H21" s="48" t="n"/>
      <c r="I21" s="49" t="n"/>
      <c r="J21" s="50" t="n"/>
    </row>
    <row r="22">
      <c r="A22" s="29" t="n"/>
      <c r="B22" s="29" t="n"/>
      <c r="C22" s="321" t="n"/>
      <c r="D22" s="47" t="n"/>
      <c r="E22" s="48" t="n"/>
      <c r="F22" s="48" t="n"/>
      <c r="G22" s="48" t="n"/>
      <c r="H22" s="48" t="n"/>
      <c r="I22" s="49" t="n"/>
      <c r="J22" s="50" t="n"/>
    </row>
    <row r="23">
      <c r="A23" s="29" t="n"/>
      <c r="B23" s="29" t="n"/>
      <c r="C23" s="321" t="n"/>
      <c r="D23" s="47" t="n"/>
      <c r="E23" s="48" t="n"/>
      <c r="F23" s="48" t="n"/>
      <c r="G23" s="48" t="n"/>
      <c r="H23" s="48" t="n"/>
      <c r="I23" s="49" t="n"/>
      <c r="J23" s="50" t="n"/>
    </row>
    <row r="24">
      <c r="A24" s="29" t="n"/>
      <c r="B24" s="29" t="n"/>
      <c r="C24" s="321" t="n"/>
      <c r="D24" s="47" t="n"/>
      <c r="E24" s="48" t="n"/>
      <c r="F24" s="48" t="n"/>
      <c r="G24" s="48" t="n"/>
      <c r="H24" s="48" t="n"/>
      <c r="I24" s="49" t="n"/>
      <c r="J24" s="50" t="n"/>
    </row>
    <row r="25">
      <c r="A25" s="29" t="n"/>
      <c r="B25" s="29" t="n"/>
      <c r="C25" s="321" t="n"/>
      <c r="D25" s="47" t="n"/>
      <c r="E25" s="48" t="n"/>
      <c r="F25" s="48" t="n"/>
      <c r="G25" s="48" t="n"/>
      <c r="H25" s="48" t="n"/>
      <c r="I25" s="49" t="n"/>
      <c r="J25" s="50" t="n"/>
    </row>
    <row r="26">
      <c r="A26" s="29" t="n"/>
      <c r="B26" s="29" t="n"/>
      <c r="C26" s="321" t="n"/>
      <c r="D26" s="47" t="n"/>
      <c r="E26" s="48" t="n"/>
      <c r="F26" s="48" t="n"/>
      <c r="G26" s="48" t="n"/>
      <c r="H26" s="48" t="n"/>
      <c r="I26" s="49" t="n"/>
      <c r="J26" s="50" t="n"/>
    </row>
    <row r="27">
      <c r="A27" s="29" t="n"/>
      <c r="B27" s="29" t="n"/>
      <c r="C27" s="321" t="n"/>
      <c r="D27" s="47" t="n"/>
      <c r="E27" s="48" t="n"/>
      <c r="F27" s="48" t="n"/>
      <c r="G27" s="48" t="n"/>
      <c r="H27" s="48" t="n"/>
      <c r="I27" s="49" t="n"/>
      <c r="J27" s="50" t="n"/>
    </row>
    <row r="28">
      <c r="A28" s="29" t="n"/>
      <c r="B28" s="29" t="n"/>
      <c r="C28" s="321" t="n"/>
      <c r="D28" s="47" t="n"/>
      <c r="E28" s="48" t="n"/>
      <c r="F28" s="48" t="n"/>
      <c r="G28" s="48" t="n"/>
      <c r="H28" s="48" t="n"/>
      <c r="I28" s="49" t="n"/>
      <c r="J28" s="50" t="n"/>
    </row>
    <row r="29">
      <c r="A29" s="29" t="n"/>
      <c r="B29" s="29" t="n"/>
      <c r="C29" s="321" t="n"/>
      <c r="D29" s="47" t="n"/>
      <c r="E29" s="48" t="n"/>
      <c r="F29" s="48" t="n"/>
      <c r="G29" s="48" t="n"/>
      <c r="H29" s="48" t="n"/>
      <c r="I29" s="49" t="n"/>
      <c r="J29" s="50" t="n"/>
    </row>
    <row r="30">
      <c r="A30" s="29" t="n"/>
      <c r="B30" s="29" t="n"/>
      <c r="C30" s="321" t="n"/>
      <c r="D30" s="47" t="n"/>
      <c r="E30" s="48" t="n"/>
      <c r="F30" s="48" t="n"/>
      <c r="G30" s="48" t="n"/>
      <c r="H30" s="48" t="n"/>
      <c r="I30" s="49" t="n"/>
      <c r="J30" s="50" t="n"/>
    </row>
    <row r="31">
      <c r="A31" s="29" t="n"/>
      <c r="B31" s="29" t="n"/>
      <c r="C31" s="321" t="n"/>
      <c r="D31" s="47" t="n"/>
      <c r="E31" s="48" t="n"/>
      <c r="F31" s="48" t="n"/>
      <c r="G31" s="48" t="n"/>
      <c r="H31" s="48" t="n"/>
      <c r="I31" s="49" t="n"/>
      <c r="J31" s="50" t="n"/>
    </row>
    <row r="32">
      <c r="A32" s="29" t="n"/>
      <c r="B32" s="29" t="n"/>
      <c r="C32" s="321" t="n"/>
      <c r="D32" s="47" t="n"/>
      <c r="E32" s="48" t="n"/>
      <c r="F32" s="48" t="n"/>
      <c r="G32" s="48" t="n"/>
      <c r="H32" s="48" t="n"/>
      <c r="I32" s="49" t="n"/>
      <c r="J32" s="50" t="n"/>
    </row>
    <row r="33">
      <c r="A33" s="29" t="n"/>
      <c r="B33" s="29" t="n"/>
      <c r="C33" s="321" t="n"/>
      <c r="D33" s="47" t="n"/>
      <c r="E33" s="48" t="n"/>
      <c r="F33" s="48" t="n"/>
      <c r="G33" s="48" t="n"/>
      <c r="H33" s="48" t="n"/>
      <c r="I33" s="49" t="n"/>
      <c r="J33" s="50" t="n"/>
    </row>
    <row r="49" ht="16" customHeight="1" s="290">
      <c r="C49" s="284" t="n"/>
      <c r="D49" s="284" t="n"/>
      <c r="F49" s="284" t="n"/>
      <c r="G49" s="284" t="n"/>
      <c r="H49" s="284" t="n"/>
      <c r="I49" s="284" t="n"/>
    </row>
    <row r="50">
      <c r="C50" s="284" t="n"/>
      <c r="D50" s="284" t="n"/>
      <c r="F50" s="284" t="n"/>
      <c r="G50" s="284" t="n"/>
      <c r="H50" s="284" t="n"/>
      <c r="I50" s="284" t="n"/>
    </row>
    <row r="51">
      <c r="A51" s="283" t="inlineStr">
        <is>
          <t xml:space="preserve">Rank by Revenue </t>
        </is>
      </c>
    </row>
    <row r="52" ht="17" customHeight="1" s="290">
      <c r="A52" s="38" t="inlineStr">
        <is>
          <t>Product Name</t>
        </is>
      </c>
      <c r="B52" s="39" t="inlineStr">
        <is>
          <t>ASIN</t>
        </is>
      </c>
      <c r="C52" s="39" t="inlineStr">
        <is>
          <t>Type</t>
        </is>
      </c>
      <c r="D52" s="322" t="inlineStr">
        <is>
          <t>Avg Price</t>
        </is>
      </c>
      <c r="E52" s="41" t="inlineStr">
        <is>
          <t>Estimated 12mo Revenue</t>
        </is>
      </c>
      <c r="F52" s="39" t="inlineStr">
        <is>
          <t>Monthly Rev</t>
        </is>
      </c>
      <c r="G52" s="42" t="inlineStr">
        <is>
          <t>Estimated 12mo Units</t>
        </is>
      </c>
      <c r="H52" s="45" t="inlineStr">
        <is>
          <t>Monthly Units</t>
        </is>
      </c>
      <c r="I52" s="42" t="inlineStr">
        <is>
          <t># of Reviews</t>
        </is>
      </c>
      <c r="J52" s="43" t="inlineStr">
        <is>
          <t xml:space="preserve">Tool Rating </t>
        </is>
      </c>
      <c r="K52" s="43" t="inlineStr">
        <is>
          <t>Column1</t>
        </is>
      </c>
      <c r="L52" s="323" t="inlineStr">
        <is>
          <t>Link</t>
        </is>
      </c>
    </row>
    <row r="53" ht="45" customHeight="1" s="290">
      <c r="A53" s="30" t="inlineStr">
        <is>
          <t>Innovative Products of America Heavy Ranger MUTT Portable Trailer Light Tester with 7-Way Round Pin (SAE J560) for Commercial Tractor Trailers</t>
        </is>
      </c>
      <c r="B53" s="30" t="inlineStr">
        <is>
          <t>B00H9UT1OU</t>
        </is>
      </c>
      <c r="C53" s="30" t="inlineStr">
        <is>
          <t>Other</t>
        </is>
      </c>
      <c r="D53" s="324" t="n">
        <v>185.6816363636364</v>
      </c>
      <c r="E53" s="53" t="n">
        <v>840336.7746153848</v>
      </c>
      <c r="F53" s="54" t="n">
        <v>71487.42999999999</v>
      </c>
      <c r="G53" s="55" t="n">
        <v>2751</v>
      </c>
      <c r="H53" s="55" t="n">
        <v>385</v>
      </c>
      <c r="I53" s="55" t="n">
        <v>446</v>
      </c>
      <c r="J53" s="56" t="n">
        <v>4.6</v>
      </c>
      <c r="K53" s="56" t="inlineStr">
        <is>
          <t>https://amazon.com/dp/B00H9UT1OU</t>
        </is>
      </c>
      <c r="L53" s="34">
        <f>HYPERLINK(InnovativeProductsOfAmerica_2[[#This Row],[Column1]])</f>
        <v/>
      </c>
    </row>
    <row r="54" ht="45" customHeight="1" s="290">
      <c r="A54" s="30" t="inlineStr">
        <is>
          <t>Innovative Products of America Light Ranger MUTT: USA Made Universal Portable and Water-Resistant Trailer Light Tester with 7-Way Spade Pin Style with Adapter</t>
        </is>
      </c>
      <c r="B54" s="30" t="inlineStr">
        <is>
          <t>B0120XZ234</t>
        </is>
      </c>
      <c r="C54" s="30" t="inlineStr">
        <is>
          <t>Other</t>
        </is>
      </c>
      <c r="D54" s="324" t="n">
        <v>194.3811506849315</v>
      </c>
      <c r="E54" s="53" t="n">
        <v>1038364.196923077</v>
      </c>
      <c r="F54" s="54" t="n">
        <v>70949.12</v>
      </c>
      <c r="G54" s="55" t="n">
        <v>3653</v>
      </c>
      <c r="H54" s="55" t="n">
        <v>365</v>
      </c>
      <c r="I54" s="55" t="n">
        <v>303</v>
      </c>
      <c r="J54" s="56" t="n">
        <v>4.7</v>
      </c>
      <c r="K54" s="56" t="inlineStr">
        <is>
          <t>https://amazon.com/dp/B0120XZ234</t>
        </is>
      </c>
      <c r="L54" s="34">
        <f>HYPERLINK(InnovativeProductsOfAmerica_2[[#This Row],[Column1]])</f>
        <v/>
      </c>
    </row>
    <row r="55" ht="45" customHeight="1" s="290">
      <c r="A55" s="30" t="inlineStr">
        <is>
          <t>Super MUTT Base Model Diagnostic Trailer Tester IPA 9008-SE</t>
        </is>
      </c>
      <c r="B55" s="30" t="inlineStr">
        <is>
          <t>B009TC9K2Y</t>
        </is>
      </c>
      <c r="C55" s="30" t="inlineStr">
        <is>
          <t>Other</t>
        </is>
      </c>
      <c r="D55" s="324" t="n">
        <v>2135.575</v>
      </c>
      <c r="E55" s="53" t="n">
        <v>183432.01</v>
      </c>
      <c r="F55" s="54" t="n">
        <v>17084.6</v>
      </c>
      <c r="G55" s="55" t="n">
        <v>49</v>
      </c>
      <c r="H55" s="55" t="n">
        <v>8</v>
      </c>
      <c r="I55" s="55" t="n">
        <v>3</v>
      </c>
      <c r="J55" s="56" t="n">
        <v>5</v>
      </c>
      <c r="K55" s="56" t="inlineStr">
        <is>
          <t>https://amazon.com/dp/B009TC9K2Y</t>
        </is>
      </c>
      <c r="L55" s="34">
        <f>HYPERLINK(InnovativeProductsOfAmerica_2[[#This Row],[Column1]])</f>
        <v/>
      </c>
    </row>
    <row r="56" ht="60" customHeight="1" s="290">
      <c r="A56" s="30" t="inlineStr">
        <is>
          <t>Innovative Products of America (9007A) Smart MUTT® Mobile Universal Trailer Tester for 7-Way Round Pin Commercial Trailers with ABS Tester: Includes 5-ft Cable, 12-Button Remote, and Battery Charger</t>
        </is>
      </c>
      <c r="B56" s="30" t="inlineStr">
        <is>
          <t>B00433P4AQ</t>
        </is>
      </c>
      <c r="C56" s="30" t="inlineStr">
        <is>
          <t>Other</t>
        </is>
      </c>
      <c r="D56" s="324" t="n">
        <v>804.2994444444444</v>
      </c>
      <c r="E56" s="53" t="n">
        <v>148995.1630769231</v>
      </c>
      <c r="F56" s="54" t="n">
        <v>14477.39</v>
      </c>
      <c r="G56" s="55" t="n">
        <v>105</v>
      </c>
      <c r="H56" s="55" t="n">
        <v>18</v>
      </c>
      <c r="I56" s="55" t="n">
        <v>30</v>
      </c>
      <c r="J56" s="56" t="n">
        <v>4.3</v>
      </c>
      <c r="K56" s="56" t="inlineStr">
        <is>
          <t>https://amazon.com/dp/B00433P4AQ</t>
        </is>
      </c>
      <c r="L56" s="34">
        <f>HYPERLINK(InnovativeProductsOfAmerica_2[[#This Row],[Column1]])</f>
        <v/>
      </c>
    </row>
    <row r="57" ht="45" customHeight="1" s="290">
      <c r="A57" s="30" t="inlineStr">
        <is>
          <t>Innovative Products of America #9008-DL Super MUTT (7-Way Round Pin) PRO Edition</t>
        </is>
      </c>
      <c r="B57" s="30" t="inlineStr">
        <is>
          <t>B0081L839K</t>
        </is>
      </c>
      <c r="C57" s="30" t="inlineStr">
        <is>
          <t>Other</t>
        </is>
      </c>
      <c r="D57" s="324" t="n">
        <v>2221.061666666667</v>
      </c>
      <c r="E57" s="53" t="n">
        <v>167075.6030769231</v>
      </c>
      <c r="F57" s="54" t="n">
        <v>13326.37</v>
      </c>
      <c r="G57" s="55" t="n">
        <v>46</v>
      </c>
      <c r="H57" s="55" t="n">
        <v>6</v>
      </c>
      <c r="I57" s="55" t="n">
        <v>10</v>
      </c>
      <c r="J57" s="56" t="n">
        <v>4.8</v>
      </c>
      <c r="K57" s="56" t="inlineStr">
        <is>
          <t>https://amazon.com/dp/B0081L839K</t>
        </is>
      </c>
      <c r="L57" s="34">
        <f>HYPERLINK(InnovativeProductsOfAmerica_2[[#This Row],[Column1]])</f>
        <v/>
      </c>
    </row>
    <row r="58" ht="45" customHeight="1" s="290">
      <c r="A58" s="30" t="inlineStr">
        <is>
          <t>Innovative Products of America #9005A Super MUTT (7-Way Round Pin) Service-Truck Model</t>
        </is>
      </c>
      <c r="B58" s="30" t="inlineStr">
        <is>
          <t>B00FABRC6O</t>
        </is>
      </c>
      <c r="C58" s="30" t="inlineStr">
        <is>
          <t>Other</t>
        </is>
      </c>
      <c r="D58" s="324" t="n">
        <v>2261.993333333333</v>
      </c>
      <c r="E58" s="53" t="n">
        <v>89157.09769230768</v>
      </c>
      <c r="F58" s="54" t="n">
        <v>6785.98</v>
      </c>
      <c r="G58" s="55" t="n">
        <v>27</v>
      </c>
      <c r="H58" s="55" t="n">
        <v>3</v>
      </c>
      <c r="I58" s="55" t="n">
        <v>4</v>
      </c>
      <c r="J58" s="56" t="n">
        <v>4.7</v>
      </c>
      <c r="K58" s="56" t="inlineStr">
        <is>
          <t>https://amazon.com/dp/B00FABRC6O</t>
        </is>
      </c>
      <c r="L58" s="34">
        <f>HYPERLINK(InnovativeProductsOfAmerica_2[[#This Row],[Column1]])</f>
        <v/>
      </c>
    </row>
    <row r="59" ht="45" customHeight="1" s="290">
      <c r="A59" s="30" t="inlineStr">
        <is>
          <t>Innovative Products of America #4105 Smart MUTT® X (7-Way Spade, 7-Way Round, 6-Way Round, 5 and 4 Pin) Bench-Top Model</t>
        </is>
      </c>
      <c r="B59" s="30" t="inlineStr">
        <is>
          <t>B0B1QWJXX7</t>
        </is>
      </c>
      <c r="C59" s="30" t="inlineStr">
        <is>
          <t>Other</t>
        </is>
      </c>
      <c r="D59" s="324" t="n">
        <v>837.972</v>
      </c>
      <c r="E59" s="53" t="n">
        <v>56152.79538461538</v>
      </c>
      <c r="F59" s="54" t="n">
        <v>4189.86</v>
      </c>
      <c r="G59" s="55" t="n">
        <v>44</v>
      </c>
      <c r="H59" s="55" t="n">
        <v>5</v>
      </c>
      <c r="I59" s="55" t="n">
        <v>3</v>
      </c>
      <c r="J59" s="56" t="n">
        <v>5</v>
      </c>
      <c r="K59" s="56" t="inlineStr">
        <is>
          <t>https://amazon.com/dp/B0B1QWJXX7</t>
        </is>
      </c>
      <c r="L59" s="34">
        <f>HYPERLINK(InnovativeProductsOfAmerica_2[[#This Row],[Column1]])</f>
        <v/>
      </c>
    </row>
    <row r="60" ht="45" customHeight="1" s="290">
      <c r="A60" s="30" t="inlineStr">
        <is>
          <t>Innovative Products of America #5710A Alpha MUTT (2nd Gen) with ABS, Shop Model (No Tablet)</t>
        </is>
      </c>
      <c r="B60" s="30" t="inlineStr">
        <is>
          <t>B0B1381LP5</t>
        </is>
      </c>
      <c r="C60" s="30" t="inlineStr">
        <is>
          <t>Other</t>
        </is>
      </c>
      <c r="D60" s="324" t="n">
        <v>3734.69</v>
      </c>
      <c r="E60" s="53" t="n">
        <v>61877.16</v>
      </c>
      <c r="F60" s="54" t="n">
        <v>3734.69</v>
      </c>
      <c r="G60" s="55" t="n">
        <v>14</v>
      </c>
      <c r="H60" s="55" t="n">
        <v>1</v>
      </c>
      <c r="I60" s="55" t="n">
        <v>3</v>
      </c>
      <c r="J60" s="56" t="n">
        <v>3.6</v>
      </c>
      <c r="K60" s="56" t="inlineStr">
        <is>
          <t>https://amazon.com/dp/B0B1381LP5</t>
        </is>
      </c>
      <c r="L60" s="34">
        <f>HYPERLINK(InnovativeProductsOfAmerica_2[[#This Row],[Column1]])</f>
        <v/>
      </c>
    </row>
    <row r="61" ht="45" customHeight="1" s="290">
      <c r="A61" s="30" t="inlineStr">
        <is>
          <t>Innovative Products of America #5610A Alpha MUTT® (2nd Gen) w/ABS, Service-Truck Model (No Tablet or Slide-Out Base)</t>
        </is>
      </c>
      <c r="B61" s="30" t="inlineStr">
        <is>
          <t>B0B6WVWT58</t>
        </is>
      </c>
      <c r="C61" s="30" t="inlineStr">
        <is>
          <t>Other</t>
        </is>
      </c>
      <c r="D61" s="324" t="n">
        <v>3131.33</v>
      </c>
      <c r="E61" s="53" t="n">
        <v>27776.01</v>
      </c>
      <c r="F61" s="54" t="n">
        <v>3131.33</v>
      </c>
      <c r="G61" s="55" t="n">
        <v>7</v>
      </c>
      <c r="H61" s="55" t="n">
        <v>1</v>
      </c>
      <c r="I61" s="55" t="n"/>
      <c r="J61" s="56" t="n"/>
      <c r="K61" s="56" t="inlineStr">
        <is>
          <t>https://amazon.com/dp/B0B6WVWT58</t>
        </is>
      </c>
      <c r="L61" s="34">
        <f>HYPERLINK(InnovativeProductsOfAmerica_2[[#This Row],[Column1]])</f>
        <v/>
      </c>
    </row>
    <row r="62" ht="45" customHeight="1" s="290">
      <c r="A62" s="30" t="inlineStr">
        <is>
          <t>Innovative Products of America #4105-L4 Smart MUTT® X (7-Way Spade, 7-Way Round, 6-Way Round, 5 and 4 Pin) Bench-Top Model with Built-in LiFeP04 Battery</t>
        </is>
      </c>
      <c r="B62" s="30" t="inlineStr">
        <is>
          <t>B0F1GGW5LL</t>
        </is>
      </c>
      <c r="C62" s="30" t="inlineStr">
        <is>
          <t>Other</t>
        </is>
      </c>
      <c r="D62" s="324" t="n">
        <v>928.64</v>
      </c>
      <c r="E62" s="53" t="n">
        <v>34339.93230769232</v>
      </c>
      <c r="F62" s="54" t="n">
        <v>2785.92</v>
      </c>
      <c r="G62" s="55" t="n">
        <v>20</v>
      </c>
      <c r="H62" s="55" t="n">
        <v>3</v>
      </c>
      <c r="I62" s="55" t="n">
        <v>2</v>
      </c>
      <c r="J62" s="56" t="n">
        <v>5</v>
      </c>
      <c r="K62" s="56" t="inlineStr">
        <is>
          <t>https://amazon.com/dp/B0F1GGW5LL</t>
        </is>
      </c>
      <c r="L62" s="34">
        <f>HYPERLINK(InnovativeProductsOfAmerica_2[[#This Row],[Column1]])</f>
        <v/>
      </c>
    </row>
    <row r="63" ht="45" customHeight="1" s="290">
      <c r="A63" s="30" t="inlineStr">
        <is>
          <t>Innovative Products of America #4205 Smart MUTT X (7-Way Spade, 7 &amp; 6-Way Round, 5 &amp; 4 Pin) Shop Model</t>
        </is>
      </c>
      <c r="B63" s="30" t="inlineStr">
        <is>
          <t>B0CJ4FF51H</t>
        </is>
      </c>
      <c r="C63" s="30" t="inlineStr">
        <is>
          <t>Other</t>
        </is>
      </c>
      <c r="D63" s="324" t="n">
        <v>1448.34</v>
      </c>
      <c r="E63" s="53" t="n">
        <v>21790.04615384615</v>
      </c>
      <c r="F63" s="54" t="n">
        <v>1448.34</v>
      </c>
      <c r="G63" s="55" t="n">
        <v>11</v>
      </c>
      <c r="H63" s="55" t="n">
        <v>1</v>
      </c>
      <c r="I63" s="55" t="n">
        <v>2</v>
      </c>
      <c r="J63" s="56" t="n">
        <v>5</v>
      </c>
      <c r="K63" s="56" t="inlineStr">
        <is>
          <t>https://amazon.com/dp/B0CJ4FF51H</t>
        </is>
      </c>
      <c r="L63" s="34">
        <f>HYPERLINK(InnovativeProductsOfAmerica_2[[#This Row],[Column1]])</f>
        <v/>
      </c>
    </row>
    <row r="64" ht="45" customHeight="1" s="290">
      <c r="A64" s="30" t="inlineStr">
        <is>
          <t>MINI MUTT® 4-Pin Trailer Tester (Patent-Pending) Compatiable with DeWalt 20 Volt Batteries (Batteries not Included); Test Boat, Utility and Small Cargo Trailers - Innovative Products of America</t>
        </is>
      </c>
      <c r="B64" s="30" t="inlineStr">
        <is>
          <t>B0FV14SLXY</t>
        </is>
      </c>
      <c r="C64" s="30" t="inlineStr">
        <is>
          <t>Other</t>
        </is>
      </c>
      <c r="D64" s="324" t="n">
        <v>112.85125</v>
      </c>
      <c r="E64" s="53" t="n">
        <v>11780.42153846154</v>
      </c>
      <c r="F64" s="54" t="n">
        <v>902.8099999999999</v>
      </c>
      <c r="G64" s="55" t="n">
        <v>54</v>
      </c>
      <c r="H64" s="55" t="n">
        <v>8</v>
      </c>
      <c r="I64" s="55" t="n">
        <v>3</v>
      </c>
      <c r="J64" s="56" t="n">
        <v>5</v>
      </c>
      <c r="K64" s="56" t="inlineStr">
        <is>
          <t>https://amazon.com/dp/B0FV14SLXY</t>
        </is>
      </c>
      <c r="L64" s="34">
        <f>HYPERLINK(InnovativeProductsOfAmerica_2[[#This Row],[Column1]])</f>
        <v/>
      </c>
    </row>
    <row r="65" ht="45" customHeight="1" s="290">
      <c r="A65" s="30" t="inlineStr">
        <is>
          <t>Innovative Products of America® #4300A-L4 Super Ranger MUTT® w/Built-in Lithium Battery - 7-Way Round Pin Trailer Tester for ABS and Light Systems</t>
        </is>
      </c>
      <c r="B65" s="30" t="inlineStr">
        <is>
          <t>B0BWG8HVYZ</t>
        </is>
      </c>
      <c r="C65" s="30" t="inlineStr">
        <is>
          <t>Other</t>
        </is>
      </c>
      <c r="D65" s="324" t="n">
        <v>2495.95</v>
      </c>
      <c r="E65" s="53" t="n">
        <v>46796.10000000001</v>
      </c>
      <c r="F65" s="54" t="n">
        <v>0</v>
      </c>
      <c r="G65" s="55" t="n">
        <v>19</v>
      </c>
      <c r="H65" s="55" t="n">
        <v>0</v>
      </c>
      <c r="I65" s="55" t="n">
        <v>1</v>
      </c>
      <c r="J65" s="56" t="n">
        <v>4</v>
      </c>
      <c r="K65" s="56" t="inlineStr">
        <is>
          <t>https://amazon.com/dp/B0BWG8HVYZ</t>
        </is>
      </c>
      <c r="L65" s="34">
        <f>HYPERLINK(InnovativeProductsOfAmerica_2[[#This Row],[Column1]])</f>
        <v/>
      </c>
    </row>
    <row r="66" ht="45" customHeight="1" s="290">
      <c r="A66" s="30" t="inlineStr">
        <is>
          <t>Innovative Products of America #5710A-T10 Alpha MUTT (2nd Gen) with ABS and Tablet, Shop Model (Standard 10" Tablet) Red</t>
        </is>
      </c>
      <c r="B66" s="30" t="inlineStr">
        <is>
          <t>B0B133X1LP</t>
        </is>
      </c>
      <c r="C66" s="30" t="inlineStr">
        <is>
          <t>Other</t>
        </is>
      </c>
      <c r="D66" s="324" t="n">
        <v>6265.25</v>
      </c>
      <c r="E66" s="53" t="n">
        <v>21734.26</v>
      </c>
      <c r="F66" s="54" t="n">
        <v>0</v>
      </c>
      <c r="G66" s="55" t="n">
        <v>4</v>
      </c>
      <c r="H66" s="55" t="n">
        <v>0</v>
      </c>
      <c r="I66" s="55" t="n">
        <v>1</v>
      </c>
      <c r="J66" s="56" t="n">
        <v>5</v>
      </c>
      <c r="K66" s="56" t="inlineStr">
        <is>
          <t>https://amazon.com/dp/B0B133X1LP</t>
        </is>
      </c>
      <c r="L66" s="34">
        <f>HYPERLINK(InnovativeProductsOfAmerica_2[[#This Row],[Column1]])</f>
        <v/>
      </c>
    </row>
    <row r="67" ht="45" customHeight="1" s="290">
      <c r="A67" s="30" t="inlineStr">
        <is>
          <t>Innovative Products of America #5710A-RT8 Alpha MUTT (2nd Gen) with ABS and Rugged Tablet, Shop Model (Rugged 8" Tablet)</t>
        </is>
      </c>
      <c r="B67" s="30" t="inlineStr">
        <is>
          <t>B0B13424DT</t>
        </is>
      </c>
      <c r="C67" s="30" t="inlineStr">
        <is>
          <t>Other</t>
        </is>
      </c>
      <c r="D67" s="324" t="n">
        <v>7025.25</v>
      </c>
      <c r="E67" s="53" t="n">
        <v>12858.7</v>
      </c>
      <c r="F67" s="54" t="n">
        <v>0</v>
      </c>
      <c r="G67" s="55" t="n">
        <v>3</v>
      </c>
      <c r="H67" s="55" t="n">
        <v>0</v>
      </c>
      <c r="I67" s="55" t="n">
        <v>2</v>
      </c>
      <c r="J67" s="56" t="n">
        <v>3</v>
      </c>
      <c r="K67" s="56" t="inlineStr">
        <is>
          <t>https://amazon.com/dp/B0B13424DT</t>
        </is>
      </c>
      <c r="L67" s="34">
        <f>HYPERLINK(InnovativeProductsOfAmerica_2[[#This Row],[Column1]])</f>
        <v/>
      </c>
    </row>
    <row r="68" ht="45" customHeight="1" s="290">
      <c r="A68" s="30" t="inlineStr">
        <is>
          <t>Innovative Products of America #5611A-RT8 Alpha MUTT® (2nd Gen) w/ABS, Rugged Tablet and Slide-Out Base, Service-Truck Model (8" Rugged Tablet) (with Rugged Tablet and Slide-Out Base)</t>
        </is>
      </c>
      <c r="B68" s="30" t="inlineStr">
        <is>
          <t>B0B6WWBTLK</t>
        </is>
      </c>
      <c r="C68" s="30" t="inlineStr">
        <is>
          <t>Other</t>
        </is>
      </c>
      <c r="D68" s="324" t="n">
        <v>7077.5</v>
      </c>
      <c r="E68" s="53" t="n">
        <v>0</v>
      </c>
      <c r="F68" s="54" t="n">
        <v>0</v>
      </c>
      <c r="G68" s="55" t="n">
        <v>0</v>
      </c>
      <c r="H68" s="55" t="n">
        <v>0</v>
      </c>
      <c r="I68" s="55" t="n"/>
      <c r="J68" s="56" t="n"/>
      <c r="K68" s="56" t="inlineStr">
        <is>
          <t>https://amazon.com/dp/B0B6WWBTLK</t>
        </is>
      </c>
      <c r="L68" s="34">
        <f>HYPERLINK(InnovativeProductsOfAmerica_2[[#This Row],[Column1]])</f>
        <v/>
      </c>
    </row>
    <row r="69" ht="60" customHeight="1" s="290">
      <c r="A69" s="30" t="inlineStr">
        <is>
          <t>Innovative Products of America #5610A-RT8 Alpha MUTT® (2nd Gen) w/ABS and Rugged Tablet, Service-Truck Model (No Slide-Out Base)</t>
        </is>
      </c>
      <c r="B69" s="30" t="inlineStr">
        <is>
          <t>B0B6WTWFH5</t>
        </is>
      </c>
      <c r="C69" s="30" t="inlineStr">
        <is>
          <t>Other</t>
        </is>
      </c>
      <c r="D69" s="324" t="n">
        <v>6646.15</v>
      </c>
      <c r="E69" s="53" t="n">
        <v>8257.75</v>
      </c>
      <c r="F69" s="54" t="n">
        <v>0</v>
      </c>
      <c r="G69" s="55" t="n">
        <v>2</v>
      </c>
      <c r="H69" s="55" t="n">
        <v>0</v>
      </c>
      <c r="I69" s="55" t="n"/>
      <c r="J69" s="56" t="n"/>
      <c r="K69" s="56" t="inlineStr">
        <is>
          <t>https://amazon.com/dp/B0B6WTWFH5</t>
        </is>
      </c>
      <c r="L69" s="34">
        <f>HYPERLINK(InnovativeProductsOfAmerica_2[[#This Row],[Column1]])</f>
        <v/>
      </c>
    </row>
    <row r="70" ht="45" customHeight="1" s="290">
      <c r="A70" s="30" t="inlineStr">
        <is>
          <t>Innovative Products of America #5611A Alpha MUTT® (2nd Gen) w/ABS and Slide-Out Base, Service-Truck Model (No Tablet)</t>
        </is>
      </c>
      <c r="B70" s="30" t="inlineStr">
        <is>
          <t>B0B6WQYM6L</t>
        </is>
      </c>
      <c r="C70" s="30" t="inlineStr">
        <is>
          <t>Other</t>
        </is>
      </c>
      <c r="D70" s="324" t="n">
        <v>5696.15</v>
      </c>
      <c r="E70" s="53" t="n">
        <v>15978.25</v>
      </c>
      <c r="F70" s="54" t="n">
        <v>0</v>
      </c>
      <c r="G70" s="55" t="n">
        <v>3</v>
      </c>
      <c r="H70" s="55" t="n">
        <v>0</v>
      </c>
      <c r="I70" s="55" t="n"/>
      <c r="J70" s="56" t="n"/>
      <c r="K70" s="56" t="inlineStr">
        <is>
          <t>https://amazon.com/dp/B0B6WQYM6L</t>
        </is>
      </c>
      <c r="L70" s="34">
        <f>HYPERLINK(InnovativeProductsOfAmerica_2[[#This Row],[Column1]])</f>
        <v/>
      </c>
    </row>
    <row r="71" ht="45" customHeight="1" s="290">
      <c r="A71" s="30" t="inlineStr">
        <is>
          <t>Innovative Products of America #M2000 NATO MUTT Military Trailer Tester</t>
        </is>
      </c>
      <c r="B71" s="30" t="inlineStr">
        <is>
          <t>B00P044WE6</t>
        </is>
      </c>
      <c r="C71" s="30" t="inlineStr">
        <is>
          <t>Other</t>
        </is>
      </c>
      <c r="D71" s="324" t="n">
        <v>2845.25</v>
      </c>
      <c r="E71" s="53" t="n">
        <v>0</v>
      </c>
      <c r="F71" s="54" t="n">
        <v>0</v>
      </c>
      <c r="G71" s="55" t="n">
        <v>0</v>
      </c>
      <c r="H71" s="55" t="n">
        <v>0</v>
      </c>
      <c r="I71" s="55" t="n"/>
      <c r="J71" s="56" t="n"/>
      <c r="K71" s="56" t="inlineStr">
        <is>
          <t>https://amazon.com/dp/B00P044WE6</t>
        </is>
      </c>
      <c r="L71" s="34">
        <f>HYPERLINK(InnovativeProductsOfAmerica_2[[#This Row],[Column1]])</f>
        <v/>
      </c>
    </row>
    <row r="72" ht="45" customHeight="1" s="290">
      <c r="A72" s="30" t="n"/>
      <c r="B72" s="30" t="n"/>
      <c r="C72" s="30" t="n"/>
      <c r="D72" s="324" t="n"/>
      <c r="E72" s="53" t="n"/>
      <c r="F72" s="54" t="n"/>
      <c r="G72" s="55" t="n"/>
      <c r="H72" s="55" t="n"/>
      <c r="I72" s="55" t="n"/>
      <c r="J72" s="56" t="n"/>
      <c r="K72" s="56" t="n"/>
      <c r="L72" s="34">
        <f>HYPERLINK(Table544[[#This Row],[Column1]])</f>
        <v/>
      </c>
    </row>
    <row r="73" ht="45" customHeight="1" s="290">
      <c r="A73" s="30" t="n"/>
      <c r="B73" s="30" t="n"/>
      <c r="C73" s="30" t="n"/>
      <c r="D73" s="324" t="n"/>
      <c r="E73" s="53" t="n"/>
      <c r="F73" s="54" t="n"/>
      <c r="G73" s="55" t="n"/>
      <c r="H73" s="55" t="n"/>
      <c r="I73" s="55" t="n"/>
      <c r="J73" s="56" t="n"/>
      <c r="K73" s="56" t="n"/>
      <c r="L73" s="34">
        <f>HYPERLINK(Table544[[#This Row],[Column1]])</f>
        <v/>
      </c>
    </row>
    <row r="74" ht="45" customHeight="1" s="290">
      <c r="A74" s="30" t="n"/>
      <c r="B74" s="30" t="n"/>
      <c r="C74" s="30" t="n"/>
      <c r="D74" s="324" t="n"/>
      <c r="E74" s="53" t="n"/>
      <c r="F74" s="54" t="n"/>
      <c r="G74" s="55" t="n"/>
      <c r="H74" s="55" t="n"/>
      <c r="I74" s="55" t="n"/>
      <c r="J74" s="56" t="n"/>
      <c r="K74" s="56" t="n"/>
      <c r="L74" s="34">
        <f>HYPERLINK(Table544[[#This Row],[Column1]])</f>
        <v/>
      </c>
    </row>
    <row r="75" ht="45" customHeight="1" s="290">
      <c r="A75" s="30" t="n"/>
      <c r="B75" s="30" t="n"/>
      <c r="C75" s="30" t="n"/>
      <c r="D75" s="324" t="n"/>
      <c r="E75" s="53" t="n"/>
      <c r="F75" s="54" t="n"/>
      <c r="G75" s="55" t="n"/>
      <c r="H75" s="55" t="n"/>
      <c r="I75" s="55" t="n"/>
      <c r="J75" s="56" t="n"/>
      <c r="K75" s="56" t="n"/>
      <c r="L75" s="34">
        <f>HYPERLINK(Table544[[#This Row],[Column1]])</f>
        <v/>
      </c>
    </row>
    <row r="76" ht="45" customHeight="1" s="290">
      <c r="A76" s="30" t="n"/>
      <c r="B76" s="30" t="n"/>
      <c r="C76" s="30" t="n"/>
      <c r="D76" s="324" t="n"/>
      <c r="E76" s="53" t="n"/>
      <c r="F76" s="54" t="n"/>
      <c r="G76" s="55" t="n"/>
      <c r="H76" s="55" t="n"/>
      <c r="I76" s="55" t="n"/>
      <c r="J76" s="56" t="n"/>
      <c r="K76" s="56" t="n"/>
      <c r="L76" s="34">
        <f>HYPERLINK(Table544[[#This Row],[Column1]])</f>
        <v/>
      </c>
    </row>
    <row r="77" ht="60" customHeight="1" s="290">
      <c r="A77" s="30" t="n"/>
      <c r="B77" s="30" t="n"/>
      <c r="C77" s="30" t="n"/>
      <c r="D77" s="324" t="n"/>
      <c r="E77" s="53" t="n"/>
      <c r="F77" s="54" t="n"/>
      <c r="G77" s="55" t="n"/>
      <c r="H77" s="55" t="n"/>
      <c r="I77" s="55" t="n"/>
      <c r="J77" s="56" t="n"/>
      <c r="K77" s="56" t="n"/>
      <c r="L77" s="34">
        <f>HYPERLINK(Table544[[#This Row],[Column1]])</f>
        <v/>
      </c>
    </row>
    <row r="78" ht="45" customHeight="1" s="290">
      <c r="A78" s="30" t="n"/>
      <c r="B78" s="30" t="n"/>
      <c r="C78" s="30" t="n"/>
      <c r="D78" s="324" t="n"/>
      <c r="E78" s="53" t="n"/>
      <c r="F78" s="54" t="n"/>
      <c r="G78" s="55" t="n"/>
      <c r="H78" s="55" t="n"/>
      <c r="I78" s="55" t="n"/>
      <c r="J78" s="56" t="n"/>
      <c r="K78" s="56" t="n"/>
      <c r="L78" s="34">
        <f>HYPERLINK(Table544[[#This Row],[Column1]])</f>
        <v/>
      </c>
    </row>
    <row r="79" ht="45" customHeight="1" s="290">
      <c r="A79" s="30" t="n"/>
      <c r="B79" s="30" t="n"/>
      <c r="C79" s="30" t="n"/>
      <c r="D79" s="324" t="n"/>
      <c r="E79" s="53" t="n"/>
      <c r="F79" s="54" t="n"/>
      <c r="G79" s="55" t="n"/>
      <c r="H79" s="55" t="n"/>
      <c r="I79" s="55" t="n"/>
      <c r="J79" s="56" t="n"/>
      <c r="K79" s="56" t="n"/>
      <c r="L79" s="34">
        <f>HYPERLINK(Table544[[#This Row],[Column1]])</f>
        <v/>
      </c>
    </row>
    <row r="80" ht="45" customHeight="1" s="290">
      <c r="A80" s="30" t="n"/>
      <c r="B80" s="30" t="n"/>
      <c r="C80" s="30" t="n"/>
      <c r="D80" s="324" t="n"/>
      <c r="E80" s="53" t="n"/>
      <c r="F80" s="54" t="n"/>
      <c r="G80" s="55" t="n"/>
      <c r="H80" s="55" t="n"/>
      <c r="I80" s="55" t="n"/>
      <c r="J80" s="56" t="n"/>
      <c r="K80" s="56" t="n"/>
      <c r="L80" s="34">
        <f>HYPERLINK(Table544[[#This Row],[Column1]])</f>
        <v/>
      </c>
    </row>
    <row r="81" ht="45" customHeight="1" s="290">
      <c r="A81" s="30" t="n"/>
      <c r="B81" s="30" t="n"/>
      <c r="C81" s="30" t="n"/>
      <c r="D81" s="324" t="n"/>
      <c r="E81" s="53" t="n"/>
      <c r="F81" s="54" t="n"/>
      <c r="G81" s="55" t="n"/>
      <c r="H81" s="55" t="n"/>
      <c r="I81" s="55" t="n"/>
      <c r="J81" s="56" t="n"/>
      <c r="K81" s="56" t="n"/>
      <c r="L81" s="34">
        <f>HYPERLINK(Table544[[#This Row],[Column1]])</f>
        <v/>
      </c>
    </row>
    <row r="82" ht="45" customHeight="1" s="290">
      <c r="A82" s="30" t="n"/>
      <c r="B82" s="30" t="n"/>
      <c r="C82" s="30" t="n"/>
      <c r="D82" s="324" t="n"/>
      <c r="E82" s="53" t="n"/>
      <c r="F82" s="54" t="n"/>
      <c r="G82" s="55" t="n"/>
      <c r="H82" s="55" t="n"/>
      <c r="I82" s="55" t="n"/>
      <c r="J82" s="56" t="n"/>
      <c r="K82" s="56" t="n"/>
      <c r="L82" s="34">
        <f>HYPERLINK(Table544[[#This Row],[Column1]])</f>
        <v/>
      </c>
    </row>
    <row r="83" ht="30" customHeight="1" s="290">
      <c r="A83" s="30" t="n"/>
      <c r="B83" s="30" t="n"/>
      <c r="C83" s="30" t="n"/>
      <c r="D83" s="324" t="n"/>
      <c r="E83" s="53" t="n"/>
      <c r="F83" s="54" t="n"/>
      <c r="G83" s="55" t="n"/>
      <c r="H83" s="55" t="n"/>
      <c r="I83" s="55" t="n"/>
      <c r="J83" s="56" t="n"/>
      <c r="K83" s="56" t="n"/>
      <c r="L83" s="34">
        <f>HYPERLINK(Table544[[#This Row],[Column1]])</f>
        <v/>
      </c>
    </row>
    <row r="84" ht="45" customHeight="1" s="290">
      <c r="A84" s="30" t="n"/>
      <c r="B84" s="30" t="n"/>
      <c r="C84" s="30" t="n"/>
      <c r="D84" s="324" t="n"/>
      <c r="E84" s="53" t="n"/>
      <c r="F84" s="54" t="n"/>
      <c r="G84" s="55" t="n"/>
      <c r="H84" s="55" t="n"/>
      <c r="I84" s="55" t="n"/>
      <c r="J84" s="56" t="n"/>
      <c r="K84" s="56" t="n"/>
      <c r="L84" s="34">
        <f>HYPERLINK(Table544[[#This Row],[Column1]])</f>
        <v/>
      </c>
    </row>
    <row r="85" ht="45" customHeight="1" s="290">
      <c r="A85" s="30" t="n"/>
      <c r="B85" s="30" t="n"/>
      <c r="C85" s="30" t="n"/>
      <c r="D85" s="324" t="n"/>
      <c r="E85" s="53" t="n"/>
      <c r="F85" s="54" t="n"/>
      <c r="G85" s="55" t="n"/>
      <c r="H85" s="55" t="n"/>
      <c r="I85" s="55" t="n"/>
      <c r="J85" s="56" t="n"/>
      <c r="K85" s="56" t="n"/>
      <c r="L85" s="34">
        <f>HYPERLINK(Table544[[#This Row],[Column1]])</f>
        <v/>
      </c>
    </row>
    <row r="86" ht="45" customHeight="1" s="290">
      <c r="A86" s="30" t="n"/>
      <c r="B86" s="30" t="n"/>
      <c r="C86" s="30" t="n"/>
      <c r="D86" s="324" t="n"/>
      <c r="E86" s="53" t="n"/>
      <c r="F86" s="54" t="n"/>
      <c r="G86" s="55" t="n"/>
      <c r="H86" s="55" t="n"/>
      <c r="I86" s="55" t="n"/>
      <c r="J86" s="56" t="n"/>
      <c r="K86" s="56" t="n"/>
      <c r="L86" s="34">
        <f>HYPERLINK(Table544[[#This Row],[Column1]])</f>
        <v/>
      </c>
    </row>
    <row r="87" ht="45" customHeight="1" s="290">
      <c r="A87" s="30" t="n"/>
      <c r="B87" s="30" t="n"/>
      <c r="C87" s="30" t="n"/>
      <c r="D87" s="324" t="n"/>
      <c r="E87" s="53" t="n"/>
      <c r="F87" s="54" t="n"/>
      <c r="G87" s="55" t="n"/>
      <c r="H87" s="55" t="n"/>
      <c r="I87" s="55" t="n"/>
      <c r="J87" s="56" t="n"/>
      <c r="K87" s="56" t="n"/>
      <c r="L87" s="34">
        <f>HYPERLINK(Table544[[#This Row],[Column1]])</f>
        <v/>
      </c>
    </row>
    <row r="88" ht="45" customHeight="1" s="290">
      <c r="A88" s="30" t="n"/>
      <c r="B88" s="30" t="n"/>
      <c r="C88" s="30" t="n"/>
      <c r="D88" s="324" t="n"/>
      <c r="E88" s="53" t="n"/>
      <c r="F88" s="54" t="n"/>
      <c r="G88" s="55" t="n"/>
      <c r="H88" s="55" t="n"/>
      <c r="I88" s="55" t="n"/>
      <c r="J88" s="56" t="n"/>
      <c r="K88" s="56" t="n"/>
      <c r="L88" s="34">
        <f>HYPERLINK(Table544[[#This Row],[Column1]])</f>
        <v/>
      </c>
    </row>
    <row r="89" ht="45" customHeight="1" s="290">
      <c r="A89" s="30" t="n"/>
      <c r="B89" s="30" t="n"/>
      <c r="C89" s="30" t="n"/>
      <c r="D89" s="324" t="n"/>
      <c r="E89" s="53" t="n"/>
      <c r="F89" s="54" t="n"/>
      <c r="G89" s="55" t="n"/>
      <c r="H89" s="55" t="n"/>
      <c r="I89" s="55" t="n"/>
      <c r="J89" s="56" t="n"/>
      <c r="K89" s="56" t="n"/>
      <c r="L89" s="34">
        <f>HYPERLINK(Table544[[#This Row],[Column1]])</f>
        <v/>
      </c>
    </row>
    <row r="90" ht="45" customHeight="1" s="290">
      <c r="A90" s="30" t="n"/>
      <c r="B90" s="30" t="n"/>
      <c r="C90" s="30" t="n"/>
      <c r="D90" s="324" t="n"/>
      <c r="E90" s="53" t="n"/>
      <c r="F90" s="54" t="n"/>
      <c r="G90" s="55" t="n"/>
      <c r="H90" s="55" t="n"/>
      <c r="I90" s="55" t="n"/>
      <c r="J90" s="56" t="n"/>
      <c r="K90" s="56" t="n"/>
      <c r="L90" s="34">
        <f>HYPERLINK(Table544[[#This Row],[Column1]])</f>
        <v/>
      </c>
    </row>
    <row r="91" ht="45" customHeight="1" s="290">
      <c r="A91" s="30" t="n"/>
      <c r="B91" s="30" t="n"/>
      <c r="C91" s="30" t="n"/>
      <c r="D91" s="324" t="n"/>
      <c r="E91" s="53" t="n"/>
      <c r="F91" s="54" t="n"/>
      <c r="G91" s="55" t="n"/>
      <c r="H91" s="55" t="n"/>
      <c r="I91" s="55" t="n"/>
      <c r="J91" s="56" t="n"/>
      <c r="K91" s="56" t="n"/>
      <c r="L91" s="34">
        <f>HYPERLINK(Table544[[#This Row],[Column1]])</f>
        <v/>
      </c>
    </row>
    <row r="92" ht="45" customHeight="1" s="290">
      <c r="A92" s="30" t="n"/>
      <c r="B92" s="30" t="n"/>
      <c r="C92" s="30" t="n"/>
      <c r="D92" s="324" t="n"/>
      <c r="E92" s="53" t="n"/>
      <c r="F92" s="54" t="n"/>
      <c r="G92" s="55" t="n"/>
      <c r="H92" s="55" t="n"/>
      <c r="I92" s="55" t="n"/>
      <c r="J92" s="56" t="n"/>
      <c r="K92" s="56" t="n"/>
      <c r="L92" s="34">
        <f>HYPERLINK(Table544[[#This Row],[Column1]])</f>
        <v/>
      </c>
    </row>
    <row r="93" ht="45" customHeight="1" s="290">
      <c r="A93" s="30" t="n"/>
      <c r="B93" s="30" t="n"/>
      <c r="C93" s="30" t="n"/>
      <c r="D93" s="324" t="n"/>
      <c r="E93" s="53" t="n"/>
      <c r="F93" s="54" t="n"/>
      <c r="G93" s="55" t="n"/>
      <c r="H93" s="55" t="n"/>
      <c r="I93" s="55" t="n"/>
      <c r="J93" s="56" t="n"/>
      <c r="K93" s="56" t="n"/>
      <c r="L93" s="34">
        <f>HYPERLINK(Table544[[#This Row],[Column1]])</f>
        <v/>
      </c>
    </row>
    <row r="94" ht="60" customHeight="1" s="290">
      <c r="A94" s="30" t="n"/>
      <c r="B94" s="30" t="n"/>
      <c r="C94" s="30" t="n"/>
      <c r="D94" s="324" t="n"/>
      <c r="E94" s="53" t="n"/>
      <c r="F94" s="54" t="n"/>
      <c r="G94" s="55" t="n"/>
      <c r="H94" s="55" t="n"/>
      <c r="I94" s="55" t="n"/>
      <c r="J94" s="56" t="n"/>
      <c r="K94" s="56" t="n"/>
      <c r="L94" s="34">
        <f>HYPERLINK(Table544[[#This Row],[Column1]])</f>
        <v/>
      </c>
    </row>
    <row r="95" ht="45" customHeight="1" s="290">
      <c r="A95" s="30" t="n"/>
      <c r="B95" s="30" t="n"/>
      <c r="C95" s="30" t="n"/>
      <c r="D95" s="324" t="n"/>
      <c r="E95" s="53" t="n"/>
      <c r="F95" s="54" t="n"/>
      <c r="G95" s="55" t="n"/>
      <c r="H95" s="55" t="n"/>
      <c r="I95" s="55" t="n"/>
      <c r="J95" s="56" t="n"/>
      <c r="K95" s="56" t="n"/>
      <c r="L95" s="34">
        <f>HYPERLINK(Table544[[#This Row],[Column1]])</f>
        <v/>
      </c>
    </row>
    <row r="96" ht="45" customHeight="1" s="290">
      <c r="A96" s="30" t="n"/>
      <c r="B96" s="30" t="n"/>
      <c r="C96" s="30" t="n"/>
      <c r="D96" s="324" t="n"/>
      <c r="E96" s="53" t="n"/>
      <c r="F96" s="54" t="n"/>
      <c r="G96" s="55" t="n"/>
      <c r="H96" s="55" t="n"/>
      <c r="I96" s="55" t="n"/>
      <c r="J96" s="56" t="n"/>
      <c r="K96" s="56" t="n"/>
      <c r="L96" s="34">
        <f>HYPERLINK(Table544[[#This Row],[Column1]])</f>
        <v/>
      </c>
    </row>
    <row r="97" ht="45" customHeight="1" s="290">
      <c r="A97" s="30" t="n"/>
      <c r="B97" s="30" t="n"/>
      <c r="C97" s="30" t="n"/>
      <c r="D97" s="324" t="n"/>
      <c r="E97" s="53" t="n"/>
      <c r="F97" s="54" t="n"/>
      <c r="G97" s="55" t="n"/>
      <c r="H97" s="55" t="n"/>
      <c r="I97" s="55" t="n"/>
      <c r="J97" s="56" t="n"/>
      <c r="K97" s="56" t="n"/>
      <c r="L97" s="34">
        <f>HYPERLINK(Table544[[#This Row],[Column1]])</f>
        <v/>
      </c>
    </row>
    <row r="98" ht="60" customHeight="1" s="290">
      <c r="A98" s="30" t="n"/>
      <c r="B98" s="30" t="n"/>
      <c r="C98" s="30" t="n"/>
      <c r="D98" s="324" t="n"/>
      <c r="E98" s="53" t="n"/>
      <c r="F98" s="54" t="n"/>
      <c r="G98" s="55" t="n"/>
      <c r="H98" s="55" t="n"/>
      <c r="I98" s="55" t="n"/>
      <c r="J98" s="56" t="n"/>
      <c r="K98" s="56" t="n"/>
      <c r="L98" s="34">
        <f>HYPERLINK(Table544[[#This Row],[Column1]])</f>
        <v/>
      </c>
    </row>
    <row r="99" ht="45" customHeight="1" s="290">
      <c r="A99" s="30" t="n"/>
      <c r="B99" s="30" t="n"/>
      <c r="C99" s="30" t="n"/>
      <c r="D99" s="324" t="n"/>
      <c r="E99" s="53" t="n"/>
      <c r="F99" s="54" t="n"/>
      <c r="G99" s="55" t="n"/>
      <c r="H99" s="55" t="n"/>
      <c r="I99" s="55" t="n"/>
      <c r="J99" s="56" t="n"/>
      <c r="K99" s="56" t="n"/>
      <c r="L99" s="34">
        <f>HYPERLINK(Table544[[#This Row],[Column1]])</f>
        <v/>
      </c>
    </row>
    <row r="100" ht="45" customHeight="1" s="290">
      <c r="A100" s="30" t="n"/>
      <c r="B100" s="30" t="n"/>
      <c r="C100" s="30" t="n"/>
      <c r="D100" s="324" t="n"/>
      <c r="E100" s="53" t="n"/>
      <c r="F100" s="54" t="n"/>
      <c r="G100" s="55" t="n"/>
      <c r="H100" s="55" t="n"/>
      <c r="I100" s="55" t="n"/>
      <c r="J100" s="56" t="n"/>
      <c r="K100" s="56" t="n"/>
      <c r="L100" s="34">
        <f>HYPERLINK(Table544[[#This Row],[Column1]])</f>
        <v/>
      </c>
    </row>
    <row r="101" ht="45" customHeight="1" s="290">
      <c r="A101" s="30" t="n"/>
      <c r="B101" s="30" t="n"/>
      <c r="C101" s="30" t="n"/>
      <c r="D101" s="324" t="n"/>
      <c r="E101" s="53" t="n"/>
      <c r="F101" s="54" t="n"/>
      <c r="G101" s="55" t="n"/>
      <c r="H101" s="55" t="n"/>
      <c r="I101" s="55" t="n"/>
      <c r="J101" s="56" t="n"/>
      <c r="K101" s="56" t="n"/>
      <c r="L101" s="34">
        <f>HYPERLINK(Table544[[#This Row],[Column1]])</f>
        <v/>
      </c>
    </row>
    <row r="102" ht="45" customHeight="1" s="290">
      <c r="A102" s="30" t="n"/>
      <c r="B102" s="30" t="n"/>
      <c r="C102" s="30" t="n"/>
      <c r="D102" s="324" t="n"/>
      <c r="E102" s="53" t="n"/>
      <c r="F102" s="54" t="n"/>
      <c r="G102" s="55" t="n"/>
      <c r="H102" s="55" t="n"/>
      <c r="I102" s="55" t="n"/>
      <c r="J102" s="56" t="n"/>
      <c r="K102" s="56" t="n"/>
      <c r="L102" s="34">
        <f>HYPERLINK(Table544[[#This Row],[Column1]])</f>
        <v/>
      </c>
    </row>
    <row r="103" ht="45" customHeight="1" s="290">
      <c r="A103" s="30" t="n"/>
      <c r="B103" s="30" t="n"/>
      <c r="C103" s="30" t="n"/>
      <c r="D103" s="324" t="n"/>
      <c r="E103" s="53" t="n"/>
      <c r="F103" s="54" t="n"/>
      <c r="G103" s="55" t="n"/>
      <c r="H103" s="55" t="n"/>
      <c r="I103" s="55" t="n"/>
      <c r="J103" s="56" t="n"/>
      <c r="K103" s="56" t="n"/>
      <c r="L103" s="34">
        <f>HYPERLINK(Table544[[#This Row],[Column1]])</f>
        <v/>
      </c>
    </row>
    <row r="104" ht="45" customHeight="1" s="290">
      <c r="A104" s="30" t="n"/>
      <c r="B104" s="30" t="n"/>
      <c r="C104" s="30" t="n"/>
      <c r="D104" s="324" t="n"/>
      <c r="E104" s="53" t="n"/>
      <c r="F104" s="54" t="n"/>
      <c r="G104" s="55" t="n"/>
      <c r="H104" s="55" t="n"/>
      <c r="I104" s="55" t="n"/>
      <c r="J104" s="56" t="n"/>
      <c r="K104" s="56" t="n"/>
      <c r="L104" s="34">
        <f>HYPERLINK(Table544[[#This Row],[Column1]])</f>
        <v/>
      </c>
    </row>
    <row r="105" ht="45" customHeight="1" s="290">
      <c r="A105" s="30" t="n"/>
      <c r="B105" s="30" t="n"/>
      <c r="C105" s="30" t="n"/>
      <c r="D105" s="324" t="n"/>
      <c r="E105" s="53" t="n"/>
      <c r="F105" s="54" t="n"/>
      <c r="G105" s="55" t="n"/>
      <c r="H105" s="55" t="n"/>
      <c r="I105" s="55" t="n"/>
      <c r="J105" s="56" t="n"/>
      <c r="K105" s="56" t="n"/>
      <c r="L105" s="34">
        <f>HYPERLINK(Table544[[#This Row],[Column1]])</f>
        <v/>
      </c>
    </row>
    <row r="106" ht="45" customHeight="1" s="290">
      <c r="A106" s="30" t="n"/>
      <c r="B106" s="30" t="n"/>
      <c r="C106" s="30" t="n"/>
      <c r="D106" s="324" t="n"/>
      <c r="E106" s="53" t="n"/>
      <c r="F106" s="54" t="n"/>
      <c r="G106" s="55" t="n"/>
      <c r="H106" s="55" t="n"/>
      <c r="I106" s="55" t="n"/>
      <c r="J106" s="56" t="n"/>
      <c r="K106" s="56" t="n"/>
      <c r="L106" s="34">
        <f>HYPERLINK(Table544[[#This Row],[Column1]])</f>
        <v/>
      </c>
    </row>
    <row r="107" ht="60" customHeight="1" s="290">
      <c r="A107" s="30" t="n"/>
      <c r="B107" s="30" t="n"/>
      <c r="C107" s="30" t="n"/>
      <c r="D107" s="324" t="n"/>
      <c r="E107" s="53" t="n"/>
      <c r="F107" s="54" t="n"/>
      <c r="G107" s="55" t="n"/>
      <c r="H107" s="55" t="n"/>
      <c r="I107" s="55" t="n"/>
      <c r="J107" s="56" t="n"/>
      <c r="K107" s="56" t="n"/>
      <c r="L107" s="34">
        <f>HYPERLINK(Table544[[#This Row],[Column1]])</f>
        <v/>
      </c>
    </row>
    <row r="108" ht="45" customHeight="1" s="290">
      <c r="A108" s="30" t="n"/>
      <c r="B108" s="30" t="n"/>
      <c r="C108" s="30" t="n"/>
      <c r="D108" s="324" t="n"/>
      <c r="E108" s="53" t="n"/>
      <c r="F108" s="54" t="n"/>
      <c r="G108" s="55" t="n"/>
      <c r="H108" s="55" t="n"/>
      <c r="I108" s="55" t="n"/>
      <c r="J108" s="56" t="n"/>
      <c r="K108" s="56" t="n"/>
      <c r="L108" s="34">
        <f>HYPERLINK(Table544[[#This Row],[Column1]])</f>
        <v/>
      </c>
    </row>
    <row r="109" ht="45" customHeight="1" s="290">
      <c r="A109" s="30" t="n"/>
      <c r="B109" s="30" t="n"/>
      <c r="C109" s="30" t="n"/>
      <c r="D109" s="324" t="n"/>
      <c r="E109" s="53" t="n"/>
      <c r="F109" s="54" t="n"/>
      <c r="G109" s="55" t="n"/>
      <c r="H109" s="55" t="n"/>
      <c r="I109" s="55" t="n"/>
      <c r="J109" s="56" t="n"/>
      <c r="K109" s="56" t="n"/>
      <c r="L109" s="34">
        <f>HYPERLINK(Table544[[#This Row],[Column1]])</f>
        <v/>
      </c>
    </row>
    <row r="110" ht="45" customHeight="1" s="290">
      <c r="A110" s="30" t="n"/>
      <c r="B110" s="30" t="n"/>
      <c r="C110" s="30" t="n"/>
      <c r="D110" s="324" t="n"/>
      <c r="E110" s="53" t="n"/>
      <c r="F110" s="54" t="n"/>
      <c r="G110" s="55" t="n"/>
      <c r="H110" s="55" t="n"/>
      <c r="I110" s="55" t="n"/>
      <c r="J110" s="56" t="n"/>
      <c r="K110" s="56" t="n"/>
      <c r="L110" s="34">
        <f>HYPERLINK(Table544[[#This Row],[Column1]])</f>
        <v/>
      </c>
    </row>
    <row r="111" ht="45" customHeight="1" s="290">
      <c r="A111" s="30" t="n"/>
      <c r="B111" s="30" t="n"/>
      <c r="C111" s="30" t="n"/>
      <c r="D111" s="324" t="n"/>
      <c r="E111" s="53" t="n"/>
      <c r="F111" s="54" t="n"/>
      <c r="G111" s="55" t="n"/>
      <c r="H111" s="55" t="n"/>
      <c r="I111" s="55" t="n"/>
      <c r="J111" s="56" t="n"/>
      <c r="K111" s="56" t="n"/>
      <c r="L111" s="34">
        <f>HYPERLINK(Table544[[#This Row],[Column1]])</f>
        <v/>
      </c>
    </row>
    <row r="112" ht="45" customHeight="1" s="290">
      <c r="A112" s="30" t="n"/>
      <c r="B112" s="30" t="n"/>
      <c r="C112" s="30" t="n"/>
      <c r="D112" s="324" t="n"/>
      <c r="E112" s="53" t="n"/>
      <c r="F112" s="54" t="n"/>
      <c r="G112" s="55" t="n"/>
      <c r="H112" s="55" t="n"/>
      <c r="I112" s="55" t="n"/>
      <c r="J112" s="56" t="n"/>
      <c r="K112" s="56" t="n"/>
      <c r="L112" s="34">
        <f>HYPERLINK(Table544[[#This Row],[Column1]])</f>
        <v/>
      </c>
    </row>
    <row r="113" ht="45" customHeight="1" s="290">
      <c r="A113" s="30" t="n"/>
      <c r="B113" s="30" t="n"/>
      <c r="C113" s="30" t="n"/>
      <c r="D113" s="324" t="n"/>
      <c r="E113" s="53" t="n"/>
      <c r="F113" s="54" t="n"/>
      <c r="G113" s="55" t="n"/>
      <c r="H113" s="55" t="n"/>
      <c r="I113" s="55" t="n"/>
      <c r="J113" s="56" t="n"/>
      <c r="K113" s="56" t="n"/>
      <c r="L113" s="34">
        <f>HYPERLINK(Table544[[#This Row],[Column1]])</f>
        <v/>
      </c>
    </row>
    <row r="114" ht="45" customHeight="1" s="290">
      <c r="A114" s="30" t="n"/>
      <c r="B114" s="30" t="n"/>
      <c r="C114" s="30" t="n"/>
      <c r="D114" s="324" t="n"/>
      <c r="E114" s="53" t="n"/>
      <c r="F114" s="54" t="n"/>
      <c r="G114" s="55" t="n"/>
      <c r="H114" s="55" t="n"/>
      <c r="I114" s="55" t="n"/>
      <c r="J114" s="56" t="n"/>
      <c r="K114" s="56" t="n"/>
      <c r="L114" s="34">
        <f>HYPERLINK(Table544[[#This Row],[Column1]])</f>
        <v/>
      </c>
    </row>
    <row r="115" ht="45" customHeight="1" s="290">
      <c r="A115" s="30" t="n"/>
      <c r="B115" s="30" t="n"/>
      <c r="C115" s="30" t="n"/>
      <c r="D115" s="324" t="n"/>
      <c r="E115" s="53" t="n"/>
      <c r="F115" s="54" t="n"/>
      <c r="G115" s="55" t="n"/>
      <c r="H115" s="55" t="n"/>
      <c r="I115" s="55" t="n"/>
      <c r="J115" s="56" t="n"/>
      <c r="K115" s="56" t="n"/>
      <c r="L115" s="34">
        <f>HYPERLINK(Table544[[#This Row],[Column1]])</f>
        <v/>
      </c>
    </row>
    <row r="116" ht="30" customHeight="1" s="290">
      <c r="A116" s="30" t="n"/>
      <c r="B116" s="30" t="n"/>
      <c r="C116" s="30" t="n"/>
      <c r="D116" s="324" t="n"/>
      <c r="E116" s="53" t="n"/>
      <c r="F116" s="54" t="n"/>
      <c r="G116" s="55" t="n"/>
      <c r="H116" s="55" t="n"/>
      <c r="I116" s="55" t="n"/>
      <c r="J116" s="56" t="n"/>
      <c r="K116" s="56" t="n"/>
      <c r="L116" s="34">
        <f>HYPERLINK(Table544[[#This Row],[Column1]])</f>
        <v/>
      </c>
    </row>
    <row r="117" ht="30" customHeight="1" s="290">
      <c r="A117" s="30" t="n"/>
      <c r="B117" s="30" t="n"/>
      <c r="C117" s="30" t="n"/>
      <c r="D117" s="324" t="n"/>
      <c r="E117" s="53" t="n"/>
      <c r="F117" s="54" t="n"/>
      <c r="G117" s="55" t="n"/>
      <c r="H117" s="55" t="n"/>
      <c r="I117" s="55" t="n"/>
      <c r="J117" s="56" t="n"/>
      <c r="K117" s="56" t="n"/>
      <c r="L117" s="34">
        <f>HYPERLINK(Table544[[#This Row],[Column1]])</f>
        <v/>
      </c>
    </row>
    <row r="118" ht="45" customHeight="1" s="290">
      <c r="A118" s="30" t="n"/>
      <c r="B118" s="30" t="n"/>
      <c r="C118" s="30" t="n"/>
      <c r="D118" s="324" t="n"/>
      <c r="E118" s="53" t="n"/>
      <c r="F118" s="54" t="n"/>
      <c r="G118" s="55" t="n"/>
      <c r="H118" s="55" t="n"/>
      <c r="I118" s="55" t="n"/>
      <c r="J118" s="56" t="n"/>
      <c r="K118" s="56" t="n"/>
      <c r="L118" s="34">
        <f>HYPERLINK(Table544[[#This Row],[Column1]])</f>
        <v/>
      </c>
    </row>
    <row r="119" ht="45" customHeight="1" s="290">
      <c r="A119" s="30" t="n"/>
      <c r="B119" s="30" t="n"/>
      <c r="C119" s="30" t="n"/>
      <c r="D119" s="324" t="n"/>
      <c r="E119" s="53" t="n"/>
      <c r="F119" s="54" t="n"/>
      <c r="G119" s="55" t="n"/>
      <c r="H119" s="55" t="n"/>
      <c r="I119" s="55" t="n"/>
      <c r="J119" s="56" t="n"/>
      <c r="K119" s="56" t="n"/>
      <c r="L119" s="34">
        <f>HYPERLINK(Table544[[#This Row],[Column1]])</f>
        <v/>
      </c>
    </row>
    <row r="120" ht="60" customHeight="1" s="290">
      <c r="A120" s="30" t="n"/>
      <c r="B120" s="30" t="n"/>
      <c r="C120" s="30" t="n"/>
      <c r="D120" s="324" t="n"/>
      <c r="E120" s="53" t="n"/>
      <c r="F120" s="54" t="n"/>
      <c r="G120" s="55" t="n"/>
      <c r="H120" s="55" t="n"/>
      <c r="I120" s="55" t="n"/>
      <c r="J120" s="56" t="n"/>
      <c r="K120" s="56" t="n"/>
      <c r="L120" s="34">
        <f>HYPERLINK(Table544[[#This Row],[Column1]])</f>
        <v/>
      </c>
    </row>
    <row r="121" ht="45" customHeight="1" s="290">
      <c r="A121" s="30" t="n"/>
      <c r="B121" s="30" t="n"/>
      <c r="C121" s="30" t="n"/>
      <c r="D121" s="324" t="n"/>
      <c r="E121" s="53" t="n"/>
      <c r="F121" s="54" t="n"/>
      <c r="G121" s="55" t="n"/>
      <c r="H121" s="55" t="n"/>
      <c r="I121" s="55" t="n"/>
      <c r="J121" s="56" t="n"/>
      <c r="K121" s="56" t="n"/>
      <c r="L121" s="34">
        <f>HYPERLINK(Table544[[#This Row],[Column1]])</f>
        <v/>
      </c>
    </row>
    <row r="122" ht="45" customHeight="1" s="290">
      <c r="A122" s="30" t="n"/>
      <c r="B122" s="30" t="n"/>
      <c r="C122" s="30" t="n"/>
      <c r="D122" s="324" t="n"/>
      <c r="E122" s="53" t="n"/>
      <c r="F122" s="54" t="n"/>
      <c r="G122" s="55" t="n"/>
      <c r="H122" s="55" t="n"/>
      <c r="I122" s="55" t="n"/>
      <c r="J122" s="56" t="n"/>
      <c r="K122" s="56" t="n"/>
      <c r="L122" s="34">
        <f>HYPERLINK(Table544[[#This Row],[Column1]])</f>
        <v/>
      </c>
    </row>
    <row r="123" ht="45" customHeight="1" s="290">
      <c r="A123" s="30" t="n"/>
      <c r="B123" s="30" t="n"/>
      <c r="C123" s="30" t="n"/>
      <c r="D123" s="324" t="n"/>
      <c r="E123" s="53" t="n"/>
      <c r="F123" s="54" t="n"/>
      <c r="G123" s="55" t="n"/>
      <c r="H123" s="55" t="n"/>
      <c r="I123" s="55" t="n"/>
      <c r="J123" s="56" t="n"/>
      <c r="K123" s="56" t="n"/>
      <c r="L123" s="34">
        <f>HYPERLINK(Table544[[#This Row],[Column1]])</f>
        <v/>
      </c>
    </row>
    <row r="124" ht="17" customHeight="1" s="290">
      <c r="A124" s="30" t="n"/>
      <c r="B124" s="30" t="n"/>
      <c r="C124" s="30" t="n"/>
      <c r="D124" s="324" t="n"/>
      <c r="E124" s="53" t="n"/>
      <c r="F124" s="54" t="n"/>
      <c r="G124" s="55" t="n"/>
      <c r="H124" s="55" t="n"/>
      <c r="I124" s="55" t="n"/>
      <c r="J124" s="56" t="n"/>
      <c r="K124" s="56" t="n"/>
      <c r="L124" s="34">
        <f>HYPERLINK(Table544[[#This Row],[Column1]])</f>
        <v/>
      </c>
    </row>
    <row r="125" ht="30" customHeight="1" s="290">
      <c r="A125" s="30" t="n"/>
      <c r="B125" s="30" t="n"/>
      <c r="C125" s="30" t="n"/>
      <c r="D125" s="324" t="n"/>
      <c r="E125" s="53" t="n"/>
      <c r="F125" s="54" t="n"/>
      <c r="G125" s="55" t="n"/>
      <c r="H125" s="55" t="n"/>
      <c r="I125" s="55" t="n"/>
      <c r="J125" s="56" t="n"/>
      <c r="K125" s="56" t="n"/>
      <c r="L125" s="34">
        <f>HYPERLINK(Table544[[#This Row],[Column1]])</f>
        <v/>
      </c>
    </row>
    <row r="126" ht="45" customHeight="1" s="290">
      <c r="A126" s="30" t="n"/>
      <c r="B126" s="30" t="n"/>
      <c r="C126" s="30" t="n"/>
      <c r="D126" s="324" t="n"/>
      <c r="E126" s="53" t="n"/>
      <c r="F126" s="54" t="n"/>
      <c r="G126" s="55" t="n"/>
      <c r="H126" s="55" t="n"/>
      <c r="I126" s="55" t="n"/>
      <c r="J126" s="56" t="n"/>
      <c r="K126" s="56" t="n"/>
      <c r="L126" s="34">
        <f>HYPERLINK(Table544[[#This Row],[Column1]])</f>
        <v/>
      </c>
    </row>
    <row r="127" ht="45" customHeight="1" s="290">
      <c r="A127" s="30" t="n"/>
      <c r="B127" s="30" t="n"/>
      <c r="C127" s="30" t="n"/>
      <c r="D127" s="324" t="n"/>
      <c r="E127" s="53" t="n"/>
      <c r="F127" s="54" t="n"/>
      <c r="G127" s="55" t="n"/>
      <c r="H127" s="55" t="n"/>
      <c r="I127" s="55" t="n"/>
      <c r="J127" s="56" t="n"/>
      <c r="K127" s="56" t="n"/>
      <c r="L127" s="34">
        <f>HYPERLINK(Table544[[#This Row],[Column1]])</f>
        <v/>
      </c>
    </row>
    <row r="128" ht="17" customHeight="1" s="290">
      <c r="A128" s="33" t="inlineStr">
        <is>
          <t>Total</t>
        </is>
      </c>
      <c r="B128" s="32" t="n"/>
      <c r="C128" s="325" t="n"/>
      <c r="D128" s="325" t="n"/>
      <c r="E128" s="59">
        <f>SUM(Table544[Estimated 12mo Revenue])</f>
        <v/>
      </c>
      <c r="F128" s="59">
        <f>SUM(Table544[Monthly Rev])</f>
        <v/>
      </c>
      <c r="I128" s="286" t="n"/>
      <c r="J128" s="287" t="n"/>
    </row>
    <row r="131">
      <c r="A131" s="283" t="inlineStr">
        <is>
          <t>Rank by Units</t>
        </is>
      </c>
    </row>
    <row r="132" ht="17" customHeight="1" s="290">
      <c r="A132" s="38" t="inlineStr">
        <is>
          <t>Product Name</t>
        </is>
      </c>
      <c r="B132" s="39" t="inlineStr">
        <is>
          <t>ASIN</t>
        </is>
      </c>
      <c r="C132" s="39" t="inlineStr">
        <is>
          <t>Type</t>
        </is>
      </c>
      <c r="D132" s="322" t="inlineStr">
        <is>
          <t>Avg Price</t>
        </is>
      </c>
      <c r="E132" s="41" t="inlineStr">
        <is>
          <t>Estimated 12mo Revenue</t>
        </is>
      </c>
      <c r="F132" s="39" t="inlineStr">
        <is>
          <t>Monthly Rev</t>
        </is>
      </c>
      <c r="G132" s="42" t="inlineStr">
        <is>
          <t>Estimated 12mo Units</t>
        </is>
      </c>
      <c r="H132" s="45" t="inlineStr">
        <is>
          <t>Monthly Units</t>
        </is>
      </c>
      <c r="I132" s="42" t="inlineStr">
        <is>
          <t># of Reviews</t>
        </is>
      </c>
      <c r="J132" s="43" t="inlineStr">
        <is>
          <t xml:space="preserve">Tool Rating </t>
        </is>
      </c>
      <c r="K132" s="43" t="inlineStr">
        <is>
          <t>Column1</t>
        </is>
      </c>
      <c r="L132" s="323" t="inlineStr">
        <is>
          <t>Link</t>
        </is>
      </c>
    </row>
    <row r="133" ht="45" customHeight="1" s="290">
      <c r="A133" s="30" t="inlineStr">
        <is>
          <t>Innovative Products of America Heavy Ranger MUTT Portable Trailer Light Tester with 7-Way Round Pin (SAE J560) for Commercial Tractor Trailers</t>
        </is>
      </c>
      <c r="B133" s="30" t="inlineStr">
        <is>
          <t>B00H9UT1OU</t>
        </is>
      </c>
      <c r="C133" s="30" t="inlineStr">
        <is>
          <t>Other</t>
        </is>
      </c>
      <c r="D133" s="324" t="n">
        <v>185.6816363636364</v>
      </c>
      <c r="E133" s="53" t="n">
        <v>840336.7746153848</v>
      </c>
      <c r="F133" s="53" t="n">
        <v>71487.42999999999</v>
      </c>
      <c r="G133" s="55" t="n">
        <v>2751</v>
      </c>
      <c r="H133" s="57" t="n">
        <v>385</v>
      </c>
      <c r="I133" s="55" t="n">
        <v>446</v>
      </c>
      <c r="J133" s="56" t="n">
        <v>4.6</v>
      </c>
      <c r="K133" s="56" t="inlineStr">
        <is>
          <t>https://amazon.com/dp/B00H9UT1OU</t>
        </is>
      </c>
      <c r="L133" s="34">
        <f>HYPERLINK(InnovativeProductsOfAmerica_1[[#This Row],[Column1]])</f>
        <v/>
      </c>
    </row>
    <row r="134" ht="45" customHeight="1" s="290">
      <c r="A134" s="30" t="inlineStr">
        <is>
          <t>Innovative Products of America Light Ranger MUTT: USA Made Universal Portable and Water-Resistant Trailer Light Tester with 7-Way Spade Pin Style with Adapter</t>
        </is>
      </c>
      <c r="B134" s="30" t="inlineStr">
        <is>
          <t>B0120XZ234</t>
        </is>
      </c>
      <c r="C134" s="30" t="inlineStr">
        <is>
          <t>Other</t>
        </is>
      </c>
      <c r="D134" s="324" t="n">
        <v>194.3811506849315</v>
      </c>
      <c r="E134" s="53" t="n">
        <v>1038364.196923077</v>
      </c>
      <c r="F134" s="53" t="n">
        <v>70949.12</v>
      </c>
      <c r="G134" s="55" t="n">
        <v>3653</v>
      </c>
      <c r="H134" s="57" t="n">
        <v>365</v>
      </c>
      <c r="I134" s="55" t="n">
        <v>303</v>
      </c>
      <c r="J134" s="56" t="n">
        <v>4.7</v>
      </c>
      <c r="K134" s="56" t="inlineStr">
        <is>
          <t>https://amazon.com/dp/B0120XZ234</t>
        </is>
      </c>
      <c r="L134" s="34">
        <f>HYPERLINK(InnovativeProductsOfAmerica_1[[#This Row],[Column1]])</f>
        <v/>
      </c>
    </row>
    <row r="135" ht="45" customHeight="1" s="290">
      <c r="A135" s="30" t="inlineStr">
        <is>
          <t>Innovative Products of America (9007A) Smart MUTT® Mobile Universal Trailer Tester for 7-Way Round Pin Commercial Trailers with ABS Tester: Includes 5-ft Cable, 12-Button Remote, and Battery Charger</t>
        </is>
      </c>
      <c r="B135" s="30" t="inlineStr">
        <is>
          <t>B00433P4AQ</t>
        </is>
      </c>
      <c r="C135" s="30" t="inlineStr">
        <is>
          <t>Other</t>
        </is>
      </c>
      <c r="D135" s="324" t="n">
        <v>804.2994444444444</v>
      </c>
      <c r="E135" s="53" t="n">
        <v>148995.1630769231</v>
      </c>
      <c r="F135" s="53" t="n">
        <v>14477.39</v>
      </c>
      <c r="G135" s="55" t="n">
        <v>105</v>
      </c>
      <c r="H135" s="57" t="n">
        <v>18</v>
      </c>
      <c r="I135" s="55" t="n">
        <v>30</v>
      </c>
      <c r="J135" s="56" t="n">
        <v>4.3</v>
      </c>
      <c r="K135" s="56" t="inlineStr">
        <is>
          <t>https://amazon.com/dp/B00433P4AQ</t>
        </is>
      </c>
      <c r="L135" s="34">
        <f>HYPERLINK(InnovativeProductsOfAmerica_1[[#This Row],[Column1]])</f>
        <v/>
      </c>
    </row>
    <row r="136" ht="45" customHeight="1" s="290">
      <c r="A136" s="30" t="inlineStr">
        <is>
          <t>Super MUTT Base Model Diagnostic Trailer Tester IPA 9008-SE</t>
        </is>
      </c>
      <c r="B136" s="30" t="inlineStr">
        <is>
          <t>B009TC9K2Y</t>
        </is>
      </c>
      <c r="C136" s="30" t="inlineStr">
        <is>
          <t>Other</t>
        </is>
      </c>
      <c r="D136" s="324" t="n">
        <v>2135.575</v>
      </c>
      <c r="E136" s="53" t="n">
        <v>183432.01</v>
      </c>
      <c r="F136" s="53" t="n">
        <v>17084.6</v>
      </c>
      <c r="G136" s="55" t="n">
        <v>49</v>
      </c>
      <c r="H136" s="57" t="n">
        <v>8</v>
      </c>
      <c r="I136" s="55" t="n">
        <v>3</v>
      </c>
      <c r="J136" s="56" t="n">
        <v>5</v>
      </c>
      <c r="K136" s="56" t="inlineStr">
        <is>
          <t>https://amazon.com/dp/B009TC9K2Y</t>
        </is>
      </c>
      <c r="L136" s="34">
        <f>HYPERLINK(InnovativeProductsOfAmerica_1[[#This Row],[Column1]])</f>
        <v/>
      </c>
    </row>
    <row r="137" ht="45" customHeight="1" s="290">
      <c r="A137" s="30" t="inlineStr">
        <is>
          <t>MINI MUTT® 4-Pin Trailer Tester (Patent-Pending) Compatiable with DeWalt 20 Volt Batteries (Batteries not Included); Test Boat, Utility and Small Cargo Trailers - Innovative Products of America</t>
        </is>
      </c>
      <c r="B137" s="30" t="inlineStr">
        <is>
          <t>B0FV14SLXY</t>
        </is>
      </c>
      <c r="C137" s="30" t="inlineStr">
        <is>
          <t>Other</t>
        </is>
      </c>
      <c r="D137" s="324" t="n">
        <v>112.85125</v>
      </c>
      <c r="E137" s="53" t="n">
        <v>11780.42153846154</v>
      </c>
      <c r="F137" s="53" t="n">
        <v>902.8099999999999</v>
      </c>
      <c r="G137" s="55" t="n">
        <v>54</v>
      </c>
      <c r="H137" s="57" t="n">
        <v>8</v>
      </c>
      <c r="I137" s="55" t="n">
        <v>3</v>
      </c>
      <c r="J137" s="56" t="n">
        <v>5</v>
      </c>
      <c r="K137" s="56" t="inlineStr">
        <is>
          <t>https://amazon.com/dp/B0FV14SLXY</t>
        </is>
      </c>
      <c r="L137" s="34">
        <f>HYPERLINK(InnovativeProductsOfAmerica_1[[#This Row],[Column1]])</f>
        <v/>
      </c>
    </row>
    <row r="138" ht="45" customHeight="1" s="290">
      <c r="A138" s="30" t="inlineStr">
        <is>
          <t>Innovative Products of America #9008-DL Super MUTT (7-Way Round Pin) PRO Edition</t>
        </is>
      </c>
      <c r="B138" s="30" t="inlineStr">
        <is>
          <t>B0081L839K</t>
        </is>
      </c>
      <c r="C138" s="30" t="inlineStr">
        <is>
          <t>Other</t>
        </is>
      </c>
      <c r="D138" s="324" t="n">
        <v>2221.061666666667</v>
      </c>
      <c r="E138" s="53" t="n">
        <v>167075.6030769231</v>
      </c>
      <c r="F138" s="53" t="n">
        <v>13326.37</v>
      </c>
      <c r="G138" s="55" t="n">
        <v>46</v>
      </c>
      <c r="H138" s="57" t="n">
        <v>6</v>
      </c>
      <c r="I138" s="55" t="n">
        <v>10</v>
      </c>
      <c r="J138" s="56" t="n">
        <v>4.8</v>
      </c>
      <c r="K138" s="56" t="inlineStr">
        <is>
          <t>https://amazon.com/dp/B0081L839K</t>
        </is>
      </c>
      <c r="L138" s="34">
        <f>HYPERLINK(InnovativeProductsOfAmerica_1[[#This Row],[Column1]])</f>
        <v/>
      </c>
    </row>
    <row r="139" ht="45" customHeight="1" s="290">
      <c r="A139" s="30" t="inlineStr">
        <is>
          <t>Innovative Products of America #4105 Smart MUTT® X (7-Way Spade, 7-Way Round, 6-Way Round, 5 and 4 Pin) Bench-Top Model</t>
        </is>
      </c>
      <c r="B139" s="30" t="inlineStr">
        <is>
          <t>B0B1QWJXX7</t>
        </is>
      </c>
      <c r="C139" s="30" t="inlineStr">
        <is>
          <t>Other</t>
        </is>
      </c>
      <c r="D139" s="324" t="n">
        <v>837.972</v>
      </c>
      <c r="E139" s="53" t="n">
        <v>56152.79538461538</v>
      </c>
      <c r="F139" s="53" t="n">
        <v>4189.86</v>
      </c>
      <c r="G139" s="55" t="n">
        <v>44</v>
      </c>
      <c r="H139" s="57" t="n">
        <v>5</v>
      </c>
      <c r="I139" s="55" t="n">
        <v>3</v>
      </c>
      <c r="J139" s="56" t="n">
        <v>5</v>
      </c>
      <c r="K139" s="56" t="inlineStr">
        <is>
          <t>https://amazon.com/dp/B0B1QWJXX7</t>
        </is>
      </c>
      <c r="L139" s="34">
        <f>HYPERLINK(InnovativeProductsOfAmerica_1[[#This Row],[Column1]])</f>
        <v/>
      </c>
    </row>
    <row r="140" ht="45" customHeight="1" s="290">
      <c r="A140" s="30" t="inlineStr">
        <is>
          <t>Innovative Products of America #9005A Super MUTT (7-Way Round Pin) Service-Truck Model</t>
        </is>
      </c>
      <c r="B140" s="30" t="inlineStr">
        <is>
          <t>B00FABRC6O</t>
        </is>
      </c>
      <c r="C140" s="30" t="inlineStr">
        <is>
          <t>Other</t>
        </is>
      </c>
      <c r="D140" s="324" t="n">
        <v>2261.993333333333</v>
      </c>
      <c r="E140" s="53" t="n">
        <v>89157.09769230768</v>
      </c>
      <c r="F140" s="53" t="n">
        <v>6785.98</v>
      </c>
      <c r="G140" s="55" t="n">
        <v>27</v>
      </c>
      <c r="H140" s="57" t="n">
        <v>3</v>
      </c>
      <c r="I140" s="55" t="n">
        <v>4</v>
      </c>
      <c r="J140" s="56" t="n">
        <v>4.7</v>
      </c>
      <c r="K140" s="56" t="inlineStr">
        <is>
          <t>https://amazon.com/dp/B00FABRC6O</t>
        </is>
      </c>
      <c r="L140" s="34">
        <f>HYPERLINK(InnovativeProductsOfAmerica_1[[#This Row],[Column1]])</f>
        <v/>
      </c>
    </row>
    <row r="141" ht="30" customHeight="1" s="290">
      <c r="A141" s="30" t="inlineStr">
        <is>
          <t>Innovative Products of America #4105-L4 Smart MUTT® X (7-Way Spade, 7-Way Round, 6-Way Round, 5 and 4 Pin) Bench-Top Model with Built-in LiFeP04 Battery</t>
        </is>
      </c>
      <c r="B141" s="30" t="inlineStr">
        <is>
          <t>B0F1GGW5LL</t>
        </is>
      </c>
      <c r="C141" s="30" t="inlineStr">
        <is>
          <t>Other</t>
        </is>
      </c>
      <c r="D141" s="324" t="n">
        <v>928.64</v>
      </c>
      <c r="E141" s="53" t="n">
        <v>34339.93230769232</v>
      </c>
      <c r="F141" s="53" t="n">
        <v>2785.92</v>
      </c>
      <c r="G141" s="55" t="n">
        <v>20</v>
      </c>
      <c r="H141" s="57" t="n">
        <v>3</v>
      </c>
      <c r="I141" s="55" t="n">
        <v>2</v>
      </c>
      <c r="J141" s="56" t="n">
        <v>5</v>
      </c>
      <c r="K141" s="56" t="inlineStr">
        <is>
          <t>https://amazon.com/dp/B0F1GGW5LL</t>
        </is>
      </c>
      <c r="L141" s="34">
        <f>HYPERLINK(InnovativeProductsOfAmerica_1[[#This Row],[Column1]])</f>
        <v/>
      </c>
    </row>
    <row r="142" ht="45" customHeight="1" s="290">
      <c r="A142" s="30" t="inlineStr">
        <is>
          <t>Innovative Products of America #4205 Smart MUTT X (7-Way Spade, 7 &amp; 6-Way Round, 5 &amp; 4 Pin) Shop Model</t>
        </is>
      </c>
      <c r="B142" s="30" t="inlineStr">
        <is>
          <t>B0CJ4FF51H</t>
        </is>
      </c>
      <c r="C142" s="30" t="inlineStr">
        <is>
          <t>Other</t>
        </is>
      </c>
      <c r="D142" s="324" t="n">
        <v>1448.34</v>
      </c>
      <c r="E142" s="53" t="n">
        <v>21790.04615384615</v>
      </c>
      <c r="F142" s="53" t="n">
        <v>1448.34</v>
      </c>
      <c r="G142" s="55" t="n">
        <v>11</v>
      </c>
      <c r="H142" s="57" t="n">
        <v>1</v>
      </c>
      <c r="I142" s="55" t="n">
        <v>2</v>
      </c>
      <c r="J142" s="56" t="n">
        <v>5</v>
      </c>
      <c r="K142" s="56" t="inlineStr">
        <is>
          <t>https://amazon.com/dp/B0CJ4FF51H</t>
        </is>
      </c>
      <c r="L142" s="34">
        <f>HYPERLINK(InnovativeProductsOfAmerica_1[[#This Row],[Column1]])</f>
        <v/>
      </c>
    </row>
    <row r="143" ht="45" customHeight="1" s="290">
      <c r="A143" s="30" t="inlineStr">
        <is>
          <t>Innovative Products of America #5710A Alpha MUTT (2nd Gen) with ABS, Shop Model (No Tablet)</t>
        </is>
      </c>
      <c r="B143" s="30" t="inlineStr">
        <is>
          <t>B0B1381LP5</t>
        </is>
      </c>
      <c r="C143" s="30" t="inlineStr">
        <is>
          <t>Other</t>
        </is>
      </c>
      <c r="D143" s="324" t="n">
        <v>3734.69</v>
      </c>
      <c r="E143" s="53" t="n">
        <v>61877.16</v>
      </c>
      <c r="F143" s="53" t="n">
        <v>3734.69</v>
      </c>
      <c r="G143" s="55" t="n">
        <v>14</v>
      </c>
      <c r="H143" s="57" t="n">
        <v>1</v>
      </c>
      <c r="I143" s="55" t="n">
        <v>3</v>
      </c>
      <c r="J143" s="56" t="n">
        <v>3.6</v>
      </c>
      <c r="K143" s="56" t="inlineStr">
        <is>
          <t>https://amazon.com/dp/B0B1381LP5</t>
        </is>
      </c>
      <c r="L143" s="34">
        <f>HYPERLINK(InnovativeProductsOfAmerica_1[[#This Row],[Column1]])</f>
        <v/>
      </c>
    </row>
    <row r="144" ht="45" customHeight="1" s="290">
      <c r="A144" s="30" t="inlineStr">
        <is>
          <t>Innovative Products of America #5610A Alpha MUTT® (2nd Gen) w/ABS, Service-Truck Model (No Tablet or Slide-Out Base)</t>
        </is>
      </c>
      <c r="B144" s="30" t="inlineStr">
        <is>
          <t>B0B6WVWT58</t>
        </is>
      </c>
      <c r="C144" s="30" t="inlineStr">
        <is>
          <t>Other</t>
        </is>
      </c>
      <c r="D144" s="324" t="n">
        <v>3131.33</v>
      </c>
      <c r="E144" s="53" t="n">
        <v>27776.01</v>
      </c>
      <c r="F144" s="53" t="n">
        <v>3131.33</v>
      </c>
      <c r="G144" s="55" t="n">
        <v>7</v>
      </c>
      <c r="H144" s="57" t="n">
        <v>1</v>
      </c>
      <c r="I144" s="55" t="n"/>
      <c r="J144" s="56" t="n"/>
      <c r="K144" s="56" t="inlineStr">
        <is>
          <t>https://amazon.com/dp/B0B6WVWT58</t>
        </is>
      </c>
      <c r="L144" s="34">
        <f>HYPERLINK(InnovativeProductsOfAmerica_1[[#This Row],[Column1]])</f>
        <v/>
      </c>
    </row>
    <row r="145" ht="45" customHeight="1" s="290">
      <c r="A145" s="30" t="inlineStr">
        <is>
          <t>Innovative Products of America® #4300A-L4 Super Ranger MUTT® w/Built-in Lithium Battery - 7-Way Round Pin Trailer Tester for ABS and Light Systems</t>
        </is>
      </c>
      <c r="B145" s="30" t="inlineStr">
        <is>
          <t>B0BWG8HVYZ</t>
        </is>
      </c>
      <c r="C145" s="30" t="inlineStr">
        <is>
          <t>Other</t>
        </is>
      </c>
      <c r="D145" s="324" t="n">
        <v>2495.95</v>
      </c>
      <c r="E145" s="53" t="n">
        <v>46796.10000000001</v>
      </c>
      <c r="F145" s="53" t="n">
        <v>0</v>
      </c>
      <c r="G145" s="55" t="n">
        <v>19</v>
      </c>
      <c r="H145" s="57" t="n">
        <v>0</v>
      </c>
      <c r="I145" s="55" t="n">
        <v>1</v>
      </c>
      <c r="J145" s="56" t="n">
        <v>4</v>
      </c>
      <c r="K145" s="56" t="inlineStr">
        <is>
          <t>https://amazon.com/dp/B0BWG8HVYZ</t>
        </is>
      </c>
      <c r="L145" s="34">
        <f>HYPERLINK(InnovativeProductsOfAmerica_1[[#This Row],[Column1]])</f>
        <v/>
      </c>
    </row>
    <row r="146" ht="60" customHeight="1" s="290">
      <c r="A146" s="30" t="inlineStr">
        <is>
          <t>Innovative Products of America #5710A-T10 Alpha MUTT (2nd Gen) with ABS and Tablet, Shop Model (Standard 10" Tablet) Red</t>
        </is>
      </c>
      <c r="B146" s="30" t="inlineStr">
        <is>
          <t>B0B133X1LP</t>
        </is>
      </c>
      <c r="C146" s="30" t="inlineStr">
        <is>
          <t>Other</t>
        </is>
      </c>
      <c r="D146" s="324" t="n">
        <v>6265.25</v>
      </c>
      <c r="E146" s="53" t="n">
        <v>21734.26</v>
      </c>
      <c r="F146" s="53" t="n">
        <v>0</v>
      </c>
      <c r="G146" s="55" t="n">
        <v>4</v>
      </c>
      <c r="H146" s="57" t="n">
        <v>0</v>
      </c>
      <c r="I146" s="55" t="n">
        <v>1</v>
      </c>
      <c r="J146" s="56" t="n">
        <v>5</v>
      </c>
      <c r="K146" s="56" t="inlineStr">
        <is>
          <t>https://amazon.com/dp/B0B133X1LP</t>
        </is>
      </c>
      <c r="L146" s="34">
        <f>HYPERLINK(InnovativeProductsOfAmerica_1[[#This Row],[Column1]])</f>
        <v/>
      </c>
    </row>
    <row r="147" ht="45" customHeight="1" s="290">
      <c r="A147" s="30" t="inlineStr">
        <is>
          <t>Innovative Products of America #5710A-RT8 Alpha MUTT (2nd Gen) with ABS and Rugged Tablet, Shop Model (Rugged 8" Tablet)</t>
        </is>
      </c>
      <c r="B147" s="30" t="inlineStr">
        <is>
          <t>B0B13424DT</t>
        </is>
      </c>
      <c r="C147" s="30" t="inlineStr">
        <is>
          <t>Other</t>
        </is>
      </c>
      <c r="D147" s="324" t="n">
        <v>7025.25</v>
      </c>
      <c r="E147" s="53" t="n">
        <v>12858.7</v>
      </c>
      <c r="F147" s="53" t="n">
        <v>0</v>
      </c>
      <c r="G147" s="55" t="n">
        <v>3</v>
      </c>
      <c r="H147" s="57" t="n">
        <v>0</v>
      </c>
      <c r="I147" s="55" t="n">
        <v>2</v>
      </c>
      <c r="J147" s="56" t="n">
        <v>3</v>
      </c>
      <c r="K147" s="56" t="inlineStr">
        <is>
          <t>https://amazon.com/dp/B0B13424DT</t>
        </is>
      </c>
      <c r="L147" s="34">
        <f>HYPERLINK(InnovativeProductsOfAmerica_1[[#This Row],[Column1]])</f>
        <v/>
      </c>
    </row>
    <row r="148" ht="45" customHeight="1" s="290">
      <c r="A148" s="30" t="inlineStr">
        <is>
          <t>Innovative Products of America #5611A-RT8 Alpha MUTT® (2nd Gen) w/ABS, Rugged Tablet and Slide-Out Base, Service-Truck Model (8" Rugged Tablet) (with Rugged Tablet and Slide-Out Base)</t>
        </is>
      </c>
      <c r="B148" s="30" t="inlineStr">
        <is>
          <t>B0B6WWBTLK</t>
        </is>
      </c>
      <c r="C148" s="30" t="inlineStr">
        <is>
          <t>Other</t>
        </is>
      </c>
      <c r="D148" s="324" t="n">
        <v>7077.5</v>
      </c>
      <c r="E148" s="53" t="n">
        <v>0</v>
      </c>
      <c r="F148" s="53" t="n">
        <v>0</v>
      </c>
      <c r="G148" s="55" t="n">
        <v>0</v>
      </c>
      <c r="H148" s="57" t="n">
        <v>0</v>
      </c>
      <c r="I148" s="55" t="n"/>
      <c r="J148" s="56" t="n"/>
      <c r="K148" s="56" t="inlineStr">
        <is>
          <t>https://amazon.com/dp/B0B6WWBTLK</t>
        </is>
      </c>
      <c r="L148" s="34">
        <f>HYPERLINK(InnovativeProductsOfAmerica_1[[#This Row],[Column1]])</f>
        <v/>
      </c>
    </row>
    <row r="149" ht="45" customHeight="1" s="290">
      <c r="A149" s="30" t="inlineStr">
        <is>
          <t>Innovative Products of America #5610A-RT8 Alpha MUTT® (2nd Gen) w/ABS and Rugged Tablet, Service-Truck Model (No Slide-Out Base)</t>
        </is>
      </c>
      <c r="B149" s="30" t="inlineStr">
        <is>
          <t>B0B6WTWFH5</t>
        </is>
      </c>
      <c r="C149" s="30" t="inlineStr">
        <is>
          <t>Other</t>
        </is>
      </c>
      <c r="D149" s="324" t="n">
        <v>6646.15</v>
      </c>
      <c r="E149" s="53" t="n">
        <v>8257.75</v>
      </c>
      <c r="F149" s="53" t="n">
        <v>0</v>
      </c>
      <c r="G149" s="55" t="n">
        <v>2</v>
      </c>
      <c r="H149" s="57" t="n">
        <v>0</v>
      </c>
      <c r="I149" s="55" t="n"/>
      <c r="J149" s="56" t="n"/>
      <c r="K149" s="56" t="inlineStr">
        <is>
          <t>https://amazon.com/dp/B0B6WTWFH5</t>
        </is>
      </c>
      <c r="L149" s="34">
        <f>HYPERLINK(InnovativeProductsOfAmerica_1[[#This Row],[Column1]])</f>
        <v/>
      </c>
    </row>
    <row r="150" ht="45" customHeight="1" s="290">
      <c r="A150" s="30" t="inlineStr">
        <is>
          <t>Innovative Products of America #5611A Alpha MUTT® (2nd Gen) w/ABS and Slide-Out Base, Service-Truck Model (No Tablet)</t>
        </is>
      </c>
      <c r="B150" s="30" t="inlineStr">
        <is>
          <t>B0B6WQYM6L</t>
        </is>
      </c>
      <c r="C150" s="30" t="inlineStr">
        <is>
          <t>Other</t>
        </is>
      </c>
      <c r="D150" s="324" t="n">
        <v>5696.15</v>
      </c>
      <c r="E150" s="53" t="n">
        <v>15978.25</v>
      </c>
      <c r="F150" s="53" t="n">
        <v>0</v>
      </c>
      <c r="G150" s="55" t="n">
        <v>3</v>
      </c>
      <c r="H150" s="57" t="n">
        <v>0</v>
      </c>
      <c r="I150" s="55" t="n"/>
      <c r="J150" s="56" t="n"/>
      <c r="K150" s="56" t="inlineStr">
        <is>
          <t>https://amazon.com/dp/B0B6WQYM6L</t>
        </is>
      </c>
      <c r="L150" s="34">
        <f>HYPERLINK(InnovativeProductsOfAmerica_1[[#This Row],[Column1]])</f>
        <v/>
      </c>
    </row>
    <row r="151" ht="45" customHeight="1" s="290">
      <c r="A151" s="30" t="inlineStr">
        <is>
          <t>Innovative Products of America #M2000 NATO MUTT Military Trailer Tester</t>
        </is>
      </c>
      <c r="B151" s="30" t="inlineStr">
        <is>
          <t>B00P044WE6</t>
        </is>
      </c>
      <c r="C151" s="30" t="inlineStr">
        <is>
          <t>Other</t>
        </is>
      </c>
      <c r="D151" s="324" t="n">
        <v>2845.25</v>
      </c>
      <c r="E151" s="53" t="n">
        <v>0</v>
      </c>
      <c r="F151" s="53" t="n">
        <v>0</v>
      </c>
      <c r="G151" s="55" t="n">
        <v>0</v>
      </c>
      <c r="H151" s="57" t="n">
        <v>0</v>
      </c>
      <c r="I151" s="55" t="n"/>
      <c r="J151" s="56" t="n"/>
      <c r="K151" s="56" t="inlineStr">
        <is>
          <t>https://amazon.com/dp/B00P044WE6</t>
        </is>
      </c>
      <c r="L151" s="34">
        <f>HYPERLINK(InnovativeProductsOfAmerica_1[[#This Row],[Column1]])</f>
        <v/>
      </c>
    </row>
    <row r="152" ht="45" customHeight="1" s="290">
      <c r="A152" s="30" t="n"/>
      <c r="B152" s="30" t="n"/>
      <c r="C152" s="30" t="n"/>
      <c r="D152" s="324" t="n"/>
      <c r="E152" s="53" t="n"/>
      <c r="F152" s="53" t="n"/>
      <c r="G152" s="55" t="n"/>
      <c r="H152" s="57" t="n"/>
      <c r="I152" s="55" t="n"/>
      <c r="J152" s="56" t="n"/>
      <c r="K152" s="56" t="n"/>
      <c r="L152" s="34">
        <f>HYPERLINK(Table65[[#This Row],[Column1]])</f>
        <v/>
      </c>
    </row>
    <row r="153" ht="60" customHeight="1" s="290">
      <c r="A153" s="30" t="n"/>
      <c r="B153" s="30" t="n"/>
      <c r="C153" s="30" t="n"/>
      <c r="D153" s="324" t="n"/>
      <c r="E153" s="53" t="n"/>
      <c r="F153" s="53" t="n"/>
      <c r="G153" s="55" t="n"/>
      <c r="H153" s="57" t="n"/>
      <c r="I153" s="55" t="n"/>
      <c r="J153" s="56" t="n"/>
      <c r="K153" s="56" t="n"/>
      <c r="L153" s="34">
        <f>HYPERLINK(Table65[[#This Row],[Column1]])</f>
        <v/>
      </c>
    </row>
    <row r="154" ht="45" customHeight="1" s="290">
      <c r="A154" s="30" t="n"/>
      <c r="B154" s="30" t="n"/>
      <c r="C154" s="30" t="n"/>
      <c r="D154" s="324" t="n"/>
      <c r="E154" s="53" t="n"/>
      <c r="F154" s="53" t="n"/>
      <c r="G154" s="55" t="n"/>
      <c r="H154" s="57" t="n"/>
      <c r="I154" s="55" t="n"/>
      <c r="J154" s="56" t="n"/>
      <c r="K154" s="56" t="n"/>
      <c r="L154" s="34">
        <f>HYPERLINK(Table65[[#This Row],[Column1]])</f>
        <v/>
      </c>
    </row>
    <row r="155" ht="45" customHeight="1" s="290">
      <c r="A155" s="30" t="n"/>
      <c r="B155" s="30" t="n"/>
      <c r="C155" s="30" t="n"/>
      <c r="D155" s="324" t="n"/>
      <c r="E155" s="53" t="n"/>
      <c r="F155" s="53" t="n"/>
      <c r="G155" s="55" t="n"/>
      <c r="H155" s="57" t="n"/>
      <c r="I155" s="55" t="n"/>
      <c r="J155" s="56" t="n"/>
      <c r="K155" s="56" t="n"/>
      <c r="L155" s="34">
        <f>HYPERLINK(Table65[[#This Row],[Column1]])</f>
        <v/>
      </c>
    </row>
    <row r="156" ht="45" customHeight="1" s="290">
      <c r="A156" s="30" t="n"/>
      <c r="B156" s="30" t="n"/>
      <c r="C156" s="30" t="n"/>
      <c r="D156" s="324" t="n"/>
      <c r="E156" s="53" t="n"/>
      <c r="F156" s="53" t="n"/>
      <c r="G156" s="55" t="n"/>
      <c r="H156" s="57" t="n"/>
      <c r="I156" s="55" t="n"/>
      <c r="J156" s="56" t="n"/>
      <c r="K156" s="56" t="n"/>
      <c r="L156" s="34">
        <f>HYPERLINK(Table65[[#This Row],[Column1]])</f>
        <v/>
      </c>
    </row>
    <row r="157" ht="45" customHeight="1" s="290">
      <c r="A157" s="30" t="n"/>
      <c r="B157" s="30" t="n"/>
      <c r="C157" s="30" t="n"/>
      <c r="D157" s="324" t="n"/>
      <c r="E157" s="53" t="n"/>
      <c r="F157" s="53" t="n"/>
      <c r="G157" s="55" t="n"/>
      <c r="H157" s="57" t="n"/>
      <c r="I157" s="55" t="n"/>
      <c r="J157" s="56" t="n"/>
      <c r="K157" s="56" t="n"/>
      <c r="L157" s="34">
        <f>HYPERLINK(Table65[[#This Row],[Column1]])</f>
        <v/>
      </c>
    </row>
    <row r="158" ht="45" customHeight="1" s="290">
      <c r="A158" s="30" t="n"/>
      <c r="B158" s="30" t="n"/>
      <c r="C158" s="30" t="n"/>
      <c r="D158" s="324" t="n"/>
      <c r="E158" s="53" t="n"/>
      <c r="F158" s="53" t="n"/>
      <c r="G158" s="55" t="n"/>
      <c r="H158" s="57" t="n"/>
      <c r="I158" s="55" t="n"/>
      <c r="J158" s="56" t="n"/>
      <c r="K158" s="56" t="n"/>
      <c r="L158" s="34">
        <f>HYPERLINK(Table65[[#This Row],[Column1]])</f>
        <v/>
      </c>
    </row>
    <row r="159" ht="45" customHeight="1" s="290">
      <c r="A159" s="30" t="n"/>
      <c r="B159" s="30" t="n"/>
      <c r="C159" s="30" t="n"/>
      <c r="D159" s="324" t="n"/>
      <c r="E159" s="53" t="n"/>
      <c r="F159" s="53" t="n"/>
      <c r="G159" s="55" t="n"/>
      <c r="H159" s="57" t="n"/>
      <c r="I159" s="55" t="n"/>
      <c r="J159" s="56" t="n"/>
      <c r="K159" s="56" t="n"/>
      <c r="L159" s="34">
        <f>HYPERLINK(Table65[[#This Row],[Column1]])</f>
        <v/>
      </c>
    </row>
    <row r="160" ht="45" customHeight="1" s="290">
      <c r="A160" s="30" t="n"/>
      <c r="B160" s="30" t="n"/>
      <c r="C160" s="30" t="n"/>
      <c r="D160" s="324" t="n"/>
      <c r="E160" s="53" t="n"/>
      <c r="F160" s="53" t="n"/>
      <c r="G160" s="55" t="n"/>
      <c r="H160" s="57" t="n"/>
      <c r="I160" s="55" t="n"/>
      <c r="J160" s="56" t="n"/>
      <c r="K160" s="56" t="n"/>
      <c r="L160" s="34">
        <f>HYPERLINK(Table65[[#This Row],[Column1]])</f>
        <v/>
      </c>
    </row>
    <row r="161" ht="60" customHeight="1" s="290">
      <c r="A161" s="30" t="n"/>
      <c r="B161" s="30" t="n"/>
      <c r="C161" s="30" t="n"/>
      <c r="D161" s="324" t="n"/>
      <c r="E161" s="53" t="n"/>
      <c r="F161" s="53" t="n"/>
      <c r="G161" s="55" t="n"/>
      <c r="H161" s="57" t="n"/>
      <c r="I161" s="55" t="n"/>
      <c r="J161" s="56" t="n"/>
      <c r="K161" s="56" t="n"/>
      <c r="L161" s="34">
        <f>HYPERLINK(Table65[[#This Row],[Column1]])</f>
        <v/>
      </c>
    </row>
    <row r="162" ht="45" customHeight="1" s="290">
      <c r="A162" s="30" t="n"/>
      <c r="B162" s="30" t="n"/>
      <c r="C162" s="30" t="n"/>
      <c r="D162" s="324" t="n"/>
      <c r="E162" s="53" t="n"/>
      <c r="F162" s="53" t="n"/>
      <c r="G162" s="55" t="n"/>
      <c r="H162" s="57" t="n"/>
      <c r="I162" s="55" t="n"/>
      <c r="J162" s="56" t="n"/>
      <c r="K162" s="56" t="n"/>
      <c r="L162" s="34">
        <f>HYPERLINK(Table65[[#This Row],[Column1]])</f>
        <v/>
      </c>
    </row>
    <row r="163" ht="45" customHeight="1" s="290">
      <c r="A163" s="30" t="n"/>
      <c r="B163" s="30" t="n"/>
      <c r="C163" s="30" t="n"/>
      <c r="D163" s="324" t="n"/>
      <c r="E163" s="53" t="n"/>
      <c r="F163" s="53" t="n"/>
      <c r="G163" s="55" t="n"/>
      <c r="H163" s="57" t="n"/>
      <c r="I163" s="55" t="n"/>
      <c r="J163" s="56" t="n"/>
      <c r="K163" s="56" t="n"/>
      <c r="L163" s="34">
        <f>HYPERLINK(Table65[[#This Row],[Column1]])</f>
        <v/>
      </c>
    </row>
    <row r="164" ht="45" customHeight="1" s="290">
      <c r="A164" s="30" t="n"/>
      <c r="B164" s="30" t="n"/>
      <c r="C164" s="30" t="n"/>
      <c r="D164" s="324" t="n"/>
      <c r="E164" s="53" t="n"/>
      <c r="F164" s="53" t="n"/>
      <c r="G164" s="55" t="n"/>
      <c r="H164" s="57" t="n"/>
      <c r="I164" s="55" t="n"/>
      <c r="J164" s="56" t="n"/>
      <c r="K164" s="56" t="n"/>
      <c r="L164" s="34">
        <f>HYPERLINK(Table65[[#This Row],[Column1]])</f>
        <v/>
      </c>
    </row>
    <row r="165" ht="45" customHeight="1" s="290">
      <c r="A165" s="30" t="n"/>
      <c r="B165" s="30" t="n"/>
      <c r="C165" s="30" t="n"/>
      <c r="D165" s="324" t="n"/>
      <c r="E165" s="53" t="n"/>
      <c r="F165" s="53" t="n"/>
      <c r="G165" s="55" t="n"/>
      <c r="H165" s="57" t="n"/>
      <c r="I165" s="55" t="n"/>
      <c r="J165" s="56" t="n"/>
      <c r="K165" s="56" t="n"/>
      <c r="L165" s="34">
        <f>HYPERLINK(Table65[[#This Row],[Column1]])</f>
        <v/>
      </c>
    </row>
    <row r="166" ht="45" customHeight="1" s="290">
      <c r="A166" s="30" t="n"/>
      <c r="B166" s="30" t="n"/>
      <c r="C166" s="30" t="n"/>
      <c r="D166" s="324" t="n"/>
      <c r="E166" s="53" t="n"/>
      <c r="F166" s="53" t="n"/>
      <c r="G166" s="55" t="n"/>
      <c r="H166" s="57" t="n"/>
      <c r="I166" s="55" t="n"/>
      <c r="J166" s="56" t="n"/>
      <c r="K166" s="56" t="n"/>
      <c r="L166" s="34">
        <f>HYPERLINK(Table65[[#This Row],[Column1]])</f>
        <v/>
      </c>
    </row>
    <row r="167" ht="45" customHeight="1" s="290">
      <c r="A167" s="30" t="n"/>
      <c r="B167" s="30" t="n"/>
      <c r="C167" s="30" t="n"/>
      <c r="D167" s="324" t="n"/>
      <c r="E167" s="53" t="n"/>
      <c r="F167" s="53" t="n"/>
      <c r="G167" s="55" t="n"/>
      <c r="H167" s="57" t="n"/>
      <c r="I167" s="55" t="n"/>
      <c r="J167" s="56" t="n"/>
      <c r="K167" s="56" t="n"/>
      <c r="L167" s="34">
        <f>HYPERLINK(Table65[[#This Row],[Column1]])</f>
        <v/>
      </c>
    </row>
    <row r="168" ht="45" customHeight="1" s="290">
      <c r="A168" s="30" t="n"/>
      <c r="B168" s="30" t="n"/>
      <c r="C168" s="30" t="n"/>
      <c r="D168" s="324" t="n"/>
      <c r="E168" s="53" t="n"/>
      <c r="F168" s="53" t="n"/>
      <c r="G168" s="55" t="n"/>
      <c r="H168" s="57" t="n"/>
      <c r="I168" s="55" t="n"/>
      <c r="J168" s="56" t="n"/>
      <c r="K168" s="56" t="n"/>
      <c r="L168" s="34">
        <f>HYPERLINK(Table65[[#This Row],[Column1]])</f>
        <v/>
      </c>
    </row>
    <row r="169" ht="45" customHeight="1" s="290">
      <c r="A169" s="30" t="n"/>
      <c r="B169" s="30" t="n"/>
      <c r="C169" s="30" t="n"/>
      <c r="D169" s="324" t="n"/>
      <c r="E169" s="53" t="n"/>
      <c r="F169" s="53" t="n"/>
      <c r="G169" s="55" t="n"/>
      <c r="H169" s="57" t="n"/>
      <c r="I169" s="55" t="n"/>
      <c r="J169" s="56" t="n"/>
      <c r="K169" s="56" t="n"/>
      <c r="L169" s="34">
        <f>HYPERLINK(Table65[[#This Row],[Column1]])</f>
        <v/>
      </c>
    </row>
    <row r="170" ht="30" customHeight="1" s="290">
      <c r="A170" s="30" t="n"/>
      <c r="B170" s="30" t="n"/>
      <c r="C170" s="30" t="n"/>
      <c r="D170" s="324" t="n"/>
      <c r="E170" s="53" t="n"/>
      <c r="F170" s="53" t="n"/>
      <c r="G170" s="55" t="n"/>
      <c r="H170" s="57" t="n"/>
      <c r="I170" s="55" t="n"/>
      <c r="J170" s="56" t="n"/>
      <c r="K170" s="56" t="n"/>
      <c r="L170" s="34">
        <f>HYPERLINK(Table65[[#This Row],[Column1]])</f>
        <v/>
      </c>
    </row>
    <row r="171" ht="45" customHeight="1" s="290">
      <c r="A171" s="30" t="n"/>
      <c r="B171" s="30" t="n"/>
      <c r="C171" s="30" t="n"/>
      <c r="D171" s="324" t="n"/>
      <c r="E171" s="53" t="n"/>
      <c r="F171" s="53" t="n"/>
      <c r="G171" s="55" t="n"/>
      <c r="H171" s="57" t="n"/>
      <c r="I171" s="55" t="n"/>
      <c r="J171" s="56" t="n"/>
      <c r="K171" s="56" t="n"/>
      <c r="L171" s="34">
        <f>HYPERLINK(Table65[[#This Row],[Column1]])</f>
        <v/>
      </c>
    </row>
    <row r="172" ht="45" customHeight="1" s="290">
      <c r="A172" s="30" t="n"/>
      <c r="B172" s="30" t="n"/>
      <c r="C172" s="30" t="n"/>
      <c r="D172" s="324" t="n"/>
      <c r="E172" s="53" t="n"/>
      <c r="F172" s="53" t="n"/>
      <c r="G172" s="55" t="n"/>
      <c r="H172" s="57" t="n"/>
      <c r="I172" s="55" t="n"/>
      <c r="J172" s="56" t="n"/>
      <c r="K172" s="56" t="n"/>
      <c r="L172" s="34">
        <f>HYPERLINK(Table65[[#This Row],[Column1]])</f>
        <v/>
      </c>
    </row>
    <row r="173" ht="45" customHeight="1" s="290">
      <c r="A173" s="30" t="n"/>
      <c r="B173" s="30" t="n"/>
      <c r="C173" s="30" t="n"/>
      <c r="D173" s="324" t="n"/>
      <c r="E173" s="53" t="n"/>
      <c r="F173" s="53" t="n"/>
      <c r="G173" s="55" t="n"/>
      <c r="H173" s="57" t="n"/>
      <c r="I173" s="55" t="n"/>
      <c r="J173" s="56" t="n"/>
      <c r="K173" s="56" t="n"/>
      <c r="L173" s="34">
        <f>HYPERLINK(Table65[[#This Row],[Column1]])</f>
        <v/>
      </c>
    </row>
    <row r="174" ht="45" customHeight="1" s="290">
      <c r="A174" s="30" t="n"/>
      <c r="B174" s="30" t="n"/>
      <c r="C174" s="30" t="n"/>
      <c r="D174" s="324" t="n"/>
      <c r="E174" s="53" t="n"/>
      <c r="F174" s="53" t="n"/>
      <c r="G174" s="55" t="n"/>
      <c r="H174" s="57" t="n"/>
      <c r="I174" s="55" t="n"/>
      <c r="J174" s="56" t="n"/>
      <c r="K174" s="56" t="n"/>
      <c r="L174" s="34">
        <f>HYPERLINK(Table65[[#This Row],[Column1]])</f>
        <v/>
      </c>
    </row>
    <row r="175" ht="45" customHeight="1" s="290">
      <c r="A175" s="30" t="n"/>
      <c r="B175" s="30" t="n"/>
      <c r="C175" s="30" t="n"/>
      <c r="D175" s="324" t="n"/>
      <c r="E175" s="53" t="n"/>
      <c r="F175" s="53" t="n"/>
      <c r="G175" s="55" t="n"/>
      <c r="H175" s="57" t="n"/>
      <c r="I175" s="55" t="n"/>
      <c r="J175" s="56" t="n"/>
      <c r="K175" s="56" t="n"/>
      <c r="L175" s="34">
        <f>HYPERLINK(Table65[[#This Row],[Column1]])</f>
        <v/>
      </c>
    </row>
    <row r="176" ht="60" customHeight="1" s="290">
      <c r="A176" s="30" t="n"/>
      <c r="B176" s="30" t="n"/>
      <c r="C176" s="30" t="n"/>
      <c r="D176" s="324" t="n"/>
      <c r="E176" s="53" t="n"/>
      <c r="F176" s="53" t="n"/>
      <c r="G176" s="55" t="n"/>
      <c r="H176" s="57" t="n"/>
      <c r="I176" s="55" t="n"/>
      <c r="J176" s="56" t="n"/>
      <c r="K176" s="56" t="n"/>
      <c r="L176" s="34">
        <f>HYPERLINK(Table65[[#This Row],[Column1]])</f>
        <v/>
      </c>
    </row>
    <row r="177" ht="45" customHeight="1" s="290">
      <c r="A177" s="30" t="n"/>
      <c r="B177" s="30" t="n"/>
      <c r="C177" s="30" t="n"/>
      <c r="D177" s="324" t="n"/>
      <c r="E177" s="53" t="n"/>
      <c r="F177" s="53" t="n"/>
      <c r="G177" s="55" t="n"/>
      <c r="H177" s="57" t="n"/>
      <c r="I177" s="55" t="n"/>
      <c r="J177" s="56" t="n"/>
      <c r="K177" s="56" t="n"/>
      <c r="L177" s="34">
        <f>HYPERLINK(Table65[[#This Row],[Column1]])</f>
        <v/>
      </c>
    </row>
    <row r="178" ht="45" customHeight="1" s="290">
      <c r="A178" s="30" t="n"/>
      <c r="B178" s="30" t="n"/>
      <c r="C178" s="30" t="n"/>
      <c r="D178" s="324" t="n"/>
      <c r="E178" s="53" t="n"/>
      <c r="F178" s="53" t="n"/>
      <c r="G178" s="55" t="n"/>
      <c r="H178" s="57" t="n"/>
      <c r="I178" s="55" t="n"/>
      <c r="J178" s="56" t="n"/>
      <c r="K178" s="56" t="n"/>
      <c r="L178" s="34">
        <f>HYPERLINK(Table65[[#This Row],[Column1]])</f>
        <v/>
      </c>
    </row>
    <row r="179" ht="30" customHeight="1" s="290">
      <c r="A179" s="30" t="n"/>
      <c r="B179" s="30" t="n"/>
      <c r="C179" s="30" t="n"/>
      <c r="D179" s="324" t="n"/>
      <c r="E179" s="53" t="n"/>
      <c r="F179" s="53" t="n"/>
      <c r="G179" s="55" t="n"/>
      <c r="H179" s="57" t="n"/>
      <c r="I179" s="55" t="n"/>
      <c r="J179" s="56" t="n"/>
      <c r="K179" s="56" t="n"/>
      <c r="L179" s="34">
        <f>HYPERLINK(Table65[[#This Row],[Column1]])</f>
        <v/>
      </c>
    </row>
    <row r="180" ht="45" customHeight="1" s="290">
      <c r="A180" s="30" t="n"/>
      <c r="B180" s="30" t="n"/>
      <c r="C180" s="30" t="n"/>
      <c r="D180" s="324" t="n"/>
      <c r="E180" s="53" t="n"/>
      <c r="F180" s="53" t="n"/>
      <c r="G180" s="55" t="n"/>
      <c r="H180" s="57" t="n"/>
      <c r="I180" s="55" t="n"/>
      <c r="J180" s="56" t="n"/>
      <c r="K180" s="56" t="n"/>
      <c r="L180" s="34">
        <f>HYPERLINK(Table65[[#This Row],[Column1]])</f>
        <v/>
      </c>
    </row>
    <row r="181" ht="45" customHeight="1" s="290">
      <c r="A181" s="30" t="n"/>
      <c r="B181" s="30" t="n"/>
      <c r="C181" s="30" t="n"/>
      <c r="D181" s="324" t="n"/>
      <c r="E181" s="53" t="n"/>
      <c r="F181" s="53" t="n"/>
      <c r="G181" s="55" t="n"/>
      <c r="H181" s="57" t="n"/>
      <c r="I181" s="55" t="n"/>
      <c r="J181" s="56" t="n"/>
      <c r="K181" s="56" t="n"/>
      <c r="L181" s="34">
        <f>HYPERLINK(Table65[[#This Row],[Column1]])</f>
        <v/>
      </c>
    </row>
    <row r="182" ht="45" customHeight="1" s="290">
      <c r="A182" s="30" t="n"/>
      <c r="B182" s="30" t="n"/>
      <c r="C182" s="30" t="n"/>
      <c r="D182" s="324" t="n"/>
      <c r="E182" s="53" t="n"/>
      <c r="F182" s="53" t="n"/>
      <c r="G182" s="55" t="n"/>
      <c r="H182" s="57" t="n"/>
      <c r="I182" s="55" t="n"/>
      <c r="J182" s="56" t="n"/>
      <c r="K182" s="56" t="n"/>
      <c r="L182" s="34">
        <f>HYPERLINK(Table65[[#This Row],[Column1]])</f>
        <v/>
      </c>
    </row>
    <row r="183" ht="45" customHeight="1" s="290">
      <c r="A183" s="30" t="n"/>
      <c r="B183" s="30" t="n"/>
      <c r="C183" s="30" t="n"/>
      <c r="D183" s="324" t="n"/>
      <c r="E183" s="53" t="n"/>
      <c r="F183" s="53" t="n"/>
      <c r="G183" s="55" t="n"/>
      <c r="H183" s="57" t="n"/>
      <c r="I183" s="55" t="n"/>
      <c r="J183" s="56" t="n"/>
      <c r="K183" s="56" t="n"/>
      <c r="L183" s="34">
        <f>HYPERLINK(Table65[[#This Row],[Column1]])</f>
        <v/>
      </c>
    </row>
    <row r="184" ht="45" customHeight="1" s="290">
      <c r="A184" s="30" t="n"/>
      <c r="B184" s="30" t="n"/>
      <c r="C184" s="30" t="n"/>
      <c r="D184" s="324" t="n"/>
      <c r="E184" s="53" t="n"/>
      <c r="F184" s="53" t="n"/>
      <c r="G184" s="55" t="n"/>
      <c r="H184" s="57" t="n"/>
      <c r="I184" s="55" t="n"/>
      <c r="J184" s="56" t="n"/>
      <c r="K184" s="56" t="n"/>
      <c r="L184" s="34">
        <f>HYPERLINK(Table65[[#This Row],[Column1]])</f>
        <v/>
      </c>
    </row>
    <row r="185" ht="45" customHeight="1" s="290">
      <c r="A185" s="30" t="n"/>
      <c r="B185" s="30" t="n"/>
      <c r="C185" s="30" t="n"/>
      <c r="D185" s="324" t="n"/>
      <c r="E185" s="53" t="n"/>
      <c r="F185" s="53" t="n"/>
      <c r="G185" s="55" t="n"/>
      <c r="H185" s="57" t="n"/>
      <c r="I185" s="55" t="n"/>
      <c r="J185" s="56" t="n"/>
      <c r="K185" s="56" t="n"/>
      <c r="L185" s="34">
        <f>HYPERLINK(Table65[[#This Row],[Column1]])</f>
        <v/>
      </c>
    </row>
    <row r="186" ht="60" customHeight="1" s="290">
      <c r="A186" s="30" t="n"/>
      <c r="B186" s="30" t="n"/>
      <c r="C186" s="30" t="n"/>
      <c r="D186" s="324" t="n"/>
      <c r="E186" s="53" t="n"/>
      <c r="F186" s="53" t="n"/>
      <c r="G186" s="55" t="n"/>
      <c r="H186" s="57" t="n"/>
      <c r="I186" s="55" t="n"/>
      <c r="J186" s="56" t="n"/>
      <c r="K186" s="56" t="n"/>
      <c r="L186" s="34">
        <f>HYPERLINK(Table65[[#This Row],[Column1]])</f>
        <v/>
      </c>
    </row>
    <row r="187" ht="45" customHeight="1" s="290">
      <c r="A187" s="30" t="n"/>
      <c r="B187" s="30" t="n"/>
      <c r="C187" s="30" t="n"/>
      <c r="D187" s="324" t="n"/>
      <c r="E187" s="53" t="n"/>
      <c r="F187" s="53" t="n"/>
      <c r="G187" s="55" t="n"/>
      <c r="H187" s="57" t="n"/>
      <c r="I187" s="55" t="n"/>
      <c r="J187" s="56" t="n"/>
      <c r="K187" s="56" t="n"/>
      <c r="L187" s="34">
        <f>HYPERLINK(Table65[[#This Row],[Column1]])</f>
        <v/>
      </c>
    </row>
    <row r="188" ht="45" customHeight="1" s="290">
      <c r="A188" s="30" t="n"/>
      <c r="B188" s="30" t="n"/>
      <c r="C188" s="30" t="n"/>
      <c r="D188" s="324" t="n"/>
      <c r="E188" s="53" t="n"/>
      <c r="F188" s="53" t="n"/>
      <c r="G188" s="55" t="n"/>
      <c r="H188" s="57" t="n"/>
      <c r="I188" s="55" t="n"/>
      <c r="J188" s="56" t="n"/>
      <c r="K188" s="56" t="n"/>
      <c r="L188" s="34">
        <f>HYPERLINK(Table65[[#This Row],[Column1]])</f>
        <v/>
      </c>
    </row>
    <row r="189" ht="45" customHeight="1" s="290">
      <c r="A189" s="30" t="n"/>
      <c r="B189" s="30" t="n"/>
      <c r="C189" s="30" t="n"/>
      <c r="D189" s="324" t="n"/>
      <c r="E189" s="53" t="n"/>
      <c r="F189" s="53" t="n"/>
      <c r="G189" s="55" t="n"/>
      <c r="H189" s="57" t="n"/>
      <c r="I189" s="55" t="n"/>
      <c r="J189" s="56" t="n"/>
      <c r="K189" s="56" t="n"/>
      <c r="L189" s="34">
        <f>HYPERLINK(Table65[[#This Row],[Column1]])</f>
        <v/>
      </c>
    </row>
    <row r="190" ht="60" customHeight="1" s="290">
      <c r="A190" s="30" t="n"/>
      <c r="B190" s="30" t="n"/>
      <c r="C190" s="30" t="n"/>
      <c r="D190" s="324" t="n"/>
      <c r="E190" s="53" t="n"/>
      <c r="F190" s="53" t="n"/>
      <c r="G190" s="55" t="n"/>
      <c r="H190" s="57" t="n"/>
      <c r="I190" s="55" t="n"/>
      <c r="J190" s="56" t="n"/>
      <c r="K190" s="56" t="n"/>
      <c r="L190" s="34">
        <f>HYPERLINK(Table65[[#This Row],[Column1]])</f>
        <v/>
      </c>
    </row>
    <row r="191" ht="45" customHeight="1" s="290">
      <c r="A191" s="30" t="n"/>
      <c r="B191" s="30" t="n"/>
      <c r="C191" s="30" t="n"/>
      <c r="D191" s="324" t="n"/>
      <c r="E191" s="53" t="n"/>
      <c r="F191" s="53" t="n"/>
      <c r="G191" s="55" t="n"/>
      <c r="H191" s="57" t="n"/>
      <c r="I191" s="55" t="n"/>
      <c r="J191" s="56" t="n"/>
      <c r="K191" s="56" t="n"/>
      <c r="L191" s="34">
        <f>HYPERLINK(Table65[[#This Row],[Column1]])</f>
        <v/>
      </c>
    </row>
    <row r="192" ht="45" customHeight="1" s="290">
      <c r="A192" s="30" t="n"/>
      <c r="B192" s="30" t="n"/>
      <c r="C192" s="30" t="n"/>
      <c r="D192" s="324" t="n"/>
      <c r="E192" s="53" t="n"/>
      <c r="F192" s="53" t="n"/>
      <c r="G192" s="55" t="n"/>
      <c r="H192" s="57" t="n"/>
      <c r="I192" s="55" t="n"/>
      <c r="J192" s="56" t="n"/>
      <c r="K192" s="56" t="n"/>
      <c r="L192" s="34">
        <f>HYPERLINK(Table65[[#This Row],[Column1]])</f>
        <v/>
      </c>
    </row>
    <row r="193" ht="60" customHeight="1" s="290">
      <c r="A193" s="30" t="n"/>
      <c r="B193" s="30" t="n"/>
      <c r="C193" s="30" t="n"/>
      <c r="D193" s="324" t="n"/>
      <c r="E193" s="53" t="n"/>
      <c r="F193" s="53" t="n"/>
      <c r="G193" s="55" t="n"/>
      <c r="H193" s="57" t="n"/>
      <c r="I193" s="55" t="n"/>
      <c r="J193" s="56" t="n"/>
      <c r="K193" s="56" t="n"/>
      <c r="L193" s="34">
        <f>HYPERLINK(Table65[[#This Row],[Column1]])</f>
        <v/>
      </c>
    </row>
    <row r="194" ht="45" customHeight="1" s="290">
      <c r="A194" s="30" t="n"/>
      <c r="B194" s="30" t="n"/>
      <c r="C194" s="30" t="n"/>
      <c r="D194" s="324" t="n"/>
      <c r="E194" s="53" t="n"/>
      <c r="F194" s="53" t="n"/>
      <c r="G194" s="55" t="n"/>
      <c r="H194" s="57" t="n"/>
      <c r="I194" s="55" t="n"/>
      <c r="J194" s="56" t="n"/>
      <c r="K194" s="56" t="n"/>
      <c r="L194" s="34">
        <f>HYPERLINK(Table65[[#This Row],[Column1]])</f>
        <v/>
      </c>
    </row>
    <row r="195" ht="45" customHeight="1" s="290">
      <c r="A195" s="30" t="n"/>
      <c r="B195" s="30" t="n"/>
      <c r="C195" s="30" t="n"/>
      <c r="D195" s="324" t="n"/>
      <c r="E195" s="53" t="n"/>
      <c r="F195" s="53" t="n"/>
      <c r="G195" s="55" t="n"/>
      <c r="H195" s="57" t="n"/>
      <c r="I195" s="55" t="n"/>
      <c r="J195" s="56" t="n"/>
      <c r="K195" s="56" t="n"/>
      <c r="L195" s="34">
        <f>HYPERLINK(Table65[[#This Row],[Column1]])</f>
        <v/>
      </c>
    </row>
    <row r="196" ht="45" customHeight="1" s="290">
      <c r="A196" s="30" t="n"/>
      <c r="B196" s="30" t="n"/>
      <c r="C196" s="30" t="n"/>
      <c r="D196" s="324" t="n"/>
      <c r="E196" s="53" t="n"/>
      <c r="F196" s="53" t="n"/>
      <c r="G196" s="55" t="n"/>
      <c r="H196" s="57" t="n"/>
      <c r="I196" s="55" t="n"/>
      <c r="J196" s="56" t="n"/>
      <c r="K196" s="56" t="n"/>
      <c r="L196" s="34">
        <f>HYPERLINK(Table65[[#This Row],[Column1]])</f>
        <v/>
      </c>
    </row>
    <row r="197" ht="45" customHeight="1" s="290">
      <c r="A197" s="30" t="n"/>
      <c r="B197" s="30" t="n"/>
      <c r="C197" s="30" t="n"/>
      <c r="D197" s="324" t="n"/>
      <c r="E197" s="53" t="n"/>
      <c r="F197" s="53" t="n"/>
      <c r="G197" s="55" t="n"/>
      <c r="H197" s="57" t="n"/>
      <c r="I197" s="55" t="n"/>
      <c r="J197" s="56" t="n"/>
      <c r="K197" s="56" t="n"/>
      <c r="L197" s="34">
        <f>HYPERLINK(Table65[[#This Row],[Column1]])</f>
        <v/>
      </c>
    </row>
    <row r="198" ht="45" customHeight="1" s="290">
      <c r="A198" s="30" t="n"/>
      <c r="B198" s="30" t="n"/>
      <c r="C198" s="30" t="n"/>
      <c r="D198" s="324" t="n"/>
      <c r="E198" s="53" t="n"/>
      <c r="F198" s="53" t="n"/>
      <c r="G198" s="55" t="n"/>
      <c r="H198" s="57" t="n"/>
      <c r="I198" s="55" t="n"/>
      <c r="J198" s="56" t="n"/>
      <c r="K198" s="56" t="n"/>
      <c r="L198" s="34">
        <f>HYPERLINK(Table65[[#This Row],[Column1]])</f>
        <v/>
      </c>
    </row>
    <row r="199" ht="45" customHeight="1" s="290">
      <c r="A199" s="30" t="n"/>
      <c r="B199" s="30" t="n"/>
      <c r="C199" s="30" t="n"/>
      <c r="D199" s="324" t="n"/>
      <c r="E199" s="53" t="n"/>
      <c r="F199" s="53" t="n"/>
      <c r="G199" s="55" t="n"/>
      <c r="H199" s="57" t="n"/>
      <c r="I199" s="55" t="n"/>
      <c r="J199" s="56" t="n"/>
      <c r="K199" s="56" t="n"/>
      <c r="L199" s="34">
        <f>HYPERLINK(Table65[[#This Row],[Column1]])</f>
        <v/>
      </c>
    </row>
    <row r="200" ht="45" customHeight="1" s="290">
      <c r="A200" s="30" t="n"/>
      <c r="B200" s="30" t="n"/>
      <c r="C200" s="30" t="n"/>
      <c r="D200" s="324" t="n"/>
      <c r="E200" s="53" t="n"/>
      <c r="F200" s="53" t="n"/>
      <c r="G200" s="55" t="n"/>
      <c r="H200" s="57" t="n"/>
      <c r="I200" s="55" t="n"/>
      <c r="J200" s="56" t="n"/>
      <c r="K200" s="56" t="n"/>
      <c r="L200" s="34">
        <f>HYPERLINK(Table65[[#This Row],[Column1]])</f>
        <v/>
      </c>
    </row>
    <row r="201" ht="45" customHeight="1" s="290">
      <c r="A201" s="30" t="n"/>
      <c r="B201" s="30" t="n"/>
      <c r="C201" s="30" t="n"/>
      <c r="D201" s="324" t="n"/>
      <c r="E201" s="53" t="n"/>
      <c r="F201" s="53" t="n"/>
      <c r="G201" s="55" t="n"/>
      <c r="H201" s="57" t="n"/>
      <c r="I201" s="55" t="n"/>
      <c r="J201" s="56" t="n"/>
      <c r="K201" s="56" t="n"/>
      <c r="L201" s="34">
        <f>HYPERLINK(Table65[[#This Row],[Column1]])</f>
        <v/>
      </c>
    </row>
    <row r="202" ht="45" customHeight="1" s="290">
      <c r="A202" s="30" t="n"/>
      <c r="B202" s="30" t="n"/>
      <c r="C202" s="30" t="n"/>
      <c r="D202" s="324" t="n"/>
      <c r="E202" s="53" t="n"/>
      <c r="F202" s="53" t="n"/>
      <c r="G202" s="55" t="n"/>
      <c r="H202" s="57" t="n"/>
      <c r="I202" s="55" t="n"/>
      <c r="J202" s="56" t="n"/>
      <c r="K202" s="56" t="n"/>
      <c r="L202" s="34">
        <f>HYPERLINK(Table65[[#This Row],[Column1]])</f>
        <v/>
      </c>
    </row>
    <row r="203" ht="45" customHeight="1" s="290">
      <c r="A203" s="30" t="n"/>
      <c r="B203" s="30" t="n"/>
      <c r="C203" s="30" t="n"/>
      <c r="D203" s="324" t="n"/>
      <c r="E203" s="53" t="n"/>
      <c r="F203" s="53" t="n"/>
      <c r="G203" s="55" t="n"/>
      <c r="H203" s="57" t="n"/>
      <c r="I203" s="55" t="n"/>
      <c r="J203" s="56" t="n"/>
      <c r="K203" s="56" t="n"/>
      <c r="L203" s="34">
        <f>HYPERLINK(Table65[[#This Row],[Column1]])</f>
        <v/>
      </c>
    </row>
    <row r="204" ht="17" customHeight="1" s="290">
      <c r="A204" s="30" t="n"/>
      <c r="B204" s="30" t="n"/>
      <c r="C204" s="30" t="n"/>
      <c r="D204" s="324" t="n"/>
      <c r="E204" s="53" t="n"/>
      <c r="F204" s="53" t="n"/>
      <c r="G204" s="55" t="n"/>
      <c r="H204" s="57" t="n"/>
      <c r="I204" s="55" t="n"/>
      <c r="J204" s="56" t="n"/>
      <c r="K204" s="56" t="n"/>
      <c r="L204" s="34">
        <f>HYPERLINK(Table65[[#This Row],[Column1]])</f>
        <v/>
      </c>
    </row>
    <row r="205" ht="30" customHeight="1" s="290">
      <c r="A205" s="30" t="n"/>
      <c r="B205" s="30" t="n"/>
      <c r="C205" s="30" t="n"/>
      <c r="D205" s="324" t="n"/>
      <c r="E205" s="53" t="n"/>
      <c r="F205" s="53" t="n"/>
      <c r="G205" s="55" t="n"/>
      <c r="H205" s="57" t="n"/>
      <c r="I205" s="55" t="n"/>
      <c r="J205" s="56" t="n"/>
      <c r="K205" s="56" t="n"/>
      <c r="L205" s="34">
        <f>HYPERLINK(Table65[[#This Row],[Column1]])</f>
        <v/>
      </c>
    </row>
    <row r="206" ht="45" customHeight="1" s="290">
      <c r="A206" s="30" t="n"/>
      <c r="B206" s="30" t="n"/>
      <c r="C206" s="30" t="n"/>
      <c r="D206" s="324" t="n"/>
      <c r="E206" s="53" t="n"/>
      <c r="F206" s="53" t="n"/>
      <c r="G206" s="55" t="n"/>
      <c r="H206" s="57" t="n"/>
      <c r="I206" s="55" t="n"/>
      <c r="J206" s="56" t="n"/>
      <c r="K206" s="56" t="n"/>
      <c r="L206" s="34">
        <f>HYPERLINK(Table65[[#This Row],[Column1]])</f>
        <v/>
      </c>
    </row>
    <row r="207" ht="45" customHeight="1" s="290">
      <c r="A207" s="30" t="n"/>
      <c r="B207" s="30" t="n"/>
      <c r="C207" s="30" t="n"/>
      <c r="D207" s="324" t="n"/>
      <c r="E207" s="53" t="n"/>
      <c r="F207" s="53" t="n"/>
      <c r="G207" s="55" t="n"/>
      <c r="H207" s="57" t="n"/>
      <c r="I207" s="55" t="n"/>
      <c r="J207" s="56" t="n"/>
      <c r="K207" s="56" t="n"/>
      <c r="L207" s="34">
        <f>HYPERLINK(Table65[[#This Row],[Column1]])</f>
        <v/>
      </c>
    </row>
    <row r="208" ht="17" customHeight="1" s="290">
      <c r="A208" s="33" t="inlineStr">
        <is>
          <t>Total</t>
        </is>
      </c>
      <c r="B208" s="32" t="n"/>
      <c r="C208" s="325" t="n"/>
      <c r="D208" s="59" t="n"/>
      <c r="E208" s="32" t="n"/>
      <c r="F208" s="32" t="n"/>
      <c r="G208" s="36">
        <f>SUM(G133:G207)</f>
        <v/>
      </c>
      <c r="H208" s="36">
        <f>SUM(H133:H207)</f>
        <v/>
      </c>
      <c r="I208" s="36" t="n"/>
      <c r="J208" s="167" t="n"/>
      <c r="K208" s="168" t="n"/>
      <c r="L208" s="32" t="n"/>
    </row>
  </sheetData>
  <mergeCells count="3">
    <mergeCell ref="A1:M5"/>
    <mergeCell ref="A131:L131"/>
    <mergeCell ref="A51:L51"/>
  </mergeCells>
  <pageMargins left="0.7" right="0.7" top="0.75" bottom="0.75" header="0.3" footer="0.3"/>
  <drawing xmlns:r="http://schemas.openxmlformats.org/officeDocument/2006/relationships" r:id="rId1"/>
  <tableParts count="2">
    <tablePart xmlns:r="http://schemas.openxmlformats.org/officeDocument/2006/relationships" r:id="rId2"/>
    <tablePart xmlns:r="http://schemas.openxmlformats.org/officeDocument/2006/relationships" r:id="rId3"/>
  </tableParts>
</worksheet>
</file>

<file path=xl/worksheets/sheet30.xml><?xml version="1.0" encoding="utf-8"?>
<worksheet xmlns="http://schemas.openxmlformats.org/spreadsheetml/2006/main">
  <sheetPr codeName="Sheet6">
    <outlinePr summaryBelow="1" summaryRight="1"/>
    <pageSetUpPr/>
  </sheetPr>
  <dimension ref="A1:Q208"/>
  <sheetViews>
    <sheetView workbookViewId="0">
      <selection activeCell="A1" sqref="A1"/>
    </sheetView>
  </sheetViews>
  <sheetFormatPr baseColWidth="10" defaultColWidth="10.83203125" defaultRowHeight="16"/>
  <cols>
    <col width="50.6640625" customWidth="1" style="284" min="1" max="1"/>
    <col width="12.6640625" customWidth="1" style="284" min="2" max="2"/>
    <col width="12.6640625" customWidth="1" style="320" min="3" max="3"/>
    <col width="11.1640625" customWidth="1" style="296" min="4" max="4"/>
    <col width="24.83203125" bestFit="1" customWidth="1" style="284" min="5" max="5"/>
    <col width="17.6640625" bestFit="1" customWidth="1" style="286" min="6" max="6"/>
    <col width="21.6640625" bestFit="1" customWidth="1" style="286" min="7" max="7"/>
    <col width="19.1640625" bestFit="1" customWidth="1" style="286" min="8" max="8"/>
    <col width="13.5" bestFit="1" customWidth="1" style="287" min="9" max="9"/>
    <col width="13" bestFit="1" customWidth="1" style="284" min="10" max="10"/>
    <col hidden="1" width="29" customWidth="1" style="284" min="11" max="11"/>
    <col width="35.6640625" customWidth="1" style="284" min="12" max="12"/>
    <col width="15.6640625" customWidth="1" style="284" min="13" max="13"/>
    <col width="10.83203125" customWidth="1" style="284" min="14" max="16384"/>
  </cols>
  <sheetData>
    <row r="1">
      <c r="A1" s="282" t="inlineStr">
        <is>
          <t>KINGBOLEN Monthly Summary</t>
        </is>
      </c>
    </row>
    <row r="2"/>
    <row r="3"/>
    <row r="4"/>
    <row r="5"/>
    <row r="6">
      <c r="A6" s="29" t="n"/>
      <c r="B6" s="29" t="n"/>
      <c r="C6" s="321" t="n"/>
      <c r="D6" s="47" t="n"/>
      <c r="E6" s="48" t="n"/>
      <c r="F6" s="48" t="n"/>
      <c r="G6" s="48" t="n"/>
      <c r="H6" s="48" t="n"/>
      <c r="I6" s="49" t="n"/>
      <c r="J6" s="50" t="n"/>
    </row>
    <row r="7" ht="32" customHeight="1" s="290">
      <c r="A7" s="80" t="n"/>
      <c r="B7" s="81" t="inlineStr">
        <is>
          <t>Avg Price</t>
        </is>
      </c>
      <c r="C7" s="81" t="inlineStr">
        <is>
          <t>Avg Price MoM</t>
        </is>
      </c>
      <c r="D7" s="82" t="inlineStr">
        <is>
          <t>Avg Price YoY</t>
        </is>
      </c>
      <c r="E7" s="81" t="inlineStr">
        <is>
          <t>Quantity/Mo</t>
        </is>
      </c>
      <c r="F7" s="84" t="inlineStr">
        <is>
          <t>Qty by %</t>
        </is>
      </c>
      <c r="G7" s="84" t="inlineStr">
        <is>
          <t>Qty MoM</t>
        </is>
      </c>
      <c r="H7" s="82" t="inlineStr">
        <is>
          <t>Qty YoY</t>
        </is>
      </c>
      <c r="I7" s="309" t="inlineStr">
        <is>
          <t>Revenue/Mo</t>
        </is>
      </c>
      <c r="J7" s="126" t="inlineStr">
        <is>
          <t>Revenue by %</t>
        </is>
      </c>
      <c r="K7" s="173" t="n"/>
      <c r="L7" s="126" t="inlineStr">
        <is>
          <t>Revenue MoM</t>
        </is>
      </c>
      <c r="M7" s="310" t="inlineStr">
        <is>
          <t>Revenue YoY</t>
        </is>
      </c>
      <c r="N7" s="286" t="n"/>
      <c r="O7" s="286" t="n"/>
      <c r="P7" s="49" t="n"/>
      <c r="Q7" s="50" t="n"/>
    </row>
    <row r="8">
      <c r="A8" s="93" t="inlineStr">
        <is>
          <t>Tablet $800+</t>
        </is>
      </c>
      <c r="B8" s="298" t="n">
        <v>1004.7775</v>
      </c>
      <c r="C8" s="270" t="n">
        <v>-0.01571303856769946</v>
      </c>
      <c r="D8" s="271" t="n">
        <v>-0.09571743136880384</v>
      </c>
      <c r="E8" s="269" t="n">
        <v>16</v>
      </c>
      <c r="F8" s="270" t="n">
        <v>0.007688611244593946</v>
      </c>
      <c r="G8" s="270" t="n">
        <v>-0.05882352941176472</v>
      </c>
      <c r="H8" s="271" t="n">
        <v>0.7777777777777777</v>
      </c>
      <c r="I8" s="95" t="n">
        <v>16076.44</v>
      </c>
      <c r="J8" s="128" t="n">
        <v>0.0493287624164639</v>
      </c>
      <c r="L8" s="169" t="n">
        <v>-0.073612271593129</v>
      </c>
      <c r="M8" s="169" t="n">
        <v>0.6076134553443486</v>
      </c>
      <c r="N8" s="286" t="n"/>
      <c r="O8" s="286" t="n"/>
      <c r="P8" s="49" t="n"/>
      <c r="Q8" s="50" t="n"/>
    </row>
    <row r="9">
      <c r="A9" s="93" t="inlineStr">
        <is>
          <t>Tablet $400-$800</t>
        </is>
      </c>
      <c r="B9" s="298" t="n">
        <v>535.416577540107</v>
      </c>
      <c r="C9" s="270" t="n">
        <v>-0.0334436674606462</v>
      </c>
      <c r="D9" s="271" t="n">
        <v>0.1758859091233922</v>
      </c>
      <c r="E9" s="269" t="n">
        <v>187</v>
      </c>
      <c r="F9" s="270" t="n">
        <v>0.08986064392119174</v>
      </c>
      <c r="G9" s="270" t="n">
        <v>0.03888888888888897</v>
      </c>
      <c r="H9" s="271" t="n">
        <v>1.367088607594937</v>
      </c>
      <c r="I9" s="95" t="n">
        <v>100122.9</v>
      </c>
      <c r="J9" s="128" t="n">
        <v>0.3072159474701721</v>
      </c>
      <c r="L9" s="169" t="n">
        <v>0.004144634360328636</v>
      </c>
      <c r="M9" s="169" t="n">
        <v>1.783426139317397</v>
      </c>
      <c r="N9" s="286" t="n"/>
      <c r="O9" s="286" t="n"/>
      <c r="P9" s="49" t="n"/>
      <c r="Q9" s="50" t="n"/>
    </row>
    <row r="10">
      <c r="A10" s="96" t="inlineStr">
        <is>
          <t>Tablet $400-</t>
        </is>
      </c>
      <c r="B10" s="299" t="n">
        <v>143.8449143610013</v>
      </c>
      <c r="C10" s="274" t="n">
        <v>-0.101721269781719</v>
      </c>
      <c r="D10" s="275" t="n">
        <v>-0.2118027990390889</v>
      </c>
      <c r="E10" s="273" t="n">
        <v>759</v>
      </c>
      <c r="F10" s="274" t="n">
        <v>0.3647284959154253</v>
      </c>
      <c r="G10" s="274" t="n">
        <v>0.2163461538461537</v>
      </c>
      <c r="H10" s="275" t="n">
        <v>33.5</v>
      </c>
      <c r="I10" s="98" t="n">
        <v>109178.29</v>
      </c>
      <c r="J10" s="127" t="n">
        <v>0.3350014013329938</v>
      </c>
      <c r="L10" s="171" t="n">
        <v>0.0926178785828129</v>
      </c>
      <c r="M10" s="171" t="n">
        <v>26.19280343315143</v>
      </c>
      <c r="N10" s="286" t="n"/>
      <c r="O10" s="286" t="n"/>
      <c r="P10" s="49" t="n"/>
      <c r="Q10" s="50" t="n"/>
    </row>
    <row r="11">
      <c r="A11" s="101" t="inlineStr">
        <is>
          <t>Total Tablet</t>
        </is>
      </c>
      <c r="B11" s="300" t="n">
        <v>234.2802806652807</v>
      </c>
      <c r="C11" s="112" t="n">
        <v>-0.1135689969699796</v>
      </c>
      <c r="D11" s="104" t="n">
        <v>-0.4844417071174985</v>
      </c>
      <c r="E11" s="116" t="n">
        <v>962</v>
      </c>
      <c r="F11" s="112" t="n">
        <v>0.4622777510812109</v>
      </c>
      <c r="G11" s="112" t="n">
        <v>0.1717417783191231</v>
      </c>
      <c r="H11" s="104" t="n">
        <v>7.745454545454546</v>
      </c>
      <c r="I11" s="103" t="n">
        <v>225377.63</v>
      </c>
      <c r="J11" s="129" t="n">
        <v>0.6915461112196298</v>
      </c>
      <c r="L11" s="170" t="n">
        <v>0.03866823984760015</v>
      </c>
      <c r="M11" s="170" t="n">
        <v>3.508791615936059</v>
      </c>
      <c r="N11" s="286" t="n"/>
      <c r="O11" s="286" t="n"/>
      <c r="P11" s="49" t="n"/>
      <c r="Q11" s="50" t="n"/>
    </row>
    <row r="12">
      <c r="A12" s="93" t="inlineStr">
        <is>
          <t>Handheld $75+</t>
        </is>
      </c>
      <c r="B12" s="298" t="n"/>
      <c r="C12" s="270" t="n"/>
      <c r="D12" s="271" t="n"/>
      <c r="E12" s="269" t="n">
        <v>0</v>
      </c>
      <c r="F12" s="270" t="n">
        <v>0</v>
      </c>
      <c r="G12" s="270" t="n"/>
      <c r="H12" s="271" t="n"/>
      <c r="I12" s="95" t="n">
        <v>0</v>
      </c>
      <c r="J12" s="128" t="n">
        <v>0</v>
      </c>
      <c r="L12" s="169" t="n"/>
      <c r="M12" s="169" t="n"/>
      <c r="N12" s="286" t="n"/>
      <c r="O12" s="286" t="n"/>
      <c r="P12" s="49" t="n"/>
      <c r="Q12" s="50" t="n"/>
    </row>
    <row r="13">
      <c r="A13" s="96" t="inlineStr">
        <is>
          <t>Handheld $75-</t>
        </is>
      </c>
      <c r="B13" s="299" t="n">
        <v>20.0220253164557</v>
      </c>
      <c r="C13" s="274" t="n">
        <v>0.01588729668202649</v>
      </c>
      <c r="D13" s="275" t="n">
        <v>-0.07708678786756018</v>
      </c>
      <c r="E13" s="273" t="n">
        <v>79</v>
      </c>
      <c r="F13" s="274" t="n">
        <v>0.03796251802018261</v>
      </c>
      <c r="G13" s="274" t="n">
        <v>0.08219178082191791</v>
      </c>
      <c r="H13" s="275" t="n">
        <v>-0.3828125</v>
      </c>
      <c r="I13" s="98" t="n">
        <v>1581.74</v>
      </c>
      <c r="J13" s="127" t="n">
        <v>0.004853392707876719</v>
      </c>
      <c r="L13" s="171" t="n">
        <v>0.09938488271068646</v>
      </c>
      <c r="M13" s="171" t="n">
        <v>-0.4303895018870099</v>
      </c>
      <c r="N13" s="286" t="n"/>
      <c r="O13" s="286" t="n"/>
      <c r="P13" s="49" t="n"/>
      <c r="Q13" s="50" t="n"/>
    </row>
    <row r="14">
      <c r="A14" s="101" t="inlineStr">
        <is>
          <t>Total Handheld</t>
        </is>
      </c>
      <c r="B14" s="300" t="n">
        <v>20.0220253164557</v>
      </c>
      <c r="C14" s="112" t="n">
        <v>0.01588729668202649</v>
      </c>
      <c r="D14" s="104" t="n">
        <v>-0.07708678786756018</v>
      </c>
      <c r="E14" s="116" t="n">
        <v>79</v>
      </c>
      <c r="F14" s="112" t="n">
        <v>0.03796251802018261</v>
      </c>
      <c r="G14" s="112" t="n">
        <v>0.08219178082191791</v>
      </c>
      <c r="H14" s="104" t="n">
        <v>-0.3828125</v>
      </c>
      <c r="I14" s="103" t="n">
        <v>1581.74</v>
      </c>
      <c r="J14" s="129" t="n">
        <v>0.004853392707876719</v>
      </c>
      <c r="L14" s="170" t="n">
        <v>0.09938488271068646</v>
      </c>
      <c r="M14" s="170" t="n">
        <v>-0.4303895018870099</v>
      </c>
      <c r="N14" s="286" t="n"/>
      <c r="O14" s="286" t="n"/>
      <c r="P14" s="49" t="n"/>
      <c r="Q14" s="50" t="n"/>
    </row>
    <row r="15">
      <c r="A15" s="78" t="inlineStr">
        <is>
          <t>Total Dongle</t>
        </is>
      </c>
      <c r="B15" s="301" t="n">
        <v>99.47111351351352</v>
      </c>
      <c r="C15" s="113" t="n">
        <v>0.01220256073952797</v>
      </c>
      <c r="D15" s="107" t="n">
        <v>-0.06600008808649527</v>
      </c>
      <c r="E15" s="99" t="n">
        <v>925</v>
      </c>
      <c r="F15" s="113" t="n">
        <v>0.4444978375780875</v>
      </c>
      <c r="G15" s="113" t="n">
        <v>-0.006444683136412444</v>
      </c>
      <c r="H15" s="107" t="n">
        <v>0.1064593301435406</v>
      </c>
      <c r="I15" s="76" t="n">
        <v>92010.78</v>
      </c>
      <c r="J15" s="130" t="n">
        <v>0.2823248123573084</v>
      </c>
      <c r="L15" s="174" t="n">
        <v>0.005679235965696527</v>
      </c>
      <c r="M15" s="174" t="n">
        <v>0.03343291688994254</v>
      </c>
      <c r="N15" s="286" t="n"/>
      <c r="O15" s="286" t="n"/>
      <c r="P15" s="49" t="n"/>
      <c r="Q15" s="50" t="n"/>
    </row>
    <row r="16">
      <c r="A16" s="78" t="inlineStr">
        <is>
          <t>Total Other Tools</t>
        </is>
      </c>
      <c r="B16" s="301" t="n">
        <v>60.29417391304348</v>
      </c>
      <c r="C16" s="113" t="n">
        <v>0.07835586587769994</v>
      </c>
      <c r="D16" s="107" t="n">
        <v>-0.3999208867930413</v>
      </c>
      <c r="E16" s="99" t="n">
        <v>115</v>
      </c>
      <c r="F16" s="113" t="n">
        <v>0.05526189332051898</v>
      </c>
      <c r="G16" s="113" t="n">
        <v>-0.04958677685950408</v>
      </c>
      <c r="H16" s="107" t="n">
        <v>-0.3195266272189349</v>
      </c>
      <c r="I16" s="76" t="n">
        <v>6933.83</v>
      </c>
      <c r="J16" s="130" t="n">
        <v>0.02127568371518507</v>
      </c>
      <c r="L16" s="174" t="n">
        <v>0.02488367418128501</v>
      </c>
      <c r="M16" s="174" t="n">
        <v>-0.5916621419005903</v>
      </c>
      <c r="N16" s="286" t="n"/>
      <c r="O16" s="286" t="n"/>
      <c r="P16" s="49" t="n"/>
      <c r="Q16" s="50" t="n"/>
    </row>
    <row r="17">
      <c r="A17" s="86" t="inlineStr">
        <is>
          <t>Total</t>
        </is>
      </c>
      <c r="B17" s="302" t="n">
        <v>156.60931283037</v>
      </c>
      <c r="C17" s="109" t="n">
        <v>-0.03764276871256511</v>
      </c>
      <c r="D17" s="108" t="n">
        <v>0.2260233485192233</v>
      </c>
      <c r="E17" s="100" t="n">
        <v>2081</v>
      </c>
      <c r="F17" s="109" t="n">
        <v>1</v>
      </c>
      <c r="G17" s="109" t="n">
        <v>0.06937307297019535</v>
      </c>
      <c r="H17" s="108" t="n">
        <v>0.6741753821399838</v>
      </c>
      <c r="I17" s="85" t="n">
        <v>325903.98</v>
      </c>
      <c r="J17" s="109" t="n">
        <v>1</v>
      </c>
      <c r="L17" s="172" t="n">
        <v>0.02911890971693309</v>
      </c>
      <c r="M17" s="172" t="n">
        <v>1.052578108019713</v>
      </c>
      <c r="N17" s="286" t="n"/>
      <c r="O17" s="286" t="n"/>
      <c r="P17" s="49" t="n"/>
      <c r="Q17" s="50" t="n"/>
    </row>
    <row r="18">
      <c r="A18" s="29" t="n"/>
      <c r="B18" s="29" t="n"/>
      <c r="C18" s="321" t="n"/>
      <c r="D18" s="47" t="n"/>
      <c r="E18" s="48" t="n"/>
      <c r="F18" s="48" t="n"/>
      <c r="G18" s="48" t="n"/>
      <c r="H18" s="48" t="n"/>
      <c r="I18" s="49" t="n"/>
      <c r="J18" s="50" t="n"/>
    </row>
    <row r="19">
      <c r="A19" s="29" t="n"/>
      <c r="B19" s="29" t="n"/>
      <c r="C19" s="321" t="n"/>
      <c r="D19" s="47" t="n"/>
      <c r="E19" s="48" t="n"/>
      <c r="F19" s="48" t="n"/>
      <c r="G19" s="48" t="n"/>
      <c r="H19" s="48" t="n"/>
      <c r="I19" s="49" t="n"/>
      <c r="J19" s="50" t="n"/>
    </row>
    <row r="20">
      <c r="A20" s="29" t="n"/>
      <c r="B20" s="29" t="n"/>
      <c r="C20" s="321" t="n"/>
      <c r="D20" s="47" t="n"/>
      <c r="E20" s="48" t="n"/>
      <c r="F20" s="48" t="n"/>
      <c r="G20" s="48" t="n"/>
      <c r="H20" s="48" t="n"/>
      <c r="I20" s="49" t="n"/>
      <c r="J20" s="50" t="n"/>
    </row>
    <row r="21">
      <c r="A21" s="29" t="n"/>
      <c r="B21" s="29" t="n"/>
      <c r="C21" s="321" t="n"/>
      <c r="D21" s="47" t="n"/>
      <c r="E21" s="48" t="n"/>
      <c r="F21" s="48" t="n"/>
      <c r="G21" s="48" t="n"/>
      <c r="H21" s="48" t="n"/>
      <c r="I21" s="49" t="n"/>
      <c r="J21" s="50" t="n"/>
    </row>
    <row r="22">
      <c r="A22" s="29" t="n"/>
      <c r="B22" s="29" t="n"/>
      <c r="C22" s="321" t="n"/>
      <c r="D22" s="47" t="n"/>
      <c r="E22" s="48" t="n"/>
      <c r="F22" s="48" t="n"/>
      <c r="G22" s="48" t="n"/>
      <c r="H22" s="48" t="n"/>
      <c r="I22" s="49" t="n"/>
      <c r="J22" s="50" t="n"/>
    </row>
    <row r="23">
      <c r="A23" s="29" t="n"/>
      <c r="B23" s="29" t="n"/>
      <c r="C23" s="321" t="n"/>
      <c r="D23" s="47" t="n"/>
      <c r="E23" s="48" t="n"/>
      <c r="F23" s="48" t="n"/>
      <c r="G23" s="48" t="n"/>
      <c r="H23" s="48" t="n"/>
      <c r="I23" s="49" t="n"/>
      <c r="J23" s="50" t="n"/>
    </row>
    <row r="24">
      <c r="A24" s="29" t="n"/>
      <c r="B24" s="29" t="n"/>
      <c r="C24" s="321" t="n"/>
      <c r="D24" s="47" t="n"/>
      <c r="E24" s="48" t="n"/>
      <c r="F24" s="48" t="n"/>
      <c r="G24" s="48" t="n"/>
      <c r="H24" s="48" t="n"/>
      <c r="I24" s="49" t="n"/>
      <c r="J24" s="50" t="n"/>
    </row>
    <row r="25">
      <c r="A25" s="29" t="n"/>
      <c r="B25" s="29" t="n"/>
      <c r="C25" s="321" t="n"/>
      <c r="D25" s="47" t="n"/>
      <c r="E25" s="48" t="n"/>
      <c r="F25" s="48" t="n"/>
      <c r="G25" s="48" t="n"/>
      <c r="H25" s="48" t="n"/>
      <c r="I25" s="49" t="n"/>
      <c r="J25" s="50" t="n"/>
    </row>
    <row r="26">
      <c r="A26" s="29" t="n"/>
      <c r="B26" s="29" t="n"/>
      <c r="C26" s="321" t="n"/>
      <c r="D26" s="47" t="n"/>
      <c r="E26" s="48" t="n"/>
      <c r="F26" s="48" t="n"/>
      <c r="G26" s="48" t="n"/>
      <c r="H26" s="48" t="n"/>
      <c r="I26" s="49" t="n"/>
      <c r="J26" s="50" t="n"/>
    </row>
    <row r="27">
      <c r="A27" s="29" t="n"/>
      <c r="B27" s="29" t="n"/>
      <c r="C27" s="321" t="n"/>
      <c r="D27" s="47" t="n"/>
      <c r="E27" s="48" t="n"/>
      <c r="F27" s="48" t="n"/>
      <c r="G27" s="48" t="n"/>
      <c r="H27" s="48" t="n"/>
      <c r="I27" s="49" t="n"/>
      <c r="J27" s="50" t="n"/>
    </row>
    <row r="28">
      <c r="A28" s="29" t="n"/>
      <c r="B28" s="29" t="n"/>
      <c r="C28" s="321" t="n"/>
      <c r="D28" s="47" t="n"/>
      <c r="E28" s="48" t="n"/>
      <c r="F28" s="48" t="n"/>
      <c r="G28" s="48" t="n"/>
      <c r="H28" s="48" t="n"/>
      <c r="I28" s="49" t="n"/>
      <c r="J28" s="50" t="n"/>
    </row>
    <row r="29">
      <c r="A29" s="29" t="n"/>
      <c r="B29" s="29" t="n"/>
      <c r="C29" s="321" t="n"/>
      <c r="D29" s="47" t="n"/>
      <c r="E29" s="48" t="n"/>
      <c r="F29" s="48" t="n"/>
      <c r="G29" s="48" t="n"/>
      <c r="H29" s="48" t="n"/>
      <c r="I29" s="49" t="n"/>
      <c r="J29" s="50" t="n"/>
    </row>
    <row r="30">
      <c r="A30" s="29" t="n"/>
      <c r="B30" s="29" t="n"/>
      <c r="C30" s="321" t="n"/>
      <c r="D30" s="47" t="n"/>
      <c r="E30" s="48" t="n"/>
      <c r="F30" s="48" t="n"/>
      <c r="G30" s="48" t="n"/>
      <c r="H30" s="48" t="n"/>
      <c r="I30" s="49" t="n"/>
      <c r="J30" s="50" t="n"/>
    </row>
    <row r="31">
      <c r="A31" s="29" t="n"/>
      <c r="B31" s="29" t="n"/>
      <c r="C31" s="321" t="n"/>
      <c r="D31" s="47" t="n"/>
      <c r="E31" s="48" t="n"/>
      <c r="F31" s="48" t="n"/>
      <c r="G31" s="48" t="n"/>
      <c r="H31" s="48" t="n"/>
      <c r="I31" s="49" t="n"/>
      <c r="J31" s="50" t="n"/>
    </row>
    <row r="32">
      <c r="A32" s="29" t="n"/>
      <c r="B32" s="29" t="n"/>
      <c r="C32" s="321" t="n"/>
      <c r="D32" s="47" t="n"/>
      <c r="E32" s="48" t="n"/>
      <c r="F32" s="48" t="n"/>
      <c r="G32" s="48" t="n"/>
      <c r="H32" s="48" t="n"/>
      <c r="I32" s="49" t="n"/>
      <c r="J32" s="50" t="n"/>
    </row>
    <row r="33">
      <c r="A33" s="29" t="n"/>
      <c r="B33" s="29" t="n"/>
      <c r="C33" s="321" t="n"/>
      <c r="D33" s="47" t="n"/>
      <c r="E33" s="48" t="n"/>
      <c r="F33" s="48" t="n"/>
      <c r="G33" s="48" t="n"/>
      <c r="H33" s="48" t="n"/>
      <c r="I33" s="49" t="n"/>
      <c r="J33" s="50" t="n"/>
    </row>
    <row r="49" ht="16" customHeight="1" s="290">
      <c r="C49" s="284" t="n"/>
      <c r="D49" s="284" t="n"/>
      <c r="F49" s="284" t="n"/>
      <c r="G49" s="284" t="n"/>
      <c r="H49" s="284" t="n"/>
      <c r="I49" s="284" t="n"/>
    </row>
    <row r="50">
      <c r="C50" s="284" t="n"/>
      <c r="D50" s="284" t="n"/>
      <c r="F50" s="284" t="n"/>
      <c r="G50" s="284" t="n"/>
      <c r="H50" s="284" t="n"/>
      <c r="I50" s="284" t="n"/>
    </row>
    <row r="51">
      <c r="A51" s="283" t="inlineStr">
        <is>
          <t xml:space="preserve">Rank by Revenue </t>
        </is>
      </c>
    </row>
    <row r="52" ht="17" customHeight="1" s="290">
      <c r="A52" s="38" t="inlineStr">
        <is>
          <t>Product Name</t>
        </is>
      </c>
      <c r="B52" s="39" t="inlineStr">
        <is>
          <t>ASIN</t>
        </is>
      </c>
      <c r="C52" s="39" t="inlineStr">
        <is>
          <t>Type</t>
        </is>
      </c>
      <c r="D52" s="322" t="inlineStr">
        <is>
          <t>Avg Price</t>
        </is>
      </c>
      <c r="E52" s="41" t="inlineStr">
        <is>
          <t>Estimated 12mo Revenue</t>
        </is>
      </c>
      <c r="F52" s="39" t="inlineStr">
        <is>
          <t>Monthly Rev</t>
        </is>
      </c>
      <c r="G52" s="42" t="inlineStr">
        <is>
          <t>Estimated 12mo Units</t>
        </is>
      </c>
      <c r="H52" s="45" t="inlineStr">
        <is>
          <t>Monthly Units</t>
        </is>
      </c>
      <c r="I52" s="42" t="inlineStr">
        <is>
          <t># of Reviews</t>
        </is>
      </c>
      <c r="J52" s="43" t="inlineStr">
        <is>
          <t xml:space="preserve">Tool Rating </t>
        </is>
      </c>
      <c r="K52" s="43" t="inlineStr">
        <is>
          <t>Column1</t>
        </is>
      </c>
      <c r="L52" s="323" t="inlineStr">
        <is>
          <t>Link</t>
        </is>
      </c>
    </row>
    <row r="53" ht="45" customHeight="1" s="290">
      <c r="A53" s="30" t="inlineStr">
        <is>
          <t>KINGBOLEN Ediag Elite OBD2 Scanner Bluetooth, Bidirectional Test Scanner All System Diagnostic Tool for iOS &amp; Android, 15+ Hot Reset, CANFD Protocol, FCA AutoAuth, No Subscriptions Lifetime Update</t>
        </is>
      </c>
      <c r="B53" s="30" t="inlineStr">
        <is>
          <t>B0DP8PH63Q</t>
        </is>
      </c>
      <c r="C53" s="30" t="inlineStr">
        <is>
          <t>Dongle</t>
        </is>
      </c>
      <c r="D53" s="324" t="n">
        <v>99.80950186799502</v>
      </c>
      <c r="E53" s="53" t="n">
        <v>1252812.66</v>
      </c>
      <c r="F53" s="54" t="n">
        <v>80147.03</v>
      </c>
      <c r="G53" s="55" t="n">
        <v>12342</v>
      </c>
      <c r="H53" s="55" t="n">
        <v>803</v>
      </c>
      <c r="I53" s="55" t="n">
        <v>705</v>
      </c>
      <c r="J53" s="56" t="n">
        <v>4.2</v>
      </c>
      <c r="K53" s="56" t="inlineStr">
        <is>
          <t>https://amazon.com/dp/B0DP8PH63Q</t>
        </is>
      </c>
      <c r="L53" s="34">
        <f>HYPERLINK(KINGBOLEN_2[[#This Row],[Column1]])</f>
        <v/>
      </c>
    </row>
    <row r="54" ht="45" customHeight="1" s="290">
      <c r="A54" s="30" t="inlineStr">
        <is>
          <t>KINGBOLEN K8 Pro OBD2 Scanner Bluetooth 2026 Bidirectional Scan Tool with Lifetime No Subscription Update 8'' All System Diagnostic Tool, ECU Code, 34+ Reset, CANFD&amp;DOIP, V.A.G Guide, FCA AutoAuth</t>
        </is>
      </c>
      <c r="B54" s="30" t="inlineStr">
        <is>
          <t>B0BW89GCZ9</t>
        </is>
      </c>
      <c r="C54" s="30" t="inlineStr">
        <is>
          <t>Tablet</t>
        </is>
      </c>
      <c r="D54" s="324" t="n">
        <v>647.5740243902439</v>
      </c>
      <c r="E54" s="53" t="n">
        <v>362212.34</v>
      </c>
      <c r="F54" s="54" t="n">
        <v>53101.07</v>
      </c>
      <c r="G54" s="55" t="n">
        <v>567</v>
      </c>
      <c r="H54" s="55" t="n">
        <v>82</v>
      </c>
      <c r="I54" s="55" t="n">
        <v>74</v>
      </c>
      <c r="J54" s="56" t="n">
        <v>4.4</v>
      </c>
      <c r="K54" s="56" t="inlineStr">
        <is>
          <t>https://amazon.com/dp/B0BW89GCZ9</t>
        </is>
      </c>
      <c r="L54" s="34">
        <f>HYPERLINK(KINGBOLEN_2[[#This Row],[Column1]])</f>
        <v/>
      </c>
    </row>
    <row r="55" ht="45" customHeight="1" s="290">
      <c r="A55" s="30" t="inlineStr">
        <is>
          <t>Ediag Elite KINGBOLEN Bluetooth OBD2 Scanner, Lifetime NO Cost Update Bidirectional Scan Tool for iOS &amp; Android, Wireless Full System Car Diagnostic Scanner, 15+ Reset Service, CANFD, FCA AutoAuth</t>
        </is>
      </c>
      <c r="B55" s="30" t="inlineStr">
        <is>
          <t>B0FM3QWZCZ</t>
        </is>
      </c>
      <c r="C55" s="30" t="inlineStr">
        <is>
          <t>Tablet</t>
        </is>
      </c>
      <c r="D55" s="324" t="n">
        <v>98.50624454148472</v>
      </c>
      <c r="E55" s="53" t="n">
        <v>351632.7461538463</v>
      </c>
      <c r="F55" s="54" t="n">
        <v>45115.86</v>
      </c>
      <c r="G55" s="55" t="n">
        <v>1440</v>
      </c>
      <c r="H55" s="55" t="n">
        <v>458</v>
      </c>
      <c r="I55" s="55" t="n">
        <v>100</v>
      </c>
      <c r="J55" s="56" t="n">
        <v>4.5</v>
      </c>
      <c r="K55" s="56" t="inlineStr">
        <is>
          <t>https://amazon.com/dp/B0FM3QWZCZ</t>
        </is>
      </c>
      <c r="L55" s="34">
        <f>HYPERLINK(KINGBOLEN_2[[#This Row],[Column1]])</f>
        <v/>
      </c>
    </row>
    <row r="56" ht="60" customHeight="1" s="290">
      <c r="A56" s="30" t="inlineStr">
        <is>
          <t>KINGBOLEN K7 Bidirectional Scan Tool 2026 OBD2 Scanner Bluetooth with Lifetime Updates, No Annual Fees, 31+ Resets, Component Matching, All System Diagnostic, CAN FD, FCA AutoAuth, Crankshaft Relearn</t>
        </is>
      </c>
      <c r="B56" s="30" t="inlineStr">
        <is>
          <t>B0C3B3497C</t>
        </is>
      </c>
      <c r="C56" s="30" t="inlineStr">
        <is>
          <t>Tablet</t>
        </is>
      </c>
      <c r="D56" s="324" t="n">
        <v>446.3182828282829</v>
      </c>
      <c r="E56" s="53" t="n">
        <v>608272.9299999998</v>
      </c>
      <c r="F56" s="54" t="n">
        <v>44185.51</v>
      </c>
      <c r="G56" s="55" t="n">
        <v>1399</v>
      </c>
      <c r="H56" s="55" t="n">
        <v>99</v>
      </c>
      <c r="I56" s="55" t="n">
        <v>239</v>
      </c>
      <c r="J56" s="56" t="n">
        <v>4.4</v>
      </c>
      <c r="K56" s="56" t="inlineStr">
        <is>
          <t>https://amazon.com/dp/B0C3B3497C</t>
        </is>
      </c>
      <c r="L56" s="34">
        <f>HYPERLINK(KINGBOLEN_2[[#This Row],[Column1]])</f>
        <v/>
      </c>
    </row>
    <row r="57" ht="45" customHeight="1" s="290">
      <c r="A57" s="30" t="inlineStr">
        <is>
          <t>KINGBOLEN S6 Elite OBD2 Scanner, 2026 Bidirectional Scan Tool, 15 Reset, Active Test, All System Car Diagnostic Scanner, CAN FD/FCA/Renault SGW, Lifetime Free Upgrade Scanner for Car, Upgraded of S608</t>
        </is>
      </c>
      <c r="B57" s="30" t="inlineStr">
        <is>
          <t>B0G62XXJKF</t>
        </is>
      </c>
      <c r="C57" s="30" t="inlineStr">
        <is>
          <t>Tablet</t>
        </is>
      </c>
      <c r="D57" s="324" t="n">
        <v>248.4879838709677</v>
      </c>
      <c r="E57" s="53" t="n">
        <v>372570.6123076924</v>
      </c>
      <c r="F57" s="54" t="n">
        <v>30812.51</v>
      </c>
      <c r="G57" s="55" t="n">
        <v>446</v>
      </c>
      <c r="H57" s="55" t="n">
        <v>124</v>
      </c>
      <c r="I57" s="55" t="n">
        <v>51</v>
      </c>
      <c r="J57" s="56" t="n">
        <v>4.4</v>
      </c>
      <c r="K57" s="56" t="inlineStr">
        <is>
          <t>https://amazon.com/dp/B0G62XXJKF</t>
        </is>
      </c>
      <c r="L57" s="34">
        <f>HYPERLINK(KINGBOLEN_2[[#This Row],[Column1]])</f>
        <v/>
      </c>
    </row>
    <row r="58" ht="45" customHeight="1" s="290">
      <c r="A58" s="30" t="inlineStr">
        <is>
          <t>KINGBOLEN OBD2 Scanner S608, 2026 Bidirectional Scan Tool for ABS/SRS/Transmission/Engine, 9 Resets Oil Brake DPF Bleed Gear Injector Throttle BMS SAS, CAN FD &amp; FCA/Renault SGW, Lifetime Free Update</t>
        </is>
      </c>
      <c r="B58" s="30" t="inlineStr">
        <is>
          <t>B0FR8K9F4P</t>
        </is>
      </c>
      <c r="C58" s="30" t="inlineStr">
        <is>
          <t>Tablet</t>
        </is>
      </c>
      <c r="D58" s="324" t="n">
        <v>191.7537341772152</v>
      </c>
      <c r="E58" s="53" t="n">
        <v>390082.3776923076</v>
      </c>
      <c r="F58" s="54" t="n">
        <v>30297.09</v>
      </c>
      <c r="G58" s="55" t="n">
        <v>1142</v>
      </c>
      <c r="H58" s="55" t="n">
        <v>158</v>
      </c>
      <c r="I58" s="55" t="n">
        <v>111</v>
      </c>
      <c r="J58" s="56" t="n">
        <v>4.1</v>
      </c>
      <c r="K58" s="56" t="inlineStr">
        <is>
          <t>https://amazon.com/dp/B0FR8K9F4P</t>
        </is>
      </c>
      <c r="L58" s="34">
        <f>HYPERLINK(KINGBOLEN_2[[#This Row],[Column1]])</f>
        <v/>
      </c>
    </row>
    <row r="59" ht="45" customHeight="1" s="290">
      <c r="A59" s="30" t="inlineStr">
        <is>
          <t>KINGBOLEN K10 Pro Full Systems 10" Car Scanner Topology Map, Bidirectional Scan Tool Bluetooth OBD2 Scanner, 41+ Reset Service, ECU Function, FCA AutoAuth, CANFD &amp; DOIP,2 Years Update, V.A.G Guided</t>
        </is>
      </c>
      <c r="B59" s="30" t="inlineStr">
        <is>
          <t>B0BW8B4D9Y</t>
        </is>
      </c>
      <c r="C59" s="30" t="inlineStr">
        <is>
          <t>Tablet</t>
        </is>
      </c>
      <c r="D59" s="324" t="n">
        <v>1004.7775</v>
      </c>
      <c r="E59" s="53" t="n">
        <v>192526.2407692308</v>
      </c>
      <c r="F59" s="54" t="n">
        <v>16076.44</v>
      </c>
      <c r="G59" s="55" t="n">
        <v>167</v>
      </c>
      <c r="H59" s="55" t="n">
        <v>16</v>
      </c>
      <c r="I59" s="55" t="n">
        <v>153</v>
      </c>
      <c r="J59" s="56" t="n">
        <v>4.2</v>
      </c>
      <c r="K59" s="56" t="inlineStr">
        <is>
          <t>https://amazon.com/dp/B0BW8B4D9Y</t>
        </is>
      </c>
      <c r="L59" s="34">
        <f>HYPERLINK(KINGBOLEN_2[[#This Row],[Column1]])</f>
        <v/>
      </c>
    </row>
    <row r="60" ht="45" customHeight="1" s="290">
      <c r="A60" s="30" t="inlineStr">
        <is>
          <t>KINGBOLEN Ediag Plus Bluetooth Scanner, All System Bidirectional Test OBD2 Diagnostic Scanner for iOS &amp; Android with CANFD Protocol, Auto VIN, 15+ Rest, 1 Year Without fee Update</t>
        </is>
      </c>
      <c r="B60" s="30" t="inlineStr">
        <is>
          <t>B0C3GJTD45</t>
        </is>
      </c>
      <c r="C60" s="30" t="inlineStr">
        <is>
          <t>VCI</t>
        </is>
      </c>
      <c r="D60" s="324" t="n">
        <v>129.2433333333333</v>
      </c>
      <c r="E60" s="53" t="n">
        <v>117506.0692307692</v>
      </c>
      <c r="F60" s="54" t="n">
        <v>5815.95</v>
      </c>
      <c r="G60" s="55" t="n">
        <v>797</v>
      </c>
      <c r="H60" s="55" t="n">
        <v>45</v>
      </c>
      <c r="I60" s="55" t="n">
        <v>147</v>
      </c>
      <c r="J60" s="56" t="n">
        <v>4.3</v>
      </c>
      <c r="K60" s="56" t="inlineStr">
        <is>
          <t>https://amazon.com/dp/B0C3GJTD45</t>
        </is>
      </c>
      <c r="L60" s="34">
        <f>HYPERLINK(KINGBOLEN_2[[#This Row],[Column1]])</f>
        <v/>
      </c>
    </row>
    <row r="61" ht="45" customHeight="1" s="290">
      <c r="A61" s="30" t="inlineStr">
        <is>
          <t>KINGBOLEN SOLOSCAN Bluetooth OBD2 Scanner for Mercedes-Benz MB (A/C/E/S/G/More), Maybach Bidirectional Scan Tool, All System Diagnostic, All Reset Service, Auto VIN, Lifetime Update for iOS &amp; Android</t>
        </is>
      </c>
      <c r="B61" s="30" t="inlineStr">
        <is>
          <t>B0GQZ2TL2J</t>
        </is>
      </c>
      <c r="C61" s="30" t="inlineStr">
        <is>
          <t>Dongle</t>
        </is>
      </c>
      <c r="D61" s="324" t="n">
        <v>100.4920454545454</v>
      </c>
      <c r="E61" s="53" t="n">
        <v>49318.40384615384</v>
      </c>
      <c r="F61" s="54" t="n">
        <v>4421.65</v>
      </c>
      <c r="G61" s="55" t="n">
        <v>44</v>
      </c>
      <c r="H61" s="55" t="n">
        <v>44</v>
      </c>
      <c r="I61" s="55" t="n">
        <v>18</v>
      </c>
      <c r="J61" s="56" t="n">
        <v>4.4</v>
      </c>
      <c r="K61" s="56" t="inlineStr">
        <is>
          <t>https://amazon.com/dp/B0GQZ2TL2J</t>
        </is>
      </c>
      <c r="L61" s="34">
        <f>HYPERLINK(KINGBOLEN_2[[#This Row],[Column1]])</f>
        <v/>
      </c>
    </row>
    <row r="62" ht="45" customHeight="1" s="290">
      <c r="A62" s="30" t="inlineStr">
        <is>
          <t>KINGBOLEN Soloscan for Land Rover Jaguar OBD2 Scanner Bluetooth, All Reset Service, Bidirectional Scan Tool for iOS &amp; Android, Full System Car Diagnostic Scanner, No Subscriptions Lifetime Update</t>
        </is>
      </c>
      <c r="B62" s="30" t="inlineStr">
        <is>
          <t>B0GMFC443Q</t>
        </is>
      </c>
      <c r="C62" s="30" t="inlineStr">
        <is>
          <t>Dongle</t>
        </is>
      </c>
      <c r="D62" s="324" t="n">
        <v>99.7596875</v>
      </c>
      <c r="E62" s="53" t="n">
        <v>39110.97461538461</v>
      </c>
      <c r="F62" s="54" t="n">
        <v>3192.31</v>
      </c>
      <c r="G62" s="55" t="n">
        <v>67</v>
      </c>
      <c r="H62" s="55" t="n">
        <v>32</v>
      </c>
      <c r="I62" s="55" t="n">
        <v>22</v>
      </c>
      <c r="J62" s="56" t="n">
        <v>4</v>
      </c>
      <c r="K62" s="56" t="inlineStr">
        <is>
          <t>https://amazon.com/dp/B0GMFC443Q</t>
        </is>
      </c>
      <c r="L62" s="34">
        <f>HYPERLINK(KINGBOLEN_2[[#This Row],[Column1]])</f>
        <v/>
      </c>
    </row>
    <row r="63" ht="45" customHeight="1" s="290">
      <c r="A63" s="30" t="inlineStr">
        <is>
          <t>KINGBOLEN K7 OBD2 Scanner Lifetime Update No Subscription Bidirectional Test Full System Bluetooth Diagnostic Scan Tool with Active Test, 31+ Resets, Autovin, TPMS Relearn, FCA AutoAuth</t>
        </is>
      </c>
      <c r="B63" s="30" t="inlineStr">
        <is>
          <t>B0CRCZCC65</t>
        </is>
      </c>
      <c r="C63" s="30" t="inlineStr">
        <is>
          <t>Tablet</t>
        </is>
      </c>
      <c r="D63" s="324" t="n">
        <v>472.72</v>
      </c>
      <c r="E63" s="53" t="n">
        <v>55506.83153846154</v>
      </c>
      <c r="F63" s="54" t="n">
        <v>2836.32</v>
      </c>
      <c r="G63" s="55" t="n">
        <v>116</v>
      </c>
      <c r="H63" s="55" t="n">
        <v>6</v>
      </c>
      <c r="I63" s="55" t="n">
        <v>27</v>
      </c>
      <c r="J63" s="56" t="n">
        <v>4.2</v>
      </c>
      <c r="K63" s="56" t="inlineStr">
        <is>
          <t>https://amazon.com/dp/B0CRCZCC65</t>
        </is>
      </c>
      <c r="L63" s="34">
        <f>HYPERLINK(KINGBOLEN_2[[#This Row],[Column1]])</f>
        <v/>
      </c>
    </row>
    <row r="64" ht="45" customHeight="1" s="290">
      <c r="A64" s="30" t="inlineStr">
        <is>
          <t>KINGBOLEN Ediag OBD2 Scanner Bluetooth, Bidirectional Scanner All System Diagnostic Tool for iOS &amp; Android, Active Test,15+ Reset Function, FCA AutoAuth, 1 Year Update</t>
        </is>
      </c>
      <c r="B64" s="30" t="inlineStr">
        <is>
          <t>B0BTD38F8B</t>
        </is>
      </c>
      <c r="C64" s="30" t="inlineStr">
        <is>
          <t>Dongle</t>
        </is>
      </c>
      <c r="D64" s="324" t="n">
        <v>91.1704</v>
      </c>
      <c r="E64" s="53" t="n">
        <v>50993.11</v>
      </c>
      <c r="F64" s="54" t="n">
        <v>2279.26</v>
      </c>
      <c r="G64" s="55" t="n">
        <v>543</v>
      </c>
      <c r="H64" s="55" t="n">
        <v>25</v>
      </c>
      <c r="I64" s="55" t="n">
        <v>918</v>
      </c>
      <c r="J64" s="56" t="n">
        <v>3.9</v>
      </c>
      <c r="K64" s="56" t="inlineStr">
        <is>
          <t>https://amazon.com/dp/B0BTD38F8B</t>
        </is>
      </c>
      <c r="L64" s="34">
        <f>HYPERLINK(KINGBOLEN_2[[#This Row],[Column1]])</f>
        <v/>
      </c>
    </row>
    <row r="65" ht="45" customHeight="1" s="290">
      <c r="A65" s="30" t="inlineStr">
        <is>
          <t>KINGBOLEN OBD2 Scanner S800 Car Scanner, OBD2 Diagnostic Scan Tool with 15 Reset, Oil Brake Throttle Service, Engine ABS SRS Transmission Code Reader, Battery Test, AutoVIN, Lifetime No Charge Update</t>
        </is>
      </c>
      <c r="B65" s="30" t="inlineStr">
        <is>
          <t>B0CRH8LFRY</t>
        </is>
      </c>
      <c r="C65" s="30" t="inlineStr">
        <is>
          <t>Tablet</t>
        </is>
      </c>
      <c r="D65" s="324" t="n">
        <v>157.0838461538461</v>
      </c>
      <c r="E65" s="53" t="n">
        <v>17899.53</v>
      </c>
      <c r="F65" s="54" t="n">
        <v>2042.09</v>
      </c>
      <c r="G65" s="55" t="n">
        <v>97</v>
      </c>
      <c r="H65" s="55" t="n">
        <v>13</v>
      </c>
      <c r="I65" s="55" t="n">
        <v>34</v>
      </c>
      <c r="J65" s="56" t="n">
        <v>3.9</v>
      </c>
      <c r="K65" s="56" t="inlineStr">
        <is>
          <t>https://amazon.com/dp/B0CRH8LFRY</t>
        </is>
      </c>
      <c r="L65" s="34">
        <f>HYPERLINK(KINGBOLEN_2[[#This Row],[Column1]])</f>
        <v/>
      </c>
    </row>
    <row r="66" ht="45" customHeight="1" s="290">
      <c r="A66" s="30" t="inlineStr">
        <is>
          <t>OBD2 Scanner Bluetooth for Toyota &amp; Lexus, KINGBOLEN SOLOSCAN Bidirectional Full System Diagnostic Tool with Reset Services &amp; Active Tests, Lifetime Updates, iOS &amp; Android App Required, AutoVin</t>
        </is>
      </c>
      <c r="B66" s="30" t="inlineStr">
        <is>
          <t>B0GGHHYMSM</t>
        </is>
      </c>
      <c r="C66" s="30" t="inlineStr">
        <is>
          <t>Dongle</t>
        </is>
      </c>
      <c r="D66" s="324" t="n">
        <v>93.8347619047619</v>
      </c>
      <c r="E66" s="53" t="n">
        <v>21670.36769230769</v>
      </c>
      <c r="F66" s="54" t="n">
        <v>1970.53</v>
      </c>
      <c r="G66" s="55" t="n">
        <v>37</v>
      </c>
      <c r="H66" s="55" t="n">
        <v>21</v>
      </c>
      <c r="I66" s="55" t="n">
        <v>26</v>
      </c>
      <c r="J66" s="56" t="n">
        <v>3.8</v>
      </c>
      <c r="K66" s="56" t="inlineStr">
        <is>
          <t>https://amazon.com/dp/B0GGHHYMSM</t>
        </is>
      </c>
      <c r="L66" s="34">
        <f>HYPERLINK(KINGBOLEN_2[[#This Row],[Column1]])</f>
        <v/>
      </c>
    </row>
    <row r="67" ht="45" customHeight="1" s="290">
      <c r="A67" s="30" t="inlineStr">
        <is>
          <t>KINGBOLEN YA200 OBD2 Scanner, Car OBD2 Code Reader Check Engine Light, Car Scanner OBDII Full Functions with Voltage Test OBD2 Scanner Diagnostic Tool for All OBDII CAN Protocol Cars Since 1996</t>
        </is>
      </c>
      <c r="B67" s="30" t="inlineStr">
        <is>
          <t>B0B8NB98YL</t>
        </is>
      </c>
      <c r="C67" s="30" t="inlineStr">
        <is>
          <t>Handheld</t>
        </is>
      </c>
      <c r="D67" s="324" t="n">
        <v>20.05162162162162</v>
      </c>
      <c r="E67" s="53" t="n">
        <v>22800.89</v>
      </c>
      <c r="F67" s="54" t="n">
        <v>1483.82</v>
      </c>
      <c r="G67" s="55" t="n">
        <v>1152</v>
      </c>
      <c r="H67" s="55" t="n">
        <v>74</v>
      </c>
      <c r="I67" s="55" t="n">
        <v>881</v>
      </c>
      <c r="J67" s="56" t="n">
        <v>4.4</v>
      </c>
      <c r="K67" s="56" t="inlineStr">
        <is>
          <t>https://amazon.com/dp/B0B8NB98YL</t>
        </is>
      </c>
      <c r="L67" s="34">
        <f>HYPERLINK(KINGBOLEN_2[[#This Row],[Column1]])</f>
        <v/>
      </c>
    </row>
    <row r="68" ht="45" customHeight="1" s="290">
      <c r="A68" s="30" t="inlineStr">
        <is>
          <t>KINGBOLEN Protective Case Storage Bag for OBD2 Scanner Launch CRP123/CRP123 Plus/Creader VII+/CR529/CR3008 Plus Code Reader Diagnostic Scan Tool(Case Only)</t>
        </is>
      </c>
      <c r="B68" s="30" t="inlineStr">
        <is>
          <t>B0D4M5QHFJ</t>
        </is>
      </c>
      <c r="C68" s="30" t="inlineStr">
        <is>
          <t>Other</t>
        </is>
      </c>
      <c r="D68" s="324" t="n">
        <v>15.96971428571429</v>
      </c>
      <c r="E68" s="53" t="n">
        <v>15856.66</v>
      </c>
      <c r="F68" s="54" t="n">
        <v>1117.88</v>
      </c>
      <c r="G68" s="55" t="n">
        <v>950</v>
      </c>
      <c r="H68" s="55" t="n">
        <v>70</v>
      </c>
      <c r="I68" s="55" t="n">
        <v>78</v>
      </c>
      <c r="J68" s="56" t="n">
        <v>4.3</v>
      </c>
      <c r="K68" s="56" t="inlineStr">
        <is>
          <t>https://amazon.com/dp/B0D4M5QHFJ</t>
        </is>
      </c>
      <c r="L68" s="34">
        <f>HYPERLINK(KINGBOLEN_2[[#This Row],[Column1]])</f>
        <v/>
      </c>
    </row>
    <row r="69" ht="60" customHeight="1" s="290">
      <c r="A69" s="30" t="inlineStr">
        <is>
          <t>KINGBOLEN OBD2 Scanner S500 Car Scanner, Lifetime NO Cost Update Diagnostic Scan Tool with 6 Reset,Oil/Brake/SAS/Throttle/Inject/ABS Reset, Engine ABS SRS Transmission OBD2 Code Reader, Battery Test</t>
        </is>
      </c>
      <c r="B69" s="30" t="inlineStr">
        <is>
          <t>B0CGRCVKQM</t>
        </is>
      </c>
      <c r="C69" s="30" t="inlineStr">
        <is>
          <t>Tablet</t>
        </is>
      </c>
      <c r="D69" s="324" t="n">
        <v>125.148</v>
      </c>
      <c r="E69" s="53" t="n">
        <v>25140.12</v>
      </c>
      <c r="F69" s="54" t="n">
        <v>625.74</v>
      </c>
      <c r="G69" s="55" t="n">
        <v>180</v>
      </c>
      <c r="H69" s="55" t="n">
        <v>5</v>
      </c>
      <c r="I69" s="55" t="n">
        <v>75</v>
      </c>
      <c r="J69" s="56" t="n">
        <v>4.2</v>
      </c>
      <c r="K69" s="56" t="inlineStr">
        <is>
          <t>https://amazon.com/dp/B0CGRCVKQM</t>
        </is>
      </c>
      <c r="L69" s="34">
        <f>HYPERLINK(KINGBOLEN_2[[#This Row],[Column1]])</f>
        <v/>
      </c>
    </row>
    <row r="70" ht="45" customHeight="1" s="290">
      <c r="A70" s="30" t="inlineStr">
        <is>
          <t>KINGBOLEN K6 Pro OBD2 Scanner, 4-in-1 Full System Bidirectional Diagnostic Tool with Battery Test &amp; TPMS Diagnose&amp;Printer,ECU Code, FCA AutoAuth, CANFD/DoIP, 26+ Reset, 2 Year Free Update</t>
        </is>
      </c>
      <c r="B70" s="30" t="inlineStr">
        <is>
          <t>B0FR4MSCP6</t>
        </is>
      </c>
      <c r="C70" s="30" t="inlineStr">
        <is>
          <t>Tablet</t>
        </is>
      </c>
      <c r="D70" s="324" t="n">
        <v>285</v>
      </c>
      <c r="E70" s="53" t="n">
        <v>4459.568461538461</v>
      </c>
      <c r="F70" s="54" t="n">
        <v>285</v>
      </c>
      <c r="G70" s="55" t="n">
        <v>6</v>
      </c>
      <c r="H70" s="55" t="n">
        <v>1</v>
      </c>
      <c r="I70" s="55" t="n">
        <v>20</v>
      </c>
      <c r="J70" s="56" t="n">
        <v>4.4</v>
      </c>
      <c r="K70" s="56" t="inlineStr">
        <is>
          <t>https://amazon.com/dp/B0FR4MSCP6</t>
        </is>
      </c>
      <c r="L70" s="34">
        <f>HYPERLINK(KINGBOLEN_2[[#This Row],[Column1]])</f>
        <v/>
      </c>
    </row>
    <row r="71" ht="45" customHeight="1" s="290">
      <c r="A71" s="30" t="inlineStr">
        <is>
          <t>KINGBOLEN OBD2 Scanner,Code Reader Automotive Engine Light Check Scan Tool Checks O2 Sensor and EVAP Systems with Full OBD2 Functions,Supports Mode6 with DTC Lookup, All 10 Modes of obd2. Black</t>
        </is>
      </c>
      <c r="B71" s="30" t="inlineStr">
        <is>
          <t>B08G4MYGNM</t>
        </is>
      </c>
      <c r="C71" s="30" t="inlineStr">
        <is>
          <t>Handheld</t>
        </is>
      </c>
      <c r="D71" s="324" t="n">
        <v>19.584</v>
      </c>
      <c r="E71" s="53" t="n">
        <v>2363.08</v>
      </c>
      <c r="F71" s="54" t="n">
        <v>97.92</v>
      </c>
      <c r="G71" s="55" t="n">
        <v>119</v>
      </c>
      <c r="H71" s="55" t="n">
        <v>5</v>
      </c>
      <c r="I71" s="55" t="n">
        <v>420</v>
      </c>
      <c r="J71" s="56" t="n">
        <v>4.4</v>
      </c>
      <c r="K71" s="56" t="inlineStr">
        <is>
          <t>https://amazon.com/dp/B08G4MYGNM</t>
        </is>
      </c>
      <c r="L71" s="34">
        <f>HYPERLINK(KINGBOLEN_2[[#This Row],[Column1]])</f>
        <v/>
      </c>
    </row>
    <row r="72" ht="45" customHeight="1" s="290">
      <c r="A72" s="30" t="inlineStr">
        <is>
          <t>Kingbolen Soloscan for Honda Acura OBD2 Scanner Bluetooth, Bidirectional Test Full System Diagnostic Scan Tool for Android &amp; iOS, All Reset Services, AutoVin, Lifetime No Subscriptions</t>
        </is>
      </c>
      <c r="B72" s="30" t="inlineStr">
        <is>
          <t>B0GL7QNKCF</t>
        </is>
      </c>
      <c r="C72" s="30" t="inlineStr">
        <is>
          <t>Dongle</t>
        </is>
      </c>
      <c r="D72" s="324" t="n">
        <v>89.98999999999999</v>
      </c>
      <c r="E72" s="53" t="n">
        <v>0</v>
      </c>
      <c r="F72" s="54" t="n">
        <v>0</v>
      </c>
      <c r="G72" s="55" t="n">
        <v>0</v>
      </c>
      <c r="H72" s="55" t="n">
        <v>0</v>
      </c>
      <c r="I72" s="55" t="n"/>
      <c r="J72" s="56" t="n"/>
      <c r="K72" s="56" t="inlineStr">
        <is>
          <t>https://amazon.com/dp/B0GL7QNKCF</t>
        </is>
      </c>
      <c r="L72" s="34">
        <f>HYPERLINK(KINGBOLEN_2[[#This Row],[Column1]])</f>
        <v/>
      </c>
    </row>
    <row r="73" ht="45" customHeight="1" s="290">
      <c r="A73" s="30" t="inlineStr">
        <is>
          <t>thinkcar Thinktool Pros Bi-Directional Scanner Full Systems Diagnostic Scan Tool, Topological Graph, 40+ Reset Services, ADAS Calibration, 10" Screen Size 2 Years Update</t>
        </is>
      </c>
      <c r="B73" s="30" t="inlineStr">
        <is>
          <t>B08XXWHQVJ</t>
        </is>
      </c>
      <c r="C73" s="30" t="inlineStr">
        <is>
          <t>Tablet</t>
        </is>
      </c>
      <c r="D73" s="324" t="n">
        <v>1169.99</v>
      </c>
      <c r="E73" s="53" t="n">
        <v>21112.92</v>
      </c>
      <c r="F73" s="54" t="n">
        <v>0</v>
      </c>
      <c r="G73" s="55" t="n">
        <v>18</v>
      </c>
      <c r="H73" s="55" t="n">
        <v>0</v>
      </c>
      <c r="I73" s="55" t="n">
        <v>102</v>
      </c>
      <c r="J73" s="56" t="n">
        <v>4.4</v>
      </c>
      <c r="K73" s="56" t="inlineStr">
        <is>
          <t>https://amazon.com/dp/B08XXWHQVJ</t>
        </is>
      </c>
      <c r="L73" s="34">
        <f>HYPERLINK(KINGBOLEN_2[[#This Row],[Column1]])</f>
        <v/>
      </c>
    </row>
    <row r="74" ht="45" customHeight="1" s="290">
      <c r="A74" s="30" t="inlineStr">
        <is>
          <t>KINGBOLEN K10 Pro Bidirectional Test Diagnostic Scan Tool Bluetooth OBD2 Scanner Full System 10" Screen Code Reader Topological Graph 40+ Reset ADAS DoIP&amp;CAN-FD FCA SGW 2 Years Update</t>
        </is>
      </c>
      <c r="B74" s="30" t="inlineStr">
        <is>
          <t>B0DP9L2GJ3</t>
        </is>
      </c>
      <c r="C74" s="30" t="inlineStr">
        <is>
          <t>Tablet</t>
        </is>
      </c>
      <c r="D74" s="324" t="n">
        <v>959.99</v>
      </c>
      <c r="E74" s="53" t="n">
        <v>36722.42</v>
      </c>
      <c r="F74" s="54" t="n">
        <v>0</v>
      </c>
      <c r="G74" s="55" t="n">
        <v>34</v>
      </c>
      <c r="H74" s="55" t="n">
        <v>0</v>
      </c>
      <c r="I74" s="55" t="n">
        <v>8</v>
      </c>
      <c r="J74" s="56" t="n">
        <v>4.6</v>
      </c>
      <c r="K74" s="56" t="inlineStr">
        <is>
          <t>https://amazon.com/dp/B0DP9L2GJ3</t>
        </is>
      </c>
      <c r="L74" s="34">
        <f>HYPERLINK(KINGBOLEN_2[[#This Row],[Column1]])</f>
        <v/>
      </c>
    </row>
    <row r="75" ht="45" customHeight="1" s="290">
      <c r="A75" s="30" t="inlineStr">
        <is>
          <t>KINGBOLEN K6 Pro All Systems OBD2 Scanner Bidirectional Diagnostic Tool with ECU Function, 26+ Reset, Battery Testing, Built-in Printer, FCA AutoAuth, CANFD/DoIP, 2 Years Update</t>
        </is>
      </c>
      <c r="B75" s="30" t="inlineStr">
        <is>
          <t>B0FHHLM4PR</t>
        </is>
      </c>
      <c r="C75" s="30" t="inlineStr">
        <is>
          <t>Tablet</t>
        </is>
      </c>
      <c r="D75" s="324" t="n">
        <v>359.99</v>
      </c>
      <c r="E75" s="53" t="n">
        <v>0</v>
      </c>
      <c r="F75" s="54" t="n">
        <v>0</v>
      </c>
      <c r="G75" s="55" t="n">
        <v>0</v>
      </c>
      <c r="H75" s="55" t="n">
        <v>0</v>
      </c>
      <c r="I75" s="55" t="n"/>
      <c r="J75" s="56" t="n"/>
      <c r="K75" s="56" t="inlineStr">
        <is>
          <t>https://amazon.com/dp/B0FHHLM4PR</t>
        </is>
      </c>
      <c r="L75" s="34">
        <f>HYPERLINK(KINGBOLEN_2[[#This Row],[Column1]])</f>
        <v/>
      </c>
    </row>
    <row r="76" ht="45" customHeight="1" s="290">
      <c r="A76" s="30" t="inlineStr">
        <is>
          <t>KINGBOLEN OBD2 Scanner,Car Code Reader for Check Engine Light Car Engine Scan Tool with Full OBD2,OBD2 Diagnostic Scan Tool for OBD2 Protocol Vehicles Since 1996. Black</t>
        </is>
      </c>
      <c r="B76" s="30" t="inlineStr">
        <is>
          <t>B08JGYQTGH</t>
        </is>
      </c>
      <c r="C76" s="30" t="inlineStr">
        <is>
          <t>Handheld</t>
        </is>
      </c>
      <c r="D76" s="324" t="n">
        <v>18.04</v>
      </c>
      <c r="E76" s="53" t="n">
        <v>0</v>
      </c>
      <c r="F76" s="54" t="n">
        <v>0</v>
      </c>
      <c r="G76" s="55" t="n">
        <v>0</v>
      </c>
      <c r="H76" s="55" t="n">
        <v>0</v>
      </c>
      <c r="I76" s="55" t="n">
        <v>870</v>
      </c>
      <c r="J76" s="56" t="n">
        <v>4.4</v>
      </c>
      <c r="K76" s="56" t="inlineStr">
        <is>
          <t>https://amazon.com/dp/B08JGYQTGH</t>
        </is>
      </c>
      <c r="L76" s="34">
        <f>HYPERLINK(KINGBOLEN_2[[#This Row],[Column1]])</f>
        <v/>
      </c>
    </row>
    <row r="77" ht="60" customHeight="1" s="290">
      <c r="A77" s="30" t="inlineStr">
        <is>
          <t>Thinktool Pro Bidirectional Scanner Thinkcar All Systems Bluetooth OBD2 Diagnostic Scan Tool Car Code Reader 34+ Resets, TPMS Relearn, 8" Touch Screen 2 Years Update</t>
        </is>
      </c>
      <c r="B77" s="30" t="inlineStr">
        <is>
          <t>B09T98RHTR</t>
        </is>
      </c>
      <c r="C77" s="30" t="inlineStr">
        <is>
          <t>Tablet</t>
        </is>
      </c>
      <c r="D77" s="324" t="n">
        <v>899.99</v>
      </c>
      <c r="E77" s="53" t="n">
        <v>19862.11</v>
      </c>
      <c r="F77" s="54" t="n">
        <v>0</v>
      </c>
      <c r="G77" s="55" t="n">
        <v>21</v>
      </c>
      <c r="H77" s="55" t="n">
        <v>0</v>
      </c>
      <c r="I77" s="55" t="n">
        <v>8</v>
      </c>
      <c r="J77" s="56" t="n">
        <v>4.3</v>
      </c>
      <c r="K77" s="56" t="inlineStr">
        <is>
          <t>https://amazon.com/dp/B09T98RHTR</t>
        </is>
      </c>
      <c r="L77" s="34">
        <f>HYPERLINK(KINGBOLEN_2[[#This Row],[Column1]])</f>
        <v/>
      </c>
    </row>
    <row r="78" ht="45" customHeight="1" s="290">
      <c r="A78" s="30" t="n"/>
      <c r="B78" s="30" t="n"/>
      <c r="C78" s="30" t="n"/>
      <c r="D78" s="324" t="n"/>
      <c r="E78" s="53" t="n"/>
      <c r="F78" s="54" t="n"/>
      <c r="G78" s="55" t="n"/>
      <c r="H78" s="55" t="n"/>
      <c r="I78" s="55" t="n"/>
      <c r="J78" s="56" t="n"/>
      <c r="K78" s="56" t="n"/>
      <c r="L78" s="34">
        <f>HYPERLINK(Table544[[#This Row],[Column1]])</f>
        <v/>
      </c>
    </row>
    <row r="79" ht="45" customHeight="1" s="290">
      <c r="A79" s="30" t="n"/>
      <c r="B79" s="30" t="n"/>
      <c r="C79" s="30" t="n"/>
      <c r="D79" s="324" t="n"/>
      <c r="E79" s="53" t="n"/>
      <c r="F79" s="54" t="n"/>
      <c r="G79" s="55" t="n"/>
      <c r="H79" s="55" t="n"/>
      <c r="I79" s="55" t="n"/>
      <c r="J79" s="56" t="n"/>
      <c r="K79" s="56" t="n"/>
      <c r="L79" s="34">
        <f>HYPERLINK(Table544[[#This Row],[Column1]])</f>
        <v/>
      </c>
    </row>
    <row r="80" ht="45" customHeight="1" s="290">
      <c r="A80" s="30" t="n"/>
      <c r="B80" s="30" t="n"/>
      <c r="C80" s="30" t="n"/>
      <c r="D80" s="324" t="n"/>
      <c r="E80" s="53" t="n"/>
      <c r="F80" s="54" t="n"/>
      <c r="G80" s="55" t="n"/>
      <c r="H80" s="55" t="n"/>
      <c r="I80" s="55" t="n"/>
      <c r="J80" s="56" t="n"/>
      <c r="K80" s="56" t="n"/>
      <c r="L80" s="34">
        <f>HYPERLINK(Table544[[#This Row],[Column1]])</f>
        <v/>
      </c>
    </row>
    <row r="81" ht="45" customHeight="1" s="290">
      <c r="A81" s="30" t="n"/>
      <c r="B81" s="30" t="n"/>
      <c r="C81" s="30" t="n"/>
      <c r="D81" s="324" t="n"/>
      <c r="E81" s="53" t="n"/>
      <c r="F81" s="54" t="n"/>
      <c r="G81" s="55" t="n"/>
      <c r="H81" s="55" t="n"/>
      <c r="I81" s="55" t="n"/>
      <c r="J81" s="56" t="n"/>
      <c r="K81" s="56" t="n"/>
      <c r="L81" s="34">
        <f>HYPERLINK(Table544[[#This Row],[Column1]])</f>
        <v/>
      </c>
    </row>
    <row r="82" ht="45" customHeight="1" s="290">
      <c r="A82" s="30" t="n"/>
      <c r="B82" s="30" t="n"/>
      <c r="C82" s="30" t="n"/>
      <c r="D82" s="324" t="n"/>
      <c r="E82" s="53" t="n"/>
      <c r="F82" s="54" t="n"/>
      <c r="G82" s="55" t="n"/>
      <c r="H82" s="55" t="n"/>
      <c r="I82" s="55" t="n"/>
      <c r="J82" s="56" t="n"/>
      <c r="K82" s="56" t="n"/>
      <c r="L82" s="34">
        <f>HYPERLINK(Table544[[#This Row],[Column1]])</f>
        <v/>
      </c>
    </row>
    <row r="83" ht="30" customHeight="1" s="290">
      <c r="A83" s="30" t="n"/>
      <c r="B83" s="30" t="n"/>
      <c r="C83" s="30" t="n"/>
      <c r="D83" s="324" t="n"/>
      <c r="E83" s="53" t="n"/>
      <c r="F83" s="54" t="n"/>
      <c r="G83" s="55" t="n"/>
      <c r="H83" s="55" t="n"/>
      <c r="I83" s="55" t="n"/>
      <c r="J83" s="56" t="n"/>
      <c r="K83" s="56" t="n"/>
      <c r="L83" s="34">
        <f>HYPERLINK(Table544[[#This Row],[Column1]])</f>
        <v/>
      </c>
    </row>
    <row r="84" ht="45" customHeight="1" s="290">
      <c r="A84" s="30" t="n"/>
      <c r="B84" s="30" t="n"/>
      <c r="C84" s="30" t="n"/>
      <c r="D84" s="324" t="n"/>
      <c r="E84" s="53" t="n"/>
      <c r="F84" s="54" t="n"/>
      <c r="G84" s="55" t="n"/>
      <c r="H84" s="55" t="n"/>
      <c r="I84" s="55" t="n"/>
      <c r="J84" s="56" t="n"/>
      <c r="K84" s="56" t="n"/>
      <c r="L84" s="34">
        <f>HYPERLINK(Table544[[#This Row],[Column1]])</f>
        <v/>
      </c>
    </row>
    <row r="85" ht="45" customHeight="1" s="290">
      <c r="A85" s="30" t="n"/>
      <c r="B85" s="30" t="n"/>
      <c r="C85" s="30" t="n"/>
      <c r="D85" s="324" t="n"/>
      <c r="E85" s="53" t="n"/>
      <c r="F85" s="54" t="n"/>
      <c r="G85" s="55" t="n"/>
      <c r="H85" s="55" t="n"/>
      <c r="I85" s="55" t="n"/>
      <c r="J85" s="56" t="n"/>
      <c r="K85" s="56" t="n"/>
      <c r="L85" s="34">
        <f>HYPERLINK(Table544[[#This Row],[Column1]])</f>
        <v/>
      </c>
    </row>
    <row r="86" ht="45" customHeight="1" s="290">
      <c r="A86" s="30" t="n"/>
      <c r="B86" s="30" t="n"/>
      <c r="C86" s="30" t="n"/>
      <c r="D86" s="324" t="n"/>
      <c r="E86" s="53" t="n"/>
      <c r="F86" s="54" t="n"/>
      <c r="G86" s="55" t="n"/>
      <c r="H86" s="55" t="n"/>
      <c r="I86" s="55" t="n"/>
      <c r="J86" s="56" t="n"/>
      <c r="K86" s="56" t="n"/>
      <c r="L86" s="34">
        <f>HYPERLINK(Table544[[#This Row],[Column1]])</f>
        <v/>
      </c>
    </row>
    <row r="87" ht="45" customHeight="1" s="290">
      <c r="A87" s="30" t="n"/>
      <c r="B87" s="30" t="n"/>
      <c r="C87" s="30" t="n"/>
      <c r="D87" s="324" t="n"/>
      <c r="E87" s="53" t="n"/>
      <c r="F87" s="54" t="n"/>
      <c r="G87" s="55" t="n"/>
      <c r="H87" s="55" t="n"/>
      <c r="I87" s="55" t="n"/>
      <c r="J87" s="56" t="n"/>
      <c r="K87" s="56" t="n"/>
      <c r="L87" s="34">
        <f>HYPERLINK(Table544[[#This Row],[Column1]])</f>
        <v/>
      </c>
    </row>
    <row r="88" ht="45" customHeight="1" s="290">
      <c r="A88" s="30" t="n"/>
      <c r="B88" s="30" t="n"/>
      <c r="C88" s="30" t="n"/>
      <c r="D88" s="324" t="n"/>
      <c r="E88" s="53" t="n"/>
      <c r="F88" s="54" t="n"/>
      <c r="G88" s="55" t="n"/>
      <c r="H88" s="55" t="n"/>
      <c r="I88" s="55" t="n"/>
      <c r="J88" s="56" t="n"/>
      <c r="K88" s="56" t="n"/>
      <c r="L88" s="34">
        <f>HYPERLINK(Table544[[#This Row],[Column1]])</f>
        <v/>
      </c>
    </row>
    <row r="89" ht="45" customHeight="1" s="290">
      <c r="A89" s="30" t="n"/>
      <c r="B89" s="30" t="n"/>
      <c r="C89" s="30" t="n"/>
      <c r="D89" s="324" t="n"/>
      <c r="E89" s="53" t="n"/>
      <c r="F89" s="54" t="n"/>
      <c r="G89" s="55" t="n"/>
      <c r="H89" s="55" t="n"/>
      <c r="I89" s="55" t="n"/>
      <c r="J89" s="56" t="n"/>
      <c r="K89" s="56" t="n"/>
      <c r="L89" s="34">
        <f>HYPERLINK(Table544[[#This Row],[Column1]])</f>
        <v/>
      </c>
    </row>
    <row r="90" ht="45" customHeight="1" s="290">
      <c r="A90" s="30" t="n"/>
      <c r="B90" s="30" t="n"/>
      <c r="C90" s="30" t="n"/>
      <c r="D90" s="324" t="n"/>
      <c r="E90" s="53" t="n"/>
      <c r="F90" s="54" t="n"/>
      <c r="G90" s="55" t="n"/>
      <c r="H90" s="55" t="n"/>
      <c r="I90" s="55" t="n"/>
      <c r="J90" s="56" t="n"/>
      <c r="K90" s="56" t="n"/>
      <c r="L90" s="34">
        <f>HYPERLINK(Table544[[#This Row],[Column1]])</f>
        <v/>
      </c>
    </row>
    <row r="91" ht="45" customHeight="1" s="290">
      <c r="A91" s="30" t="n"/>
      <c r="B91" s="30" t="n"/>
      <c r="C91" s="30" t="n"/>
      <c r="D91" s="324" t="n"/>
      <c r="E91" s="53" t="n"/>
      <c r="F91" s="54" t="n"/>
      <c r="G91" s="55" t="n"/>
      <c r="H91" s="55" t="n"/>
      <c r="I91" s="55" t="n"/>
      <c r="J91" s="56" t="n"/>
      <c r="K91" s="56" t="n"/>
      <c r="L91" s="34">
        <f>HYPERLINK(Table544[[#This Row],[Column1]])</f>
        <v/>
      </c>
    </row>
    <row r="92" ht="45" customHeight="1" s="290">
      <c r="A92" s="30" t="n"/>
      <c r="B92" s="30" t="n"/>
      <c r="C92" s="30" t="n"/>
      <c r="D92" s="324" t="n"/>
      <c r="E92" s="53" t="n"/>
      <c r="F92" s="54" t="n"/>
      <c r="G92" s="55" t="n"/>
      <c r="H92" s="55" t="n"/>
      <c r="I92" s="55" t="n"/>
      <c r="J92" s="56" t="n"/>
      <c r="K92" s="56" t="n"/>
      <c r="L92" s="34">
        <f>HYPERLINK(Table544[[#This Row],[Column1]])</f>
        <v/>
      </c>
    </row>
    <row r="93" ht="45" customHeight="1" s="290">
      <c r="A93" s="30" t="n"/>
      <c r="B93" s="30" t="n"/>
      <c r="C93" s="30" t="n"/>
      <c r="D93" s="324" t="n"/>
      <c r="E93" s="53" t="n"/>
      <c r="F93" s="54" t="n"/>
      <c r="G93" s="55" t="n"/>
      <c r="H93" s="55" t="n"/>
      <c r="I93" s="55" t="n"/>
      <c r="J93" s="56" t="n"/>
      <c r="K93" s="56" t="n"/>
      <c r="L93" s="34">
        <f>HYPERLINK(Table544[[#This Row],[Column1]])</f>
        <v/>
      </c>
    </row>
    <row r="94" ht="60" customHeight="1" s="290">
      <c r="A94" s="30" t="n"/>
      <c r="B94" s="30" t="n"/>
      <c r="C94" s="30" t="n"/>
      <c r="D94" s="324" t="n"/>
      <c r="E94" s="53" t="n"/>
      <c r="F94" s="54" t="n"/>
      <c r="G94" s="55" t="n"/>
      <c r="H94" s="55" t="n"/>
      <c r="I94" s="55" t="n"/>
      <c r="J94" s="56" t="n"/>
      <c r="K94" s="56" t="n"/>
      <c r="L94" s="34">
        <f>HYPERLINK(Table544[[#This Row],[Column1]])</f>
        <v/>
      </c>
    </row>
    <row r="95" ht="45" customHeight="1" s="290">
      <c r="A95" s="30" t="n"/>
      <c r="B95" s="30" t="n"/>
      <c r="C95" s="30" t="n"/>
      <c r="D95" s="324" t="n"/>
      <c r="E95" s="53" t="n"/>
      <c r="F95" s="54" t="n"/>
      <c r="G95" s="55" t="n"/>
      <c r="H95" s="55" t="n"/>
      <c r="I95" s="55" t="n"/>
      <c r="J95" s="56" t="n"/>
      <c r="K95" s="56" t="n"/>
      <c r="L95" s="34">
        <f>HYPERLINK(Table544[[#This Row],[Column1]])</f>
        <v/>
      </c>
    </row>
    <row r="96" ht="45" customHeight="1" s="290">
      <c r="A96" s="30" t="n"/>
      <c r="B96" s="30" t="n"/>
      <c r="C96" s="30" t="n"/>
      <c r="D96" s="324" t="n"/>
      <c r="E96" s="53" t="n"/>
      <c r="F96" s="54" t="n"/>
      <c r="G96" s="55" t="n"/>
      <c r="H96" s="55" t="n"/>
      <c r="I96" s="55" t="n"/>
      <c r="J96" s="56" t="n"/>
      <c r="K96" s="56" t="n"/>
      <c r="L96" s="34">
        <f>HYPERLINK(Table544[[#This Row],[Column1]])</f>
        <v/>
      </c>
    </row>
    <row r="97" ht="45" customHeight="1" s="290">
      <c r="A97" s="30" t="n"/>
      <c r="B97" s="30" t="n"/>
      <c r="C97" s="30" t="n"/>
      <c r="D97" s="324" t="n"/>
      <c r="E97" s="53" t="n"/>
      <c r="F97" s="54" t="n"/>
      <c r="G97" s="55" t="n"/>
      <c r="H97" s="55" t="n"/>
      <c r="I97" s="55" t="n"/>
      <c r="J97" s="56" t="n"/>
      <c r="K97" s="56" t="n"/>
      <c r="L97" s="34">
        <f>HYPERLINK(Table544[[#This Row],[Column1]])</f>
        <v/>
      </c>
    </row>
    <row r="98" ht="60" customHeight="1" s="290">
      <c r="A98" s="30" t="n"/>
      <c r="B98" s="30" t="n"/>
      <c r="C98" s="30" t="n"/>
      <c r="D98" s="324" t="n"/>
      <c r="E98" s="53" t="n"/>
      <c r="F98" s="54" t="n"/>
      <c r="G98" s="55" t="n"/>
      <c r="H98" s="55" t="n"/>
      <c r="I98" s="55" t="n"/>
      <c r="J98" s="56" t="n"/>
      <c r="K98" s="56" t="n"/>
      <c r="L98" s="34">
        <f>HYPERLINK(Table544[[#This Row],[Column1]])</f>
        <v/>
      </c>
    </row>
    <row r="99" ht="45" customHeight="1" s="290">
      <c r="A99" s="30" t="n"/>
      <c r="B99" s="30" t="n"/>
      <c r="C99" s="30" t="n"/>
      <c r="D99" s="324" t="n"/>
      <c r="E99" s="53" t="n"/>
      <c r="F99" s="54" t="n"/>
      <c r="G99" s="55" t="n"/>
      <c r="H99" s="55" t="n"/>
      <c r="I99" s="55" t="n"/>
      <c r="J99" s="56" t="n"/>
      <c r="K99" s="56" t="n"/>
      <c r="L99" s="34">
        <f>HYPERLINK(Table544[[#This Row],[Column1]])</f>
        <v/>
      </c>
    </row>
    <row r="100" ht="45" customHeight="1" s="290">
      <c r="A100" s="30" t="n"/>
      <c r="B100" s="30" t="n"/>
      <c r="C100" s="30" t="n"/>
      <c r="D100" s="324" t="n"/>
      <c r="E100" s="53" t="n"/>
      <c r="F100" s="54" t="n"/>
      <c r="G100" s="55" t="n"/>
      <c r="H100" s="55" t="n"/>
      <c r="I100" s="55" t="n"/>
      <c r="J100" s="56" t="n"/>
      <c r="K100" s="56" t="n"/>
      <c r="L100" s="34">
        <f>HYPERLINK(Table544[[#This Row],[Column1]])</f>
        <v/>
      </c>
    </row>
    <row r="101" ht="45" customHeight="1" s="290">
      <c r="A101" s="30" t="n"/>
      <c r="B101" s="30" t="n"/>
      <c r="C101" s="30" t="n"/>
      <c r="D101" s="324" t="n"/>
      <c r="E101" s="53" t="n"/>
      <c r="F101" s="54" t="n"/>
      <c r="G101" s="55" t="n"/>
      <c r="H101" s="55" t="n"/>
      <c r="I101" s="55" t="n"/>
      <c r="J101" s="56" t="n"/>
      <c r="K101" s="56" t="n"/>
      <c r="L101" s="34">
        <f>HYPERLINK(Table544[[#This Row],[Column1]])</f>
        <v/>
      </c>
    </row>
    <row r="102" ht="45" customHeight="1" s="290">
      <c r="A102" s="30" t="n"/>
      <c r="B102" s="30" t="n"/>
      <c r="C102" s="30" t="n"/>
      <c r="D102" s="324" t="n"/>
      <c r="E102" s="53" t="n"/>
      <c r="F102" s="54" t="n"/>
      <c r="G102" s="55" t="n"/>
      <c r="H102" s="55" t="n"/>
      <c r="I102" s="55" t="n"/>
      <c r="J102" s="56" t="n"/>
      <c r="K102" s="56" t="n"/>
      <c r="L102" s="34">
        <f>HYPERLINK(Table544[[#This Row],[Column1]])</f>
        <v/>
      </c>
    </row>
    <row r="103" ht="45" customHeight="1" s="290">
      <c r="A103" s="30" t="n"/>
      <c r="B103" s="30" t="n"/>
      <c r="C103" s="30" t="n"/>
      <c r="D103" s="324" t="n"/>
      <c r="E103" s="53" t="n"/>
      <c r="F103" s="54" t="n"/>
      <c r="G103" s="55" t="n"/>
      <c r="H103" s="55" t="n"/>
      <c r="I103" s="55" t="n"/>
      <c r="J103" s="56" t="n"/>
      <c r="K103" s="56" t="n"/>
      <c r="L103" s="34">
        <f>HYPERLINK(Table544[[#This Row],[Column1]])</f>
        <v/>
      </c>
    </row>
    <row r="104" ht="45" customHeight="1" s="290">
      <c r="A104" s="30" t="n"/>
      <c r="B104" s="30" t="n"/>
      <c r="C104" s="30" t="n"/>
      <c r="D104" s="324" t="n"/>
      <c r="E104" s="53" t="n"/>
      <c r="F104" s="54" t="n"/>
      <c r="G104" s="55" t="n"/>
      <c r="H104" s="55" t="n"/>
      <c r="I104" s="55" t="n"/>
      <c r="J104" s="56" t="n"/>
      <c r="K104" s="56" t="n"/>
      <c r="L104" s="34">
        <f>HYPERLINK(Table544[[#This Row],[Column1]])</f>
        <v/>
      </c>
    </row>
    <row r="105" ht="45" customHeight="1" s="290">
      <c r="A105" s="30" t="n"/>
      <c r="B105" s="30" t="n"/>
      <c r="C105" s="30" t="n"/>
      <c r="D105" s="324" t="n"/>
      <c r="E105" s="53" t="n"/>
      <c r="F105" s="54" t="n"/>
      <c r="G105" s="55" t="n"/>
      <c r="H105" s="55" t="n"/>
      <c r="I105" s="55" t="n"/>
      <c r="J105" s="56" t="n"/>
      <c r="K105" s="56" t="n"/>
      <c r="L105" s="34">
        <f>HYPERLINK(Table544[[#This Row],[Column1]])</f>
        <v/>
      </c>
    </row>
    <row r="106" ht="45" customHeight="1" s="290">
      <c r="A106" s="30" t="n"/>
      <c r="B106" s="30" t="n"/>
      <c r="C106" s="30" t="n"/>
      <c r="D106" s="324" t="n"/>
      <c r="E106" s="53" t="n"/>
      <c r="F106" s="54" t="n"/>
      <c r="G106" s="55" t="n"/>
      <c r="H106" s="55" t="n"/>
      <c r="I106" s="55" t="n"/>
      <c r="J106" s="56" t="n"/>
      <c r="K106" s="56" t="n"/>
      <c r="L106" s="34">
        <f>HYPERLINK(Table544[[#This Row],[Column1]])</f>
        <v/>
      </c>
    </row>
    <row r="107" ht="60" customHeight="1" s="290">
      <c r="A107" s="30" t="n"/>
      <c r="B107" s="30" t="n"/>
      <c r="C107" s="30" t="n"/>
      <c r="D107" s="324" t="n"/>
      <c r="E107" s="53" t="n"/>
      <c r="F107" s="54" t="n"/>
      <c r="G107" s="55" t="n"/>
      <c r="H107" s="55" t="n"/>
      <c r="I107" s="55" t="n"/>
      <c r="J107" s="56" t="n"/>
      <c r="K107" s="56" t="n"/>
      <c r="L107" s="34">
        <f>HYPERLINK(Table544[[#This Row],[Column1]])</f>
        <v/>
      </c>
    </row>
    <row r="108" ht="45" customHeight="1" s="290">
      <c r="A108" s="30" t="n"/>
      <c r="B108" s="30" t="n"/>
      <c r="C108" s="30" t="n"/>
      <c r="D108" s="324" t="n"/>
      <c r="E108" s="53" t="n"/>
      <c r="F108" s="54" t="n"/>
      <c r="G108" s="55" t="n"/>
      <c r="H108" s="55" t="n"/>
      <c r="I108" s="55" t="n"/>
      <c r="J108" s="56" t="n"/>
      <c r="K108" s="56" t="n"/>
      <c r="L108" s="34">
        <f>HYPERLINK(Table544[[#This Row],[Column1]])</f>
        <v/>
      </c>
    </row>
    <row r="109" ht="45" customHeight="1" s="290">
      <c r="A109" s="30" t="n"/>
      <c r="B109" s="30" t="n"/>
      <c r="C109" s="30" t="n"/>
      <c r="D109" s="324" t="n"/>
      <c r="E109" s="53" t="n"/>
      <c r="F109" s="54" t="n"/>
      <c r="G109" s="55" t="n"/>
      <c r="H109" s="55" t="n"/>
      <c r="I109" s="55" t="n"/>
      <c r="J109" s="56" t="n"/>
      <c r="K109" s="56" t="n"/>
      <c r="L109" s="34">
        <f>HYPERLINK(Table544[[#This Row],[Column1]])</f>
        <v/>
      </c>
    </row>
    <row r="110" ht="45" customHeight="1" s="290">
      <c r="A110" s="30" t="n"/>
      <c r="B110" s="30" t="n"/>
      <c r="C110" s="30" t="n"/>
      <c r="D110" s="324" t="n"/>
      <c r="E110" s="53" t="n"/>
      <c r="F110" s="54" t="n"/>
      <c r="G110" s="55" t="n"/>
      <c r="H110" s="55" t="n"/>
      <c r="I110" s="55" t="n"/>
      <c r="J110" s="56" t="n"/>
      <c r="K110" s="56" t="n"/>
      <c r="L110" s="34">
        <f>HYPERLINK(Table544[[#This Row],[Column1]])</f>
        <v/>
      </c>
    </row>
    <row r="111" ht="45" customHeight="1" s="290">
      <c r="A111" s="30" t="n"/>
      <c r="B111" s="30" t="n"/>
      <c r="C111" s="30" t="n"/>
      <c r="D111" s="324" t="n"/>
      <c r="E111" s="53" t="n"/>
      <c r="F111" s="54" t="n"/>
      <c r="G111" s="55" t="n"/>
      <c r="H111" s="55" t="n"/>
      <c r="I111" s="55" t="n"/>
      <c r="J111" s="56" t="n"/>
      <c r="K111" s="56" t="n"/>
      <c r="L111" s="34">
        <f>HYPERLINK(Table544[[#This Row],[Column1]])</f>
        <v/>
      </c>
    </row>
    <row r="112" ht="45" customHeight="1" s="290">
      <c r="A112" s="30" t="n"/>
      <c r="B112" s="30" t="n"/>
      <c r="C112" s="30" t="n"/>
      <c r="D112" s="324" t="n"/>
      <c r="E112" s="53" t="n"/>
      <c r="F112" s="54" t="n"/>
      <c r="G112" s="55" t="n"/>
      <c r="H112" s="55" t="n"/>
      <c r="I112" s="55" t="n"/>
      <c r="J112" s="56" t="n"/>
      <c r="K112" s="56" t="n"/>
      <c r="L112" s="34">
        <f>HYPERLINK(Table544[[#This Row],[Column1]])</f>
        <v/>
      </c>
    </row>
    <row r="113" ht="45" customHeight="1" s="290">
      <c r="A113" s="30" t="n"/>
      <c r="B113" s="30" t="n"/>
      <c r="C113" s="30" t="n"/>
      <c r="D113" s="324" t="n"/>
      <c r="E113" s="53" t="n"/>
      <c r="F113" s="54" t="n"/>
      <c r="G113" s="55" t="n"/>
      <c r="H113" s="55" t="n"/>
      <c r="I113" s="55" t="n"/>
      <c r="J113" s="56" t="n"/>
      <c r="K113" s="56" t="n"/>
      <c r="L113" s="34">
        <f>HYPERLINK(Table544[[#This Row],[Column1]])</f>
        <v/>
      </c>
    </row>
    <row r="114" ht="45" customHeight="1" s="290">
      <c r="A114" s="30" t="n"/>
      <c r="B114" s="30" t="n"/>
      <c r="C114" s="30" t="n"/>
      <c r="D114" s="324" t="n"/>
      <c r="E114" s="53" t="n"/>
      <c r="F114" s="54" t="n"/>
      <c r="G114" s="55" t="n"/>
      <c r="H114" s="55" t="n"/>
      <c r="I114" s="55" t="n"/>
      <c r="J114" s="56" t="n"/>
      <c r="K114" s="56" t="n"/>
      <c r="L114" s="34">
        <f>HYPERLINK(Table544[[#This Row],[Column1]])</f>
        <v/>
      </c>
    </row>
    <row r="115" ht="45" customHeight="1" s="290">
      <c r="A115" s="30" t="n"/>
      <c r="B115" s="30" t="n"/>
      <c r="C115" s="30" t="n"/>
      <c r="D115" s="324" t="n"/>
      <c r="E115" s="53" t="n"/>
      <c r="F115" s="54" t="n"/>
      <c r="G115" s="55" t="n"/>
      <c r="H115" s="55" t="n"/>
      <c r="I115" s="55" t="n"/>
      <c r="J115" s="56" t="n"/>
      <c r="K115" s="56" t="n"/>
      <c r="L115" s="34">
        <f>HYPERLINK(Table544[[#This Row],[Column1]])</f>
        <v/>
      </c>
    </row>
    <row r="116" ht="30" customHeight="1" s="290">
      <c r="A116" s="30" t="n"/>
      <c r="B116" s="30" t="n"/>
      <c r="C116" s="30" t="n"/>
      <c r="D116" s="324" t="n"/>
      <c r="E116" s="53" t="n"/>
      <c r="F116" s="54" t="n"/>
      <c r="G116" s="55" t="n"/>
      <c r="H116" s="55" t="n"/>
      <c r="I116" s="55" t="n"/>
      <c r="J116" s="56" t="n"/>
      <c r="K116" s="56" t="n"/>
      <c r="L116" s="34">
        <f>HYPERLINK(Table544[[#This Row],[Column1]])</f>
        <v/>
      </c>
    </row>
    <row r="117" ht="30" customHeight="1" s="290">
      <c r="A117" s="30" t="n"/>
      <c r="B117" s="30" t="n"/>
      <c r="C117" s="30" t="n"/>
      <c r="D117" s="324" t="n"/>
      <c r="E117" s="53" t="n"/>
      <c r="F117" s="54" t="n"/>
      <c r="G117" s="55" t="n"/>
      <c r="H117" s="55" t="n"/>
      <c r="I117" s="55" t="n"/>
      <c r="J117" s="56" t="n"/>
      <c r="K117" s="56" t="n"/>
      <c r="L117" s="34">
        <f>HYPERLINK(Table544[[#This Row],[Column1]])</f>
        <v/>
      </c>
    </row>
    <row r="118" ht="45" customHeight="1" s="290">
      <c r="A118" s="30" t="n"/>
      <c r="B118" s="30" t="n"/>
      <c r="C118" s="30" t="n"/>
      <c r="D118" s="324" t="n"/>
      <c r="E118" s="53" t="n"/>
      <c r="F118" s="54" t="n"/>
      <c r="G118" s="55" t="n"/>
      <c r="H118" s="55" t="n"/>
      <c r="I118" s="55" t="n"/>
      <c r="J118" s="56" t="n"/>
      <c r="K118" s="56" t="n"/>
      <c r="L118" s="34">
        <f>HYPERLINK(Table544[[#This Row],[Column1]])</f>
        <v/>
      </c>
    </row>
    <row r="119" ht="45" customHeight="1" s="290">
      <c r="A119" s="30" t="n"/>
      <c r="B119" s="30" t="n"/>
      <c r="C119" s="30" t="n"/>
      <c r="D119" s="324" t="n"/>
      <c r="E119" s="53" t="n"/>
      <c r="F119" s="54" t="n"/>
      <c r="G119" s="55" t="n"/>
      <c r="H119" s="55" t="n"/>
      <c r="I119" s="55" t="n"/>
      <c r="J119" s="56" t="n"/>
      <c r="K119" s="56" t="n"/>
      <c r="L119" s="34">
        <f>HYPERLINK(Table544[[#This Row],[Column1]])</f>
        <v/>
      </c>
    </row>
    <row r="120" ht="60" customHeight="1" s="290">
      <c r="A120" s="30" t="n"/>
      <c r="B120" s="30" t="n"/>
      <c r="C120" s="30" t="n"/>
      <c r="D120" s="324" t="n"/>
      <c r="E120" s="53" t="n"/>
      <c r="F120" s="54" t="n"/>
      <c r="G120" s="55" t="n"/>
      <c r="H120" s="55" t="n"/>
      <c r="I120" s="55" t="n"/>
      <c r="J120" s="56" t="n"/>
      <c r="K120" s="56" t="n"/>
      <c r="L120" s="34">
        <f>HYPERLINK(Table544[[#This Row],[Column1]])</f>
        <v/>
      </c>
    </row>
    <row r="121" ht="45" customHeight="1" s="290">
      <c r="A121" s="30" t="n"/>
      <c r="B121" s="30" t="n"/>
      <c r="C121" s="30" t="n"/>
      <c r="D121" s="324" t="n"/>
      <c r="E121" s="53" t="n"/>
      <c r="F121" s="54" t="n"/>
      <c r="G121" s="55" t="n"/>
      <c r="H121" s="55" t="n"/>
      <c r="I121" s="55" t="n"/>
      <c r="J121" s="56" t="n"/>
      <c r="K121" s="56" t="n"/>
      <c r="L121" s="34">
        <f>HYPERLINK(Table544[[#This Row],[Column1]])</f>
        <v/>
      </c>
    </row>
    <row r="122" ht="45" customHeight="1" s="290">
      <c r="A122" s="30" t="n"/>
      <c r="B122" s="30" t="n"/>
      <c r="C122" s="30" t="n"/>
      <c r="D122" s="324" t="n"/>
      <c r="E122" s="53" t="n"/>
      <c r="F122" s="54" t="n"/>
      <c r="G122" s="55" t="n"/>
      <c r="H122" s="55" t="n"/>
      <c r="I122" s="55" t="n"/>
      <c r="J122" s="56" t="n"/>
      <c r="K122" s="56" t="n"/>
      <c r="L122" s="34">
        <f>HYPERLINK(Table544[[#This Row],[Column1]])</f>
        <v/>
      </c>
    </row>
    <row r="123" ht="45" customHeight="1" s="290">
      <c r="A123" s="30" t="n"/>
      <c r="B123" s="30" t="n"/>
      <c r="C123" s="30" t="n"/>
      <c r="D123" s="324" t="n"/>
      <c r="E123" s="53" t="n"/>
      <c r="F123" s="54" t="n"/>
      <c r="G123" s="55" t="n"/>
      <c r="H123" s="55" t="n"/>
      <c r="I123" s="55" t="n"/>
      <c r="J123" s="56" t="n"/>
      <c r="K123" s="56" t="n"/>
      <c r="L123" s="34">
        <f>HYPERLINK(Table544[[#This Row],[Column1]])</f>
        <v/>
      </c>
    </row>
    <row r="124" ht="17" customHeight="1" s="290">
      <c r="A124" s="30" t="n"/>
      <c r="B124" s="30" t="n"/>
      <c r="C124" s="30" t="n"/>
      <c r="D124" s="324" t="n"/>
      <c r="E124" s="53" t="n"/>
      <c r="F124" s="54" t="n"/>
      <c r="G124" s="55" t="n"/>
      <c r="H124" s="55" t="n"/>
      <c r="I124" s="55" t="n"/>
      <c r="J124" s="56" t="n"/>
      <c r="K124" s="56" t="n"/>
      <c r="L124" s="34">
        <f>HYPERLINK(Table544[[#This Row],[Column1]])</f>
        <v/>
      </c>
    </row>
    <row r="125" ht="30" customHeight="1" s="290">
      <c r="A125" s="30" t="n"/>
      <c r="B125" s="30" t="n"/>
      <c r="C125" s="30" t="n"/>
      <c r="D125" s="324" t="n"/>
      <c r="E125" s="53" t="n"/>
      <c r="F125" s="54" t="n"/>
      <c r="G125" s="55" t="n"/>
      <c r="H125" s="55" t="n"/>
      <c r="I125" s="55" t="n"/>
      <c r="J125" s="56" t="n"/>
      <c r="K125" s="56" t="n"/>
      <c r="L125" s="34">
        <f>HYPERLINK(Table544[[#This Row],[Column1]])</f>
        <v/>
      </c>
    </row>
    <row r="126" ht="45" customHeight="1" s="290">
      <c r="A126" s="30" t="n"/>
      <c r="B126" s="30" t="n"/>
      <c r="C126" s="30" t="n"/>
      <c r="D126" s="324" t="n"/>
      <c r="E126" s="53" t="n"/>
      <c r="F126" s="54" t="n"/>
      <c r="G126" s="55" t="n"/>
      <c r="H126" s="55" t="n"/>
      <c r="I126" s="55" t="n"/>
      <c r="J126" s="56" t="n"/>
      <c r="K126" s="56" t="n"/>
      <c r="L126" s="34">
        <f>HYPERLINK(Table544[[#This Row],[Column1]])</f>
        <v/>
      </c>
    </row>
    <row r="127" ht="45" customHeight="1" s="290">
      <c r="A127" s="30" t="n"/>
      <c r="B127" s="30" t="n"/>
      <c r="C127" s="30" t="n"/>
      <c r="D127" s="324" t="n"/>
      <c r="E127" s="53" t="n"/>
      <c r="F127" s="54" t="n"/>
      <c r="G127" s="55" t="n"/>
      <c r="H127" s="55" t="n"/>
      <c r="I127" s="55" t="n"/>
      <c r="J127" s="56" t="n"/>
      <c r="K127" s="56" t="n"/>
      <c r="L127" s="34">
        <f>HYPERLINK(Table544[[#This Row],[Column1]])</f>
        <v/>
      </c>
    </row>
    <row r="128" ht="17" customHeight="1" s="290">
      <c r="A128" s="33" t="inlineStr">
        <is>
          <t>Total</t>
        </is>
      </c>
      <c r="B128" s="32" t="n"/>
      <c r="C128" s="325" t="n"/>
      <c r="D128" s="325" t="n"/>
      <c r="E128" s="59">
        <f>SUM(Table544[Estimated 12mo Revenue])</f>
        <v/>
      </c>
      <c r="F128" s="59">
        <f>SUM(Table544[Monthly Rev])</f>
        <v/>
      </c>
      <c r="I128" s="286" t="n"/>
      <c r="J128" s="287" t="n"/>
    </row>
    <row r="131">
      <c r="A131" s="283" t="inlineStr">
        <is>
          <t>Rank by Units</t>
        </is>
      </c>
    </row>
    <row r="132" ht="17" customHeight="1" s="290">
      <c r="A132" s="38" t="inlineStr">
        <is>
          <t>Product Name</t>
        </is>
      </c>
      <c r="B132" s="39" t="inlineStr">
        <is>
          <t>ASIN</t>
        </is>
      </c>
      <c r="C132" s="39" t="inlineStr">
        <is>
          <t>Type</t>
        </is>
      </c>
      <c r="D132" s="322" t="inlineStr">
        <is>
          <t>Avg Price</t>
        </is>
      </c>
      <c r="E132" s="41" t="inlineStr">
        <is>
          <t>Estimated 12mo Revenue</t>
        </is>
      </c>
      <c r="F132" s="39" t="inlineStr">
        <is>
          <t>Monthly Rev</t>
        </is>
      </c>
      <c r="G132" s="42" t="inlineStr">
        <is>
          <t>Estimated 12mo Units</t>
        </is>
      </c>
      <c r="H132" s="45" t="inlineStr">
        <is>
          <t>Monthly Units</t>
        </is>
      </c>
      <c r="I132" s="42" t="inlineStr">
        <is>
          <t># of Reviews</t>
        </is>
      </c>
      <c r="J132" s="43" t="inlineStr">
        <is>
          <t xml:space="preserve">Tool Rating </t>
        </is>
      </c>
      <c r="K132" s="43" t="inlineStr">
        <is>
          <t>Column1</t>
        </is>
      </c>
      <c r="L132" s="323" t="inlineStr">
        <is>
          <t>Link</t>
        </is>
      </c>
    </row>
    <row r="133" ht="45" customHeight="1" s="290">
      <c r="A133" s="30" t="inlineStr">
        <is>
          <t>KINGBOLEN Ediag Elite OBD2 Scanner Bluetooth, Bidirectional Test Scanner All System Diagnostic Tool for iOS &amp; Android, 15+ Hot Reset, CANFD Protocol, FCA AutoAuth, No Subscriptions Lifetime Update</t>
        </is>
      </c>
      <c r="B133" s="30" t="inlineStr">
        <is>
          <t>B0DP8PH63Q</t>
        </is>
      </c>
      <c r="C133" s="30" t="inlineStr">
        <is>
          <t>Dongle</t>
        </is>
      </c>
      <c r="D133" s="324" t="n">
        <v>99.80950186799502</v>
      </c>
      <c r="E133" s="53" t="n">
        <v>1252812.66</v>
      </c>
      <c r="F133" s="53" t="n">
        <v>80147.03</v>
      </c>
      <c r="G133" s="55" t="n">
        <v>12342</v>
      </c>
      <c r="H133" s="57" t="n">
        <v>803</v>
      </c>
      <c r="I133" s="55" t="n">
        <v>705</v>
      </c>
      <c r="J133" s="56" t="n">
        <v>4.2</v>
      </c>
      <c r="K133" s="56" t="inlineStr">
        <is>
          <t>https://amazon.com/dp/B0DP8PH63Q</t>
        </is>
      </c>
      <c r="L133" s="34">
        <f>HYPERLINK(KINGBOLEN_1[[#This Row],[Column1]])</f>
        <v/>
      </c>
    </row>
    <row r="134" ht="45" customHeight="1" s="290">
      <c r="A134" s="30" t="inlineStr">
        <is>
          <t>Ediag Elite KINGBOLEN Bluetooth OBD2 Scanner, Lifetime NO Cost Update Bidirectional Scan Tool for iOS &amp; Android, Wireless Full System Car Diagnostic Scanner, 15+ Reset Service, CANFD, FCA AutoAuth</t>
        </is>
      </c>
      <c r="B134" s="30" t="inlineStr">
        <is>
          <t>B0FM3QWZCZ</t>
        </is>
      </c>
      <c r="C134" s="30" t="inlineStr">
        <is>
          <t>Tablet</t>
        </is>
      </c>
      <c r="D134" s="324" t="n">
        <v>98.50624454148472</v>
      </c>
      <c r="E134" s="53" t="n">
        <v>351632.7461538463</v>
      </c>
      <c r="F134" s="53" t="n">
        <v>45115.86</v>
      </c>
      <c r="G134" s="55" t="n">
        <v>1440</v>
      </c>
      <c r="H134" s="57" t="n">
        <v>458</v>
      </c>
      <c r="I134" s="55" t="n">
        <v>100</v>
      </c>
      <c r="J134" s="56" t="n">
        <v>4.5</v>
      </c>
      <c r="K134" s="56" t="inlineStr">
        <is>
          <t>https://amazon.com/dp/B0FM3QWZCZ</t>
        </is>
      </c>
      <c r="L134" s="34">
        <f>HYPERLINK(KINGBOLEN_1[[#This Row],[Column1]])</f>
        <v/>
      </c>
    </row>
    <row r="135" ht="45" customHeight="1" s="290">
      <c r="A135" s="30" t="inlineStr">
        <is>
          <t>KINGBOLEN OBD2 Scanner S608, 2026 Bidirectional Scan Tool for ABS/SRS/Transmission/Engine, 9 Resets Oil Brake DPF Bleed Gear Injector Throttle BMS SAS, CAN FD &amp; FCA/Renault SGW, Lifetime Free Update</t>
        </is>
      </c>
      <c r="B135" s="30" t="inlineStr">
        <is>
          <t>B0FR8K9F4P</t>
        </is>
      </c>
      <c r="C135" s="30" t="inlineStr">
        <is>
          <t>Tablet</t>
        </is>
      </c>
      <c r="D135" s="324" t="n">
        <v>191.7537341772152</v>
      </c>
      <c r="E135" s="53" t="n">
        <v>390082.3776923076</v>
      </c>
      <c r="F135" s="53" t="n">
        <v>30297.09</v>
      </c>
      <c r="G135" s="55" t="n">
        <v>1142</v>
      </c>
      <c r="H135" s="57" t="n">
        <v>158</v>
      </c>
      <c r="I135" s="55" t="n">
        <v>111</v>
      </c>
      <c r="J135" s="56" t="n">
        <v>4.1</v>
      </c>
      <c r="K135" s="56" t="inlineStr">
        <is>
          <t>https://amazon.com/dp/B0FR8K9F4P</t>
        </is>
      </c>
      <c r="L135" s="34">
        <f>HYPERLINK(KINGBOLEN_1[[#This Row],[Column1]])</f>
        <v/>
      </c>
    </row>
    <row r="136" ht="45" customHeight="1" s="290">
      <c r="A136" s="30" t="inlineStr">
        <is>
          <t>KINGBOLEN S6 Elite OBD2 Scanner, 2026 Bidirectional Scan Tool, 15 Reset, Active Test, All System Car Diagnostic Scanner, CAN FD/FCA/Renault SGW, Lifetime Free Upgrade Scanner for Car, Upgraded of S608</t>
        </is>
      </c>
      <c r="B136" s="30" t="inlineStr">
        <is>
          <t>B0G62XXJKF</t>
        </is>
      </c>
      <c r="C136" s="30" t="inlineStr">
        <is>
          <t>Tablet</t>
        </is>
      </c>
      <c r="D136" s="324" t="n">
        <v>248.4879838709677</v>
      </c>
      <c r="E136" s="53" t="n">
        <v>372570.6123076924</v>
      </c>
      <c r="F136" s="53" t="n">
        <v>30812.51</v>
      </c>
      <c r="G136" s="55" t="n">
        <v>446</v>
      </c>
      <c r="H136" s="57" t="n">
        <v>124</v>
      </c>
      <c r="I136" s="55" t="n">
        <v>51</v>
      </c>
      <c r="J136" s="56" t="n">
        <v>4.4</v>
      </c>
      <c r="K136" s="56" t="inlineStr">
        <is>
          <t>https://amazon.com/dp/B0G62XXJKF</t>
        </is>
      </c>
      <c r="L136" s="34">
        <f>HYPERLINK(KINGBOLEN_1[[#This Row],[Column1]])</f>
        <v/>
      </c>
    </row>
    <row r="137" ht="45" customHeight="1" s="290">
      <c r="A137" s="30" t="inlineStr">
        <is>
          <t>KINGBOLEN K7 Bidirectional Scan Tool 2026 OBD2 Scanner Bluetooth with Lifetime Updates, No Annual Fees, 31+ Resets, Component Matching, All System Diagnostic, CAN FD, FCA AutoAuth, Crankshaft Relearn</t>
        </is>
      </c>
      <c r="B137" s="30" t="inlineStr">
        <is>
          <t>B0C3B3497C</t>
        </is>
      </c>
      <c r="C137" s="30" t="inlineStr">
        <is>
          <t>Tablet</t>
        </is>
      </c>
      <c r="D137" s="324" t="n">
        <v>446.3182828282829</v>
      </c>
      <c r="E137" s="53" t="n">
        <v>608272.9299999998</v>
      </c>
      <c r="F137" s="53" t="n">
        <v>44185.51</v>
      </c>
      <c r="G137" s="55" t="n">
        <v>1399</v>
      </c>
      <c r="H137" s="57" t="n">
        <v>99</v>
      </c>
      <c r="I137" s="55" t="n">
        <v>239</v>
      </c>
      <c r="J137" s="56" t="n">
        <v>4.4</v>
      </c>
      <c r="K137" s="56" t="inlineStr">
        <is>
          <t>https://amazon.com/dp/B0C3B3497C</t>
        </is>
      </c>
      <c r="L137" s="34">
        <f>HYPERLINK(KINGBOLEN_1[[#This Row],[Column1]])</f>
        <v/>
      </c>
    </row>
    <row r="138" ht="45" customHeight="1" s="290">
      <c r="A138" s="30" t="inlineStr">
        <is>
          <t>KINGBOLEN K8 Pro OBD2 Scanner Bluetooth 2026 Bidirectional Scan Tool with Lifetime No Subscription Update 8'' All System Diagnostic Tool, ECU Code, 34+ Reset, CANFD&amp;DOIP, V.A.G Guide, FCA AutoAuth</t>
        </is>
      </c>
      <c r="B138" s="30" t="inlineStr">
        <is>
          <t>B0BW89GCZ9</t>
        </is>
      </c>
      <c r="C138" s="30" t="inlineStr">
        <is>
          <t>Tablet</t>
        </is>
      </c>
      <c r="D138" s="324" t="n">
        <v>647.5740243902439</v>
      </c>
      <c r="E138" s="53" t="n">
        <v>362212.34</v>
      </c>
      <c r="F138" s="53" t="n">
        <v>53101.07</v>
      </c>
      <c r="G138" s="55" t="n">
        <v>567</v>
      </c>
      <c r="H138" s="57" t="n">
        <v>82</v>
      </c>
      <c r="I138" s="55" t="n">
        <v>74</v>
      </c>
      <c r="J138" s="56" t="n">
        <v>4.4</v>
      </c>
      <c r="K138" s="56" t="inlineStr">
        <is>
          <t>https://amazon.com/dp/B0BW89GCZ9</t>
        </is>
      </c>
      <c r="L138" s="34">
        <f>HYPERLINK(KINGBOLEN_1[[#This Row],[Column1]])</f>
        <v/>
      </c>
    </row>
    <row r="139" ht="45" customHeight="1" s="290">
      <c r="A139" s="30" t="inlineStr">
        <is>
          <t>KINGBOLEN YA200 OBD2 Scanner, Car OBD2 Code Reader Check Engine Light, Car Scanner OBDII Full Functions with Voltage Test OBD2 Scanner Diagnostic Tool for All OBDII CAN Protocol Cars Since 1996</t>
        </is>
      </c>
      <c r="B139" s="30" t="inlineStr">
        <is>
          <t>B0B8NB98YL</t>
        </is>
      </c>
      <c r="C139" s="30" t="inlineStr">
        <is>
          <t>Handheld</t>
        </is>
      </c>
      <c r="D139" s="324" t="n">
        <v>20.05162162162162</v>
      </c>
      <c r="E139" s="53" t="n">
        <v>22800.89</v>
      </c>
      <c r="F139" s="53" t="n">
        <v>1483.82</v>
      </c>
      <c r="G139" s="55" t="n">
        <v>1152</v>
      </c>
      <c r="H139" s="57" t="n">
        <v>74</v>
      </c>
      <c r="I139" s="55" t="n">
        <v>881</v>
      </c>
      <c r="J139" s="56" t="n">
        <v>4.4</v>
      </c>
      <c r="K139" s="56" t="inlineStr">
        <is>
          <t>https://amazon.com/dp/B0B8NB98YL</t>
        </is>
      </c>
      <c r="L139" s="34">
        <f>HYPERLINK(KINGBOLEN_1[[#This Row],[Column1]])</f>
        <v/>
      </c>
    </row>
    <row r="140" ht="45" customHeight="1" s="290">
      <c r="A140" s="30" t="inlineStr">
        <is>
          <t>KINGBOLEN Protective Case Storage Bag for OBD2 Scanner Launch CRP123/CRP123 Plus/Creader VII+/CR529/CR3008 Plus Code Reader Diagnostic Scan Tool(Case Only)</t>
        </is>
      </c>
      <c r="B140" s="30" t="inlineStr">
        <is>
          <t>B0D4M5QHFJ</t>
        </is>
      </c>
      <c r="C140" s="30" t="inlineStr">
        <is>
          <t>Other</t>
        </is>
      </c>
      <c r="D140" s="324" t="n">
        <v>15.96971428571429</v>
      </c>
      <c r="E140" s="53" t="n">
        <v>15856.66</v>
      </c>
      <c r="F140" s="53" t="n">
        <v>1117.88</v>
      </c>
      <c r="G140" s="55" t="n">
        <v>950</v>
      </c>
      <c r="H140" s="57" t="n">
        <v>70</v>
      </c>
      <c r="I140" s="55" t="n">
        <v>78</v>
      </c>
      <c r="J140" s="56" t="n">
        <v>4.3</v>
      </c>
      <c r="K140" s="56" t="inlineStr">
        <is>
          <t>https://amazon.com/dp/B0D4M5QHFJ</t>
        </is>
      </c>
      <c r="L140" s="34">
        <f>HYPERLINK(KINGBOLEN_1[[#This Row],[Column1]])</f>
        <v/>
      </c>
    </row>
    <row r="141" ht="30" customHeight="1" s="290">
      <c r="A141" s="30" t="inlineStr">
        <is>
          <t>KINGBOLEN Ediag Plus Bluetooth Scanner, All System Bidirectional Test OBD2 Diagnostic Scanner for iOS &amp; Android with CANFD Protocol, Auto VIN, 15+ Rest, 1 Year Without fee Update</t>
        </is>
      </c>
      <c r="B141" s="30" t="inlineStr">
        <is>
          <t>B0C3GJTD45</t>
        </is>
      </c>
      <c r="C141" s="30" t="inlineStr">
        <is>
          <t>VCI</t>
        </is>
      </c>
      <c r="D141" s="324" t="n">
        <v>129.2433333333333</v>
      </c>
      <c r="E141" s="53" t="n">
        <v>117506.0692307692</v>
      </c>
      <c r="F141" s="53" t="n">
        <v>5815.95</v>
      </c>
      <c r="G141" s="55" t="n">
        <v>797</v>
      </c>
      <c r="H141" s="57" t="n">
        <v>45</v>
      </c>
      <c r="I141" s="55" t="n">
        <v>147</v>
      </c>
      <c r="J141" s="56" t="n">
        <v>4.3</v>
      </c>
      <c r="K141" s="56" t="inlineStr">
        <is>
          <t>https://amazon.com/dp/B0C3GJTD45</t>
        </is>
      </c>
      <c r="L141" s="34">
        <f>HYPERLINK(KINGBOLEN_1[[#This Row],[Column1]])</f>
        <v/>
      </c>
    </row>
    <row r="142" ht="45" customHeight="1" s="290">
      <c r="A142" s="30" t="inlineStr">
        <is>
          <t>KINGBOLEN SOLOSCAN Bluetooth OBD2 Scanner for Mercedes-Benz MB (A/C/E/S/G/More), Maybach Bidirectional Scan Tool, All System Diagnostic, All Reset Service, Auto VIN, Lifetime Update for iOS &amp; Android</t>
        </is>
      </c>
      <c r="B142" s="30" t="inlineStr">
        <is>
          <t>B0GQZ2TL2J</t>
        </is>
      </c>
      <c r="C142" s="30" t="inlineStr">
        <is>
          <t>Dongle</t>
        </is>
      </c>
      <c r="D142" s="324" t="n">
        <v>100.4920454545454</v>
      </c>
      <c r="E142" s="53" t="n">
        <v>49318.40384615384</v>
      </c>
      <c r="F142" s="53" t="n">
        <v>4421.65</v>
      </c>
      <c r="G142" s="55" t="n">
        <v>44</v>
      </c>
      <c r="H142" s="57" t="n">
        <v>44</v>
      </c>
      <c r="I142" s="55" t="n">
        <v>18</v>
      </c>
      <c r="J142" s="56" t="n">
        <v>4.4</v>
      </c>
      <c r="K142" s="56" t="inlineStr">
        <is>
          <t>https://amazon.com/dp/B0GQZ2TL2J</t>
        </is>
      </c>
      <c r="L142" s="34">
        <f>HYPERLINK(KINGBOLEN_1[[#This Row],[Column1]])</f>
        <v/>
      </c>
    </row>
    <row r="143" ht="45" customHeight="1" s="290">
      <c r="A143" s="30" t="inlineStr">
        <is>
          <t>KINGBOLEN Soloscan for Land Rover Jaguar OBD2 Scanner Bluetooth, All Reset Service, Bidirectional Scan Tool for iOS &amp; Android, Full System Car Diagnostic Scanner, No Subscriptions Lifetime Update</t>
        </is>
      </c>
      <c r="B143" s="30" t="inlineStr">
        <is>
          <t>B0GMFC443Q</t>
        </is>
      </c>
      <c r="C143" s="30" t="inlineStr">
        <is>
          <t>Dongle</t>
        </is>
      </c>
      <c r="D143" s="324" t="n">
        <v>99.7596875</v>
      </c>
      <c r="E143" s="53" t="n">
        <v>39110.97461538461</v>
      </c>
      <c r="F143" s="53" t="n">
        <v>3192.31</v>
      </c>
      <c r="G143" s="55" t="n">
        <v>67</v>
      </c>
      <c r="H143" s="57" t="n">
        <v>32</v>
      </c>
      <c r="I143" s="55" t="n">
        <v>22</v>
      </c>
      <c r="J143" s="56" t="n">
        <v>4</v>
      </c>
      <c r="K143" s="56" t="inlineStr">
        <is>
          <t>https://amazon.com/dp/B0GMFC443Q</t>
        </is>
      </c>
      <c r="L143" s="34">
        <f>HYPERLINK(KINGBOLEN_1[[#This Row],[Column1]])</f>
        <v/>
      </c>
    </row>
    <row r="144" ht="45" customHeight="1" s="290">
      <c r="A144" s="30" t="inlineStr">
        <is>
          <t>KINGBOLEN Ediag OBD2 Scanner Bluetooth, Bidirectional Scanner All System Diagnostic Tool for iOS &amp; Android, Active Test,15+ Reset Function, FCA AutoAuth, 1 Year Update</t>
        </is>
      </c>
      <c r="B144" s="30" t="inlineStr">
        <is>
          <t>B0BTD38F8B</t>
        </is>
      </c>
      <c r="C144" s="30" t="inlineStr">
        <is>
          <t>Dongle</t>
        </is>
      </c>
      <c r="D144" s="324" t="n">
        <v>91.1704</v>
      </c>
      <c r="E144" s="53" t="n">
        <v>50993.11</v>
      </c>
      <c r="F144" s="53" t="n">
        <v>2279.26</v>
      </c>
      <c r="G144" s="55" t="n">
        <v>543</v>
      </c>
      <c r="H144" s="57" t="n">
        <v>25</v>
      </c>
      <c r="I144" s="55" t="n">
        <v>918</v>
      </c>
      <c r="J144" s="56" t="n">
        <v>3.9</v>
      </c>
      <c r="K144" s="56" t="inlineStr">
        <is>
          <t>https://amazon.com/dp/B0BTD38F8B</t>
        </is>
      </c>
      <c r="L144" s="34">
        <f>HYPERLINK(KINGBOLEN_1[[#This Row],[Column1]])</f>
        <v/>
      </c>
    </row>
    <row r="145" ht="45" customHeight="1" s="290">
      <c r="A145" s="30" t="inlineStr">
        <is>
          <t>OBD2 Scanner Bluetooth for Toyota &amp; Lexus, KINGBOLEN SOLOSCAN Bidirectional Full System Diagnostic Tool with Reset Services &amp; Active Tests, Lifetime Updates, iOS &amp; Android App Required, AutoVin</t>
        </is>
      </c>
      <c r="B145" s="30" t="inlineStr">
        <is>
          <t>B0GGHHYMSM</t>
        </is>
      </c>
      <c r="C145" s="30" t="inlineStr">
        <is>
          <t>Dongle</t>
        </is>
      </c>
      <c r="D145" s="324" t="n">
        <v>93.8347619047619</v>
      </c>
      <c r="E145" s="53" t="n">
        <v>21670.36769230769</v>
      </c>
      <c r="F145" s="53" t="n">
        <v>1970.53</v>
      </c>
      <c r="G145" s="55" t="n">
        <v>37</v>
      </c>
      <c r="H145" s="57" t="n">
        <v>21</v>
      </c>
      <c r="I145" s="55" t="n">
        <v>26</v>
      </c>
      <c r="J145" s="56" t="n">
        <v>3.8</v>
      </c>
      <c r="K145" s="56" t="inlineStr">
        <is>
          <t>https://amazon.com/dp/B0GGHHYMSM</t>
        </is>
      </c>
      <c r="L145" s="34">
        <f>HYPERLINK(KINGBOLEN_1[[#This Row],[Column1]])</f>
        <v/>
      </c>
    </row>
    <row r="146" ht="60" customHeight="1" s="290">
      <c r="A146" s="30" t="inlineStr">
        <is>
          <t>KINGBOLEN K10 Pro Full Systems 10" Car Scanner Topology Map, Bidirectional Scan Tool Bluetooth OBD2 Scanner, 41+ Reset Service, ECU Function, FCA AutoAuth, CANFD &amp; DOIP,2 Years Update, V.A.G Guided</t>
        </is>
      </c>
      <c r="B146" s="30" t="inlineStr">
        <is>
          <t>B0BW8B4D9Y</t>
        </is>
      </c>
      <c r="C146" s="30" t="inlineStr">
        <is>
          <t>Tablet</t>
        </is>
      </c>
      <c r="D146" s="324" t="n">
        <v>1004.7775</v>
      </c>
      <c r="E146" s="53" t="n">
        <v>192526.2407692308</v>
      </c>
      <c r="F146" s="53" t="n">
        <v>16076.44</v>
      </c>
      <c r="G146" s="55" t="n">
        <v>167</v>
      </c>
      <c r="H146" s="57" t="n">
        <v>16</v>
      </c>
      <c r="I146" s="55" t="n">
        <v>153</v>
      </c>
      <c r="J146" s="56" t="n">
        <v>4.2</v>
      </c>
      <c r="K146" s="56" t="inlineStr">
        <is>
          <t>https://amazon.com/dp/B0BW8B4D9Y</t>
        </is>
      </c>
      <c r="L146" s="34">
        <f>HYPERLINK(KINGBOLEN_1[[#This Row],[Column1]])</f>
        <v/>
      </c>
    </row>
    <row r="147" ht="45" customHeight="1" s="290">
      <c r="A147" s="30" t="inlineStr">
        <is>
          <t>KINGBOLEN OBD2 Scanner S800 Car Scanner, OBD2 Diagnostic Scan Tool with 15 Reset, Oil Brake Throttle Service, Engine ABS SRS Transmission Code Reader, Battery Test, AutoVIN, Lifetime No Charge Update</t>
        </is>
      </c>
      <c r="B147" s="30" t="inlineStr">
        <is>
          <t>B0CRH8LFRY</t>
        </is>
      </c>
      <c r="C147" s="30" t="inlineStr">
        <is>
          <t>Tablet</t>
        </is>
      </c>
      <c r="D147" s="324" t="n">
        <v>157.0838461538461</v>
      </c>
      <c r="E147" s="53" t="n">
        <v>17899.53</v>
      </c>
      <c r="F147" s="53" t="n">
        <v>2042.09</v>
      </c>
      <c r="G147" s="55" t="n">
        <v>97</v>
      </c>
      <c r="H147" s="57" t="n">
        <v>13</v>
      </c>
      <c r="I147" s="55" t="n">
        <v>34</v>
      </c>
      <c r="J147" s="56" t="n">
        <v>3.9</v>
      </c>
      <c r="K147" s="56" t="inlineStr">
        <is>
          <t>https://amazon.com/dp/B0CRH8LFRY</t>
        </is>
      </c>
      <c r="L147" s="34">
        <f>HYPERLINK(KINGBOLEN_1[[#This Row],[Column1]])</f>
        <v/>
      </c>
    </row>
    <row r="148" ht="45" customHeight="1" s="290">
      <c r="A148" s="30" t="inlineStr">
        <is>
          <t>KINGBOLEN K7 OBD2 Scanner Lifetime Update No Subscription Bidirectional Test Full System Bluetooth Diagnostic Scan Tool with Active Test, 31+ Resets, Autovin, TPMS Relearn, FCA AutoAuth</t>
        </is>
      </c>
      <c r="B148" s="30" t="inlineStr">
        <is>
          <t>B0CRCZCC65</t>
        </is>
      </c>
      <c r="C148" s="30" t="inlineStr">
        <is>
          <t>Tablet</t>
        </is>
      </c>
      <c r="D148" s="324" t="n">
        <v>472.72</v>
      </c>
      <c r="E148" s="53" t="n">
        <v>55506.83153846154</v>
      </c>
      <c r="F148" s="53" t="n">
        <v>2836.32</v>
      </c>
      <c r="G148" s="55" t="n">
        <v>116</v>
      </c>
      <c r="H148" s="57" t="n">
        <v>6</v>
      </c>
      <c r="I148" s="55" t="n">
        <v>27</v>
      </c>
      <c r="J148" s="56" t="n">
        <v>4.2</v>
      </c>
      <c r="K148" s="56" t="inlineStr">
        <is>
          <t>https://amazon.com/dp/B0CRCZCC65</t>
        </is>
      </c>
      <c r="L148" s="34">
        <f>HYPERLINK(KINGBOLEN_1[[#This Row],[Column1]])</f>
        <v/>
      </c>
    </row>
    <row r="149" ht="45" customHeight="1" s="290">
      <c r="A149" s="30" t="inlineStr">
        <is>
          <t>KINGBOLEN OBD2 Scanner S500 Car Scanner, Lifetime NO Cost Update Diagnostic Scan Tool with 6 Reset,Oil/Brake/SAS/Throttle/Inject/ABS Reset, Engine ABS SRS Transmission OBD2 Code Reader, Battery Test</t>
        </is>
      </c>
      <c r="B149" s="30" t="inlineStr">
        <is>
          <t>B0CGRCVKQM</t>
        </is>
      </c>
      <c r="C149" s="30" t="inlineStr">
        <is>
          <t>Tablet</t>
        </is>
      </c>
      <c r="D149" s="324" t="n">
        <v>125.148</v>
      </c>
      <c r="E149" s="53" t="n">
        <v>25140.12</v>
      </c>
      <c r="F149" s="53" t="n">
        <v>625.74</v>
      </c>
      <c r="G149" s="55" t="n">
        <v>180</v>
      </c>
      <c r="H149" s="57" t="n">
        <v>5</v>
      </c>
      <c r="I149" s="55" t="n">
        <v>75</v>
      </c>
      <c r="J149" s="56" t="n">
        <v>4.2</v>
      </c>
      <c r="K149" s="56" t="inlineStr">
        <is>
          <t>https://amazon.com/dp/B0CGRCVKQM</t>
        </is>
      </c>
      <c r="L149" s="34">
        <f>HYPERLINK(KINGBOLEN_1[[#This Row],[Column1]])</f>
        <v/>
      </c>
    </row>
    <row r="150" ht="45" customHeight="1" s="290">
      <c r="A150" s="30" t="inlineStr">
        <is>
          <t>KINGBOLEN OBD2 Scanner,Code Reader Automotive Engine Light Check Scan Tool Checks O2 Sensor and EVAP Systems with Full OBD2 Functions,Supports Mode6 with DTC Lookup, All 10 Modes of obd2. Black</t>
        </is>
      </c>
      <c r="B150" s="30" t="inlineStr">
        <is>
          <t>B08G4MYGNM</t>
        </is>
      </c>
      <c r="C150" s="30" t="inlineStr">
        <is>
          <t>Handheld</t>
        </is>
      </c>
      <c r="D150" s="324" t="n">
        <v>19.584</v>
      </c>
      <c r="E150" s="53" t="n">
        <v>2363.08</v>
      </c>
      <c r="F150" s="53" t="n">
        <v>97.92</v>
      </c>
      <c r="G150" s="55" t="n">
        <v>119</v>
      </c>
      <c r="H150" s="57" t="n">
        <v>5</v>
      </c>
      <c r="I150" s="55" t="n">
        <v>420</v>
      </c>
      <c r="J150" s="56" t="n">
        <v>4.4</v>
      </c>
      <c r="K150" s="56" t="inlineStr">
        <is>
          <t>https://amazon.com/dp/B08G4MYGNM</t>
        </is>
      </c>
      <c r="L150" s="34">
        <f>HYPERLINK(KINGBOLEN_1[[#This Row],[Column1]])</f>
        <v/>
      </c>
    </row>
    <row r="151" ht="45" customHeight="1" s="290">
      <c r="A151" s="30" t="inlineStr">
        <is>
          <t>KINGBOLEN K6 Pro OBD2 Scanner, 4-in-1 Full System Bidirectional Diagnostic Tool with Battery Test &amp; TPMS Diagnose&amp;Printer,ECU Code, FCA AutoAuth, CANFD/DoIP, 26+ Reset, 2 Year Free Update</t>
        </is>
      </c>
      <c r="B151" s="30" t="inlineStr">
        <is>
          <t>B0FR4MSCP6</t>
        </is>
      </c>
      <c r="C151" s="30" t="inlineStr">
        <is>
          <t>Tablet</t>
        </is>
      </c>
      <c r="D151" s="324" t="n">
        <v>285</v>
      </c>
      <c r="E151" s="53" t="n">
        <v>4459.568461538461</v>
      </c>
      <c r="F151" s="53" t="n">
        <v>285</v>
      </c>
      <c r="G151" s="55" t="n">
        <v>6</v>
      </c>
      <c r="H151" s="57" t="n">
        <v>1</v>
      </c>
      <c r="I151" s="55" t="n">
        <v>20</v>
      </c>
      <c r="J151" s="56" t="n">
        <v>4.4</v>
      </c>
      <c r="K151" s="56" t="inlineStr">
        <is>
          <t>https://amazon.com/dp/B0FR4MSCP6</t>
        </is>
      </c>
      <c r="L151" s="34">
        <f>HYPERLINK(KINGBOLEN_1[[#This Row],[Column1]])</f>
        <v/>
      </c>
    </row>
    <row r="152" ht="45" customHeight="1" s="290">
      <c r="A152" s="30" t="inlineStr">
        <is>
          <t>Kingbolen Soloscan for Honda Acura OBD2 Scanner Bluetooth, Bidirectional Test Full System Diagnostic Scan Tool for Android &amp; iOS, All Reset Services, AutoVin, Lifetime No Subscriptions</t>
        </is>
      </c>
      <c r="B152" s="30" t="inlineStr">
        <is>
          <t>B0GL7QNKCF</t>
        </is>
      </c>
      <c r="C152" s="30" t="inlineStr">
        <is>
          <t>Dongle</t>
        </is>
      </c>
      <c r="D152" s="324" t="n">
        <v>89.98999999999999</v>
      </c>
      <c r="E152" s="53" t="n">
        <v>0</v>
      </c>
      <c r="F152" s="53" t="n">
        <v>0</v>
      </c>
      <c r="G152" s="55" t="n">
        <v>0</v>
      </c>
      <c r="H152" s="57" t="n">
        <v>0</v>
      </c>
      <c r="I152" s="55" t="n"/>
      <c r="J152" s="56" t="n"/>
      <c r="K152" s="56" t="inlineStr">
        <is>
          <t>https://amazon.com/dp/B0GL7QNKCF</t>
        </is>
      </c>
      <c r="L152" s="34">
        <f>HYPERLINK(KINGBOLEN_1[[#This Row],[Column1]])</f>
        <v/>
      </c>
    </row>
    <row r="153" ht="60" customHeight="1" s="290">
      <c r="A153" s="30" t="inlineStr">
        <is>
          <t>thinkcar Thinktool Pros Bi-Directional Scanner Full Systems Diagnostic Scan Tool, Topological Graph, 40+ Reset Services, ADAS Calibration, 10" Screen Size 2 Years Update</t>
        </is>
      </c>
      <c r="B153" s="30" t="inlineStr">
        <is>
          <t>B08XXWHQVJ</t>
        </is>
      </c>
      <c r="C153" s="30" t="inlineStr">
        <is>
          <t>Tablet</t>
        </is>
      </c>
      <c r="D153" s="324" t="n">
        <v>1169.99</v>
      </c>
      <c r="E153" s="53" t="n">
        <v>21112.92</v>
      </c>
      <c r="F153" s="53" t="n">
        <v>0</v>
      </c>
      <c r="G153" s="55" t="n">
        <v>18</v>
      </c>
      <c r="H153" s="57" t="n">
        <v>0</v>
      </c>
      <c r="I153" s="55" t="n">
        <v>102</v>
      </c>
      <c r="J153" s="56" t="n">
        <v>4.4</v>
      </c>
      <c r="K153" s="56" t="inlineStr">
        <is>
          <t>https://amazon.com/dp/B08XXWHQVJ</t>
        </is>
      </c>
      <c r="L153" s="34">
        <f>HYPERLINK(KINGBOLEN_1[[#This Row],[Column1]])</f>
        <v/>
      </c>
    </row>
    <row r="154" ht="45" customHeight="1" s="290">
      <c r="A154" s="30" t="inlineStr">
        <is>
          <t>KINGBOLEN K10 Pro Bidirectional Test Diagnostic Scan Tool Bluetooth OBD2 Scanner Full System 10" Screen Code Reader Topological Graph 40+ Reset ADAS DoIP&amp;CAN-FD FCA SGW 2 Years Update</t>
        </is>
      </c>
      <c r="B154" s="30" t="inlineStr">
        <is>
          <t>B0DP9L2GJ3</t>
        </is>
      </c>
      <c r="C154" s="30" t="inlineStr">
        <is>
          <t>Tablet</t>
        </is>
      </c>
      <c r="D154" s="324" t="n">
        <v>959.99</v>
      </c>
      <c r="E154" s="53" t="n">
        <v>36722.42</v>
      </c>
      <c r="F154" s="53" t="n">
        <v>0</v>
      </c>
      <c r="G154" s="55" t="n">
        <v>34</v>
      </c>
      <c r="H154" s="57" t="n">
        <v>0</v>
      </c>
      <c r="I154" s="55" t="n">
        <v>8</v>
      </c>
      <c r="J154" s="56" t="n">
        <v>4.6</v>
      </c>
      <c r="K154" s="56" t="inlineStr">
        <is>
          <t>https://amazon.com/dp/B0DP9L2GJ3</t>
        </is>
      </c>
      <c r="L154" s="34">
        <f>HYPERLINK(KINGBOLEN_1[[#This Row],[Column1]])</f>
        <v/>
      </c>
    </row>
    <row r="155" ht="45" customHeight="1" s="290">
      <c r="A155" s="30" t="inlineStr">
        <is>
          <t>KINGBOLEN K6 Pro All Systems OBD2 Scanner Bidirectional Diagnostic Tool with ECU Function, 26+ Reset, Battery Testing, Built-in Printer, FCA AutoAuth, CANFD/DoIP, 2 Years Update</t>
        </is>
      </c>
      <c r="B155" s="30" t="inlineStr">
        <is>
          <t>B0FHHLM4PR</t>
        </is>
      </c>
      <c r="C155" s="30" t="inlineStr">
        <is>
          <t>Tablet</t>
        </is>
      </c>
      <c r="D155" s="324" t="n">
        <v>359.99</v>
      </c>
      <c r="E155" s="53" t="n">
        <v>0</v>
      </c>
      <c r="F155" s="53" t="n">
        <v>0</v>
      </c>
      <c r="G155" s="55" t="n">
        <v>0</v>
      </c>
      <c r="H155" s="57" t="n">
        <v>0</v>
      </c>
      <c r="I155" s="55" t="n"/>
      <c r="J155" s="56" t="n"/>
      <c r="K155" s="56" t="inlineStr">
        <is>
          <t>https://amazon.com/dp/B0FHHLM4PR</t>
        </is>
      </c>
      <c r="L155" s="34">
        <f>HYPERLINK(KINGBOLEN_1[[#This Row],[Column1]])</f>
        <v/>
      </c>
    </row>
    <row r="156" ht="45" customHeight="1" s="290">
      <c r="A156" s="30" t="inlineStr">
        <is>
          <t>KINGBOLEN OBD2 Scanner,Car Code Reader for Check Engine Light Car Engine Scan Tool with Full OBD2,OBD2 Diagnostic Scan Tool for OBD2 Protocol Vehicles Since 1996. Black</t>
        </is>
      </c>
      <c r="B156" s="30" t="inlineStr">
        <is>
          <t>B08JGYQTGH</t>
        </is>
      </c>
      <c r="C156" s="30" t="inlineStr">
        <is>
          <t>Handheld</t>
        </is>
      </c>
      <c r="D156" s="324" t="n">
        <v>18.04</v>
      </c>
      <c r="E156" s="53" t="n">
        <v>0</v>
      </c>
      <c r="F156" s="53" t="n">
        <v>0</v>
      </c>
      <c r="G156" s="55" t="n">
        <v>0</v>
      </c>
      <c r="H156" s="57" t="n">
        <v>0</v>
      </c>
      <c r="I156" s="55" t="n">
        <v>870</v>
      </c>
      <c r="J156" s="56" t="n">
        <v>4.4</v>
      </c>
      <c r="K156" s="56" t="inlineStr">
        <is>
          <t>https://amazon.com/dp/B08JGYQTGH</t>
        </is>
      </c>
      <c r="L156" s="34">
        <f>HYPERLINK(KINGBOLEN_1[[#This Row],[Column1]])</f>
        <v/>
      </c>
    </row>
    <row r="157" ht="45" customHeight="1" s="290">
      <c r="A157" s="30" t="inlineStr">
        <is>
          <t>Thinktool Pro Bidirectional Scanner Thinkcar All Systems Bluetooth OBD2 Diagnostic Scan Tool Car Code Reader 34+ Resets, TPMS Relearn, 8" Touch Screen 2 Years Update</t>
        </is>
      </c>
      <c r="B157" s="30" t="inlineStr">
        <is>
          <t>B09T98RHTR</t>
        </is>
      </c>
      <c r="C157" s="30" t="inlineStr">
        <is>
          <t>Tablet</t>
        </is>
      </c>
      <c r="D157" s="324" t="n">
        <v>899.99</v>
      </c>
      <c r="E157" s="53" t="n">
        <v>19862.11</v>
      </c>
      <c r="F157" s="53" t="n">
        <v>0</v>
      </c>
      <c r="G157" s="55" t="n">
        <v>21</v>
      </c>
      <c r="H157" s="57" t="n">
        <v>0</v>
      </c>
      <c r="I157" s="55" t="n">
        <v>8</v>
      </c>
      <c r="J157" s="56" t="n">
        <v>4.3</v>
      </c>
      <c r="K157" s="56" t="inlineStr">
        <is>
          <t>https://amazon.com/dp/B09T98RHTR</t>
        </is>
      </c>
      <c r="L157" s="34">
        <f>HYPERLINK(KINGBOLEN_1[[#This Row],[Column1]])</f>
        <v/>
      </c>
    </row>
    <row r="158" ht="45" customHeight="1" s="290">
      <c r="A158" s="30" t="n"/>
      <c r="B158" s="30" t="n"/>
      <c r="C158" s="30" t="n"/>
      <c r="D158" s="324" t="n"/>
      <c r="E158" s="53" t="n"/>
      <c r="F158" s="53" t="n"/>
      <c r="G158" s="55" t="n"/>
      <c r="H158" s="57" t="n"/>
      <c r="I158" s="55" t="n"/>
      <c r="J158" s="56" t="n"/>
      <c r="K158" s="56" t="n"/>
      <c r="L158" s="34">
        <f>HYPERLINK(Table65[[#This Row],[Column1]])</f>
        <v/>
      </c>
    </row>
    <row r="159" ht="45" customHeight="1" s="290">
      <c r="A159" s="30" t="n"/>
      <c r="B159" s="30" t="n"/>
      <c r="C159" s="30" t="n"/>
      <c r="D159" s="324" t="n"/>
      <c r="E159" s="53" t="n"/>
      <c r="F159" s="53" t="n"/>
      <c r="G159" s="55" t="n"/>
      <c r="H159" s="57" t="n"/>
      <c r="I159" s="55" t="n"/>
      <c r="J159" s="56" t="n"/>
      <c r="K159" s="56" t="n"/>
      <c r="L159" s="34">
        <f>HYPERLINK(Table65[[#This Row],[Column1]])</f>
        <v/>
      </c>
    </row>
    <row r="160" ht="45" customHeight="1" s="290">
      <c r="A160" s="30" t="n"/>
      <c r="B160" s="30" t="n"/>
      <c r="C160" s="30" t="n"/>
      <c r="D160" s="324" t="n"/>
      <c r="E160" s="53" t="n"/>
      <c r="F160" s="53" t="n"/>
      <c r="G160" s="55" t="n"/>
      <c r="H160" s="57" t="n"/>
      <c r="I160" s="55" t="n"/>
      <c r="J160" s="56" t="n"/>
      <c r="K160" s="56" t="n"/>
      <c r="L160" s="34">
        <f>HYPERLINK(Table65[[#This Row],[Column1]])</f>
        <v/>
      </c>
    </row>
    <row r="161" ht="60" customHeight="1" s="290">
      <c r="A161" s="30" t="n"/>
      <c r="B161" s="30" t="n"/>
      <c r="C161" s="30" t="n"/>
      <c r="D161" s="324" t="n"/>
      <c r="E161" s="53" t="n"/>
      <c r="F161" s="53" t="n"/>
      <c r="G161" s="55" t="n"/>
      <c r="H161" s="57" t="n"/>
      <c r="I161" s="55" t="n"/>
      <c r="J161" s="56" t="n"/>
      <c r="K161" s="56" t="n"/>
      <c r="L161" s="34">
        <f>HYPERLINK(Table65[[#This Row],[Column1]])</f>
        <v/>
      </c>
    </row>
    <row r="162" ht="45" customHeight="1" s="290">
      <c r="A162" s="30" t="n"/>
      <c r="B162" s="30" t="n"/>
      <c r="C162" s="30" t="n"/>
      <c r="D162" s="324" t="n"/>
      <c r="E162" s="53" t="n"/>
      <c r="F162" s="53" t="n"/>
      <c r="G162" s="55" t="n"/>
      <c r="H162" s="57" t="n"/>
      <c r="I162" s="55" t="n"/>
      <c r="J162" s="56" t="n"/>
      <c r="K162" s="56" t="n"/>
      <c r="L162" s="34">
        <f>HYPERLINK(Table65[[#This Row],[Column1]])</f>
        <v/>
      </c>
    </row>
    <row r="163" ht="45" customHeight="1" s="290">
      <c r="A163" s="30" t="n"/>
      <c r="B163" s="30" t="n"/>
      <c r="C163" s="30" t="n"/>
      <c r="D163" s="324" t="n"/>
      <c r="E163" s="53" t="n"/>
      <c r="F163" s="53" t="n"/>
      <c r="G163" s="55" t="n"/>
      <c r="H163" s="57" t="n"/>
      <c r="I163" s="55" t="n"/>
      <c r="J163" s="56" t="n"/>
      <c r="K163" s="56" t="n"/>
      <c r="L163" s="34">
        <f>HYPERLINK(Table65[[#This Row],[Column1]])</f>
        <v/>
      </c>
    </row>
    <row r="164" ht="45" customHeight="1" s="290">
      <c r="A164" s="30" t="n"/>
      <c r="B164" s="30" t="n"/>
      <c r="C164" s="30" t="n"/>
      <c r="D164" s="324" t="n"/>
      <c r="E164" s="53" t="n"/>
      <c r="F164" s="53" t="n"/>
      <c r="G164" s="55" t="n"/>
      <c r="H164" s="57" t="n"/>
      <c r="I164" s="55" t="n"/>
      <c r="J164" s="56" t="n"/>
      <c r="K164" s="56" t="n"/>
      <c r="L164" s="34">
        <f>HYPERLINK(Table65[[#This Row],[Column1]])</f>
        <v/>
      </c>
    </row>
    <row r="165" ht="45" customHeight="1" s="290">
      <c r="A165" s="30" t="n"/>
      <c r="B165" s="30" t="n"/>
      <c r="C165" s="30" t="n"/>
      <c r="D165" s="324" t="n"/>
      <c r="E165" s="53" t="n"/>
      <c r="F165" s="53" t="n"/>
      <c r="G165" s="55" t="n"/>
      <c r="H165" s="57" t="n"/>
      <c r="I165" s="55" t="n"/>
      <c r="J165" s="56" t="n"/>
      <c r="K165" s="56" t="n"/>
      <c r="L165" s="34">
        <f>HYPERLINK(Table65[[#This Row],[Column1]])</f>
        <v/>
      </c>
    </row>
    <row r="166" ht="45" customHeight="1" s="290">
      <c r="A166" s="30" t="n"/>
      <c r="B166" s="30" t="n"/>
      <c r="C166" s="30" t="n"/>
      <c r="D166" s="324" t="n"/>
      <c r="E166" s="53" t="n"/>
      <c r="F166" s="53" t="n"/>
      <c r="G166" s="55" t="n"/>
      <c r="H166" s="57" t="n"/>
      <c r="I166" s="55" t="n"/>
      <c r="J166" s="56" t="n"/>
      <c r="K166" s="56" t="n"/>
      <c r="L166" s="34">
        <f>HYPERLINK(Table65[[#This Row],[Column1]])</f>
        <v/>
      </c>
    </row>
    <row r="167" ht="45" customHeight="1" s="290">
      <c r="A167" s="30" t="n"/>
      <c r="B167" s="30" t="n"/>
      <c r="C167" s="30" t="n"/>
      <c r="D167" s="324" t="n"/>
      <c r="E167" s="53" t="n"/>
      <c r="F167" s="53" t="n"/>
      <c r="G167" s="55" t="n"/>
      <c r="H167" s="57" t="n"/>
      <c r="I167" s="55" t="n"/>
      <c r="J167" s="56" t="n"/>
      <c r="K167" s="56" t="n"/>
      <c r="L167" s="34">
        <f>HYPERLINK(Table65[[#This Row],[Column1]])</f>
        <v/>
      </c>
    </row>
    <row r="168" ht="45" customHeight="1" s="290">
      <c r="A168" s="30" t="n"/>
      <c r="B168" s="30" t="n"/>
      <c r="C168" s="30" t="n"/>
      <c r="D168" s="324" t="n"/>
      <c r="E168" s="53" t="n"/>
      <c r="F168" s="53" t="n"/>
      <c r="G168" s="55" t="n"/>
      <c r="H168" s="57" t="n"/>
      <c r="I168" s="55" t="n"/>
      <c r="J168" s="56" t="n"/>
      <c r="K168" s="56" t="n"/>
      <c r="L168" s="34">
        <f>HYPERLINK(Table65[[#This Row],[Column1]])</f>
        <v/>
      </c>
    </row>
    <row r="169" ht="45" customHeight="1" s="290">
      <c r="A169" s="30" t="n"/>
      <c r="B169" s="30" t="n"/>
      <c r="C169" s="30" t="n"/>
      <c r="D169" s="324" t="n"/>
      <c r="E169" s="53" t="n"/>
      <c r="F169" s="53" t="n"/>
      <c r="G169" s="55" t="n"/>
      <c r="H169" s="57" t="n"/>
      <c r="I169" s="55" t="n"/>
      <c r="J169" s="56" t="n"/>
      <c r="K169" s="56" t="n"/>
      <c r="L169" s="34">
        <f>HYPERLINK(Table65[[#This Row],[Column1]])</f>
        <v/>
      </c>
    </row>
    <row r="170" ht="30" customHeight="1" s="290">
      <c r="A170" s="30" t="n"/>
      <c r="B170" s="30" t="n"/>
      <c r="C170" s="30" t="n"/>
      <c r="D170" s="324" t="n"/>
      <c r="E170" s="53" t="n"/>
      <c r="F170" s="53" t="n"/>
      <c r="G170" s="55" t="n"/>
      <c r="H170" s="57" t="n"/>
      <c r="I170" s="55" t="n"/>
      <c r="J170" s="56" t="n"/>
      <c r="K170" s="56" t="n"/>
      <c r="L170" s="34">
        <f>HYPERLINK(Table65[[#This Row],[Column1]])</f>
        <v/>
      </c>
    </row>
    <row r="171" ht="45" customHeight="1" s="290">
      <c r="A171" s="30" t="n"/>
      <c r="B171" s="30" t="n"/>
      <c r="C171" s="30" t="n"/>
      <c r="D171" s="324" t="n"/>
      <c r="E171" s="53" t="n"/>
      <c r="F171" s="53" t="n"/>
      <c r="G171" s="55" t="n"/>
      <c r="H171" s="57" t="n"/>
      <c r="I171" s="55" t="n"/>
      <c r="J171" s="56" t="n"/>
      <c r="K171" s="56" t="n"/>
      <c r="L171" s="34">
        <f>HYPERLINK(Table65[[#This Row],[Column1]])</f>
        <v/>
      </c>
    </row>
    <row r="172" ht="45" customHeight="1" s="290">
      <c r="A172" s="30" t="n"/>
      <c r="B172" s="30" t="n"/>
      <c r="C172" s="30" t="n"/>
      <c r="D172" s="324" t="n"/>
      <c r="E172" s="53" t="n"/>
      <c r="F172" s="53" t="n"/>
      <c r="G172" s="55" t="n"/>
      <c r="H172" s="57" t="n"/>
      <c r="I172" s="55" t="n"/>
      <c r="J172" s="56" t="n"/>
      <c r="K172" s="56" t="n"/>
      <c r="L172" s="34">
        <f>HYPERLINK(Table65[[#This Row],[Column1]])</f>
        <v/>
      </c>
    </row>
    <row r="173" ht="45" customHeight="1" s="290">
      <c r="A173" s="30" t="n"/>
      <c r="B173" s="30" t="n"/>
      <c r="C173" s="30" t="n"/>
      <c r="D173" s="324" t="n"/>
      <c r="E173" s="53" t="n"/>
      <c r="F173" s="53" t="n"/>
      <c r="G173" s="55" t="n"/>
      <c r="H173" s="57" t="n"/>
      <c r="I173" s="55" t="n"/>
      <c r="J173" s="56" t="n"/>
      <c r="K173" s="56" t="n"/>
      <c r="L173" s="34">
        <f>HYPERLINK(Table65[[#This Row],[Column1]])</f>
        <v/>
      </c>
    </row>
    <row r="174" ht="45" customHeight="1" s="290">
      <c r="A174" s="30" t="n"/>
      <c r="B174" s="30" t="n"/>
      <c r="C174" s="30" t="n"/>
      <c r="D174" s="324" t="n"/>
      <c r="E174" s="53" t="n"/>
      <c r="F174" s="53" t="n"/>
      <c r="G174" s="55" t="n"/>
      <c r="H174" s="57" t="n"/>
      <c r="I174" s="55" t="n"/>
      <c r="J174" s="56" t="n"/>
      <c r="K174" s="56" t="n"/>
      <c r="L174" s="34">
        <f>HYPERLINK(Table65[[#This Row],[Column1]])</f>
        <v/>
      </c>
    </row>
    <row r="175" ht="45" customHeight="1" s="290">
      <c r="A175" s="30" t="n"/>
      <c r="B175" s="30" t="n"/>
      <c r="C175" s="30" t="n"/>
      <c r="D175" s="324" t="n"/>
      <c r="E175" s="53" t="n"/>
      <c r="F175" s="53" t="n"/>
      <c r="G175" s="55" t="n"/>
      <c r="H175" s="57" t="n"/>
      <c r="I175" s="55" t="n"/>
      <c r="J175" s="56" t="n"/>
      <c r="K175" s="56" t="n"/>
      <c r="L175" s="34">
        <f>HYPERLINK(Table65[[#This Row],[Column1]])</f>
        <v/>
      </c>
    </row>
    <row r="176" ht="60" customHeight="1" s="290">
      <c r="A176" s="30" t="n"/>
      <c r="B176" s="30" t="n"/>
      <c r="C176" s="30" t="n"/>
      <c r="D176" s="324" t="n"/>
      <c r="E176" s="53" t="n"/>
      <c r="F176" s="53" t="n"/>
      <c r="G176" s="55" t="n"/>
      <c r="H176" s="57" t="n"/>
      <c r="I176" s="55" t="n"/>
      <c r="J176" s="56" t="n"/>
      <c r="K176" s="56" t="n"/>
      <c r="L176" s="34">
        <f>HYPERLINK(Table65[[#This Row],[Column1]])</f>
        <v/>
      </c>
    </row>
    <row r="177" ht="45" customHeight="1" s="290">
      <c r="A177" s="30" t="n"/>
      <c r="B177" s="30" t="n"/>
      <c r="C177" s="30" t="n"/>
      <c r="D177" s="324" t="n"/>
      <c r="E177" s="53" t="n"/>
      <c r="F177" s="53" t="n"/>
      <c r="G177" s="55" t="n"/>
      <c r="H177" s="57" t="n"/>
      <c r="I177" s="55" t="n"/>
      <c r="J177" s="56" t="n"/>
      <c r="K177" s="56" t="n"/>
      <c r="L177" s="34">
        <f>HYPERLINK(Table65[[#This Row],[Column1]])</f>
        <v/>
      </c>
    </row>
    <row r="178" ht="45" customHeight="1" s="290">
      <c r="A178" s="30" t="n"/>
      <c r="B178" s="30" t="n"/>
      <c r="C178" s="30" t="n"/>
      <c r="D178" s="324" t="n"/>
      <c r="E178" s="53" t="n"/>
      <c r="F178" s="53" t="n"/>
      <c r="G178" s="55" t="n"/>
      <c r="H178" s="57" t="n"/>
      <c r="I178" s="55" t="n"/>
      <c r="J178" s="56" t="n"/>
      <c r="K178" s="56" t="n"/>
      <c r="L178" s="34">
        <f>HYPERLINK(Table65[[#This Row],[Column1]])</f>
        <v/>
      </c>
    </row>
    <row r="179" ht="30" customHeight="1" s="290">
      <c r="A179" s="30" t="n"/>
      <c r="B179" s="30" t="n"/>
      <c r="C179" s="30" t="n"/>
      <c r="D179" s="324" t="n"/>
      <c r="E179" s="53" t="n"/>
      <c r="F179" s="53" t="n"/>
      <c r="G179" s="55" t="n"/>
      <c r="H179" s="57" t="n"/>
      <c r="I179" s="55" t="n"/>
      <c r="J179" s="56" t="n"/>
      <c r="K179" s="56" t="n"/>
      <c r="L179" s="34">
        <f>HYPERLINK(Table65[[#This Row],[Column1]])</f>
        <v/>
      </c>
    </row>
    <row r="180" ht="45" customHeight="1" s="290">
      <c r="A180" s="30" t="n"/>
      <c r="B180" s="30" t="n"/>
      <c r="C180" s="30" t="n"/>
      <c r="D180" s="324" t="n"/>
      <c r="E180" s="53" t="n"/>
      <c r="F180" s="53" t="n"/>
      <c r="G180" s="55" t="n"/>
      <c r="H180" s="57" t="n"/>
      <c r="I180" s="55" t="n"/>
      <c r="J180" s="56" t="n"/>
      <c r="K180" s="56" t="n"/>
      <c r="L180" s="34">
        <f>HYPERLINK(Table65[[#This Row],[Column1]])</f>
        <v/>
      </c>
    </row>
    <row r="181" ht="45" customHeight="1" s="290">
      <c r="A181" s="30" t="n"/>
      <c r="B181" s="30" t="n"/>
      <c r="C181" s="30" t="n"/>
      <c r="D181" s="324" t="n"/>
      <c r="E181" s="53" t="n"/>
      <c r="F181" s="53" t="n"/>
      <c r="G181" s="55" t="n"/>
      <c r="H181" s="57" t="n"/>
      <c r="I181" s="55" t="n"/>
      <c r="J181" s="56" t="n"/>
      <c r="K181" s="56" t="n"/>
      <c r="L181" s="34">
        <f>HYPERLINK(Table65[[#This Row],[Column1]])</f>
        <v/>
      </c>
    </row>
    <row r="182" ht="45" customHeight="1" s="290">
      <c r="A182" s="30" t="n"/>
      <c r="B182" s="30" t="n"/>
      <c r="C182" s="30" t="n"/>
      <c r="D182" s="324" t="n"/>
      <c r="E182" s="53" t="n"/>
      <c r="F182" s="53" t="n"/>
      <c r="G182" s="55" t="n"/>
      <c r="H182" s="57" t="n"/>
      <c r="I182" s="55" t="n"/>
      <c r="J182" s="56" t="n"/>
      <c r="K182" s="56" t="n"/>
      <c r="L182" s="34">
        <f>HYPERLINK(Table65[[#This Row],[Column1]])</f>
        <v/>
      </c>
    </row>
    <row r="183" ht="45" customHeight="1" s="290">
      <c r="A183" s="30" t="n"/>
      <c r="B183" s="30" t="n"/>
      <c r="C183" s="30" t="n"/>
      <c r="D183" s="324" t="n"/>
      <c r="E183" s="53" t="n"/>
      <c r="F183" s="53" t="n"/>
      <c r="G183" s="55" t="n"/>
      <c r="H183" s="57" t="n"/>
      <c r="I183" s="55" t="n"/>
      <c r="J183" s="56" t="n"/>
      <c r="K183" s="56" t="n"/>
      <c r="L183" s="34">
        <f>HYPERLINK(Table65[[#This Row],[Column1]])</f>
        <v/>
      </c>
    </row>
    <row r="184" ht="45" customHeight="1" s="290">
      <c r="A184" s="30" t="n"/>
      <c r="B184" s="30" t="n"/>
      <c r="C184" s="30" t="n"/>
      <c r="D184" s="324" t="n"/>
      <c r="E184" s="53" t="n"/>
      <c r="F184" s="53" t="n"/>
      <c r="G184" s="55" t="n"/>
      <c r="H184" s="57" t="n"/>
      <c r="I184" s="55" t="n"/>
      <c r="J184" s="56" t="n"/>
      <c r="K184" s="56" t="n"/>
      <c r="L184" s="34">
        <f>HYPERLINK(Table65[[#This Row],[Column1]])</f>
        <v/>
      </c>
    </row>
    <row r="185" ht="45" customHeight="1" s="290">
      <c r="A185" s="30" t="n"/>
      <c r="B185" s="30" t="n"/>
      <c r="C185" s="30" t="n"/>
      <c r="D185" s="324" t="n"/>
      <c r="E185" s="53" t="n"/>
      <c r="F185" s="53" t="n"/>
      <c r="G185" s="55" t="n"/>
      <c r="H185" s="57" t="n"/>
      <c r="I185" s="55" t="n"/>
      <c r="J185" s="56" t="n"/>
      <c r="K185" s="56" t="n"/>
      <c r="L185" s="34">
        <f>HYPERLINK(Table65[[#This Row],[Column1]])</f>
        <v/>
      </c>
    </row>
    <row r="186" ht="60" customHeight="1" s="290">
      <c r="A186" s="30" t="n"/>
      <c r="B186" s="30" t="n"/>
      <c r="C186" s="30" t="n"/>
      <c r="D186" s="324" t="n"/>
      <c r="E186" s="53" t="n"/>
      <c r="F186" s="53" t="n"/>
      <c r="G186" s="55" t="n"/>
      <c r="H186" s="57" t="n"/>
      <c r="I186" s="55" t="n"/>
      <c r="J186" s="56" t="n"/>
      <c r="K186" s="56" t="n"/>
      <c r="L186" s="34">
        <f>HYPERLINK(Table65[[#This Row],[Column1]])</f>
        <v/>
      </c>
    </row>
    <row r="187" ht="45" customHeight="1" s="290">
      <c r="A187" s="30" t="n"/>
      <c r="B187" s="30" t="n"/>
      <c r="C187" s="30" t="n"/>
      <c r="D187" s="324" t="n"/>
      <c r="E187" s="53" t="n"/>
      <c r="F187" s="53" t="n"/>
      <c r="G187" s="55" t="n"/>
      <c r="H187" s="57" t="n"/>
      <c r="I187" s="55" t="n"/>
      <c r="J187" s="56" t="n"/>
      <c r="K187" s="56" t="n"/>
      <c r="L187" s="34">
        <f>HYPERLINK(Table65[[#This Row],[Column1]])</f>
        <v/>
      </c>
    </row>
    <row r="188" ht="45" customHeight="1" s="290">
      <c r="A188" s="30" t="n"/>
      <c r="B188" s="30" t="n"/>
      <c r="C188" s="30" t="n"/>
      <c r="D188" s="324" t="n"/>
      <c r="E188" s="53" t="n"/>
      <c r="F188" s="53" t="n"/>
      <c r="G188" s="55" t="n"/>
      <c r="H188" s="57" t="n"/>
      <c r="I188" s="55" t="n"/>
      <c r="J188" s="56" t="n"/>
      <c r="K188" s="56" t="n"/>
      <c r="L188" s="34">
        <f>HYPERLINK(Table65[[#This Row],[Column1]])</f>
        <v/>
      </c>
    </row>
    <row r="189" ht="45" customHeight="1" s="290">
      <c r="A189" s="30" t="n"/>
      <c r="B189" s="30" t="n"/>
      <c r="C189" s="30" t="n"/>
      <c r="D189" s="324" t="n"/>
      <c r="E189" s="53" t="n"/>
      <c r="F189" s="53" t="n"/>
      <c r="G189" s="55" t="n"/>
      <c r="H189" s="57" t="n"/>
      <c r="I189" s="55" t="n"/>
      <c r="J189" s="56" t="n"/>
      <c r="K189" s="56" t="n"/>
      <c r="L189" s="34">
        <f>HYPERLINK(Table65[[#This Row],[Column1]])</f>
        <v/>
      </c>
    </row>
    <row r="190" ht="60" customHeight="1" s="290">
      <c r="A190" s="30" t="n"/>
      <c r="B190" s="30" t="n"/>
      <c r="C190" s="30" t="n"/>
      <c r="D190" s="324" t="n"/>
      <c r="E190" s="53" t="n"/>
      <c r="F190" s="53" t="n"/>
      <c r="G190" s="55" t="n"/>
      <c r="H190" s="57" t="n"/>
      <c r="I190" s="55" t="n"/>
      <c r="J190" s="56" t="n"/>
      <c r="K190" s="56" t="n"/>
      <c r="L190" s="34">
        <f>HYPERLINK(Table65[[#This Row],[Column1]])</f>
        <v/>
      </c>
    </row>
    <row r="191" ht="45" customHeight="1" s="290">
      <c r="A191" s="30" t="n"/>
      <c r="B191" s="30" t="n"/>
      <c r="C191" s="30" t="n"/>
      <c r="D191" s="324" t="n"/>
      <c r="E191" s="53" t="n"/>
      <c r="F191" s="53" t="n"/>
      <c r="G191" s="55" t="n"/>
      <c r="H191" s="57" t="n"/>
      <c r="I191" s="55" t="n"/>
      <c r="J191" s="56" t="n"/>
      <c r="K191" s="56" t="n"/>
      <c r="L191" s="34">
        <f>HYPERLINK(Table65[[#This Row],[Column1]])</f>
        <v/>
      </c>
    </row>
    <row r="192" ht="45" customHeight="1" s="290">
      <c r="A192" s="30" t="n"/>
      <c r="B192" s="30" t="n"/>
      <c r="C192" s="30" t="n"/>
      <c r="D192" s="324" t="n"/>
      <c r="E192" s="53" t="n"/>
      <c r="F192" s="53" t="n"/>
      <c r="G192" s="55" t="n"/>
      <c r="H192" s="57" t="n"/>
      <c r="I192" s="55" t="n"/>
      <c r="J192" s="56" t="n"/>
      <c r="K192" s="56" t="n"/>
      <c r="L192" s="34">
        <f>HYPERLINK(Table65[[#This Row],[Column1]])</f>
        <v/>
      </c>
    </row>
    <row r="193" ht="60" customHeight="1" s="290">
      <c r="A193" s="30" t="n"/>
      <c r="B193" s="30" t="n"/>
      <c r="C193" s="30" t="n"/>
      <c r="D193" s="324" t="n"/>
      <c r="E193" s="53" t="n"/>
      <c r="F193" s="53" t="n"/>
      <c r="G193" s="55" t="n"/>
      <c r="H193" s="57" t="n"/>
      <c r="I193" s="55" t="n"/>
      <c r="J193" s="56" t="n"/>
      <c r="K193" s="56" t="n"/>
      <c r="L193" s="34">
        <f>HYPERLINK(Table65[[#This Row],[Column1]])</f>
        <v/>
      </c>
    </row>
    <row r="194" ht="45" customHeight="1" s="290">
      <c r="A194" s="30" t="n"/>
      <c r="B194" s="30" t="n"/>
      <c r="C194" s="30" t="n"/>
      <c r="D194" s="324" t="n"/>
      <c r="E194" s="53" t="n"/>
      <c r="F194" s="53" t="n"/>
      <c r="G194" s="55" t="n"/>
      <c r="H194" s="57" t="n"/>
      <c r="I194" s="55" t="n"/>
      <c r="J194" s="56" t="n"/>
      <c r="K194" s="56" t="n"/>
      <c r="L194" s="34">
        <f>HYPERLINK(Table65[[#This Row],[Column1]])</f>
        <v/>
      </c>
    </row>
    <row r="195" ht="45" customHeight="1" s="290">
      <c r="A195" s="30" t="n"/>
      <c r="B195" s="30" t="n"/>
      <c r="C195" s="30" t="n"/>
      <c r="D195" s="324" t="n"/>
      <c r="E195" s="53" t="n"/>
      <c r="F195" s="53" t="n"/>
      <c r="G195" s="55" t="n"/>
      <c r="H195" s="57" t="n"/>
      <c r="I195" s="55" t="n"/>
      <c r="J195" s="56" t="n"/>
      <c r="K195" s="56" t="n"/>
      <c r="L195" s="34">
        <f>HYPERLINK(Table65[[#This Row],[Column1]])</f>
        <v/>
      </c>
    </row>
    <row r="196" ht="45" customHeight="1" s="290">
      <c r="A196" s="30" t="n"/>
      <c r="B196" s="30" t="n"/>
      <c r="C196" s="30" t="n"/>
      <c r="D196" s="324" t="n"/>
      <c r="E196" s="53" t="n"/>
      <c r="F196" s="53" t="n"/>
      <c r="G196" s="55" t="n"/>
      <c r="H196" s="57" t="n"/>
      <c r="I196" s="55" t="n"/>
      <c r="J196" s="56" t="n"/>
      <c r="K196" s="56" t="n"/>
      <c r="L196" s="34">
        <f>HYPERLINK(Table65[[#This Row],[Column1]])</f>
        <v/>
      </c>
    </row>
    <row r="197" ht="45" customHeight="1" s="290">
      <c r="A197" s="30" t="n"/>
      <c r="B197" s="30" t="n"/>
      <c r="C197" s="30" t="n"/>
      <c r="D197" s="324" t="n"/>
      <c r="E197" s="53" t="n"/>
      <c r="F197" s="53" t="n"/>
      <c r="G197" s="55" t="n"/>
      <c r="H197" s="57" t="n"/>
      <c r="I197" s="55" t="n"/>
      <c r="J197" s="56" t="n"/>
      <c r="K197" s="56" t="n"/>
      <c r="L197" s="34">
        <f>HYPERLINK(Table65[[#This Row],[Column1]])</f>
        <v/>
      </c>
    </row>
    <row r="198" ht="45" customHeight="1" s="290">
      <c r="A198" s="30" t="n"/>
      <c r="B198" s="30" t="n"/>
      <c r="C198" s="30" t="n"/>
      <c r="D198" s="324" t="n"/>
      <c r="E198" s="53" t="n"/>
      <c r="F198" s="53" t="n"/>
      <c r="G198" s="55" t="n"/>
      <c r="H198" s="57" t="n"/>
      <c r="I198" s="55" t="n"/>
      <c r="J198" s="56" t="n"/>
      <c r="K198" s="56" t="n"/>
      <c r="L198" s="34">
        <f>HYPERLINK(Table65[[#This Row],[Column1]])</f>
        <v/>
      </c>
    </row>
    <row r="199" ht="45" customHeight="1" s="290">
      <c r="A199" s="30" t="n"/>
      <c r="B199" s="30" t="n"/>
      <c r="C199" s="30" t="n"/>
      <c r="D199" s="324" t="n"/>
      <c r="E199" s="53" t="n"/>
      <c r="F199" s="53" t="n"/>
      <c r="G199" s="55" t="n"/>
      <c r="H199" s="57" t="n"/>
      <c r="I199" s="55" t="n"/>
      <c r="J199" s="56" t="n"/>
      <c r="K199" s="56" t="n"/>
      <c r="L199" s="34">
        <f>HYPERLINK(Table65[[#This Row],[Column1]])</f>
        <v/>
      </c>
    </row>
    <row r="200" ht="45" customHeight="1" s="290">
      <c r="A200" s="30" t="n"/>
      <c r="B200" s="30" t="n"/>
      <c r="C200" s="30" t="n"/>
      <c r="D200" s="324" t="n"/>
      <c r="E200" s="53" t="n"/>
      <c r="F200" s="53" t="n"/>
      <c r="G200" s="55" t="n"/>
      <c r="H200" s="57" t="n"/>
      <c r="I200" s="55" t="n"/>
      <c r="J200" s="56" t="n"/>
      <c r="K200" s="56" t="n"/>
      <c r="L200" s="34">
        <f>HYPERLINK(Table65[[#This Row],[Column1]])</f>
        <v/>
      </c>
    </row>
    <row r="201" ht="45" customHeight="1" s="290">
      <c r="A201" s="30" t="n"/>
      <c r="B201" s="30" t="n"/>
      <c r="C201" s="30" t="n"/>
      <c r="D201" s="324" t="n"/>
      <c r="E201" s="53" t="n"/>
      <c r="F201" s="53" t="n"/>
      <c r="G201" s="55" t="n"/>
      <c r="H201" s="57" t="n"/>
      <c r="I201" s="55" t="n"/>
      <c r="J201" s="56" t="n"/>
      <c r="K201" s="56" t="n"/>
      <c r="L201" s="34">
        <f>HYPERLINK(Table65[[#This Row],[Column1]])</f>
        <v/>
      </c>
    </row>
    <row r="202" ht="45" customHeight="1" s="290">
      <c r="A202" s="30" t="n"/>
      <c r="B202" s="30" t="n"/>
      <c r="C202" s="30" t="n"/>
      <c r="D202" s="324" t="n"/>
      <c r="E202" s="53" t="n"/>
      <c r="F202" s="53" t="n"/>
      <c r="G202" s="55" t="n"/>
      <c r="H202" s="57" t="n"/>
      <c r="I202" s="55" t="n"/>
      <c r="J202" s="56" t="n"/>
      <c r="K202" s="56" t="n"/>
      <c r="L202" s="34">
        <f>HYPERLINK(Table65[[#This Row],[Column1]])</f>
        <v/>
      </c>
    </row>
    <row r="203" ht="45" customHeight="1" s="290">
      <c r="A203" s="30" t="n"/>
      <c r="B203" s="30" t="n"/>
      <c r="C203" s="30" t="n"/>
      <c r="D203" s="324" t="n"/>
      <c r="E203" s="53" t="n"/>
      <c r="F203" s="53" t="n"/>
      <c r="G203" s="55" t="n"/>
      <c r="H203" s="57" t="n"/>
      <c r="I203" s="55" t="n"/>
      <c r="J203" s="56" t="n"/>
      <c r="K203" s="56" t="n"/>
      <c r="L203" s="34">
        <f>HYPERLINK(Table65[[#This Row],[Column1]])</f>
        <v/>
      </c>
    </row>
    <row r="204" ht="17" customHeight="1" s="290">
      <c r="A204" s="30" t="n"/>
      <c r="B204" s="30" t="n"/>
      <c r="C204" s="30" t="n"/>
      <c r="D204" s="324" t="n"/>
      <c r="E204" s="53" t="n"/>
      <c r="F204" s="53" t="n"/>
      <c r="G204" s="55" t="n"/>
      <c r="H204" s="57" t="n"/>
      <c r="I204" s="55" t="n"/>
      <c r="J204" s="56" t="n"/>
      <c r="K204" s="56" t="n"/>
      <c r="L204" s="34">
        <f>HYPERLINK(Table65[[#This Row],[Column1]])</f>
        <v/>
      </c>
    </row>
    <row r="205" ht="30" customHeight="1" s="290">
      <c r="A205" s="30" t="n"/>
      <c r="B205" s="30" t="n"/>
      <c r="C205" s="30" t="n"/>
      <c r="D205" s="324" t="n"/>
      <c r="E205" s="53" t="n"/>
      <c r="F205" s="53" t="n"/>
      <c r="G205" s="55" t="n"/>
      <c r="H205" s="57" t="n"/>
      <c r="I205" s="55" t="n"/>
      <c r="J205" s="56" t="n"/>
      <c r="K205" s="56" t="n"/>
      <c r="L205" s="34">
        <f>HYPERLINK(Table65[[#This Row],[Column1]])</f>
        <v/>
      </c>
    </row>
    <row r="206" ht="45" customHeight="1" s="290">
      <c r="A206" s="30" t="n"/>
      <c r="B206" s="30" t="n"/>
      <c r="C206" s="30" t="n"/>
      <c r="D206" s="324" t="n"/>
      <c r="E206" s="53" t="n"/>
      <c r="F206" s="53" t="n"/>
      <c r="G206" s="55" t="n"/>
      <c r="H206" s="57" t="n"/>
      <c r="I206" s="55" t="n"/>
      <c r="J206" s="56" t="n"/>
      <c r="K206" s="56" t="n"/>
      <c r="L206" s="34">
        <f>HYPERLINK(Table65[[#This Row],[Column1]])</f>
        <v/>
      </c>
    </row>
    <row r="207" ht="45" customHeight="1" s="290">
      <c r="A207" s="30" t="n"/>
      <c r="B207" s="30" t="n"/>
      <c r="C207" s="30" t="n"/>
      <c r="D207" s="324" t="n"/>
      <c r="E207" s="53" t="n"/>
      <c r="F207" s="53" t="n"/>
      <c r="G207" s="55" t="n"/>
      <c r="H207" s="57" t="n"/>
      <c r="I207" s="55" t="n"/>
      <c r="J207" s="56" t="n"/>
      <c r="K207" s="56" t="n"/>
      <c r="L207" s="34">
        <f>HYPERLINK(Table65[[#This Row],[Column1]])</f>
        <v/>
      </c>
    </row>
    <row r="208" ht="17" customHeight="1" s="290">
      <c r="A208" s="33" t="inlineStr">
        <is>
          <t>Total</t>
        </is>
      </c>
      <c r="B208" s="32" t="n"/>
      <c r="C208" s="325" t="n"/>
      <c r="D208" s="59" t="n"/>
      <c r="E208" s="32" t="n"/>
      <c r="F208" s="32" t="n"/>
      <c r="G208" s="36">
        <f>SUM(G133:G207)</f>
        <v/>
      </c>
      <c r="H208" s="36">
        <f>SUM(H133:H207)</f>
        <v/>
      </c>
      <c r="I208" s="36" t="n"/>
      <c r="J208" s="167" t="n"/>
      <c r="K208" s="168" t="n"/>
      <c r="L208" s="32" t="n"/>
    </row>
  </sheetData>
  <mergeCells count="3">
    <mergeCell ref="A1:M5"/>
    <mergeCell ref="A131:L131"/>
    <mergeCell ref="A51:L51"/>
  </mergeCells>
  <pageMargins left="0.7" right="0.7" top="0.75" bottom="0.75" header="0.3" footer="0.3"/>
  <drawing xmlns:r="http://schemas.openxmlformats.org/officeDocument/2006/relationships" r:id="rId1"/>
  <tableParts count="2">
    <tablePart xmlns:r="http://schemas.openxmlformats.org/officeDocument/2006/relationships" r:id="rId2"/>
    <tablePart xmlns:r="http://schemas.openxmlformats.org/officeDocument/2006/relationships" r:id="rId3"/>
  </tableParts>
</worksheet>
</file>

<file path=xl/worksheets/sheet31.xml><?xml version="1.0" encoding="utf-8"?>
<worksheet xmlns="http://schemas.openxmlformats.org/spreadsheetml/2006/main">
  <sheetPr codeName="Sheet6">
    <outlinePr summaryBelow="1" summaryRight="1"/>
    <pageSetUpPr/>
  </sheetPr>
  <dimension ref="A1:Q208"/>
  <sheetViews>
    <sheetView workbookViewId="0">
      <selection activeCell="A1" sqref="A1"/>
    </sheetView>
  </sheetViews>
  <sheetFormatPr baseColWidth="10" defaultColWidth="10.83203125" defaultRowHeight="16"/>
  <cols>
    <col width="50.6640625" customWidth="1" style="284" min="1" max="1"/>
    <col width="12.6640625" customWidth="1" style="284" min="2" max="2"/>
    <col width="12.6640625" customWidth="1" style="320" min="3" max="3"/>
    <col width="11.1640625" customWidth="1" style="296" min="4" max="4"/>
    <col width="24.83203125" bestFit="1" customWidth="1" style="284" min="5" max="5"/>
    <col width="17.6640625" bestFit="1" customWidth="1" style="286" min="6" max="6"/>
    <col width="21.6640625" bestFit="1" customWidth="1" style="286" min="7" max="7"/>
    <col width="19.1640625" bestFit="1" customWidth="1" style="286" min="8" max="8"/>
    <col width="13.5" bestFit="1" customWidth="1" style="287" min="9" max="9"/>
    <col width="13" bestFit="1" customWidth="1" style="284" min="10" max="10"/>
    <col hidden="1" width="29" customWidth="1" style="284" min="11" max="11"/>
    <col width="35.6640625" customWidth="1" style="284" min="12" max="12"/>
    <col width="15.6640625" customWidth="1" style="284" min="13" max="13"/>
    <col width="10.83203125" customWidth="1" style="284" min="14" max="16384"/>
  </cols>
  <sheetData>
    <row r="1">
      <c r="A1" s="282" t="inlineStr">
        <is>
          <t>Motopower Monthly Summary</t>
        </is>
      </c>
    </row>
    <row r="2"/>
    <row r="3"/>
    <row r="4"/>
    <row r="5"/>
    <row r="6">
      <c r="A6" s="29" t="n"/>
      <c r="B6" s="29" t="n"/>
      <c r="C6" s="321" t="n"/>
      <c r="D6" s="47" t="n"/>
      <c r="E6" s="48" t="n"/>
      <c r="F6" s="48" t="n"/>
      <c r="G6" s="48" t="n"/>
      <c r="H6" s="48" t="n"/>
      <c r="I6" s="49" t="n"/>
      <c r="J6" s="50" t="n"/>
    </row>
    <row r="7" ht="32" customHeight="1" s="290">
      <c r="A7" s="80" t="n"/>
      <c r="B7" s="81" t="inlineStr">
        <is>
          <t>Avg Price</t>
        </is>
      </c>
      <c r="C7" s="81" t="inlineStr">
        <is>
          <t>Avg Price MoM</t>
        </is>
      </c>
      <c r="D7" s="82" t="inlineStr">
        <is>
          <t>Avg Price YoY</t>
        </is>
      </c>
      <c r="E7" s="81" t="inlineStr">
        <is>
          <t>Quantity/Mo</t>
        </is>
      </c>
      <c r="F7" s="84" t="inlineStr">
        <is>
          <t>Qty by %</t>
        </is>
      </c>
      <c r="G7" s="84" t="inlineStr">
        <is>
          <t>Qty MoM</t>
        </is>
      </c>
      <c r="H7" s="82" t="inlineStr">
        <is>
          <t>Qty YoY</t>
        </is>
      </c>
      <c r="I7" s="309" t="inlineStr">
        <is>
          <t>Revenue/Mo</t>
        </is>
      </c>
      <c r="J7" s="126" t="inlineStr">
        <is>
          <t>Revenue by %</t>
        </is>
      </c>
      <c r="K7" s="173" t="n"/>
      <c r="L7" s="126" t="inlineStr">
        <is>
          <t>Revenue MoM</t>
        </is>
      </c>
      <c r="M7" s="310" t="inlineStr">
        <is>
          <t>Revenue YoY</t>
        </is>
      </c>
      <c r="N7" s="286" t="n"/>
      <c r="O7" s="286" t="n"/>
      <c r="P7" s="49" t="n"/>
      <c r="Q7" s="50" t="n"/>
    </row>
    <row r="8">
      <c r="A8" s="93" t="inlineStr">
        <is>
          <t>Tablet $800+</t>
        </is>
      </c>
      <c r="B8" s="298" t="n"/>
      <c r="C8" s="270" t="n"/>
      <c r="D8" s="271" t="n"/>
      <c r="E8" s="269" t="n">
        <v>0</v>
      </c>
      <c r="F8" s="270" t="n">
        <v>0</v>
      </c>
      <c r="G8" s="270" t="n"/>
      <c r="H8" s="271" t="n"/>
      <c r="I8" s="95" t="n">
        <v>0</v>
      </c>
      <c r="J8" s="128" t="n">
        <v>0</v>
      </c>
      <c r="L8" s="169" t="n"/>
      <c r="M8" s="169" t="n"/>
      <c r="N8" s="286" t="n"/>
      <c r="O8" s="286" t="n"/>
      <c r="P8" s="49" t="n"/>
      <c r="Q8" s="50" t="n"/>
    </row>
    <row r="9">
      <c r="A9" s="93" t="inlineStr">
        <is>
          <t>Tablet $400-$800</t>
        </is>
      </c>
      <c r="B9" s="298" t="n"/>
      <c r="C9" s="270" t="n"/>
      <c r="D9" s="271" t="n"/>
      <c r="E9" s="269" t="n">
        <v>0</v>
      </c>
      <c r="F9" s="270" t="n">
        <v>0</v>
      </c>
      <c r="G9" s="270" t="n"/>
      <c r="H9" s="271" t="n"/>
      <c r="I9" s="95" t="n">
        <v>0</v>
      </c>
      <c r="J9" s="128" t="n">
        <v>0</v>
      </c>
      <c r="L9" s="169" t="n"/>
      <c r="M9" s="169" t="n"/>
      <c r="N9" s="286" t="n"/>
      <c r="O9" s="286" t="n"/>
      <c r="P9" s="49" t="n"/>
      <c r="Q9" s="50" t="n"/>
    </row>
    <row r="10">
      <c r="A10" s="96" t="inlineStr">
        <is>
          <t>Tablet $400-</t>
        </is>
      </c>
      <c r="B10" s="299" t="n"/>
      <c r="C10" s="274" t="n"/>
      <c r="D10" s="275" t="n"/>
      <c r="E10" s="273" t="n">
        <v>0</v>
      </c>
      <c r="F10" s="274" t="n">
        <v>0</v>
      </c>
      <c r="G10" s="274" t="n"/>
      <c r="H10" s="275" t="n"/>
      <c r="I10" s="98" t="n">
        <v>0</v>
      </c>
      <c r="J10" s="127" t="n">
        <v>0</v>
      </c>
      <c r="L10" s="171" t="n"/>
      <c r="M10" s="171" t="n"/>
      <c r="N10" s="286" t="n"/>
      <c r="O10" s="286" t="n"/>
      <c r="P10" s="49" t="n"/>
      <c r="Q10" s="50" t="n"/>
    </row>
    <row r="11">
      <c r="A11" s="101" t="inlineStr">
        <is>
          <t>Total Tablet</t>
        </is>
      </c>
      <c r="B11" s="300" t="n"/>
      <c r="C11" s="112" t="n"/>
      <c r="D11" s="104" t="n"/>
      <c r="E11" s="116" t="n">
        <v>0</v>
      </c>
      <c r="F11" s="112" t="n">
        <v>0</v>
      </c>
      <c r="G11" s="112" t="n"/>
      <c r="H11" s="104" t="n"/>
      <c r="I11" s="103" t="n">
        <v>0</v>
      </c>
      <c r="J11" s="129" t="n">
        <v>0</v>
      </c>
      <c r="L11" s="170" t="n"/>
      <c r="M11" s="170" t="n"/>
      <c r="N11" s="286" t="n"/>
      <c r="O11" s="286" t="n"/>
      <c r="P11" s="49" t="n"/>
      <c r="Q11" s="50" t="n"/>
    </row>
    <row r="12">
      <c r="A12" s="93" t="inlineStr">
        <is>
          <t>Handheld $75+</t>
        </is>
      </c>
      <c r="B12" s="298" t="n">
        <v>76.84285714285714</v>
      </c>
      <c r="C12" s="270" t="n">
        <v>-0.1454740554490851</v>
      </c>
      <c r="D12" s="271" t="n">
        <v>2.816026922889333</v>
      </c>
      <c r="E12" s="269" t="n">
        <v>21</v>
      </c>
      <c r="F12" s="270" t="n">
        <v>0.001528495523691681</v>
      </c>
      <c r="G12" s="270" t="n">
        <v>-0.6818181818181819</v>
      </c>
      <c r="H12" s="271" t="n">
        <v>-0.5625</v>
      </c>
      <c r="I12" s="95" t="n">
        <v>1613.7</v>
      </c>
      <c r="J12" s="128" t="n">
        <v>0.005287721760651113</v>
      </c>
      <c r="L12" s="169" t="n">
        <v>-0.7281053812792544</v>
      </c>
      <c r="M12" s="169" t="n">
        <v>0.6695117787640832</v>
      </c>
      <c r="N12" s="286" t="n"/>
      <c r="O12" s="286" t="n"/>
      <c r="P12" s="49" t="n"/>
      <c r="Q12" s="50" t="n"/>
    </row>
    <row r="13">
      <c r="A13" s="96" t="inlineStr">
        <is>
          <t>Handheld $75-</t>
        </is>
      </c>
      <c r="B13" s="299" t="n">
        <v>22.12895392914419</v>
      </c>
      <c r="C13" s="274" t="n">
        <v>0.01970012498088525</v>
      </c>
      <c r="D13" s="275" t="n">
        <v>0.0515751113133498</v>
      </c>
      <c r="E13" s="273" t="n">
        <v>13718</v>
      </c>
      <c r="F13" s="274" t="n">
        <v>0.9984715044763083</v>
      </c>
      <c r="G13" s="274" t="n">
        <v>0.1778140293637847</v>
      </c>
      <c r="H13" s="275" t="n">
        <v>0.2769245089825934</v>
      </c>
      <c r="I13" s="98" t="n">
        <v>303564.99</v>
      </c>
      <c r="J13" s="127" t="n">
        <v>0.9947122782393488</v>
      </c>
      <c r="L13" s="171" t="n">
        <v>0.2010171129464913</v>
      </c>
      <c r="M13" s="171" t="n">
        <v>0.3427820326721152</v>
      </c>
      <c r="N13" s="286" t="n"/>
      <c r="O13" s="286" t="n"/>
      <c r="P13" s="49" t="n"/>
      <c r="Q13" s="50" t="n"/>
    </row>
    <row r="14">
      <c r="A14" s="101" t="inlineStr">
        <is>
          <t>Total Handheld</t>
        </is>
      </c>
      <c r="B14" s="300" t="n">
        <v>22.21258388529005</v>
      </c>
      <c r="C14" s="112" t="n">
        <v>0.005738048668846973</v>
      </c>
      <c r="D14" s="104" t="n">
        <v>0.002417960441487566</v>
      </c>
      <c r="E14" s="116" t="n">
        <v>13739</v>
      </c>
      <c r="F14" s="112" t="n">
        <v>1</v>
      </c>
      <c r="G14" s="112" t="n">
        <v>0.1729702040467855</v>
      </c>
      <c r="H14" s="104" t="n">
        <v>0.2539016154056768</v>
      </c>
      <c r="I14" s="103" t="n">
        <v>305178.69</v>
      </c>
      <c r="J14" s="129" t="n">
        <v>1</v>
      </c>
      <c r="L14" s="170" t="n">
        <v>0.1797007641647135</v>
      </c>
      <c r="M14" s="170" t="n">
        <v>0.2569334999092447</v>
      </c>
      <c r="N14" s="286" t="n"/>
      <c r="O14" s="286" t="n"/>
      <c r="P14" s="49" t="n"/>
      <c r="Q14" s="50" t="n"/>
    </row>
    <row r="15">
      <c r="A15" s="78" t="inlineStr">
        <is>
          <t>Total Dongle</t>
        </is>
      </c>
      <c r="B15" s="301" t="n"/>
      <c r="C15" s="113" t="n"/>
      <c r="D15" s="107" t="n"/>
      <c r="E15" s="99" t="n">
        <v>0</v>
      </c>
      <c r="F15" s="113" t="n">
        <v>0</v>
      </c>
      <c r="G15" s="113" t="n"/>
      <c r="H15" s="107" t="n"/>
      <c r="I15" s="76" t="n">
        <v>0</v>
      </c>
      <c r="J15" s="130" t="n">
        <v>0</v>
      </c>
      <c r="L15" s="174" t="n"/>
      <c r="M15" s="174" t="n"/>
      <c r="N15" s="286" t="n"/>
      <c r="O15" s="286" t="n"/>
      <c r="P15" s="49" t="n"/>
      <c r="Q15" s="50" t="n"/>
    </row>
    <row r="16">
      <c r="A16" s="78" t="inlineStr">
        <is>
          <t>Total Other Tools</t>
        </is>
      </c>
      <c r="B16" s="301" t="n"/>
      <c r="C16" s="113" t="n"/>
      <c r="D16" s="107" t="n"/>
      <c r="E16" s="99" t="n">
        <v>0</v>
      </c>
      <c r="F16" s="113" t="n">
        <v>0</v>
      </c>
      <c r="G16" s="113" t="n"/>
      <c r="H16" s="107" t="n"/>
      <c r="I16" s="76" t="n">
        <v>0</v>
      </c>
      <c r="J16" s="130" t="n">
        <v>0</v>
      </c>
      <c r="L16" s="174" t="n"/>
      <c r="M16" s="174" t="n"/>
      <c r="N16" s="286" t="n"/>
      <c r="O16" s="286" t="n"/>
      <c r="P16" s="49" t="n"/>
      <c r="Q16" s="50" t="n"/>
    </row>
    <row r="17">
      <c r="A17" s="86" t="inlineStr">
        <is>
          <t>Total</t>
        </is>
      </c>
      <c r="B17" s="302" t="n">
        <v>22.21258388529005</v>
      </c>
      <c r="C17" s="109" t="n">
        <v>0.005738048668846973</v>
      </c>
      <c r="D17" s="108" t="n">
        <v>0.05557233652932791</v>
      </c>
      <c r="E17" s="100" t="n">
        <v>13739</v>
      </c>
      <c r="F17" s="109" t="n">
        <v>1</v>
      </c>
      <c r="G17" s="109" t="n">
        <v>0.1729702040467855</v>
      </c>
      <c r="H17" s="108" t="n">
        <v>0.2797131147540983</v>
      </c>
      <c r="I17" s="85" t="n">
        <v>305178.69</v>
      </c>
      <c r="J17" s="109" t="n">
        <v>1</v>
      </c>
      <c r="L17" s="172" t="n">
        <v>0.1797007641647135</v>
      </c>
      <c r="M17" s="172" t="n">
        <v>0.3508297626282078</v>
      </c>
      <c r="N17" s="286" t="n"/>
      <c r="O17" s="286" t="n"/>
      <c r="P17" s="49" t="n"/>
      <c r="Q17" s="50" t="n"/>
    </row>
    <row r="18">
      <c r="A18" s="29" t="n"/>
      <c r="B18" s="29" t="n"/>
      <c r="C18" s="321" t="n"/>
      <c r="D18" s="47" t="n"/>
      <c r="E18" s="48" t="n"/>
      <c r="F18" s="48" t="n"/>
      <c r="G18" s="48" t="n"/>
      <c r="H18" s="48" t="n"/>
      <c r="I18" s="49" t="n"/>
      <c r="J18" s="50" t="n"/>
    </row>
    <row r="19">
      <c r="A19" s="29" t="n"/>
      <c r="B19" s="29" t="n"/>
      <c r="C19" s="321" t="n"/>
      <c r="D19" s="47" t="n"/>
      <c r="E19" s="48" t="n"/>
      <c r="F19" s="48" t="n"/>
      <c r="G19" s="48" t="n"/>
      <c r="H19" s="48" t="n"/>
      <c r="I19" s="49" t="n"/>
      <c r="J19" s="50" t="n"/>
    </row>
    <row r="20">
      <c r="A20" s="29" t="n"/>
      <c r="B20" s="29" t="n"/>
      <c r="C20" s="321" t="n"/>
      <c r="D20" s="47" t="n"/>
      <c r="E20" s="48" t="n"/>
      <c r="F20" s="48" t="n"/>
      <c r="G20" s="48" t="n"/>
      <c r="H20" s="48" t="n"/>
      <c r="I20" s="49" t="n"/>
      <c r="J20" s="50" t="n"/>
    </row>
    <row r="21">
      <c r="A21" s="29" t="n"/>
      <c r="B21" s="29" t="n"/>
      <c r="C21" s="321" t="n"/>
      <c r="D21" s="47" t="n"/>
      <c r="E21" s="48" t="n"/>
      <c r="F21" s="48" t="n"/>
      <c r="G21" s="48" t="n"/>
      <c r="H21" s="48" t="n"/>
      <c r="I21" s="49" t="n"/>
      <c r="J21" s="50" t="n"/>
    </row>
    <row r="22">
      <c r="A22" s="29" t="n"/>
      <c r="B22" s="29" t="n"/>
      <c r="C22" s="321" t="n"/>
      <c r="D22" s="47" t="n"/>
      <c r="E22" s="48" t="n"/>
      <c r="F22" s="48" t="n"/>
      <c r="G22" s="48" t="n"/>
      <c r="H22" s="48" t="n"/>
      <c r="I22" s="49" t="n"/>
      <c r="J22" s="50" t="n"/>
    </row>
    <row r="23">
      <c r="A23" s="29" t="n"/>
      <c r="B23" s="29" t="n"/>
      <c r="C23" s="321" t="n"/>
      <c r="D23" s="47" t="n"/>
      <c r="E23" s="48" t="n"/>
      <c r="F23" s="48" t="n"/>
      <c r="G23" s="48" t="n"/>
      <c r="H23" s="48" t="n"/>
      <c r="I23" s="49" t="n"/>
      <c r="J23" s="50" t="n"/>
    </row>
    <row r="24">
      <c r="A24" s="29" t="n"/>
      <c r="B24" s="29" t="n"/>
      <c r="C24" s="321" t="n"/>
      <c r="D24" s="47" t="n"/>
      <c r="E24" s="48" t="n"/>
      <c r="F24" s="48" t="n"/>
      <c r="G24" s="48" t="n"/>
      <c r="H24" s="48" t="n"/>
      <c r="I24" s="49" t="n"/>
      <c r="J24" s="50" t="n"/>
    </row>
    <row r="25">
      <c r="A25" s="29" t="n"/>
      <c r="B25" s="29" t="n"/>
      <c r="C25" s="321" t="n"/>
      <c r="D25" s="47" t="n"/>
      <c r="E25" s="48" t="n"/>
      <c r="F25" s="48" t="n"/>
      <c r="G25" s="48" t="n"/>
      <c r="H25" s="48" t="n"/>
      <c r="I25" s="49" t="n"/>
      <c r="J25" s="50" t="n"/>
    </row>
    <row r="26">
      <c r="A26" s="29" t="n"/>
      <c r="B26" s="29" t="n"/>
      <c r="C26" s="321" t="n"/>
      <c r="D26" s="47" t="n"/>
      <c r="E26" s="48" t="n"/>
      <c r="F26" s="48" t="n"/>
      <c r="G26" s="48" t="n"/>
      <c r="H26" s="48" t="n"/>
      <c r="I26" s="49" t="n"/>
      <c r="J26" s="50" t="n"/>
    </row>
    <row r="27">
      <c r="A27" s="29" t="n"/>
      <c r="B27" s="29" t="n"/>
      <c r="C27" s="321" t="n"/>
      <c r="D27" s="47" t="n"/>
      <c r="E27" s="48" t="n"/>
      <c r="F27" s="48" t="n"/>
      <c r="G27" s="48" t="n"/>
      <c r="H27" s="48" t="n"/>
      <c r="I27" s="49" t="n"/>
      <c r="J27" s="50" t="n"/>
    </row>
    <row r="28">
      <c r="A28" s="29" t="n"/>
      <c r="B28" s="29" t="n"/>
      <c r="C28" s="321" t="n"/>
      <c r="D28" s="47" t="n"/>
      <c r="E28" s="48" t="n"/>
      <c r="F28" s="48" t="n"/>
      <c r="G28" s="48" t="n"/>
      <c r="H28" s="48" t="n"/>
      <c r="I28" s="49" t="n"/>
      <c r="J28" s="50" t="n"/>
    </row>
    <row r="29">
      <c r="A29" s="29" t="n"/>
      <c r="B29" s="29" t="n"/>
      <c r="C29" s="321" t="n"/>
      <c r="D29" s="47" t="n"/>
      <c r="E29" s="48" t="n"/>
      <c r="F29" s="48" t="n"/>
      <c r="G29" s="48" t="n"/>
      <c r="H29" s="48" t="n"/>
      <c r="I29" s="49" t="n"/>
      <c r="J29" s="50" t="n"/>
    </row>
    <row r="30">
      <c r="A30" s="29" t="n"/>
      <c r="B30" s="29" t="n"/>
      <c r="C30" s="321" t="n"/>
      <c r="D30" s="47" t="n"/>
      <c r="E30" s="48" t="n"/>
      <c r="F30" s="48" t="n"/>
      <c r="G30" s="48" t="n"/>
      <c r="H30" s="48" t="n"/>
      <c r="I30" s="49" t="n"/>
      <c r="J30" s="50" t="n"/>
    </row>
    <row r="31">
      <c r="A31" s="29" t="n"/>
      <c r="B31" s="29" t="n"/>
      <c r="C31" s="321" t="n"/>
      <c r="D31" s="47" t="n"/>
      <c r="E31" s="48" t="n"/>
      <c r="F31" s="48" t="n"/>
      <c r="G31" s="48" t="n"/>
      <c r="H31" s="48" t="n"/>
      <c r="I31" s="49" t="n"/>
      <c r="J31" s="50" t="n"/>
    </row>
    <row r="32">
      <c r="A32" s="29" t="n"/>
      <c r="B32" s="29" t="n"/>
      <c r="C32" s="321" t="n"/>
      <c r="D32" s="47" t="n"/>
      <c r="E32" s="48" t="n"/>
      <c r="F32" s="48" t="n"/>
      <c r="G32" s="48" t="n"/>
      <c r="H32" s="48" t="n"/>
      <c r="I32" s="49" t="n"/>
      <c r="J32" s="50" t="n"/>
    </row>
    <row r="33">
      <c r="A33" s="29" t="n"/>
      <c r="B33" s="29" t="n"/>
      <c r="C33" s="321" t="n"/>
      <c r="D33" s="47" t="n"/>
      <c r="E33" s="48" t="n"/>
      <c r="F33" s="48" t="n"/>
      <c r="G33" s="48" t="n"/>
      <c r="H33" s="48" t="n"/>
      <c r="I33" s="49" t="n"/>
      <c r="J33" s="50" t="n"/>
    </row>
    <row r="49" ht="16" customHeight="1" s="290">
      <c r="C49" s="284" t="n"/>
      <c r="D49" s="284" t="n"/>
      <c r="F49" s="284" t="n"/>
      <c r="G49" s="284" t="n"/>
      <c r="H49" s="284" t="n"/>
      <c r="I49" s="284" t="n"/>
    </row>
    <row r="50">
      <c r="C50" s="284" t="n"/>
      <c r="D50" s="284" t="n"/>
      <c r="F50" s="284" t="n"/>
      <c r="G50" s="284" t="n"/>
      <c r="H50" s="284" t="n"/>
      <c r="I50" s="284" t="n"/>
    </row>
    <row r="51">
      <c r="A51" s="283" t="inlineStr">
        <is>
          <t xml:space="preserve">Rank by Revenue </t>
        </is>
      </c>
    </row>
    <row r="52" ht="17" customHeight="1" s="290">
      <c r="A52" s="38" t="inlineStr">
        <is>
          <t>Product Name</t>
        </is>
      </c>
      <c r="B52" s="39" t="inlineStr">
        <is>
          <t>ASIN</t>
        </is>
      </c>
      <c r="C52" s="39" t="inlineStr">
        <is>
          <t>Type</t>
        </is>
      </c>
      <c r="D52" s="322" t="inlineStr">
        <is>
          <t>Avg Price</t>
        </is>
      </c>
      <c r="E52" s="41" t="inlineStr">
        <is>
          <t>Estimated 12mo Revenue</t>
        </is>
      </c>
      <c r="F52" s="39" t="inlineStr">
        <is>
          <t>Monthly Rev</t>
        </is>
      </c>
      <c r="G52" s="42" t="inlineStr">
        <is>
          <t>Estimated 12mo Units</t>
        </is>
      </c>
      <c r="H52" s="45" t="inlineStr">
        <is>
          <t>Monthly Units</t>
        </is>
      </c>
      <c r="I52" s="42" t="inlineStr">
        <is>
          <t># of Reviews</t>
        </is>
      </c>
      <c r="J52" s="43" t="inlineStr">
        <is>
          <t xml:space="preserve">Tool Rating </t>
        </is>
      </c>
      <c r="K52" s="43" t="inlineStr">
        <is>
          <t>Column1</t>
        </is>
      </c>
      <c r="L52" s="323" t="inlineStr">
        <is>
          <t>Link</t>
        </is>
      </c>
    </row>
    <row r="53" ht="45" customHeight="1" s="290">
      <c r="A53" s="30" t="inlineStr">
        <is>
          <t>MOTOPOWER MP69033 Car OBD2 Scanner Code Reader Engine Fault Scanner CAN Diagnostic Scan Tool for All OBD II Protocol Cars Since 1996, Yellow</t>
        </is>
      </c>
      <c r="B53" s="30" t="inlineStr">
        <is>
          <t>B07Z3HB7DR</t>
        </is>
      </c>
      <c r="C53" s="30" t="inlineStr">
        <is>
          <t>Handheld</t>
        </is>
      </c>
      <c r="D53" s="324" t="n">
        <v>20.86620090572252</v>
      </c>
      <c r="E53" s="53" t="n">
        <v>2703395.123076923</v>
      </c>
      <c r="F53" s="54" t="n">
        <v>253420.01</v>
      </c>
      <c r="G53" s="55" t="n">
        <v>114370</v>
      </c>
      <c r="H53" s="55" t="n">
        <v>12145</v>
      </c>
      <c r="I53" s="55" t="n">
        <v>50750</v>
      </c>
      <c r="J53" s="56" t="n">
        <v>4.6</v>
      </c>
      <c r="K53" s="56" t="inlineStr">
        <is>
          <t>https://amazon.com/dp/B07Z3HB7DR</t>
        </is>
      </c>
      <c r="L53" s="34">
        <f>HYPERLINK(Motopower_2[[#This Row],[Column1]])</f>
        <v/>
      </c>
    </row>
    <row r="54" ht="45" customHeight="1" s="290">
      <c r="A54" s="30" t="inlineStr">
        <is>
          <t>MOTOPOWER MP69033 Pro OBD2 Scanner Code Reader Check Engine Fault Light Diagnostic Scan Tool with Battery Tester</t>
        </is>
      </c>
      <c r="B54" s="30" t="inlineStr">
        <is>
          <t>B0DHQSQYTR</t>
        </is>
      </c>
      <c r="C54" s="30" t="inlineStr">
        <is>
          <t>Handheld</t>
        </is>
      </c>
      <c r="D54" s="324" t="n">
        <v>31.00490990990991</v>
      </c>
      <c r="E54" s="53" t="n">
        <v>251363.6776923077</v>
      </c>
      <c r="F54" s="54" t="n">
        <v>34415.45</v>
      </c>
      <c r="G54" s="55" t="n">
        <v>7607</v>
      </c>
      <c r="H54" s="55" t="n">
        <v>1110</v>
      </c>
      <c r="I54" s="55" t="n">
        <v>826</v>
      </c>
      <c r="J54" s="56" t="n">
        <v>4.6</v>
      </c>
      <c r="K54" s="56" t="inlineStr">
        <is>
          <t>https://amazon.com/dp/B0DHQSQYTR</t>
        </is>
      </c>
      <c r="L54" s="34">
        <f>HYPERLINK(Motopower_2[[#This Row],[Column1]])</f>
        <v/>
      </c>
    </row>
    <row r="55" ht="45" customHeight="1" s="290">
      <c r="A55" s="30" t="inlineStr">
        <is>
          <t>MOTOPOWER MP69040 Car OBD2 Scanner Check Engine Fault Code Reader Diagnostic Scan Tool, Black</t>
        </is>
      </c>
      <c r="B55" s="30" t="inlineStr">
        <is>
          <t>B0CNWHCL1J</t>
        </is>
      </c>
      <c r="C55" s="30" t="inlineStr">
        <is>
          <t>Handheld</t>
        </is>
      </c>
      <c r="D55" s="324" t="n">
        <v>33.32804953560371</v>
      </c>
      <c r="E55" s="53" t="n">
        <v>395942.4</v>
      </c>
      <c r="F55" s="54" t="n">
        <v>10764.96</v>
      </c>
      <c r="G55" s="55" t="n">
        <v>11576</v>
      </c>
      <c r="H55" s="55" t="n">
        <v>323</v>
      </c>
      <c r="I55" s="55" t="n">
        <v>2491</v>
      </c>
      <c r="J55" s="56" t="n">
        <v>4.6</v>
      </c>
      <c r="K55" s="56" t="inlineStr">
        <is>
          <t>https://amazon.com/dp/B0CNWHCL1J</t>
        </is>
      </c>
      <c r="L55" s="34">
        <f>HYPERLINK(Motopower_2[[#This Row],[Column1]])</f>
        <v/>
      </c>
    </row>
    <row r="56" ht="60" customHeight="1" s="290">
      <c r="A56" s="30" t="inlineStr">
        <is>
          <t>MOTOPOWER MP69040 Car OBD2 Scanner Code Reader Engine Fault Code Reader Scanner CAN Diagnostic Scan Tool for All OBD II Protocol Cars</t>
        </is>
      </c>
      <c r="B56" s="30" t="inlineStr">
        <is>
          <t>B0CPCYTRXV</t>
        </is>
      </c>
      <c r="C56" s="30" t="inlineStr">
        <is>
          <t>Handheld</t>
        </is>
      </c>
      <c r="D56" s="324" t="n">
        <v>40.1012</v>
      </c>
      <c r="E56" s="53" t="n">
        <v>56230.19384615385</v>
      </c>
      <c r="F56" s="54" t="n">
        <v>3007.59</v>
      </c>
      <c r="G56" s="55" t="n">
        <v>1309</v>
      </c>
      <c r="H56" s="55" t="n">
        <v>75</v>
      </c>
      <c r="I56" s="55" t="n">
        <v>2496</v>
      </c>
      <c r="J56" s="56" t="n">
        <v>4.6</v>
      </c>
      <c r="K56" s="56" t="inlineStr">
        <is>
          <t>https://amazon.com/dp/B0CPCYTRXV</t>
        </is>
      </c>
      <c r="L56" s="34">
        <f>HYPERLINK(Motopower_2[[#This Row],[Column1]])</f>
        <v/>
      </c>
    </row>
    <row r="57" ht="45" customHeight="1" s="290">
      <c r="A57" s="30" t="inlineStr">
        <is>
          <t>MOTOPOWER MP69033 Pro OBD2 Scanner Code Reader Check Engine Fault Light Diagnostic Scan Tool with Battery Tester</t>
        </is>
      </c>
      <c r="B57" s="30" t="inlineStr">
        <is>
          <t>B0FJR9684S</t>
        </is>
      </c>
      <c r="C57" s="30" t="inlineStr">
        <is>
          <t>Handheld</t>
        </is>
      </c>
      <c r="D57" s="324" t="n">
        <v>30.10738461538461</v>
      </c>
      <c r="E57" s="53" t="n">
        <v>22195.96769230769</v>
      </c>
      <c r="F57" s="54" t="n">
        <v>1956.98</v>
      </c>
      <c r="G57" s="55" t="n">
        <v>195</v>
      </c>
      <c r="H57" s="55" t="n">
        <v>65</v>
      </c>
      <c r="I57" s="55" t="n">
        <v>107</v>
      </c>
      <c r="J57" s="56" t="n">
        <v>4.6</v>
      </c>
      <c r="K57" s="56" t="inlineStr">
        <is>
          <t>https://amazon.com/dp/B0FJR9684S</t>
        </is>
      </c>
      <c r="L57" s="34">
        <f>HYPERLINK(Motopower_2[[#This Row],[Column1]])</f>
        <v/>
      </c>
    </row>
    <row r="58" ht="45" customHeight="1" s="290">
      <c r="A58" s="30" t="inlineStr">
        <is>
          <t>MOTOPOWER 4 in 1 Code Reader Car Diagnostic Scan Tool Oil Maintenance Reset, Battery Test, Performance Test with Lifetime Update</t>
        </is>
      </c>
      <c r="B58" s="30" t="inlineStr">
        <is>
          <t>B0FS1GF9QR</t>
        </is>
      </c>
      <c r="C58" s="30" t="inlineStr">
        <is>
          <t>Handheld</t>
        </is>
      </c>
      <c r="D58" s="324" t="n">
        <v>76.84285714285714</v>
      </c>
      <c r="E58" s="53" t="n">
        <v>28457.7223076923</v>
      </c>
      <c r="F58" s="54" t="n">
        <v>1613.7</v>
      </c>
      <c r="G58" s="55" t="n">
        <v>147</v>
      </c>
      <c r="H58" s="55" t="n">
        <v>21</v>
      </c>
      <c r="I58" s="55" t="n">
        <v>44</v>
      </c>
      <c r="J58" s="56" t="n">
        <v>4.4</v>
      </c>
      <c r="K58" s="56" t="inlineStr">
        <is>
          <t>https://amazon.com/dp/B0FS1GF9QR</t>
        </is>
      </c>
      <c r="L58" s="34">
        <f>HYPERLINK(Motopower_2[[#This Row],[Column1]])</f>
        <v/>
      </c>
    </row>
    <row r="59" ht="45" customHeight="1" s="290">
      <c r="A59" s="30" t="inlineStr">
        <is>
          <t>MOTOPOWER MP69033 Pro OBD2 Scanner Code Reader Check Engine Fault Light Diagnostic Scan Tool with Battery Tester, Yellow (Red)</t>
        </is>
      </c>
      <c r="B59" s="30" t="inlineStr">
        <is>
          <t>B08P6VTY52</t>
        </is>
      </c>
      <c r="C59" s="30" t="inlineStr">
        <is>
          <t>Handheld</t>
        </is>
      </c>
      <c r="D59" s="324" t="n">
        <v>139.81</v>
      </c>
      <c r="E59" s="53" t="n">
        <v>966.5700000000001</v>
      </c>
      <c r="F59" s="54" t="n">
        <v>0</v>
      </c>
      <c r="G59" s="55" t="n">
        <v>48</v>
      </c>
      <c r="H59" s="55" t="n">
        <v>0</v>
      </c>
      <c r="I59" s="55" t="n">
        <v>2307</v>
      </c>
      <c r="J59" s="56" t="n">
        <v>4.3</v>
      </c>
      <c r="K59" s="56" t="inlineStr">
        <is>
          <t>https://amazon.com/dp/B08P6VTY52</t>
        </is>
      </c>
      <c r="L59" s="34">
        <f>HYPERLINK(Motopower_2[[#This Row],[Column1]])</f>
        <v/>
      </c>
    </row>
    <row r="60" ht="45" customHeight="1" s="290">
      <c r="A60" s="30" t="n"/>
      <c r="B60" s="30" t="n"/>
      <c r="C60" s="30" t="n"/>
      <c r="D60" s="324" t="n"/>
      <c r="E60" s="53" t="n"/>
      <c r="F60" s="54" t="n"/>
      <c r="G60" s="55" t="n"/>
      <c r="H60" s="55" t="n"/>
      <c r="I60" s="55" t="n"/>
      <c r="J60" s="56" t="n"/>
      <c r="K60" s="56" t="n"/>
      <c r="L60" s="34">
        <f>HYPERLINK(Table544[[#This Row],[Column1]])</f>
        <v/>
      </c>
    </row>
    <row r="61" ht="45" customHeight="1" s="290">
      <c r="A61" s="30" t="n"/>
      <c r="B61" s="30" t="n"/>
      <c r="C61" s="30" t="n"/>
      <c r="D61" s="324" t="n"/>
      <c r="E61" s="53" t="n"/>
      <c r="F61" s="54" t="n"/>
      <c r="G61" s="55" t="n"/>
      <c r="H61" s="55" t="n"/>
      <c r="I61" s="55" t="n"/>
      <c r="J61" s="56" t="n"/>
      <c r="K61" s="56" t="n"/>
      <c r="L61" s="34">
        <f>HYPERLINK(Table544[[#This Row],[Column1]])</f>
        <v/>
      </c>
    </row>
    <row r="62" ht="45" customHeight="1" s="290">
      <c r="A62" s="30" t="n"/>
      <c r="B62" s="30" t="n"/>
      <c r="C62" s="30" t="n"/>
      <c r="D62" s="324" t="n"/>
      <c r="E62" s="53" t="n"/>
      <c r="F62" s="54" t="n"/>
      <c r="G62" s="55" t="n"/>
      <c r="H62" s="55" t="n"/>
      <c r="I62" s="55" t="n"/>
      <c r="J62" s="56" t="n"/>
      <c r="K62" s="56" t="n"/>
      <c r="L62" s="34">
        <f>HYPERLINK(Table544[[#This Row],[Column1]])</f>
        <v/>
      </c>
    </row>
    <row r="63" ht="45" customHeight="1" s="290">
      <c r="A63" s="30" t="n"/>
      <c r="B63" s="30" t="n"/>
      <c r="C63" s="30" t="n"/>
      <c r="D63" s="324" t="n"/>
      <c r="E63" s="53" t="n"/>
      <c r="F63" s="54" t="n"/>
      <c r="G63" s="55" t="n"/>
      <c r="H63" s="55" t="n"/>
      <c r="I63" s="55" t="n"/>
      <c r="J63" s="56" t="n"/>
      <c r="K63" s="56" t="n"/>
      <c r="L63" s="34">
        <f>HYPERLINK(Table544[[#This Row],[Column1]])</f>
        <v/>
      </c>
    </row>
    <row r="64" ht="45" customHeight="1" s="290">
      <c r="A64" s="30" t="n"/>
      <c r="B64" s="30" t="n"/>
      <c r="C64" s="30" t="n"/>
      <c r="D64" s="324" t="n"/>
      <c r="E64" s="53" t="n"/>
      <c r="F64" s="54" t="n"/>
      <c r="G64" s="55" t="n"/>
      <c r="H64" s="55" t="n"/>
      <c r="I64" s="55" t="n"/>
      <c r="J64" s="56" t="n"/>
      <c r="K64" s="56" t="n"/>
      <c r="L64" s="34">
        <f>HYPERLINK(Table544[[#This Row],[Column1]])</f>
        <v/>
      </c>
    </row>
    <row r="65" ht="45" customHeight="1" s="290">
      <c r="A65" s="30" t="n"/>
      <c r="B65" s="30" t="n"/>
      <c r="C65" s="30" t="n"/>
      <c r="D65" s="324" t="n"/>
      <c r="E65" s="53" t="n"/>
      <c r="F65" s="54" t="n"/>
      <c r="G65" s="55" t="n"/>
      <c r="H65" s="55" t="n"/>
      <c r="I65" s="55" t="n"/>
      <c r="J65" s="56" t="n"/>
      <c r="K65" s="56" t="n"/>
      <c r="L65" s="34">
        <f>HYPERLINK(Table544[[#This Row],[Column1]])</f>
        <v/>
      </c>
    </row>
    <row r="66" ht="45" customHeight="1" s="290">
      <c r="A66" s="30" t="n"/>
      <c r="B66" s="30" t="n"/>
      <c r="C66" s="30" t="n"/>
      <c r="D66" s="324" t="n"/>
      <c r="E66" s="53" t="n"/>
      <c r="F66" s="54" t="n"/>
      <c r="G66" s="55" t="n"/>
      <c r="H66" s="55" t="n"/>
      <c r="I66" s="55" t="n"/>
      <c r="J66" s="56" t="n"/>
      <c r="K66" s="56" t="n"/>
      <c r="L66" s="34">
        <f>HYPERLINK(Table544[[#This Row],[Column1]])</f>
        <v/>
      </c>
    </row>
    <row r="67" ht="45" customHeight="1" s="290">
      <c r="A67" s="30" t="n"/>
      <c r="B67" s="30" t="n"/>
      <c r="C67" s="30" t="n"/>
      <c r="D67" s="324" t="n"/>
      <c r="E67" s="53" t="n"/>
      <c r="F67" s="54" t="n"/>
      <c r="G67" s="55" t="n"/>
      <c r="H67" s="55" t="n"/>
      <c r="I67" s="55" t="n"/>
      <c r="J67" s="56" t="n"/>
      <c r="K67" s="56" t="n"/>
      <c r="L67" s="34">
        <f>HYPERLINK(Table544[[#This Row],[Column1]])</f>
        <v/>
      </c>
    </row>
    <row r="68" ht="45" customHeight="1" s="290">
      <c r="A68" s="30" t="n"/>
      <c r="B68" s="30" t="n"/>
      <c r="C68" s="30" t="n"/>
      <c r="D68" s="324" t="n"/>
      <c r="E68" s="53" t="n"/>
      <c r="F68" s="54" t="n"/>
      <c r="G68" s="55" t="n"/>
      <c r="H68" s="55" t="n"/>
      <c r="I68" s="55" t="n"/>
      <c r="J68" s="56" t="n"/>
      <c r="K68" s="56" t="n"/>
      <c r="L68" s="34">
        <f>HYPERLINK(Table544[[#This Row],[Column1]])</f>
        <v/>
      </c>
    </row>
    <row r="69" ht="60" customHeight="1" s="290">
      <c r="A69" s="30" t="n"/>
      <c r="B69" s="30" t="n"/>
      <c r="C69" s="30" t="n"/>
      <c r="D69" s="324" t="n"/>
      <c r="E69" s="53" t="n"/>
      <c r="F69" s="54" t="n"/>
      <c r="G69" s="55" t="n"/>
      <c r="H69" s="55" t="n"/>
      <c r="I69" s="55" t="n"/>
      <c r="J69" s="56" t="n"/>
      <c r="K69" s="56" t="n"/>
      <c r="L69" s="34">
        <f>HYPERLINK(Table544[[#This Row],[Column1]])</f>
        <v/>
      </c>
    </row>
    <row r="70" ht="45" customHeight="1" s="290">
      <c r="A70" s="30" t="n"/>
      <c r="B70" s="30" t="n"/>
      <c r="C70" s="30" t="n"/>
      <c r="D70" s="324" t="n"/>
      <c r="E70" s="53" t="n"/>
      <c r="F70" s="54" t="n"/>
      <c r="G70" s="55" t="n"/>
      <c r="H70" s="55" t="n"/>
      <c r="I70" s="55" t="n"/>
      <c r="J70" s="56" t="n"/>
      <c r="K70" s="56" t="n"/>
      <c r="L70" s="34">
        <f>HYPERLINK(Table544[[#This Row],[Column1]])</f>
        <v/>
      </c>
    </row>
    <row r="71" ht="45" customHeight="1" s="290">
      <c r="A71" s="30" t="n"/>
      <c r="B71" s="30" t="n"/>
      <c r="C71" s="30" t="n"/>
      <c r="D71" s="324" t="n"/>
      <c r="E71" s="53" t="n"/>
      <c r="F71" s="54" t="n"/>
      <c r="G71" s="55" t="n"/>
      <c r="H71" s="55" t="n"/>
      <c r="I71" s="55" t="n"/>
      <c r="J71" s="56" t="n"/>
      <c r="K71" s="56" t="n"/>
      <c r="L71" s="34">
        <f>HYPERLINK(Table544[[#This Row],[Column1]])</f>
        <v/>
      </c>
    </row>
    <row r="72" ht="45" customHeight="1" s="290">
      <c r="A72" s="30" t="n"/>
      <c r="B72" s="30" t="n"/>
      <c r="C72" s="30" t="n"/>
      <c r="D72" s="324" t="n"/>
      <c r="E72" s="53" t="n"/>
      <c r="F72" s="54" t="n"/>
      <c r="G72" s="55" t="n"/>
      <c r="H72" s="55" t="n"/>
      <c r="I72" s="55" t="n"/>
      <c r="J72" s="56" t="n"/>
      <c r="K72" s="56" t="n"/>
      <c r="L72" s="34">
        <f>HYPERLINK(Table544[[#This Row],[Column1]])</f>
        <v/>
      </c>
    </row>
    <row r="73" ht="45" customHeight="1" s="290">
      <c r="A73" s="30" t="n"/>
      <c r="B73" s="30" t="n"/>
      <c r="C73" s="30" t="n"/>
      <c r="D73" s="324" t="n"/>
      <c r="E73" s="53" t="n"/>
      <c r="F73" s="54" t="n"/>
      <c r="G73" s="55" t="n"/>
      <c r="H73" s="55" t="n"/>
      <c r="I73" s="55" t="n"/>
      <c r="J73" s="56" t="n"/>
      <c r="K73" s="56" t="n"/>
      <c r="L73" s="34">
        <f>HYPERLINK(Table544[[#This Row],[Column1]])</f>
        <v/>
      </c>
    </row>
    <row r="74" ht="45" customHeight="1" s="290">
      <c r="A74" s="30" t="n"/>
      <c r="B74" s="30" t="n"/>
      <c r="C74" s="30" t="n"/>
      <c r="D74" s="324" t="n"/>
      <c r="E74" s="53" t="n"/>
      <c r="F74" s="54" t="n"/>
      <c r="G74" s="55" t="n"/>
      <c r="H74" s="55" t="n"/>
      <c r="I74" s="55" t="n"/>
      <c r="J74" s="56" t="n"/>
      <c r="K74" s="56" t="n"/>
      <c r="L74" s="34">
        <f>HYPERLINK(Table544[[#This Row],[Column1]])</f>
        <v/>
      </c>
    </row>
    <row r="75" ht="45" customHeight="1" s="290">
      <c r="A75" s="30" t="n"/>
      <c r="B75" s="30" t="n"/>
      <c r="C75" s="30" t="n"/>
      <c r="D75" s="324" t="n"/>
      <c r="E75" s="53" t="n"/>
      <c r="F75" s="54" t="n"/>
      <c r="G75" s="55" t="n"/>
      <c r="H75" s="55" t="n"/>
      <c r="I75" s="55" t="n"/>
      <c r="J75" s="56" t="n"/>
      <c r="K75" s="56" t="n"/>
      <c r="L75" s="34">
        <f>HYPERLINK(Table544[[#This Row],[Column1]])</f>
        <v/>
      </c>
    </row>
    <row r="76" ht="45" customHeight="1" s="290">
      <c r="A76" s="30" t="n"/>
      <c r="B76" s="30" t="n"/>
      <c r="C76" s="30" t="n"/>
      <c r="D76" s="324" t="n"/>
      <c r="E76" s="53" t="n"/>
      <c r="F76" s="54" t="n"/>
      <c r="G76" s="55" t="n"/>
      <c r="H76" s="55" t="n"/>
      <c r="I76" s="55" t="n"/>
      <c r="J76" s="56" t="n"/>
      <c r="K76" s="56" t="n"/>
      <c r="L76" s="34">
        <f>HYPERLINK(Table544[[#This Row],[Column1]])</f>
        <v/>
      </c>
    </row>
    <row r="77" ht="60" customHeight="1" s="290">
      <c r="A77" s="30" t="n"/>
      <c r="B77" s="30" t="n"/>
      <c r="C77" s="30" t="n"/>
      <c r="D77" s="324" t="n"/>
      <c r="E77" s="53" t="n"/>
      <c r="F77" s="54" t="n"/>
      <c r="G77" s="55" t="n"/>
      <c r="H77" s="55" t="n"/>
      <c r="I77" s="55" t="n"/>
      <c r="J77" s="56" t="n"/>
      <c r="K77" s="56" t="n"/>
      <c r="L77" s="34">
        <f>HYPERLINK(Table544[[#This Row],[Column1]])</f>
        <v/>
      </c>
    </row>
    <row r="78" ht="45" customHeight="1" s="290">
      <c r="A78" s="30" t="n"/>
      <c r="B78" s="30" t="n"/>
      <c r="C78" s="30" t="n"/>
      <c r="D78" s="324" t="n"/>
      <c r="E78" s="53" t="n"/>
      <c r="F78" s="54" t="n"/>
      <c r="G78" s="55" t="n"/>
      <c r="H78" s="55" t="n"/>
      <c r="I78" s="55" t="n"/>
      <c r="J78" s="56" t="n"/>
      <c r="K78" s="56" t="n"/>
      <c r="L78" s="34">
        <f>HYPERLINK(Table544[[#This Row],[Column1]])</f>
        <v/>
      </c>
    </row>
    <row r="79" ht="45" customHeight="1" s="290">
      <c r="A79" s="30" t="n"/>
      <c r="B79" s="30" t="n"/>
      <c r="C79" s="30" t="n"/>
      <c r="D79" s="324" t="n"/>
      <c r="E79" s="53" t="n"/>
      <c r="F79" s="54" t="n"/>
      <c r="G79" s="55" t="n"/>
      <c r="H79" s="55" t="n"/>
      <c r="I79" s="55" t="n"/>
      <c r="J79" s="56" t="n"/>
      <c r="K79" s="56" t="n"/>
      <c r="L79" s="34">
        <f>HYPERLINK(Table544[[#This Row],[Column1]])</f>
        <v/>
      </c>
    </row>
    <row r="80" ht="45" customHeight="1" s="290">
      <c r="A80" s="30" t="n"/>
      <c r="B80" s="30" t="n"/>
      <c r="C80" s="30" t="n"/>
      <c r="D80" s="324" t="n"/>
      <c r="E80" s="53" t="n"/>
      <c r="F80" s="54" t="n"/>
      <c r="G80" s="55" t="n"/>
      <c r="H80" s="55" t="n"/>
      <c r="I80" s="55" t="n"/>
      <c r="J80" s="56" t="n"/>
      <c r="K80" s="56" t="n"/>
      <c r="L80" s="34">
        <f>HYPERLINK(Table544[[#This Row],[Column1]])</f>
        <v/>
      </c>
    </row>
    <row r="81" ht="45" customHeight="1" s="290">
      <c r="A81" s="30" t="n"/>
      <c r="B81" s="30" t="n"/>
      <c r="C81" s="30" t="n"/>
      <c r="D81" s="324" t="n"/>
      <c r="E81" s="53" t="n"/>
      <c r="F81" s="54" t="n"/>
      <c r="G81" s="55" t="n"/>
      <c r="H81" s="55" t="n"/>
      <c r="I81" s="55" t="n"/>
      <c r="J81" s="56" t="n"/>
      <c r="K81" s="56" t="n"/>
      <c r="L81" s="34">
        <f>HYPERLINK(Table544[[#This Row],[Column1]])</f>
        <v/>
      </c>
    </row>
    <row r="82" ht="45" customHeight="1" s="290">
      <c r="A82" s="30" t="n"/>
      <c r="B82" s="30" t="n"/>
      <c r="C82" s="30" t="n"/>
      <c r="D82" s="324" t="n"/>
      <c r="E82" s="53" t="n"/>
      <c r="F82" s="54" t="n"/>
      <c r="G82" s="55" t="n"/>
      <c r="H82" s="55" t="n"/>
      <c r="I82" s="55" t="n"/>
      <c r="J82" s="56" t="n"/>
      <c r="K82" s="56" t="n"/>
      <c r="L82" s="34">
        <f>HYPERLINK(Table544[[#This Row],[Column1]])</f>
        <v/>
      </c>
    </row>
    <row r="83" ht="30" customHeight="1" s="290">
      <c r="A83" s="30" t="n"/>
      <c r="B83" s="30" t="n"/>
      <c r="C83" s="30" t="n"/>
      <c r="D83" s="324" t="n"/>
      <c r="E83" s="53" t="n"/>
      <c r="F83" s="54" t="n"/>
      <c r="G83" s="55" t="n"/>
      <c r="H83" s="55" t="n"/>
      <c r="I83" s="55" t="n"/>
      <c r="J83" s="56" t="n"/>
      <c r="K83" s="56" t="n"/>
      <c r="L83" s="34">
        <f>HYPERLINK(Table544[[#This Row],[Column1]])</f>
        <v/>
      </c>
    </row>
    <row r="84" ht="45" customHeight="1" s="290">
      <c r="A84" s="30" t="n"/>
      <c r="B84" s="30" t="n"/>
      <c r="C84" s="30" t="n"/>
      <c r="D84" s="324" t="n"/>
      <c r="E84" s="53" t="n"/>
      <c r="F84" s="54" t="n"/>
      <c r="G84" s="55" t="n"/>
      <c r="H84" s="55" t="n"/>
      <c r="I84" s="55" t="n"/>
      <c r="J84" s="56" t="n"/>
      <c r="K84" s="56" t="n"/>
      <c r="L84" s="34">
        <f>HYPERLINK(Table544[[#This Row],[Column1]])</f>
        <v/>
      </c>
    </row>
    <row r="85" ht="45" customHeight="1" s="290">
      <c r="A85" s="30" t="n"/>
      <c r="B85" s="30" t="n"/>
      <c r="C85" s="30" t="n"/>
      <c r="D85" s="324" t="n"/>
      <c r="E85" s="53" t="n"/>
      <c r="F85" s="54" t="n"/>
      <c r="G85" s="55" t="n"/>
      <c r="H85" s="55" t="n"/>
      <c r="I85" s="55" t="n"/>
      <c r="J85" s="56" t="n"/>
      <c r="K85" s="56" t="n"/>
      <c r="L85" s="34">
        <f>HYPERLINK(Table544[[#This Row],[Column1]])</f>
        <v/>
      </c>
    </row>
    <row r="86" ht="45" customHeight="1" s="290">
      <c r="A86" s="30" t="n"/>
      <c r="B86" s="30" t="n"/>
      <c r="C86" s="30" t="n"/>
      <c r="D86" s="324" t="n"/>
      <c r="E86" s="53" t="n"/>
      <c r="F86" s="54" t="n"/>
      <c r="G86" s="55" t="n"/>
      <c r="H86" s="55" t="n"/>
      <c r="I86" s="55" t="n"/>
      <c r="J86" s="56" t="n"/>
      <c r="K86" s="56" t="n"/>
      <c r="L86" s="34">
        <f>HYPERLINK(Table544[[#This Row],[Column1]])</f>
        <v/>
      </c>
    </row>
    <row r="87" ht="45" customHeight="1" s="290">
      <c r="A87" s="30" t="n"/>
      <c r="B87" s="30" t="n"/>
      <c r="C87" s="30" t="n"/>
      <c r="D87" s="324" t="n"/>
      <c r="E87" s="53" t="n"/>
      <c r="F87" s="54" t="n"/>
      <c r="G87" s="55" t="n"/>
      <c r="H87" s="55" t="n"/>
      <c r="I87" s="55" t="n"/>
      <c r="J87" s="56" t="n"/>
      <c r="K87" s="56" t="n"/>
      <c r="L87" s="34">
        <f>HYPERLINK(Table544[[#This Row],[Column1]])</f>
        <v/>
      </c>
    </row>
    <row r="88" ht="45" customHeight="1" s="290">
      <c r="A88" s="30" t="n"/>
      <c r="B88" s="30" t="n"/>
      <c r="C88" s="30" t="n"/>
      <c r="D88" s="324" t="n"/>
      <c r="E88" s="53" t="n"/>
      <c r="F88" s="54" t="n"/>
      <c r="G88" s="55" t="n"/>
      <c r="H88" s="55" t="n"/>
      <c r="I88" s="55" t="n"/>
      <c r="J88" s="56" t="n"/>
      <c r="K88" s="56" t="n"/>
      <c r="L88" s="34">
        <f>HYPERLINK(Table544[[#This Row],[Column1]])</f>
        <v/>
      </c>
    </row>
    <row r="89" ht="45" customHeight="1" s="290">
      <c r="A89" s="30" t="n"/>
      <c r="B89" s="30" t="n"/>
      <c r="C89" s="30" t="n"/>
      <c r="D89" s="324" t="n"/>
      <c r="E89" s="53" t="n"/>
      <c r="F89" s="54" t="n"/>
      <c r="G89" s="55" t="n"/>
      <c r="H89" s="55" t="n"/>
      <c r="I89" s="55" t="n"/>
      <c r="J89" s="56" t="n"/>
      <c r="K89" s="56" t="n"/>
      <c r="L89" s="34">
        <f>HYPERLINK(Table544[[#This Row],[Column1]])</f>
        <v/>
      </c>
    </row>
    <row r="90" ht="45" customHeight="1" s="290">
      <c r="A90" s="30" t="n"/>
      <c r="B90" s="30" t="n"/>
      <c r="C90" s="30" t="n"/>
      <c r="D90" s="324" t="n"/>
      <c r="E90" s="53" t="n"/>
      <c r="F90" s="54" t="n"/>
      <c r="G90" s="55" t="n"/>
      <c r="H90" s="55" t="n"/>
      <c r="I90" s="55" t="n"/>
      <c r="J90" s="56" t="n"/>
      <c r="K90" s="56" t="n"/>
      <c r="L90" s="34">
        <f>HYPERLINK(Table544[[#This Row],[Column1]])</f>
        <v/>
      </c>
    </row>
    <row r="91" ht="45" customHeight="1" s="290">
      <c r="A91" s="30" t="n"/>
      <c r="B91" s="30" t="n"/>
      <c r="C91" s="30" t="n"/>
      <c r="D91" s="324" t="n"/>
      <c r="E91" s="53" t="n"/>
      <c r="F91" s="54" t="n"/>
      <c r="G91" s="55" t="n"/>
      <c r="H91" s="55" t="n"/>
      <c r="I91" s="55" t="n"/>
      <c r="J91" s="56" t="n"/>
      <c r="K91" s="56" t="n"/>
      <c r="L91" s="34">
        <f>HYPERLINK(Table544[[#This Row],[Column1]])</f>
        <v/>
      </c>
    </row>
    <row r="92" ht="45" customHeight="1" s="290">
      <c r="A92" s="30" t="n"/>
      <c r="B92" s="30" t="n"/>
      <c r="C92" s="30" t="n"/>
      <c r="D92" s="324" t="n"/>
      <c r="E92" s="53" t="n"/>
      <c r="F92" s="54" t="n"/>
      <c r="G92" s="55" t="n"/>
      <c r="H92" s="55" t="n"/>
      <c r="I92" s="55" t="n"/>
      <c r="J92" s="56" t="n"/>
      <c r="K92" s="56" t="n"/>
      <c r="L92" s="34">
        <f>HYPERLINK(Table544[[#This Row],[Column1]])</f>
        <v/>
      </c>
    </row>
    <row r="93" ht="45" customHeight="1" s="290">
      <c r="A93" s="30" t="n"/>
      <c r="B93" s="30" t="n"/>
      <c r="C93" s="30" t="n"/>
      <c r="D93" s="324" t="n"/>
      <c r="E93" s="53" t="n"/>
      <c r="F93" s="54" t="n"/>
      <c r="G93" s="55" t="n"/>
      <c r="H93" s="55" t="n"/>
      <c r="I93" s="55" t="n"/>
      <c r="J93" s="56" t="n"/>
      <c r="K93" s="56" t="n"/>
      <c r="L93" s="34">
        <f>HYPERLINK(Table544[[#This Row],[Column1]])</f>
        <v/>
      </c>
    </row>
    <row r="94" ht="60" customHeight="1" s="290">
      <c r="A94" s="30" t="n"/>
      <c r="B94" s="30" t="n"/>
      <c r="C94" s="30" t="n"/>
      <c r="D94" s="324" t="n"/>
      <c r="E94" s="53" t="n"/>
      <c r="F94" s="54" t="n"/>
      <c r="G94" s="55" t="n"/>
      <c r="H94" s="55" t="n"/>
      <c r="I94" s="55" t="n"/>
      <c r="J94" s="56" t="n"/>
      <c r="K94" s="56" t="n"/>
      <c r="L94" s="34">
        <f>HYPERLINK(Table544[[#This Row],[Column1]])</f>
        <v/>
      </c>
    </row>
    <row r="95" ht="45" customHeight="1" s="290">
      <c r="A95" s="30" t="n"/>
      <c r="B95" s="30" t="n"/>
      <c r="C95" s="30" t="n"/>
      <c r="D95" s="324" t="n"/>
      <c r="E95" s="53" t="n"/>
      <c r="F95" s="54" t="n"/>
      <c r="G95" s="55" t="n"/>
      <c r="H95" s="55" t="n"/>
      <c r="I95" s="55" t="n"/>
      <c r="J95" s="56" t="n"/>
      <c r="K95" s="56" t="n"/>
      <c r="L95" s="34">
        <f>HYPERLINK(Table544[[#This Row],[Column1]])</f>
        <v/>
      </c>
    </row>
    <row r="96" ht="45" customHeight="1" s="290">
      <c r="A96" s="30" t="n"/>
      <c r="B96" s="30" t="n"/>
      <c r="C96" s="30" t="n"/>
      <c r="D96" s="324" t="n"/>
      <c r="E96" s="53" t="n"/>
      <c r="F96" s="54" t="n"/>
      <c r="G96" s="55" t="n"/>
      <c r="H96" s="55" t="n"/>
      <c r="I96" s="55" t="n"/>
      <c r="J96" s="56" t="n"/>
      <c r="K96" s="56" t="n"/>
      <c r="L96" s="34">
        <f>HYPERLINK(Table544[[#This Row],[Column1]])</f>
        <v/>
      </c>
    </row>
    <row r="97" ht="45" customHeight="1" s="290">
      <c r="A97" s="30" t="n"/>
      <c r="B97" s="30" t="n"/>
      <c r="C97" s="30" t="n"/>
      <c r="D97" s="324" t="n"/>
      <c r="E97" s="53" t="n"/>
      <c r="F97" s="54" t="n"/>
      <c r="G97" s="55" t="n"/>
      <c r="H97" s="55" t="n"/>
      <c r="I97" s="55" t="n"/>
      <c r="J97" s="56" t="n"/>
      <c r="K97" s="56" t="n"/>
      <c r="L97" s="34">
        <f>HYPERLINK(Table544[[#This Row],[Column1]])</f>
        <v/>
      </c>
    </row>
    <row r="98" ht="60" customHeight="1" s="290">
      <c r="A98" s="30" t="n"/>
      <c r="B98" s="30" t="n"/>
      <c r="C98" s="30" t="n"/>
      <c r="D98" s="324" t="n"/>
      <c r="E98" s="53" t="n"/>
      <c r="F98" s="54" t="n"/>
      <c r="G98" s="55" t="n"/>
      <c r="H98" s="55" t="n"/>
      <c r="I98" s="55" t="n"/>
      <c r="J98" s="56" t="n"/>
      <c r="K98" s="56" t="n"/>
      <c r="L98" s="34">
        <f>HYPERLINK(Table544[[#This Row],[Column1]])</f>
        <v/>
      </c>
    </row>
    <row r="99" ht="45" customHeight="1" s="290">
      <c r="A99" s="30" t="n"/>
      <c r="B99" s="30" t="n"/>
      <c r="C99" s="30" t="n"/>
      <c r="D99" s="324" t="n"/>
      <c r="E99" s="53" t="n"/>
      <c r="F99" s="54" t="n"/>
      <c r="G99" s="55" t="n"/>
      <c r="H99" s="55" t="n"/>
      <c r="I99" s="55" t="n"/>
      <c r="J99" s="56" t="n"/>
      <c r="K99" s="56" t="n"/>
      <c r="L99" s="34">
        <f>HYPERLINK(Table544[[#This Row],[Column1]])</f>
        <v/>
      </c>
    </row>
    <row r="100" ht="45" customHeight="1" s="290">
      <c r="A100" s="30" t="n"/>
      <c r="B100" s="30" t="n"/>
      <c r="C100" s="30" t="n"/>
      <c r="D100" s="324" t="n"/>
      <c r="E100" s="53" t="n"/>
      <c r="F100" s="54" t="n"/>
      <c r="G100" s="55" t="n"/>
      <c r="H100" s="55" t="n"/>
      <c r="I100" s="55" t="n"/>
      <c r="J100" s="56" t="n"/>
      <c r="K100" s="56" t="n"/>
      <c r="L100" s="34">
        <f>HYPERLINK(Table544[[#This Row],[Column1]])</f>
        <v/>
      </c>
    </row>
    <row r="101" ht="45" customHeight="1" s="290">
      <c r="A101" s="30" t="n"/>
      <c r="B101" s="30" t="n"/>
      <c r="C101" s="30" t="n"/>
      <c r="D101" s="324" t="n"/>
      <c r="E101" s="53" t="n"/>
      <c r="F101" s="54" t="n"/>
      <c r="G101" s="55" t="n"/>
      <c r="H101" s="55" t="n"/>
      <c r="I101" s="55" t="n"/>
      <c r="J101" s="56" t="n"/>
      <c r="K101" s="56" t="n"/>
      <c r="L101" s="34">
        <f>HYPERLINK(Table544[[#This Row],[Column1]])</f>
        <v/>
      </c>
    </row>
    <row r="102" ht="45" customHeight="1" s="290">
      <c r="A102" s="30" t="n"/>
      <c r="B102" s="30" t="n"/>
      <c r="C102" s="30" t="n"/>
      <c r="D102" s="324" t="n"/>
      <c r="E102" s="53" t="n"/>
      <c r="F102" s="54" t="n"/>
      <c r="G102" s="55" t="n"/>
      <c r="H102" s="55" t="n"/>
      <c r="I102" s="55" t="n"/>
      <c r="J102" s="56" t="n"/>
      <c r="K102" s="56" t="n"/>
      <c r="L102" s="34">
        <f>HYPERLINK(Table544[[#This Row],[Column1]])</f>
        <v/>
      </c>
    </row>
    <row r="103" ht="45" customHeight="1" s="290">
      <c r="A103" s="30" t="n"/>
      <c r="B103" s="30" t="n"/>
      <c r="C103" s="30" t="n"/>
      <c r="D103" s="324" t="n"/>
      <c r="E103" s="53" t="n"/>
      <c r="F103" s="54" t="n"/>
      <c r="G103" s="55" t="n"/>
      <c r="H103" s="55" t="n"/>
      <c r="I103" s="55" t="n"/>
      <c r="J103" s="56" t="n"/>
      <c r="K103" s="56" t="n"/>
      <c r="L103" s="34">
        <f>HYPERLINK(Table544[[#This Row],[Column1]])</f>
        <v/>
      </c>
    </row>
    <row r="104" ht="45" customHeight="1" s="290">
      <c r="A104" s="30" t="n"/>
      <c r="B104" s="30" t="n"/>
      <c r="C104" s="30" t="n"/>
      <c r="D104" s="324" t="n"/>
      <c r="E104" s="53" t="n"/>
      <c r="F104" s="54" t="n"/>
      <c r="G104" s="55" t="n"/>
      <c r="H104" s="55" t="n"/>
      <c r="I104" s="55" t="n"/>
      <c r="J104" s="56" t="n"/>
      <c r="K104" s="56" t="n"/>
      <c r="L104" s="34">
        <f>HYPERLINK(Table544[[#This Row],[Column1]])</f>
        <v/>
      </c>
    </row>
    <row r="105" ht="45" customHeight="1" s="290">
      <c r="A105" s="30" t="n"/>
      <c r="B105" s="30" t="n"/>
      <c r="C105" s="30" t="n"/>
      <c r="D105" s="324" t="n"/>
      <c r="E105" s="53" t="n"/>
      <c r="F105" s="54" t="n"/>
      <c r="G105" s="55" t="n"/>
      <c r="H105" s="55" t="n"/>
      <c r="I105" s="55" t="n"/>
      <c r="J105" s="56" t="n"/>
      <c r="K105" s="56" t="n"/>
      <c r="L105" s="34">
        <f>HYPERLINK(Table544[[#This Row],[Column1]])</f>
        <v/>
      </c>
    </row>
    <row r="106" ht="45" customHeight="1" s="290">
      <c r="A106" s="30" t="n"/>
      <c r="B106" s="30" t="n"/>
      <c r="C106" s="30" t="n"/>
      <c r="D106" s="324" t="n"/>
      <c r="E106" s="53" t="n"/>
      <c r="F106" s="54" t="n"/>
      <c r="G106" s="55" t="n"/>
      <c r="H106" s="55" t="n"/>
      <c r="I106" s="55" t="n"/>
      <c r="J106" s="56" t="n"/>
      <c r="K106" s="56" t="n"/>
      <c r="L106" s="34">
        <f>HYPERLINK(Table544[[#This Row],[Column1]])</f>
        <v/>
      </c>
    </row>
    <row r="107" ht="60" customHeight="1" s="290">
      <c r="A107" s="30" t="n"/>
      <c r="B107" s="30" t="n"/>
      <c r="C107" s="30" t="n"/>
      <c r="D107" s="324" t="n"/>
      <c r="E107" s="53" t="n"/>
      <c r="F107" s="54" t="n"/>
      <c r="G107" s="55" t="n"/>
      <c r="H107" s="55" t="n"/>
      <c r="I107" s="55" t="n"/>
      <c r="J107" s="56" t="n"/>
      <c r="K107" s="56" t="n"/>
      <c r="L107" s="34">
        <f>HYPERLINK(Table544[[#This Row],[Column1]])</f>
        <v/>
      </c>
    </row>
    <row r="108" ht="45" customHeight="1" s="290">
      <c r="A108" s="30" t="n"/>
      <c r="B108" s="30" t="n"/>
      <c r="C108" s="30" t="n"/>
      <c r="D108" s="324" t="n"/>
      <c r="E108" s="53" t="n"/>
      <c r="F108" s="54" t="n"/>
      <c r="G108" s="55" t="n"/>
      <c r="H108" s="55" t="n"/>
      <c r="I108" s="55" t="n"/>
      <c r="J108" s="56" t="n"/>
      <c r="K108" s="56" t="n"/>
      <c r="L108" s="34">
        <f>HYPERLINK(Table544[[#This Row],[Column1]])</f>
        <v/>
      </c>
    </row>
    <row r="109" ht="45" customHeight="1" s="290">
      <c r="A109" s="30" t="n"/>
      <c r="B109" s="30" t="n"/>
      <c r="C109" s="30" t="n"/>
      <c r="D109" s="324" t="n"/>
      <c r="E109" s="53" t="n"/>
      <c r="F109" s="54" t="n"/>
      <c r="G109" s="55" t="n"/>
      <c r="H109" s="55" t="n"/>
      <c r="I109" s="55" t="n"/>
      <c r="J109" s="56" t="n"/>
      <c r="K109" s="56" t="n"/>
      <c r="L109" s="34">
        <f>HYPERLINK(Table544[[#This Row],[Column1]])</f>
        <v/>
      </c>
    </row>
    <row r="110" ht="45" customHeight="1" s="290">
      <c r="A110" s="30" t="n"/>
      <c r="B110" s="30" t="n"/>
      <c r="C110" s="30" t="n"/>
      <c r="D110" s="324" t="n"/>
      <c r="E110" s="53" t="n"/>
      <c r="F110" s="54" t="n"/>
      <c r="G110" s="55" t="n"/>
      <c r="H110" s="55" t="n"/>
      <c r="I110" s="55" t="n"/>
      <c r="J110" s="56" t="n"/>
      <c r="K110" s="56" t="n"/>
      <c r="L110" s="34">
        <f>HYPERLINK(Table544[[#This Row],[Column1]])</f>
        <v/>
      </c>
    </row>
    <row r="111" ht="45" customHeight="1" s="290">
      <c r="A111" s="30" t="n"/>
      <c r="B111" s="30" t="n"/>
      <c r="C111" s="30" t="n"/>
      <c r="D111" s="324" t="n"/>
      <c r="E111" s="53" t="n"/>
      <c r="F111" s="54" t="n"/>
      <c r="G111" s="55" t="n"/>
      <c r="H111" s="55" t="n"/>
      <c r="I111" s="55" t="n"/>
      <c r="J111" s="56" t="n"/>
      <c r="K111" s="56" t="n"/>
      <c r="L111" s="34">
        <f>HYPERLINK(Table544[[#This Row],[Column1]])</f>
        <v/>
      </c>
    </row>
    <row r="112" ht="45" customHeight="1" s="290">
      <c r="A112" s="30" t="n"/>
      <c r="B112" s="30" t="n"/>
      <c r="C112" s="30" t="n"/>
      <c r="D112" s="324" t="n"/>
      <c r="E112" s="53" t="n"/>
      <c r="F112" s="54" t="n"/>
      <c r="G112" s="55" t="n"/>
      <c r="H112" s="55" t="n"/>
      <c r="I112" s="55" t="n"/>
      <c r="J112" s="56" t="n"/>
      <c r="K112" s="56" t="n"/>
      <c r="L112" s="34">
        <f>HYPERLINK(Table544[[#This Row],[Column1]])</f>
        <v/>
      </c>
    </row>
    <row r="113" ht="45" customHeight="1" s="290">
      <c r="A113" s="30" t="n"/>
      <c r="B113" s="30" t="n"/>
      <c r="C113" s="30" t="n"/>
      <c r="D113" s="324" t="n"/>
      <c r="E113" s="53" t="n"/>
      <c r="F113" s="54" t="n"/>
      <c r="G113" s="55" t="n"/>
      <c r="H113" s="55" t="n"/>
      <c r="I113" s="55" t="n"/>
      <c r="J113" s="56" t="n"/>
      <c r="K113" s="56" t="n"/>
      <c r="L113" s="34">
        <f>HYPERLINK(Table544[[#This Row],[Column1]])</f>
        <v/>
      </c>
    </row>
    <row r="114" ht="45" customHeight="1" s="290">
      <c r="A114" s="30" t="n"/>
      <c r="B114" s="30" t="n"/>
      <c r="C114" s="30" t="n"/>
      <c r="D114" s="324" t="n"/>
      <c r="E114" s="53" t="n"/>
      <c r="F114" s="54" t="n"/>
      <c r="G114" s="55" t="n"/>
      <c r="H114" s="55" t="n"/>
      <c r="I114" s="55" t="n"/>
      <c r="J114" s="56" t="n"/>
      <c r="K114" s="56" t="n"/>
      <c r="L114" s="34">
        <f>HYPERLINK(Table544[[#This Row],[Column1]])</f>
        <v/>
      </c>
    </row>
    <row r="115" ht="45" customHeight="1" s="290">
      <c r="A115" s="30" t="n"/>
      <c r="B115" s="30" t="n"/>
      <c r="C115" s="30" t="n"/>
      <c r="D115" s="324" t="n"/>
      <c r="E115" s="53" t="n"/>
      <c r="F115" s="54" t="n"/>
      <c r="G115" s="55" t="n"/>
      <c r="H115" s="55" t="n"/>
      <c r="I115" s="55" t="n"/>
      <c r="J115" s="56" t="n"/>
      <c r="K115" s="56" t="n"/>
      <c r="L115" s="34">
        <f>HYPERLINK(Table544[[#This Row],[Column1]])</f>
        <v/>
      </c>
    </row>
    <row r="116" ht="30" customHeight="1" s="290">
      <c r="A116" s="30" t="n"/>
      <c r="B116" s="30" t="n"/>
      <c r="C116" s="30" t="n"/>
      <c r="D116" s="324" t="n"/>
      <c r="E116" s="53" t="n"/>
      <c r="F116" s="54" t="n"/>
      <c r="G116" s="55" t="n"/>
      <c r="H116" s="55" t="n"/>
      <c r="I116" s="55" t="n"/>
      <c r="J116" s="56" t="n"/>
      <c r="K116" s="56" t="n"/>
      <c r="L116" s="34">
        <f>HYPERLINK(Table544[[#This Row],[Column1]])</f>
        <v/>
      </c>
    </row>
    <row r="117" ht="30" customHeight="1" s="290">
      <c r="A117" s="30" t="n"/>
      <c r="B117" s="30" t="n"/>
      <c r="C117" s="30" t="n"/>
      <c r="D117" s="324" t="n"/>
      <c r="E117" s="53" t="n"/>
      <c r="F117" s="54" t="n"/>
      <c r="G117" s="55" t="n"/>
      <c r="H117" s="55" t="n"/>
      <c r="I117" s="55" t="n"/>
      <c r="J117" s="56" t="n"/>
      <c r="K117" s="56" t="n"/>
      <c r="L117" s="34">
        <f>HYPERLINK(Table544[[#This Row],[Column1]])</f>
        <v/>
      </c>
    </row>
    <row r="118" ht="45" customHeight="1" s="290">
      <c r="A118" s="30" t="n"/>
      <c r="B118" s="30" t="n"/>
      <c r="C118" s="30" t="n"/>
      <c r="D118" s="324" t="n"/>
      <c r="E118" s="53" t="n"/>
      <c r="F118" s="54" t="n"/>
      <c r="G118" s="55" t="n"/>
      <c r="H118" s="55" t="n"/>
      <c r="I118" s="55" t="n"/>
      <c r="J118" s="56" t="n"/>
      <c r="K118" s="56" t="n"/>
      <c r="L118" s="34">
        <f>HYPERLINK(Table544[[#This Row],[Column1]])</f>
        <v/>
      </c>
    </row>
    <row r="119" ht="45" customHeight="1" s="290">
      <c r="A119" s="30" t="n"/>
      <c r="B119" s="30" t="n"/>
      <c r="C119" s="30" t="n"/>
      <c r="D119" s="324" t="n"/>
      <c r="E119" s="53" t="n"/>
      <c r="F119" s="54" t="n"/>
      <c r="G119" s="55" t="n"/>
      <c r="H119" s="55" t="n"/>
      <c r="I119" s="55" t="n"/>
      <c r="J119" s="56" t="n"/>
      <c r="K119" s="56" t="n"/>
      <c r="L119" s="34">
        <f>HYPERLINK(Table544[[#This Row],[Column1]])</f>
        <v/>
      </c>
    </row>
    <row r="120" ht="60" customHeight="1" s="290">
      <c r="A120" s="30" t="n"/>
      <c r="B120" s="30" t="n"/>
      <c r="C120" s="30" t="n"/>
      <c r="D120" s="324" t="n"/>
      <c r="E120" s="53" t="n"/>
      <c r="F120" s="54" t="n"/>
      <c r="G120" s="55" t="n"/>
      <c r="H120" s="55" t="n"/>
      <c r="I120" s="55" t="n"/>
      <c r="J120" s="56" t="n"/>
      <c r="K120" s="56" t="n"/>
      <c r="L120" s="34">
        <f>HYPERLINK(Table544[[#This Row],[Column1]])</f>
        <v/>
      </c>
    </row>
    <row r="121" ht="45" customHeight="1" s="290">
      <c r="A121" s="30" t="n"/>
      <c r="B121" s="30" t="n"/>
      <c r="C121" s="30" t="n"/>
      <c r="D121" s="324" t="n"/>
      <c r="E121" s="53" t="n"/>
      <c r="F121" s="54" t="n"/>
      <c r="G121" s="55" t="n"/>
      <c r="H121" s="55" t="n"/>
      <c r="I121" s="55" t="n"/>
      <c r="J121" s="56" t="n"/>
      <c r="K121" s="56" t="n"/>
      <c r="L121" s="34">
        <f>HYPERLINK(Table544[[#This Row],[Column1]])</f>
        <v/>
      </c>
    </row>
    <row r="122" ht="45" customHeight="1" s="290">
      <c r="A122" s="30" t="n"/>
      <c r="B122" s="30" t="n"/>
      <c r="C122" s="30" t="n"/>
      <c r="D122" s="324" t="n"/>
      <c r="E122" s="53" t="n"/>
      <c r="F122" s="54" t="n"/>
      <c r="G122" s="55" t="n"/>
      <c r="H122" s="55" t="n"/>
      <c r="I122" s="55" t="n"/>
      <c r="J122" s="56" t="n"/>
      <c r="K122" s="56" t="n"/>
      <c r="L122" s="34">
        <f>HYPERLINK(Table544[[#This Row],[Column1]])</f>
        <v/>
      </c>
    </row>
    <row r="123" ht="45" customHeight="1" s="290">
      <c r="A123" s="30" t="n"/>
      <c r="B123" s="30" t="n"/>
      <c r="C123" s="30" t="n"/>
      <c r="D123" s="324" t="n"/>
      <c r="E123" s="53" t="n"/>
      <c r="F123" s="54" t="n"/>
      <c r="G123" s="55" t="n"/>
      <c r="H123" s="55" t="n"/>
      <c r="I123" s="55" t="n"/>
      <c r="J123" s="56" t="n"/>
      <c r="K123" s="56" t="n"/>
      <c r="L123" s="34">
        <f>HYPERLINK(Table544[[#This Row],[Column1]])</f>
        <v/>
      </c>
    </row>
    <row r="124" ht="17" customHeight="1" s="290">
      <c r="A124" s="30" t="n"/>
      <c r="B124" s="30" t="n"/>
      <c r="C124" s="30" t="n"/>
      <c r="D124" s="324" t="n"/>
      <c r="E124" s="53" t="n"/>
      <c r="F124" s="54" t="n"/>
      <c r="G124" s="55" t="n"/>
      <c r="H124" s="55" t="n"/>
      <c r="I124" s="55" t="n"/>
      <c r="J124" s="56" t="n"/>
      <c r="K124" s="56" t="n"/>
      <c r="L124" s="34">
        <f>HYPERLINK(Table544[[#This Row],[Column1]])</f>
        <v/>
      </c>
    </row>
    <row r="125" ht="30" customHeight="1" s="290">
      <c r="A125" s="30" t="n"/>
      <c r="B125" s="30" t="n"/>
      <c r="C125" s="30" t="n"/>
      <c r="D125" s="324" t="n"/>
      <c r="E125" s="53" t="n"/>
      <c r="F125" s="54" t="n"/>
      <c r="G125" s="55" t="n"/>
      <c r="H125" s="55" t="n"/>
      <c r="I125" s="55" t="n"/>
      <c r="J125" s="56" t="n"/>
      <c r="K125" s="56" t="n"/>
      <c r="L125" s="34">
        <f>HYPERLINK(Table544[[#This Row],[Column1]])</f>
        <v/>
      </c>
    </row>
    <row r="126" ht="45" customHeight="1" s="290">
      <c r="A126" s="30" t="n"/>
      <c r="B126" s="30" t="n"/>
      <c r="C126" s="30" t="n"/>
      <c r="D126" s="324" t="n"/>
      <c r="E126" s="53" t="n"/>
      <c r="F126" s="54" t="n"/>
      <c r="G126" s="55" t="n"/>
      <c r="H126" s="55" t="n"/>
      <c r="I126" s="55" t="n"/>
      <c r="J126" s="56" t="n"/>
      <c r="K126" s="56" t="n"/>
      <c r="L126" s="34">
        <f>HYPERLINK(Table544[[#This Row],[Column1]])</f>
        <v/>
      </c>
    </row>
    <row r="127" ht="45" customHeight="1" s="290">
      <c r="A127" s="30" t="n"/>
      <c r="B127" s="30" t="n"/>
      <c r="C127" s="30" t="n"/>
      <c r="D127" s="324" t="n"/>
      <c r="E127" s="53" t="n"/>
      <c r="F127" s="54" t="n"/>
      <c r="G127" s="55" t="n"/>
      <c r="H127" s="55" t="n"/>
      <c r="I127" s="55" t="n"/>
      <c r="J127" s="56" t="n"/>
      <c r="K127" s="56" t="n"/>
      <c r="L127" s="34">
        <f>HYPERLINK(Table544[[#This Row],[Column1]])</f>
        <v/>
      </c>
    </row>
    <row r="128" ht="17" customHeight="1" s="290">
      <c r="A128" s="33" t="inlineStr">
        <is>
          <t>Total</t>
        </is>
      </c>
      <c r="B128" s="32" t="n"/>
      <c r="C128" s="325" t="n"/>
      <c r="D128" s="325" t="n"/>
      <c r="E128" s="59">
        <f>SUM(Table544[Estimated 12mo Revenue])</f>
        <v/>
      </c>
      <c r="F128" s="59">
        <f>SUM(Table544[Monthly Rev])</f>
        <v/>
      </c>
      <c r="I128" s="286" t="n"/>
      <c r="J128" s="287" t="n"/>
    </row>
    <row r="131">
      <c r="A131" s="283" t="inlineStr">
        <is>
          <t>Rank by Units</t>
        </is>
      </c>
    </row>
    <row r="132" ht="17" customHeight="1" s="290">
      <c r="A132" s="38" t="inlineStr">
        <is>
          <t>Product Name</t>
        </is>
      </c>
      <c r="B132" s="39" t="inlineStr">
        <is>
          <t>ASIN</t>
        </is>
      </c>
      <c r="C132" s="39" t="inlineStr">
        <is>
          <t>Type</t>
        </is>
      </c>
      <c r="D132" s="322" t="inlineStr">
        <is>
          <t>Avg Price</t>
        </is>
      </c>
      <c r="E132" s="41" t="inlineStr">
        <is>
          <t>Estimated 12mo Revenue</t>
        </is>
      </c>
      <c r="F132" s="39" t="inlineStr">
        <is>
          <t>Monthly Rev</t>
        </is>
      </c>
      <c r="G132" s="42" t="inlineStr">
        <is>
          <t>Estimated 12mo Units</t>
        </is>
      </c>
      <c r="H132" s="45" t="inlineStr">
        <is>
          <t>Monthly Units</t>
        </is>
      </c>
      <c r="I132" s="42" t="inlineStr">
        <is>
          <t># of Reviews</t>
        </is>
      </c>
      <c r="J132" s="43" t="inlineStr">
        <is>
          <t xml:space="preserve">Tool Rating </t>
        </is>
      </c>
      <c r="K132" s="43" t="inlineStr">
        <is>
          <t>Column1</t>
        </is>
      </c>
      <c r="L132" s="323" t="inlineStr">
        <is>
          <t>Link</t>
        </is>
      </c>
    </row>
    <row r="133" ht="45" customHeight="1" s="290">
      <c r="A133" s="30" t="inlineStr">
        <is>
          <t>MOTOPOWER MP69033 Car OBD2 Scanner Code Reader Engine Fault Scanner CAN Diagnostic Scan Tool for All OBD II Protocol Cars Since 1996, Yellow</t>
        </is>
      </c>
      <c r="B133" s="30" t="inlineStr">
        <is>
          <t>B07Z3HB7DR</t>
        </is>
      </c>
      <c r="C133" s="30" t="inlineStr">
        <is>
          <t>Handheld</t>
        </is>
      </c>
      <c r="D133" s="324" t="n">
        <v>20.86620090572252</v>
      </c>
      <c r="E133" s="53" t="n">
        <v>2703395.123076923</v>
      </c>
      <c r="F133" s="53" t="n">
        <v>253420.01</v>
      </c>
      <c r="G133" s="55" t="n">
        <v>114370</v>
      </c>
      <c r="H133" s="57" t="n">
        <v>12145</v>
      </c>
      <c r="I133" s="55" t="n">
        <v>50750</v>
      </c>
      <c r="J133" s="56" t="n">
        <v>4.6</v>
      </c>
      <c r="K133" s="56" t="inlineStr">
        <is>
          <t>https://amazon.com/dp/B07Z3HB7DR</t>
        </is>
      </c>
      <c r="L133" s="34">
        <f>HYPERLINK(Motopower_1[[#This Row],[Column1]])</f>
        <v/>
      </c>
    </row>
    <row r="134" ht="45" customHeight="1" s="290">
      <c r="A134" s="30" t="inlineStr">
        <is>
          <t>MOTOPOWER MP69033 Pro OBD2 Scanner Code Reader Check Engine Fault Light Diagnostic Scan Tool with Battery Tester</t>
        </is>
      </c>
      <c r="B134" s="30" t="inlineStr">
        <is>
          <t>B0DHQSQYTR</t>
        </is>
      </c>
      <c r="C134" s="30" t="inlineStr">
        <is>
          <t>Handheld</t>
        </is>
      </c>
      <c r="D134" s="324" t="n">
        <v>31.00490990990991</v>
      </c>
      <c r="E134" s="53" t="n">
        <v>251363.6776923077</v>
      </c>
      <c r="F134" s="53" t="n">
        <v>34415.45</v>
      </c>
      <c r="G134" s="55" t="n">
        <v>7607</v>
      </c>
      <c r="H134" s="57" t="n">
        <v>1110</v>
      </c>
      <c r="I134" s="55" t="n">
        <v>826</v>
      </c>
      <c r="J134" s="56" t="n">
        <v>4.6</v>
      </c>
      <c r="K134" s="56" t="inlineStr">
        <is>
          <t>https://amazon.com/dp/B0DHQSQYTR</t>
        </is>
      </c>
      <c r="L134" s="34">
        <f>HYPERLINK(Motopower_1[[#This Row],[Column1]])</f>
        <v/>
      </c>
    </row>
    <row r="135" ht="45" customHeight="1" s="290">
      <c r="A135" s="30" t="inlineStr">
        <is>
          <t>MOTOPOWER MP69040 Car OBD2 Scanner Check Engine Fault Code Reader Diagnostic Scan Tool, Black</t>
        </is>
      </c>
      <c r="B135" s="30" t="inlineStr">
        <is>
          <t>B0CNWHCL1J</t>
        </is>
      </c>
      <c r="C135" s="30" t="inlineStr">
        <is>
          <t>Handheld</t>
        </is>
      </c>
      <c r="D135" s="324" t="n">
        <v>33.32804953560371</v>
      </c>
      <c r="E135" s="53" t="n">
        <v>395942.4</v>
      </c>
      <c r="F135" s="53" t="n">
        <v>10764.96</v>
      </c>
      <c r="G135" s="55" t="n">
        <v>11576</v>
      </c>
      <c r="H135" s="57" t="n">
        <v>323</v>
      </c>
      <c r="I135" s="55" t="n">
        <v>2491</v>
      </c>
      <c r="J135" s="56" t="n">
        <v>4.6</v>
      </c>
      <c r="K135" s="56" t="inlineStr">
        <is>
          <t>https://amazon.com/dp/B0CNWHCL1J</t>
        </is>
      </c>
      <c r="L135" s="34">
        <f>HYPERLINK(Motopower_1[[#This Row],[Column1]])</f>
        <v/>
      </c>
    </row>
    <row r="136" ht="45" customHeight="1" s="290">
      <c r="A136" s="30" t="inlineStr">
        <is>
          <t>MOTOPOWER MP69040 Car OBD2 Scanner Code Reader Engine Fault Code Reader Scanner CAN Diagnostic Scan Tool for All OBD II Protocol Cars</t>
        </is>
      </c>
      <c r="B136" s="30" t="inlineStr">
        <is>
          <t>B0CPCYTRXV</t>
        </is>
      </c>
      <c r="C136" s="30" t="inlineStr">
        <is>
          <t>Handheld</t>
        </is>
      </c>
      <c r="D136" s="324" t="n">
        <v>40.1012</v>
      </c>
      <c r="E136" s="53" t="n">
        <v>56230.19384615385</v>
      </c>
      <c r="F136" s="53" t="n">
        <v>3007.59</v>
      </c>
      <c r="G136" s="55" t="n">
        <v>1309</v>
      </c>
      <c r="H136" s="57" t="n">
        <v>75</v>
      </c>
      <c r="I136" s="55" t="n">
        <v>2496</v>
      </c>
      <c r="J136" s="56" t="n">
        <v>4.6</v>
      </c>
      <c r="K136" s="56" t="inlineStr">
        <is>
          <t>https://amazon.com/dp/B0CPCYTRXV</t>
        </is>
      </c>
      <c r="L136" s="34">
        <f>HYPERLINK(Motopower_1[[#This Row],[Column1]])</f>
        <v/>
      </c>
    </row>
    <row r="137" ht="45" customHeight="1" s="290">
      <c r="A137" s="30" t="inlineStr">
        <is>
          <t>MOTOPOWER MP69033 Pro OBD2 Scanner Code Reader Check Engine Fault Light Diagnostic Scan Tool with Battery Tester</t>
        </is>
      </c>
      <c r="B137" s="30" t="inlineStr">
        <is>
          <t>B0FJR9684S</t>
        </is>
      </c>
      <c r="C137" s="30" t="inlineStr">
        <is>
          <t>Handheld</t>
        </is>
      </c>
      <c r="D137" s="324" t="n">
        <v>30.10738461538461</v>
      </c>
      <c r="E137" s="53" t="n">
        <v>22195.96769230769</v>
      </c>
      <c r="F137" s="53" t="n">
        <v>1956.98</v>
      </c>
      <c r="G137" s="55" t="n">
        <v>195</v>
      </c>
      <c r="H137" s="57" t="n">
        <v>65</v>
      </c>
      <c r="I137" s="55" t="n">
        <v>107</v>
      </c>
      <c r="J137" s="56" t="n">
        <v>4.6</v>
      </c>
      <c r="K137" s="56" t="inlineStr">
        <is>
          <t>https://amazon.com/dp/B0FJR9684S</t>
        </is>
      </c>
      <c r="L137" s="34">
        <f>HYPERLINK(Motopower_1[[#This Row],[Column1]])</f>
        <v/>
      </c>
    </row>
    <row r="138" ht="45" customHeight="1" s="290">
      <c r="A138" s="30" t="inlineStr">
        <is>
          <t>MOTOPOWER 4 in 1 Code Reader Car Diagnostic Scan Tool Oil Maintenance Reset, Battery Test, Performance Test with Lifetime Update</t>
        </is>
      </c>
      <c r="B138" s="30" t="inlineStr">
        <is>
          <t>B0FS1GF9QR</t>
        </is>
      </c>
      <c r="C138" s="30" t="inlineStr">
        <is>
          <t>Handheld</t>
        </is>
      </c>
      <c r="D138" s="324" t="n">
        <v>76.84285714285714</v>
      </c>
      <c r="E138" s="53" t="n">
        <v>28457.7223076923</v>
      </c>
      <c r="F138" s="53" t="n">
        <v>1613.7</v>
      </c>
      <c r="G138" s="55" t="n">
        <v>147</v>
      </c>
      <c r="H138" s="57" t="n">
        <v>21</v>
      </c>
      <c r="I138" s="55" t="n">
        <v>44</v>
      </c>
      <c r="J138" s="56" t="n">
        <v>4.4</v>
      </c>
      <c r="K138" s="56" t="inlineStr">
        <is>
          <t>https://amazon.com/dp/B0FS1GF9QR</t>
        </is>
      </c>
      <c r="L138" s="34">
        <f>HYPERLINK(Motopower_1[[#This Row],[Column1]])</f>
        <v/>
      </c>
    </row>
    <row r="139" ht="45" customHeight="1" s="290">
      <c r="A139" s="30" t="inlineStr">
        <is>
          <t>MOTOPOWER MP69033 Pro OBD2 Scanner Code Reader Check Engine Fault Light Diagnostic Scan Tool with Battery Tester, Yellow (Red)</t>
        </is>
      </c>
      <c r="B139" s="30" t="inlineStr">
        <is>
          <t>B08P6VTY52</t>
        </is>
      </c>
      <c r="C139" s="30" t="inlineStr">
        <is>
          <t>Handheld</t>
        </is>
      </c>
      <c r="D139" s="324" t="n">
        <v>139.81</v>
      </c>
      <c r="E139" s="53" t="n">
        <v>966.5700000000001</v>
      </c>
      <c r="F139" s="53" t="n">
        <v>0</v>
      </c>
      <c r="G139" s="55" t="n">
        <v>48</v>
      </c>
      <c r="H139" s="57" t="n">
        <v>0</v>
      </c>
      <c r="I139" s="55" t="n">
        <v>2307</v>
      </c>
      <c r="J139" s="56" t="n">
        <v>4.3</v>
      </c>
      <c r="K139" s="56" t="inlineStr">
        <is>
          <t>https://amazon.com/dp/B08P6VTY52</t>
        </is>
      </c>
      <c r="L139" s="34">
        <f>HYPERLINK(Motopower_1[[#This Row],[Column1]])</f>
        <v/>
      </c>
    </row>
    <row r="140" ht="45" customHeight="1" s="290">
      <c r="A140" s="30" t="n"/>
      <c r="B140" s="30" t="n"/>
      <c r="C140" s="30" t="n"/>
      <c r="D140" s="324" t="n"/>
      <c r="E140" s="53" t="n"/>
      <c r="F140" s="53" t="n"/>
      <c r="G140" s="55" t="n"/>
      <c r="H140" s="57" t="n"/>
      <c r="I140" s="55" t="n"/>
      <c r="J140" s="56" t="n"/>
      <c r="K140" s="56" t="n"/>
      <c r="L140" s="34">
        <f>HYPERLINK(Table65[[#This Row],[Column1]])</f>
        <v/>
      </c>
    </row>
    <row r="141" ht="30" customHeight="1" s="290">
      <c r="A141" s="30" t="n"/>
      <c r="B141" s="30" t="n"/>
      <c r="C141" s="30" t="n"/>
      <c r="D141" s="324" t="n"/>
      <c r="E141" s="53" t="n"/>
      <c r="F141" s="53" t="n"/>
      <c r="G141" s="55" t="n"/>
      <c r="H141" s="57" t="n"/>
      <c r="I141" s="55" t="n"/>
      <c r="J141" s="56" t="n"/>
      <c r="K141" s="56" t="n"/>
      <c r="L141" s="34">
        <f>HYPERLINK(Table65[[#This Row],[Column1]])</f>
        <v/>
      </c>
    </row>
    <row r="142" ht="45" customHeight="1" s="290">
      <c r="A142" s="30" t="n"/>
      <c r="B142" s="30" t="n"/>
      <c r="C142" s="30" t="n"/>
      <c r="D142" s="324" t="n"/>
      <c r="E142" s="53" t="n"/>
      <c r="F142" s="53" t="n"/>
      <c r="G142" s="55" t="n"/>
      <c r="H142" s="57" t="n"/>
      <c r="I142" s="55" t="n"/>
      <c r="J142" s="56" t="n"/>
      <c r="K142" s="56" t="n"/>
      <c r="L142" s="34">
        <f>HYPERLINK(Table65[[#This Row],[Column1]])</f>
        <v/>
      </c>
    </row>
    <row r="143" ht="45" customHeight="1" s="290">
      <c r="A143" s="30" t="n"/>
      <c r="B143" s="30" t="n"/>
      <c r="C143" s="30" t="n"/>
      <c r="D143" s="324" t="n"/>
      <c r="E143" s="53" t="n"/>
      <c r="F143" s="53" t="n"/>
      <c r="G143" s="55" t="n"/>
      <c r="H143" s="57" t="n"/>
      <c r="I143" s="55" t="n"/>
      <c r="J143" s="56" t="n"/>
      <c r="K143" s="56" t="n"/>
      <c r="L143" s="34">
        <f>HYPERLINK(Table65[[#This Row],[Column1]])</f>
        <v/>
      </c>
    </row>
    <row r="144" ht="45" customHeight="1" s="290">
      <c r="A144" s="30" t="n"/>
      <c r="B144" s="30" t="n"/>
      <c r="C144" s="30" t="n"/>
      <c r="D144" s="324" t="n"/>
      <c r="E144" s="53" t="n"/>
      <c r="F144" s="53" t="n"/>
      <c r="G144" s="55" t="n"/>
      <c r="H144" s="57" t="n"/>
      <c r="I144" s="55" t="n"/>
      <c r="J144" s="56" t="n"/>
      <c r="K144" s="56" t="n"/>
      <c r="L144" s="34">
        <f>HYPERLINK(Table65[[#This Row],[Column1]])</f>
        <v/>
      </c>
    </row>
    <row r="145" ht="45" customHeight="1" s="290">
      <c r="A145" s="30" t="n"/>
      <c r="B145" s="30" t="n"/>
      <c r="C145" s="30" t="n"/>
      <c r="D145" s="324" t="n"/>
      <c r="E145" s="53" t="n"/>
      <c r="F145" s="53" t="n"/>
      <c r="G145" s="55" t="n"/>
      <c r="H145" s="57" t="n"/>
      <c r="I145" s="55" t="n"/>
      <c r="J145" s="56" t="n"/>
      <c r="K145" s="56" t="n"/>
      <c r="L145" s="34">
        <f>HYPERLINK(Table65[[#This Row],[Column1]])</f>
        <v/>
      </c>
    </row>
    <row r="146" ht="60" customHeight="1" s="290">
      <c r="A146" s="30" t="n"/>
      <c r="B146" s="30" t="n"/>
      <c r="C146" s="30" t="n"/>
      <c r="D146" s="324" t="n"/>
      <c r="E146" s="53" t="n"/>
      <c r="F146" s="53" t="n"/>
      <c r="G146" s="55" t="n"/>
      <c r="H146" s="57" t="n"/>
      <c r="I146" s="55" t="n"/>
      <c r="J146" s="56" t="n"/>
      <c r="K146" s="56" t="n"/>
      <c r="L146" s="34">
        <f>HYPERLINK(Table65[[#This Row],[Column1]])</f>
        <v/>
      </c>
    </row>
    <row r="147" ht="45" customHeight="1" s="290">
      <c r="A147" s="30" t="n"/>
      <c r="B147" s="30" t="n"/>
      <c r="C147" s="30" t="n"/>
      <c r="D147" s="324" t="n"/>
      <c r="E147" s="53" t="n"/>
      <c r="F147" s="53" t="n"/>
      <c r="G147" s="55" t="n"/>
      <c r="H147" s="57" t="n"/>
      <c r="I147" s="55" t="n"/>
      <c r="J147" s="56" t="n"/>
      <c r="K147" s="56" t="n"/>
      <c r="L147" s="34">
        <f>HYPERLINK(Table65[[#This Row],[Column1]])</f>
        <v/>
      </c>
    </row>
    <row r="148" ht="45" customHeight="1" s="290">
      <c r="A148" s="30" t="n"/>
      <c r="B148" s="30" t="n"/>
      <c r="C148" s="30" t="n"/>
      <c r="D148" s="324" t="n"/>
      <c r="E148" s="53" t="n"/>
      <c r="F148" s="53" t="n"/>
      <c r="G148" s="55" t="n"/>
      <c r="H148" s="57" t="n"/>
      <c r="I148" s="55" t="n"/>
      <c r="J148" s="56" t="n"/>
      <c r="K148" s="56" t="n"/>
      <c r="L148" s="34">
        <f>HYPERLINK(Table65[[#This Row],[Column1]])</f>
        <v/>
      </c>
    </row>
    <row r="149" ht="45" customHeight="1" s="290">
      <c r="A149" s="30" t="n"/>
      <c r="B149" s="30" t="n"/>
      <c r="C149" s="30" t="n"/>
      <c r="D149" s="324" t="n"/>
      <c r="E149" s="53" t="n"/>
      <c r="F149" s="53" t="n"/>
      <c r="G149" s="55" t="n"/>
      <c r="H149" s="57" t="n"/>
      <c r="I149" s="55" t="n"/>
      <c r="J149" s="56" t="n"/>
      <c r="K149" s="56" t="n"/>
      <c r="L149" s="34">
        <f>HYPERLINK(Table65[[#This Row],[Column1]])</f>
        <v/>
      </c>
    </row>
    <row r="150" ht="45" customHeight="1" s="290">
      <c r="A150" s="30" t="n"/>
      <c r="B150" s="30" t="n"/>
      <c r="C150" s="30" t="n"/>
      <c r="D150" s="324" t="n"/>
      <c r="E150" s="53" t="n"/>
      <c r="F150" s="53" t="n"/>
      <c r="G150" s="55" t="n"/>
      <c r="H150" s="57" t="n"/>
      <c r="I150" s="55" t="n"/>
      <c r="J150" s="56" t="n"/>
      <c r="K150" s="56" t="n"/>
      <c r="L150" s="34">
        <f>HYPERLINK(Table65[[#This Row],[Column1]])</f>
        <v/>
      </c>
    </row>
    <row r="151" ht="45" customHeight="1" s="290">
      <c r="A151" s="30" t="n"/>
      <c r="B151" s="30" t="n"/>
      <c r="C151" s="30" t="n"/>
      <c r="D151" s="324" t="n"/>
      <c r="E151" s="53" t="n"/>
      <c r="F151" s="53" t="n"/>
      <c r="G151" s="55" t="n"/>
      <c r="H151" s="57" t="n"/>
      <c r="I151" s="55" t="n"/>
      <c r="J151" s="56" t="n"/>
      <c r="K151" s="56" t="n"/>
      <c r="L151" s="34">
        <f>HYPERLINK(Table65[[#This Row],[Column1]])</f>
        <v/>
      </c>
    </row>
    <row r="152" ht="45" customHeight="1" s="290">
      <c r="A152" s="30" t="n"/>
      <c r="B152" s="30" t="n"/>
      <c r="C152" s="30" t="n"/>
      <c r="D152" s="324" t="n"/>
      <c r="E152" s="53" t="n"/>
      <c r="F152" s="53" t="n"/>
      <c r="G152" s="55" t="n"/>
      <c r="H152" s="57" t="n"/>
      <c r="I152" s="55" t="n"/>
      <c r="J152" s="56" t="n"/>
      <c r="K152" s="56" t="n"/>
      <c r="L152" s="34">
        <f>HYPERLINK(Table65[[#This Row],[Column1]])</f>
        <v/>
      </c>
    </row>
    <row r="153" ht="60" customHeight="1" s="290">
      <c r="A153" s="30" t="n"/>
      <c r="B153" s="30" t="n"/>
      <c r="C153" s="30" t="n"/>
      <c r="D153" s="324" t="n"/>
      <c r="E153" s="53" t="n"/>
      <c r="F153" s="53" t="n"/>
      <c r="G153" s="55" t="n"/>
      <c r="H153" s="57" t="n"/>
      <c r="I153" s="55" t="n"/>
      <c r="J153" s="56" t="n"/>
      <c r="K153" s="56" t="n"/>
      <c r="L153" s="34">
        <f>HYPERLINK(Table65[[#This Row],[Column1]])</f>
        <v/>
      </c>
    </row>
    <row r="154" ht="45" customHeight="1" s="290">
      <c r="A154" s="30" t="n"/>
      <c r="B154" s="30" t="n"/>
      <c r="C154" s="30" t="n"/>
      <c r="D154" s="324" t="n"/>
      <c r="E154" s="53" t="n"/>
      <c r="F154" s="53" t="n"/>
      <c r="G154" s="55" t="n"/>
      <c r="H154" s="57" t="n"/>
      <c r="I154" s="55" t="n"/>
      <c r="J154" s="56" t="n"/>
      <c r="K154" s="56" t="n"/>
      <c r="L154" s="34">
        <f>HYPERLINK(Table65[[#This Row],[Column1]])</f>
        <v/>
      </c>
    </row>
    <row r="155" ht="45" customHeight="1" s="290">
      <c r="A155" s="30" t="n"/>
      <c r="B155" s="30" t="n"/>
      <c r="C155" s="30" t="n"/>
      <c r="D155" s="324" t="n"/>
      <c r="E155" s="53" t="n"/>
      <c r="F155" s="53" t="n"/>
      <c r="G155" s="55" t="n"/>
      <c r="H155" s="57" t="n"/>
      <c r="I155" s="55" t="n"/>
      <c r="J155" s="56" t="n"/>
      <c r="K155" s="56" t="n"/>
      <c r="L155" s="34">
        <f>HYPERLINK(Table65[[#This Row],[Column1]])</f>
        <v/>
      </c>
    </row>
    <row r="156" ht="45" customHeight="1" s="290">
      <c r="A156" s="30" t="n"/>
      <c r="B156" s="30" t="n"/>
      <c r="C156" s="30" t="n"/>
      <c r="D156" s="324" t="n"/>
      <c r="E156" s="53" t="n"/>
      <c r="F156" s="53" t="n"/>
      <c r="G156" s="55" t="n"/>
      <c r="H156" s="57" t="n"/>
      <c r="I156" s="55" t="n"/>
      <c r="J156" s="56" t="n"/>
      <c r="K156" s="56" t="n"/>
      <c r="L156" s="34">
        <f>HYPERLINK(Table65[[#This Row],[Column1]])</f>
        <v/>
      </c>
    </row>
    <row r="157" ht="45" customHeight="1" s="290">
      <c r="A157" s="30" t="n"/>
      <c r="B157" s="30" t="n"/>
      <c r="C157" s="30" t="n"/>
      <c r="D157" s="324" t="n"/>
      <c r="E157" s="53" t="n"/>
      <c r="F157" s="53" t="n"/>
      <c r="G157" s="55" t="n"/>
      <c r="H157" s="57" t="n"/>
      <c r="I157" s="55" t="n"/>
      <c r="J157" s="56" t="n"/>
      <c r="K157" s="56" t="n"/>
      <c r="L157" s="34">
        <f>HYPERLINK(Table65[[#This Row],[Column1]])</f>
        <v/>
      </c>
    </row>
    <row r="158" ht="45" customHeight="1" s="290">
      <c r="A158" s="30" t="n"/>
      <c r="B158" s="30" t="n"/>
      <c r="C158" s="30" t="n"/>
      <c r="D158" s="324" t="n"/>
      <c r="E158" s="53" t="n"/>
      <c r="F158" s="53" t="n"/>
      <c r="G158" s="55" t="n"/>
      <c r="H158" s="57" t="n"/>
      <c r="I158" s="55" t="n"/>
      <c r="J158" s="56" t="n"/>
      <c r="K158" s="56" t="n"/>
      <c r="L158" s="34">
        <f>HYPERLINK(Table65[[#This Row],[Column1]])</f>
        <v/>
      </c>
    </row>
    <row r="159" ht="45" customHeight="1" s="290">
      <c r="A159" s="30" t="n"/>
      <c r="B159" s="30" t="n"/>
      <c r="C159" s="30" t="n"/>
      <c r="D159" s="324" t="n"/>
      <c r="E159" s="53" t="n"/>
      <c r="F159" s="53" t="n"/>
      <c r="G159" s="55" t="n"/>
      <c r="H159" s="57" t="n"/>
      <c r="I159" s="55" t="n"/>
      <c r="J159" s="56" t="n"/>
      <c r="K159" s="56" t="n"/>
      <c r="L159" s="34">
        <f>HYPERLINK(Table65[[#This Row],[Column1]])</f>
        <v/>
      </c>
    </row>
    <row r="160" ht="45" customHeight="1" s="290">
      <c r="A160" s="30" t="n"/>
      <c r="B160" s="30" t="n"/>
      <c r="C160" s="30" t="n"/>
      <c r="D160" s="324" t="n"/>
      <c r="E160" s="53" t="n"/>
      <c r="F160" s="53" t="n"/>
      <c r="G160" s="55" t="n"/>
      <c r="H160" s="57" t="n"/>
      <c r="I160" s="55" t="n"/>
      <c r="J160" s="56" t="n"/>
      <c r="K160" s="56" t="n"/>
      <c r="L160" s="34">
        <f>HYPERLINK(Table65[[#This Row],[Column1]])</f>
        <v/>
      </c>
    </row>
    <row r="161" ht="60" customHeight="1" s="290">
      <c r="A161" s="30" t="n"/>
      <c r="B161" s="30" t="n"/>
      <c r="C161" s="30" t="n"/>
      <c r="D161" s="324" t="n"/>
      <c r="E161" s="53" t="n"/>
      <c r="F161" s="53" t="n"/>
      <c r="G161" s="55" t="n"/>
      <c r="H161" s="57" t="n"/>
      <c r="I161" s="55" t="n"/>
      <c r="J161" s="56" t="n"/>
      <c r="K161" s="56" t="n"/>
      <c r="L161" s="34">
        <f>HYPERLINK(Table65[[#This Row],[Column1]])</f>
        <v/>
      </c>
    </row>
    <row r="162" ht="45" customHeight="1" s="290">
      <c r="A162" s="30" t="n"/>
      <c r="B162" s="30" t="n"/>
      <c r="C162" s="30" t="n"/>
      <c r="D162" s="324" t="n"/>
      <c r="E162" s="53" t="n"/>
      <c r="F162" s="53" t="n"/>
      <c r="G162" s="55" t="n"/>
      <c r="H162" s="57" t="n"/>
      <c r="I162" s="55" t="n"/>
      <c r="J162" s="56" t="n"/>
      <c r="K162" s="56" t="n"/>
      <c r="L162" s="34">
        <f>HYPERLINK(Table65[[#This Row],[Column1]])</f>
        <v/>
      </c>
    </row>
    <row r="163" ht="45" customHeight="1" s="290">
      <c r="A163" s="30" t="n"/>
      <c r="B163" s="30" t="n"/>
      <c r="C163" s="30" t="n"/>
      <c r="D163" s="324" t="n"/>
      <c r="E163" s="53" t="n"/>
      <c r="F163" s="53" t="n"/>
      <c r="G163" s="55" t="n"/>
      <c r="H163" s="57" t="n"/>
      <c r="I163" s="55" t="n"/>
      <c r="J163" s="56" t="n"/>
      <c r="K163" s="56" t="n"/>
      <c r="L163" s="34">
        <f>HYPERLINK(Table65[[#This Row],[Column1]])</f>
        <v/>
      </c>
    </row>
    <row r="164" ht="45" customHeight="1" s="290">
      <c r="A164" s="30" t="n"/>
      <c r="B164" s="30" t="n"/>
      <c r="C164" s="30" t="n"/>
      <c r="D164" s="324" t="n"/>
      <c r="E164" s="53" t="n"/>
      <c r="F164" s="53" t="n"/>
      <c r="G164" s="55" t="n"/>
      <c r="H164" s="57" t="n"/>
      <c r="I164" s="55" t="n"/>
      <c r="J164" s="56" t="n"/>
      <c r="K164" s="56" t="n"/>
      <c r="L164" s="34">
        <f>HYPERLINK(Table65[[#This Row],[Column1]])</f>
        <v/>
      </c>
    </row>
    <row r="165" ht="45" customHeight="1" s="290">
      <c r="A165" s="30" t="n"/>
      <c r="B165" s="30" t="n"/>
      <c r="C165" s="30" t="n"/>
      <c r="D165" s="324" t="n"/>
      <c r="E165" s="53" t="n"/>
      <c r="F165" s="53" t="n"/>
      <c r="G165" s="55" t="n"/>
      <c r="H165" s="57" t="n"/>
      <c r="I165" s="55" t="n"/>
      <c r="J165" s="56" t="n"/>
      <c r="K165" s="56" t="n"/>
      <c r="L165" s="34">
        <f>HYPERLINK(Table65[[#This Row],[Column1]])</f>
        <v/>
      </c>
    </row>
    <row r="166" ht="45" customHeight="1" s="290">
      <c r="A166" s="30" t="n"/>
      <c r="B166" s="30" t="n"/>
      <c r="C166" s="30" t="n"/>
      <c r="D166" s="324" t="n"/>
      <c r="E166" s="53" t="n"/>
      <c r="F166" s="53" t="n"/>
      <c r="G166" s="55" t="n"/>
      <c r="H166" s="57" t="n"/>
      <c r="I166" s="55" t="n"/>
      <c r="J166" s="56" t="n"/>
      <c r="K166" s="56" t="n"/>
      <c r="L166" s="34">
        <f>HYPERLINK(Table65[[#This Row],[Column1]])</f>
        <v/>
      </c>
    </row>
    <row r="167" ht="45" customHeight="1" s="290">
      <c r="A167" s="30" t="n"/>
      <c r="B167" s="30" t="n"/>
      <c r="C167" s="30" t="n"/>
      <c r="D167" s="324" t="n"/>
      <c r="E167" s="53" t="n"/>
      <c r="F167" s="53" t="n"/>
      <c r="G167" s="55" t="n"/>
      <c r="H167" s="57" t="n"/>
      <c r="I167" s="55" t="n"/>
      <c r="J167" s="56" t="n"/>
      <c r="K167" s="56" t="n"/>
      <c r="L167" s="34">
        <f>HYPERLINK(Table65[[#This Row],[Column1]])</f>
        <v/>
      </c>
    </row>
    <row r="168" ht="45" customHeight="1" s="290">
      <c r="A168" s="30" t="n"/>
      <c r="B168" s="30" t="n"/>
      <c r="C168" s="30" t="n"/>
      <c r="D168" s="324" t="n"/>
      <c r="E168" s="53" t="n"/>
      <c r="F168" s="53" t="n"/>
      <c r="G168" s="55" t="n"/>
      <c r="H168" s="57" t="n"/>
      <c r="I168" s="55" t="n"/>
      <c r="J168" s="56" t="n"/>
      <c r="K168" s="56" t="n"/>
      <c r="L168" s="34">
        <f>HYPERLINK(Table65[[#This Row],[Column1]])</f>
        <v/>
      </c>
    </row>
    <row r="169" ht="45" customHeight="1" s="290">
      <c r="A169" s="30" t="n"/>
      <c r="B169" s="30" t="n"/>
      <c r="C169" s="30" t="n"/>
      <c r="D169" s="324" t="n"/>
      <c r="E169" s="53" t="n"/>
      <c r="F169" s="53" t="n"/>
      <c r="G169" s="55" t="n"/>
      <c r="H169" s="57" t="n"/>
      <c r="I169" s="55" t="n"/>
      <c r="J169" s="56" t="n"/>
      <c r="K169" s="56" t="n"/>
      <c r="L169" s="34">
        <f>HYPERLINK(Table65[[#This Row],[Column1]])</f>
        <v/>
      </c>
    </row>
    <row r="170" ht="30" customHeight="1" s="290">
      <c r="A170" s="30" t="n"/>
      <c r="B170" s="30" t="n"/>
      <c r="C170" s="30" t="n"/>
      <c r="D170" s="324" t="n"/>
      <c r="E170" s="53" t="n"/>
      <c r="F170" s="53" t="n"/>
      <c r="G170" s="55" t="n"/>
      <c r="H170" s="57" t="n"/>
      <c r="I170" s="55" t="n"/>
      <c r="J170" s="56" t="n"/>
      <c r="K170" s="56" t="n"/>
      <c r="L170" s="34">
        <f>HYPERLINK(Table65[[#This Row],[Column1]])</f>
        <v/>
      </c>
    </row>
    <row r="171" ht="45" customHeight="1" s="290">
      <c r="A171" s="30" t="n"/>
      <c r="B171" s="30" t="n"/>
      <c r="C171" s="30" t="n"/>
      <c r="D171" s="324" t="n"/>
      <c r="E171" s="53" t="n"/>
      <c r="F171" s="53" t="n"/>
      <c r="G171" s="55" t="n"/>
      <c r="H171" s="57" t="n"/>
      <c r="I171" s="55" t="n"/>
      <c r="J171" s="56" t="n"/>
      <c r="K171" s="56" t="n"/>
      <c r="L171" s="34">
        <f>HYPERLINK(Table65[[#This Row],[Column1]])</f>
        <v/>
      </c>
    </row>
    <row r="172" ht="45" customHeight="1" s="290">
      <c r="A172" s="30" t="n"/>
      <c r="B172" s="30" t="n"/>
      <c r="C172" s="30" t="n"/>
      <c r="D172" s="324" t="n"/>
      <c r="E172" s="53" t="n"/>
      <c r="F172" s="53" t="n"/>
      <c r="G172" s="55" t="n"/>
      <c r="H172" s="57" t="n"/>
      <c r="I172" s="55" t="n"/>
      <c r="J172" s="56" t="n"/>
      <c r="K172" s="56" t="n"/>
      <c r="L172" s="34">
        <f>HYPERLINK(Table65[[#This Row],[Column1]])</f>
        <v/>
      </c>
    </row>
    <row r="173" ht="45" customHeight="1" s="290">
      <c r="A173" s="30" t="n"/>
      <c r="B173" s="30" t="n"/>
      <c r="C173" s="30" t="n"/>
      <c r="D173" s="324" t="n"/>
      <c r="E173" s="53" t="n"/>
      <c r="F173" s="53" t="n"/>
      <c r="G173" s="55" t="n"/>
      <c r="H173" s="57" t="n"/>
      <c r="I173" s="55" t="n"/>
      <c r="J173" s="56" t="n"/>
      <c r="K173" s="56" t="n"/>
      <c r="L173" s="34">
        <f>HYPERLINK(Table65[[#This Row],[Column1]])</f>
        <v/>
      </c>
    </row>
    <row r="174" ht="45" customHeight="1" s="290">
      <c r="A174" s="30" t="n"/>
      <c r="B174" s="30" t="n"/>
      <c r="C174" s="30" t="n"/>
      <c r="D174" s="324" t="n"/>
      <c r="E174" s="53" t="n"/>
      <c r="F174" s="53" t="n"/>
      <c r="G174" s="55" t="n"/>
      <c r="H174" s="57" t="n"/>
      <c r="I174" s="55" t="n"/>
      <c r="J174" s="56" t="n"/>
      <c r="K174" s="56" t="n"/>
      <c r="L174" s="34">
        <f>HYPERLINK(Table65[[#This Row],[Column1]])</f>
        <v/>
      </c>
    </row>
    <row r="175" ht="45" customHeight="1" s="290">
      <c r="A175" s="30" t="n"/>
      <c r="B175" s="30" t="n"/>
      <c r="C175" s="30" t="n"/>
      <c r="D175" s="324" t="n"/>
      <c r="E175" s="53" t="n"/>
      <c r="F175" s="53" t="n"/>
      <c r="G175" s="55" t="n"/>
      <c r="H175" s="57" t="n"/>
      <c r="I175" s="55" t="n"/>
      <c r="J175" s="56" t="n"/>
      <c r="K175" s="56" t="n"/>
      <c r="L175" s="34">
        <f>HYPERLINK(Table65[[#This Row],[Column1]])</f>
        <v/>
      </c>
    </row>
    <row r="176" ht="60" customHeight="1" s="290">
      <c r="A176" s="30" t="n"/>
      <c r="B176" s="30" t="n"/>
      <c r="C176" s="30" t="n"/>
      <c r="D176" s="324" t="n"/>
      <c r="E176" s="53" t="n"/>
      <c r="F176" s="53" t="n"/>
      <c r="G176" s="55" t="n"/>
      <c r="H176" s="57" t="n"/>
      <c r="I176" s="55" t="n"/>
      <c r="J176" s="56" t="n"/>
      <c r="K176" s="56" t="n"/>
      <c r="L176" s="34">
        <f>HYPERLINK(Table65[[#This Row],[Column1]])</f>
        <v/>
      </c>
    </row>
    <row r="177" ht="45" customHeight="1" s="290">
      <c r="A177" s="30" t="n"/>
      <c r="B177" s="30" t="n"/>
      <c r="C177" s="30" t="n"/>
      <c r="D177" s="324" t="n"/>
      <c r="E177" s="53" t="n"/>
      <c r="F177" s="53" t="n"/>
      <c r="G177" s="55" t="n"/>
      <c r="H177" s="57" t="n"/>
      <c r="I177" s="55" t="n"/>
      <c r="J177" s="56" t="n"/>
      <c r="K177" s="56" t="n"/>
      <c r="L177" s="34">
        <f>HYPERLINK(Table65[[#This Row],[Column1]])</f>
        <v/>
      </c>
    </row>
    <row r="178" ht="45" customHeight="1" s="290">
      <c r="A178" s="30" t="n"/>
      <c r="B178" s="30" t="n"/>
      <c r="C178" s="30" t="n"/>
      <c r="D178" s="324" t="n"/>
      <c r="E178" s="53" t="n"/>
      <c r="F178" s="53" t="n"/>
      <c r="G178" s="55" t="n"/>
      <c r="H178" s="57" t="n"/>
      <c r="I178" s="55" t="n"/>
      <c r="J178" s="56" t="n"/>
      <c r="K178" s="56" t="n"/>
      <c r="L178" s="34">
        <f>HYPERLINK(Table65[[#This Row],[Column1]])</f>
        <v/>
      </c>
    </row>
    <row r="179" ht="30" customHeight="1" s="290">
      <c r="A179" s="30" t="n"/>
      <c r="B179" s="30" t="n"/>
      <c r="C179" s="30" t="n"/>
      <c r="D179" s="324" t="n"/>
      <c r="E179" s="53" t="n"/>
      <c r="F179" s="53" t="n"/>
      <c r="G179" s="55" t="n"/>
      <c r="H179" s="57" t="n"/>
      <c r="I179" s="55" t="n"/>
      <c r="J179" s="56" t="n"/>
      <c r="K179" s="56" t="n"/>
      <c r="L179" s="34">
        <f>HYPERLINK(Table65[[#This Row],[Column1]])</f>
        <v/>
      </c>
    </row>
    <row r="180" ht="45" customHeight="1" s="290">
      <c r="A180" s="30" t="n"/>
      <c r="B180" s="30" t="n"/>
      <c r="C180" s="30" t="n"/>
      <c r="D180" s="324" t="n"/>
      <c r="E180" s="53" t="n"/>
      <c r="F180" s="53" t="n"/>
      <c r="G180" s="55" t="n"/>
      <c r="H180" s="57" t="n"/>
      <c r="I180" s="55" t="n"/>
      <c r="J180" s="56" t="n"/>
      <c r="K180" s="56" t="n"/>
      <c r="L180" s="34">
        <f>HYPERLINK(Table65[[#This Row],[Column1]])</f>
        <v/>
      </c>
    </row>
    <row r="181" ht="45" customHeight="1" s="290">
      <c r="A181" s="30" t="n"/>
      <c r="B181" s="30" t="n"/>
      <c r="C181" s="30" t="n"/>
      <c r="D181" s="324" t="n"/>
      <c r="E181" s="53" t="n"/>
      <c r="F181" s="53" t="n"/>
      <c r="G181" s="55" t="n"/>
      <c r="H181" s="57" t="n"/>
      <c r="I181" s="55" t="n"/>
      <c r="J181" s="56" t="n"/>
      <c r="K181" s="56" t="n"/>
      <c r="L181" s="34">
        <f>HYPERLINK(Table65[[#This Row],[Column1]])</f>
        <v/>
      </c>
    </row>
    <row r="182" ht="45" customHeight="1" s="290">
      <c r="A182" s="30" t="n"/>
      <c r="B182" s="30" t="n"/>
      <c r="C182" s="30" t="n"/>
      <c r="D182" s="324" t="n"/>
      <c r="E182" s="53" t="n"/>
      <c r="F182" s="53" t="n"/>
      <c r="G182" s="55" t="n"/>
      <c r="H182" s="57" t="n"/>
      <c r="I182" s="55" t="n"/>
      <c r="J182" s="56" t="n"/>
      <c r="K182" s="56" t="n"/>
      <c r="L182" s="34">
        <f>HYPERLINK(Table65[[#This Row],[Column1]])</f>
        <v/>
      </c>
    </row>
    <row r="183" ht="45" customHeight="1" s="290">
      <c r="A183" s="30" t="n"/>
      <c r="B183" s="30" t="n"/>
      <c r="C183" s="30" t="n"/>
      <c r="D183" s="324" t="n"/>
      <c r="E183" s="53" t="n"/>
      <c r="F183" s="53" t="n"/>
      <c r="G183" s="55" t="n"/>
      <c r="H183" s="57" t="n"/>
      <c r="I183" s="55" t="n"/>
      <c r="J183" s="56" t="n"/>
      <c r="K183" s="56" t="n"/>
      <c r="L183" s="34">
        <f>HYPERLINK(Table65[[#This Row],[Column1]])</f>
        <v/>
      </c>
    </row>
    <row r="184" ht="45" customHeight="1" s="290">
      <c r="A184" s="30" t="n"/>
      <c r="B184" s="30" t="n"/>
      <c r="C184" s="30" t="n"/>
      <c r="D184" s="324" t="n"/>
      <c r="E184" s="53" t="n"/>
      <c r="F184" s="53" t="n"/>
      <c r="G184" s="55" t="n"/>
      <c r="H184" s="57" t="n"/>
      <c r="I184" s="55" t="n"/>
      <c r="J184" s="56" t="n"/>
      <c r="K184" s="56" t="n"/>
      <c r="L184" s="34">
        <f>HYPERLINK(Table65[[#This Row],[Column1]])</f>
        <v/>
      </c>
    </row>
    <row r="185" ht="45" customHeight="1" s="290">
      <c r="A185" s="30" t="n"/>
      <c r="B185" s="30" t="n"/>
      <c r="C185" s="30" t="n"/>
      <c r="D185" s="324" t="n"/>
      <c r="E185" s="53" t="n"/>
      <c r="F185" s="53" t="n"/>
      <c r="G185" s="55" t="n"/>
      <c r="H185" s="57" t="n"/>
      <c r="I185" s="55" t="n"/>
      <c r="J185" s="56" t="n"/>
      <c r="K185" s="56" t="n"/>
      <c r="L185" s="34">
        <f>HYPERLINK(Table65[[#This Row],[Column1]])</f>
        <v/>
      </c>
    </row>
    <row r="186" ht="60" customHeight="1" s="290">
      <c r="A186" s="30" t="n"/>
      <c r="B186" s="30" t="n"/>
      <c r="C186" s="30" t="n"/>
      <c r="D186" s="324" t="n"/>
      <c r="E186" s="53" t="n"/>
      <c r="F186" s="53" t="n"/>
      <c r="G186" s="55" t="n"/>
      <c r="H186" s="57" t="n"/>
      <c r="I186" s="55" t="n"/>
      <c r="J186" s="56" t="n"/>
      <c r="K186" s="56" t="n"/>
      <c r="L186" s="34">
        <f>HYPERLINK(Table65[[#This Row],[Column1]])</f>
        <v/>
      </c>
    </row>
    <row r="187" ht="45" customHeight="1" s="290">
      <c r="A187" s="30" t="n"/>
      <c r="B187" s="30" t="n"/>
      <c r="C187" s="30" t="n"/>
      <c r="D187" s="324" t="n"/>
      <c r="E187" s="53" t="n"/>
      <c r="F187" s="53" t="n"/>
      <c r="G187" s="55" t="n"/>
      <c r="H187" s="57" t="n"/>
      <c r="I187" s="55" t="n"/>
      <c r="J187" s="56" t="n"/>
      <c r="K187" s="56" t="n"/>
      <c r="L187" s="34">
        <f>HYPERLINK(Table65[[#This Row],[Column1]])</f>
        <v/>
      </c>
    </row>
    <row r="188" ht="45" customHeight="1" s="290">
      <c r="A188" s="30" t="n"/>
      <c r="B188" s="30" t="n"/>
      <c r="C188" s="30" t="n"/>
      <c r="D188" s="324" t="n"/>
      <c r="E188" s="53" t="n"/>
      <c r="F188" s="53" t="n"/>
      <c r="G188" s="55" t="n"/>
      <c r="H188" s="57" t="n"/>
      <c r="I188" s="55" t="n"/>
      <c r="J188" s="56" t="n"/>
      <c r="K188" s="56" t="n"/>
      <c r="L188" s="34">
        <f>HYPERLINK(Table65[[#This Row],[Column1]])</f>
        <v/>
      </c>
    </row>
    <row r="189" ht="45" customHeight="1" s="290">
      <c r="A189" s="30" t="n"/>
      <c r="B189" s="30" t="n"/>
      <c r="C189" s="30" t="n"/>
      <c r="D189" s="324" t="n"/>
      <c r="E189" s="53" t="n"/>
      <c r="F189" s="53" t="n"/>
      <c r="G189" s="55" t="n"/>
      <c r="H189" s="57" t="n"/>
      <c r="I189" s="55" t="n"/>
      <c r="J189" s="56" t="n"/>
      <c r="K189" s="56" t="n"/>
      <c r="L189" s="34">
        <f>HYPERLINK(Table65[[#This Row],[Column1]])</f>
        <v/>
      </c>
    </row>
    <row r="190" ht="60" customHeight="1" s="290">
      <c r="A190" s="30" t="n"/>
      <c r="B190" s="30" t="n"/>
      <c r="C190" s="30" t="n"/>
      <c r="D190" s="324" t="n"/>
      <c r="E190" s="53" t="n"/>
      <c r="F190" s="53" t="n"/>
      <c r="G190" s="55" t="n"/>
      <c r="H190" s="57" t="n"/>
      <c r="I190" s="55" t="n"/>
      <c r="J190" s="56" t="n"/>
      <c r="K190" s="56" t="n"/>
      <c r="L190" s="34">
        <f>HYPERLINK(Table65[[#This Row],[Column1]])</f>
        <v/>
      </c>
    </row>
    <row r="191" ht="45" customHeight="1" s="290">
      <c r="A191" s="30" t="n"/>
      <c r="B191" s="30" t="n"/>
      <c r="C191" s="30" t="n"/>
      <c r="D191" s="324" t="n"/>
      <c r="E191" s="53" t="n"/>
      <c r="F191" s="53" t="n"/>
      <c r="G191" s="55" t="n"/>
      <c r="H191" s="57" t="n"/>
      <c r="I191" s="55" t="n"/>
      <c r="J191" s="56" t="n"/>
      <c r="K191" s="56" t="n"/>
      <c r="L191" s="34">
        <f>HYPERLINK(Table65[[#This Row],[Column1]])</f>
        <v/>
      </c>
    </row>
    <row r="192" ht="45" customHeight="1" s="290">
      <c r="A192" s="30" t="n"/>
      <c r="B192" s="30" t="n"/>
      <c r="C192" s="30" t="n"/>
      <c r="D192" s="324" t="n"/>
      <c r="E192" s="53" t="n"/>
      <c r="F192" s="53" t="n"/>
      <c r="G192" s="55" t="n"/>
      <c r="H192" s="57" t="n"/>
      <c r="I192" s="55" t="n"/>
      <c r="J192" s="56" t="n"/>
      <c r="K192" s="56" t="n"/>
      <c r="L192" s="34">
        <f>HYPERLINK(Table65[[#This Row],[Column1]])</f>
        <v/>
      </c>
    </row>
    <row r="193" ht="60" customHeight="1" s="290">
      <c r="A193" s="30" t="n"/>
      <c r="B193" s="30" t="n"/>
      <c r="C193" s="30" t="n"/>
      <c r="D193" s="324" t="n"/>
      <c r="E193" s="53" t="n"/>
      <c r="F193" s="53" t="n"/>
      <c r="G193" s="55" t="n"/>
      <c r="H193" s="57" t="n"/>
      <c r="I193" s="55" t="n"/>
      <c r="J193" s="56" t="n"/>
      <c r="K193" s="56" t="n"/>
      <c r="L193" s="34">
        <f>HYPERLINK(Table65[[#This Row],[Column1]])</f>
        <v/>
      </c>
    </row>
    <row r="194" ht="45" customHeight="1" s="290">
      <c r="A194" s="30" t="n"/>
      <c r="B194" s="30" t="n"/>
      <c r="C194" s="30" t="n"/>
      <c r="D194" s="324" t="n"/>
      <c r="E194" s="53" t="n"/>
      <c r="F194" s="53" t="n"/>
      <c r="G194" s="55" t="n"/>
      <c r="H194" s="57" t="n"/>
      <c r="I194" s="55" t="n"/>
      <c r="J194" s="56" t="n"/>
      <c r="K194" s="56" t="n"/>
      <c r="L194" s="34">
        <f>HYPERLINK(Table65[[#This Row],[Column1]])</f>
        <v/>
      </c>
    </row>
    <row r="195" ht="45" customHeight="1" s="290">
      <c r="A195" s="30" t="n"/>
      <c r="B195" s="30" t="n"/>
      <c r="C195" s="30" t="n"/>
      <c r="D195" s="324" t="n"/>
      <c r="E195" s="53" t="n"/>
      <c r="F195" s="53" t="n"/>
      <c r="G195" s="55" t="n"/>
      <c r="H195" s="57" t="n"/>
      <c r="I195" s="55" t="n"/>
      <c r="J195" s="56" t="n"/>
      <c r="K195" s="56" t="n"/>
      <c r="L195" s="34">
        <f>HYPERLINK(Table65[[#This Row],[Column1]])</f>
        <v/>
      </c>
    </row>
    <row r="196" ht="45" customHeight="1" s="290">
      <c r="A196" s="30" t="n"/>
      <c r="B196" s="30" t="n"/>
      <c r="C196" s="30" t="n"/>
      <c r="D196" s="324" t="n"/>
      <c r="E196" s="53" t="n"/>
      <c r="F196" s="53" t="n"/>
      <c r="G196" s="55" t="n"/>
      <c r="H196" s="57" t="n"/>
      <c r="I196" s="55" t="n"/>
      <c r="J196" s="56" t="n"/>
      <c r="K196" s="56" t="n"/>
      <c r="L196" s="34">
        <f>HYPERLINK(Table65[[#This Row],[Column1]])</f>
        <v/>
      </c>
    </row>
    <row r="197" ht="45" customHeight="1" s="290">
      <c r="A197" s="30" t="n"/>
      <c r="B197" s="30" t="n"/>
      <c r="C197" s="30" t="n"/>
      <c r="D197" s="324" t="n"/>
      <c r="E197" s="53" t="n"/>
      <c r="F197" s="53" t="n"/>
      <c r="G197" s="55" t="n"/>
      <c r="H197" s="57" t="n"/>
      <c r="I197" s="55" t="n"/>
      <c r="J197" s="56" t="n"/>
      <c r="K197" s="56" t="n"/>
      <c r="L197" s="34">
        <f>HYPERLINK(Table65[[#This Row],[Column1]])</f>
        <v/>
      </c>
    </row>
    <row r="198" ht="45" customHeight="1" s="290">
      <c r="A198" s="30" t="n"/>
      <c r="B198" s="30" t="n"/>
      <c r="C198" s="30" t="n"/>
      <c r="D198" s="324" t="n"/>
      <c r="E198" s="53" t="n"/>
      <c r="F198" s="53" t="n"/>
      <c r="G198" s="55" t="n"/>
      <c r="H198" s="57" t="n"/>
      <c r="I198" s="55" t="n"/>
      <c r="J198" s="56" t="n"/>
      <c r="K198" s="56" t="n"/>
      <c r="L198" s="34">
        <f>HYPERLINK(Table65[[#This Row],[Column1]])</f>
        <v/>
      </c>
    </row>
    <row r="199" ht="45" customHeight="1" s="290">
      <c r="A199" s="30" t="n"/>
      <c r="B199" s="30" t="n"/>
      <c r="C199" s="30" t="n"/>
      <c r="D199" s="324" t="n"/>
      <c r="E199" s="53" t="n"/>
      <c r="F199" s="53" t="n"/>
      <c r="G199" s="55" t="n"/>
      <c r="H199" s="57" t="n"/>
      <c r="I199" s="55" t="n"/>
      <c r="J199" s="56" t="n"/>
      <c r="K199" s="56" t="n"/>
      <c r="L199" s="34">
        <f>HYPERLINK(Table65[[#This Row],[Column1]])</f>
        <v/>
      </c>
    </row>
    <row r="200" ht="45" customHeight="1" s="290">
      <c r="A200" s="30" t="n"/>
      <c r="B200" s="30" t="n"/>
      <c r="C200" s="30" t="n"/>
      <c r="D200" s="324" t="n"/>
      <c r="E200" s="53" t="n"/>
      <c r="F200" s="53" t="n"/>
      <c r="G200" s="55" t="n"/>
      <c r="H200" s="57" t="n"/>
      <c r="I200" s="55" t="n"/>
      <c r="J200" s="56" t="n"/>
      <c r="K200" s="56" t="n"/>
      <c r="L200" s="34">
        <f>HYPERLINK(Table65[[#This Row],[Column1]])</f>
        <v/>
      </c>
    </row>
    <row r="201" ht="45" customHeight="1" s="290">
      <c r="A201" s="30" t="n"/>
      <c r="B201" s="30" t="n"/>
      <c r="C201" s="30" t="n"/>
      <c r="D201" s="324" t="n"/>
      <c r="E201" s="53" t="n"/>
      <c r="F201" s="53" t="n"/>
      <c r="G201" s="55" t="n"/>
      <c r="H201" s="57" t="n"/>
      <c r="I201" s="55" t="n"/>
      <c r="J201" s="56" t="n"/>
      <c r="K201" s="56" t="n"/>
      <c r="L201" s="34">
        <f>HYPERLINK(Table65[[#This Row],[Column1]])</f>
        <v/>
      </c>
    </row>
    <row r="202" ht="45" customHeight="1" s="290">
      <c r="A202" s="30" t="n"/>
      <c r="B202" s="30" t="n"/>
      <c r="C202" s="30" t="n"/>
      <c r="D202" s="324" t="n"/>
      <c r="E202" s="53" t="n"/>
      <c r="F202" s="53" t="n"/>
      <c r="G202" s="55" t="n"/>
      <c r="H202" s="57" t="n"/>
      <c r="I202" s="55" t="n"/>
      <c r="J202" s="56" t="n"/>
      <c r="K202" s="56" t="n"/>
      <c r="L202" s="34">
        <f>HYPERLINK(Table65[[#This Row],[Column1]])</f>
        <v/>
      </c>
    </row>
    <row r="203" ht="45" customHeight="1" s="290">
      <c r="A203" s="30" t="n"/>
      <c r="B203" s="30" t="n"/>
      <c r="C203" s="30" t="n"/>
      <c r="D203" s="324" t="n"/>
      <c r="E203" s="53" t="n"/>
      <c r="F203" s="53" t="n"/>
      <c r="G203" s="55" t="n"/>
      <c r="H203" s="57" t="n"/>
      <c r="I203" s="55" t="n"/>
      <c r="J203" s="56" t="n"/>
      <c r="K203" s="56" t="n"/>
      <c r="L203" s="34">
        <f>HYPERLINK(Table65[[#This Row],[Column1]])</f>
        <v/>
      </c>
    </row>
    <row r="204" ht="17" customHeight="1" s="290">
      <c r="A204" s="30" t="n"/>
      <c r="B204" s="30" t="n"/>
      <c r="C204" s="30" t="n"/>
      <c r="D204" s="324" t="n"/>
      <c r="E204" s="53" t="n"/>
      <c r="F204" s="53" t="n"/>
      <c r="G204" s="55" t="n"/>
      <c r="H204" s="57" t="n"/>
      <c r="I204" s="55" t="n"/>
      <c r="J204" s="56" t="n"/>
      <c r="K204" s="56" t="n"/>
      <c r="L204" s="34">
        <f>HYPERLINK(Table65[[#This Row],[Column1]])</f>
        <v/>
      </c>
    </row>
    <row r="205" ht="30" customHeight="1" s="290">
      <c r="A205" s="30" t="n"/>
      <c r="B205" s="30" t="n"/>
      <c r="C205" s="30" t="n"/>
      <c r="D205" s="324" t="n"/>
      <c r="E205" s="53" t="n"/>
      <c r="F205" s="53" t="n"/>
      <c r="G205" s="55" t="n"/>
      <c r="H205" s="57" t="n"/>
      <c r="I205" s="55" t="n"/>
      <c r="J205" s="56" t="n"/>
      <c r="K205" s="56" t="n"/>
      <c r="L205" s="34">
        <f>HYPERLINK(Table65[[#This Row],[Column1]])</f>
        <v/>
      </c>
    </row>
    <row r="206" ht="45" customHeight="1" s="290">
      <c r="A206" s="30" t="n"/>
      <c r="B206" s="30" t="n"/>
      <c r="C206" s="30" t="n"/>
      <c r="D206" s="324" t="n"/>
      <c r="E206" s="53" t="n"/>
      <c r="F206" s="53" t="n"/>
      <c r="G206" s="55" t="n"/>
      <c r="H206" s="57" t="n"/>
      <c r="I206" s="55" t="n"/>
      <c r="J206" s="56" t="n"/>
      <c r="K206" s="56" t="n"/>
      <c r="L206" s="34">
        <f>HYPERLINK(Table65[[#This Row],[Column1]])</f>
        <v/>
      </c>
    </row>
    <row r="207" ht="45" customHeight="1" s="290">
      <c r="A207" s="30" t="n"/>
      <c r="B207" s="30" t="n"/>
      <c r="C207" s="30" t="n"/>
      <c r="D207" s="324" t="n"/>
      <c r="E207" s="53" t="n"/>
      <c r="F207" s="53" t="n"/>
      <c r="G207" s="55" t="n"/>
      <c r="H207" s="57" t="n"/>
      <c r="I207" s="55" t="n"/>
      <c r="J207" s="56" t="n"/>
      <c r="K207" s="56" t="n"/>
      <c r="L207" s="34">
        <f>HYPERLINK(Table65[[#This Row],[Column1]])</f>
        <v/>
      </c>
    </row>
    <row r="208" ht="17" customHeight="1" s="290">
      <c r="A208" s="33" t="inlineStr">
        <is>
          <t>Total</t>
        </is>
      </c>
      <c r="B208" s="32" t="n"/>
      <c r="C208" s="325" t="n"/>
      <c r="D208" s="59" t="n"/>
      <c r="E208" s="32" t="n"/>
      <c r="F208" s="32" t="n"/>
      <c r="G208" s="36">
        <f>SUM(G133:G207)</f>
        <v/>
      </c>
      <c r="H208" s="36">
        <f>SUM(H133:H207)</f>
        <v/>
      </c>
      <c r="I208" s="36" t="n"/>
      <c r="J208" s="167" t="n"/>
      <c r="K208" s="168" t="n"/>
      <c r="L208" s="32" t="n"/>
    </row>
  </sheetData>
  <mergeCells count="3">
    <mergeCell ref="A1:M5"/>
    <mergeCell ref="A131:L131"/>
    <mergeCell ref="A51:L51"/>
  </mergeCells>
  <pageMargins left="0.7" right="0.7" top="0.75" bottom="0.75" header="0.3" footer="0.3"/>
  <drawing xmlns:r="http://schemas.openxmlformats.org/officeDocument/2006/relationships" r:id="rId1"/>
  <tableParts count="2">
    <tablePart xmlns:r="http://schemas.openxmlformats.org/officeDocument/2006/relationships" r:id="rId2"/>
    <tablePart xmlns:r="http://schemas.openxmlformats.org/officeDocument/2006/relationships" r:id="rId3"/>
  </tableParts>
</worksheet>
</file>

<file path=xl/worksheets/sheet32.xml><?xml version="1.0" encoding="utf-8"?>
<worksheet xmlns="http://schemas.openxmlformats.org/spreadsheetml/2006/main">
  <sheetPr codeName="Sheet6">
    <outlinePr summaryBelow="1" summaryRight="1"/>
    <pageSetUpPr/>
  </sheetPr>
  <dimension ref="A1:Q208"/>
  <sheetViews>
    <sheetView workbookViewId="0">
      <selection activeCell="A1" sqref="A1"/>
    </sheetView>
  </sheetViews>
  <sheetFormatPr baseColWidth="10" defaultColWidth="10.83203125" defaultRowHeight="16"/>
  <cols>
    <col width="50.6640625" customWidth="1" style="284" min="1" max="1"/>
    <col width="12.6640625" customWidth="1" style="284" min="2" max="2"/>
    <col width="12.6640625" customWidth="1" style="320" min="3" max="3"/>
    <col width="11.1640625" customWidth="1" style="296" min="4" max="4"/>
    <col width="24.83203125" bestFit="1" customWidth="1" style="284" min="5" max="5"/>
    <col width="17.6640625" bestFit="1" customWidth="1" style="286" min="6" max="6"/>
    <col width="21.6640625" bestFit="1" customWidth="1" style="286" min="7" max="7"/>
    <col width="19.1640625" bestFit="1" customWidth="1" style="286" min="8" max="8"/>
    <col width="13.5" bestFit="1" customWidth="1" style="287" min="9" max="9"/>
    <col width="13" bestFit="1" customWidth="1" style="284" min="10" max="10"/>
    <col hidden="1" width="29" customWidth="1" style="284" min="11" max="11"/>
    <col width="35.6640625" customWidth="1" style="284" min="12" max="12"/>
    <col width="15.6640625" customWidth="1" style="284" min="13" max="13"/>
    <col width="10.83203125" customWidth="1" style="284" min="14" max="16384"/>
  </cols>
  <sheetData>
    <row r="1">
      <c r="A1" s="282" t="inlineStr">
        <is>
          <t>Mucar Monthly Summary</t>
        </is>
      </c>
    </row>
    <row r="2"/>
    <row r="3"/>
    <row r="4"/>
    <row r="5"/>
    <row r="6">
      <c r="A6" s="29" t="n"/>
      <c r="B6" s="29" t="n"/>
      <c r="C6" s="321" t="n"/>
      <c r="D6" s="47" t="n"/>
      <c r="E6" s="48" t="n"/>
      <c r="F6" s="48" t="n"/>
      <c r="G6" s="48" t="n"/>
      <c r="H6" s="48" t="n"/>
      <c r="I6" s="49" t="n"/>
      <c r="J6" s="50" t="n"/>
    </row>
    <row r="7" ht="32" customHeight="1" s="290">
      <c r="A7" s="80" t="n"/>
      <c r="B7" s="81" t="inlineStr">
        <is>
          <t>Avg Price</t>
        </is>
      </c>
      <c r="C7" s="81" t="inlineStr">
        <is>
          <t>Avg Price MoM</t>
        </is>
      </c>
      <c r="D7" s="82" t="inlineStr">
        <is>
          <t>Avg Price YoY</t>
        </is>
      </c>
      <c r="E7" s="81" t="inlineStr">
        <is>
          <t>Quantity/Mo</t>
        </is>
      </c>
      <c r="F7" s="84" t="inlineStr">
        <is>
          <t>Qty by %</t>
        </is>
      </c>
      <c r="G7" s="84" t="inlineStr">
        <is>
          <t>Qty MoM</t>
        </is>
      </c>
      <c r="H7" s="82" t="inlineStr">
        <is>
          <t>Qty YoY</t>
        </is>
      </c>
      <c r="I7" s="309" t="inlineStr">
        <is>
          <t>Revenue/Mo</t>
        </is>
      </c>
      <c r="J7" s="126" t="inlineStr">
        <is>
          <t>Revenue by %</t>
        </is>
      </c>
      <c r="K7" s="173" t="n"/>
      <c r="L7" s="126" t="inlineStr">
        <is>
          <t>Revenue MoM</t>
        </is>
      </c>
      <c r="M7" s="310" t="inlineStr">
        <is>
          <t>Revenue YoY</t>
        </is>
      </c>
      <c r="N7" s="286" t="n"/>
      <c r="O7" s="286" t="n"/>
      <c r="P7" s="49" t="n"/>
      <c r="Q7" s="50" t="n"/>
    </row>
    <row r="8">
      <c r="A8" s="93" t="inlineStr">
        <is>
          <t>Tablet $800+</t>
        </is>
      </c>
      <c r="B8" s="298" t="n"/>
      <c r="C8" s="270" t="n"/>
      <c r="D8" s="271" t="n"/>
      <c r="E8" s="269" t="n">
        <v>0</v>
      </c>
      <c r="F8" s="270" t="n">
        <v>0</v>
      </c>
      <c r="G8" s="270" t="n"/>
      <c r="H8" s="271" t="n"/>
      <c r="I8" s="95" t="n">
        <v>0</v>
      </c>
      <c r="J8" s="128" t="n">
        <v>0</v>
      </c>
      <c r="L8" s="169" t="n"/>
      <c r="M8" s="169" t="n"/>
      <c r="N8" s="286" t="n"/>
      <c r="O8" s="286" t="n"/>
      <c r="P8" s="49" t="n"/>
      <c r="Q8" s="50" t="n"/>
    </row>
    <row r="9">
      <c r="A9" s="93" t="inlineStr">
        <is>
          <t>Tablet $400-$800</t>
        </is>
      </c>
      <c r="B9" s="298" t="n">
        <v>644.8303478260869</v>
      </c>
      <c r="C9" s="270" t="n">
        <v>0.006527668348227378</v>
      </c>
      <c r="D9" s="271" t="n"/>
      <c r="E9" s="269" t="n">
        <v>575</v>
      </c>
      <c r="F9" s="270" t="n">
        <v>0.3398345153664303</v>
      </c>
      <c r="G9" s="270" t="n">
        <v>0.3466042154566744</v>
      </c>
      <c r="H9" s="271" t="n">
        <v>13.02439024390244</v>
      </c>
      <c r="I9" s="95" t="n">
        <v>370777.45</v>
      </c>
      <c r="J9" s="128" t="n">
        <v>0.6223128397794744</v>
      </c>
      <c r="L9" s="169" t="n">
        <v>0.3553944011715005</v>
      </c>
      <c r="M9" s="169" t="n"/>
      <c r="N9" s="286" t="n"/>
      <c r="O9" s="286" t="n"/>
      <c r="P9" s="49" t="n"/>
      <c r="Q9" s="50" t="n"/>
    </row>
    <row r="10">
      <c r="A10" s="96" t="inlineStr">
        <is>
          <t>Tablet $400-</t>
        </is>
      </c>
      <c r="B10" s="299" t="n">
        <v>224.2608673469388</v>
      </c>
      <c r="C10" s="274" t="n">
        <v>0.04591014324808551</v>
      </c>
      <c r="D10" s="275" t="n">
        <v>0.4201515642352689</v>
      </c>
      <c r="E10" s="273" t="n">
        <v>980</v>
      </c>
      <c r="F10" s="274" t="n">
        <v>0.5791962174940898</v>
      </c>
      <c r="G10" s="274" t="n">
        <v>0.01871101871101866</v>
      </c>
      <c r="H10" s="275" t="n">
        <v>162.3333333333333</v>
      </c>
      <c r="I10" s="98" t="n">
        <v>219775.65</v>
      </c>
      <c r="J10" s="127" t="n">
        <v>0.3688714318140972</v>
      </c>
      <c r="L10" s="171" t="n">
        <v>0.06548018750844475</v>
      </c>
      <c r="M10" s="171" t="n">
        <v>230.9580888250939</v>
      </c>
      <c r="N10" s="286" t="n"/>
      <c r="O10" s="286" t="n"/>
      <c r="P10" s="49" t="n"/>
      <c r="Q10" s="50" t="n"/>
    </row>
    <row r="11">
      <c r="A11" s="101" t="inlineStr">
        <is>
          <t>Total Tablet</t>
        </is>
      </c>
      <c r="B11" s="300" t="n">
        <v>379.7769131832797</v>
      </c>
      <c r="C11" s="112" t="n">
        <v>0.09937801286119496</v>
      </c>
      <c r="D11" s="104" t="n">
        <v>17.83893582937281</v>
      </c>
      <c r="E11" s="116" t="n">
        <v>1555</v>
      </c>
      <c r="F11" s="112" t="n">
        <v>0.9190307328605201</v>
      </c>
      <c r="G11" s="112" t="n">
        <v>0.1195104391648667</v>
      </c>
      <c r="H11" s="104" t="n">
        <v>32.08510638297872</v>
      </c>
      <c r="I11" s="103" t="n">
        <v>590553.1</v>
      </c>
      <c r="J11" s="129" t="n">
        <v>0.9911842715935715</v>
      </c>
      <c r="L11" s="170" t="n">
        <v>0.2307651619864353</v>
      </c>
      <c r="M11" s="170" t="n">
        <v>622.2881960569088</v>
      </c>
      <c r="N11" s="286" t="n"/>
      <c r="O11" s="286" t="n"/>
      <c r="P11" s="49" t="n"/>
      <c r="Q11" s="50" t="n"/>
    </row>
    <row r="12">
      <c r="A12" s="93" t="inlineStr">
        <is>
          <t>Handheld $75+</t>
        </is>
      </c>
      <c r="B12" s="298" t="n">
        <v>106.9155555555556</v>
      </c>
      <c r="C12" s="270" t="n">
        <v>-0.02024152659207679</v>
      </c>
      <c r="D12" s="271" t="n">
        <v>0.02636068258406654</v>
      </c>
      <c r="E12" s="269" t="n">
        <v>18</v>
      </c>
      <c r="F12" s="270" t="n">
        <v>0.01063829787234043</v>
      </c>
      <c r="G12" s="270" t="n">
        <v>-0.28</v>
      </c>
      <c r="H12" s="271" t="n">
        <v>-0.6170212765957447</v>
      </c>
      <c r="I12" s="95" t="n">
        <v>1924.48</v>
      </c>
      <c r="J12" s="128" t="n">
        <v>0.003230047064347637</v>
      </c>
      <c r="L12" s="169" t="n">
        <v>-0.2945738991462953</v>
      </c>
      <c r="M12" s="169" t="n">
        <v>-0.606925696031634</v>
      </c>
      <c r="N12" s="286" t="n"/>
      <c r="O12" s="286" t="n"/>
      <c r="P12" s="49" t="n"/>
      <c r="Q12" s="50" t="n"/>
    </row>
    <row r="13">
      <c r="A13" s="96" t="inlineStr">
        <is>
          <t>Handheld $75-</t>
        </is>
      </c>
      <c r="B13" s="299" t="n">
        <v>27.96621848739496</v>
      </c>
      <c r="C13" s="274" t="n">
        <v>0.3464422950491062</v>
      </c>
      <c r="D13" s="275" t="n">
        <v>0.43461464496882</v>
      </c>
      <c r="E13" s="273" t="n">
        <v>119</v>
      </c>
      <c r="F13" s="274" t="n">
        <v>0.07033096926713948</v>
      </c>
      <c r="G13" s="274" t="n">
        <v>4.409090909090909</v>
      </c>
      <c r="H13" s="275" t="n">
        <v>5.611111111111111</v>
      </c>
      <c r="I13" s="98" t="n">
        <v>3327.98</v>
      </c>
      <c r="J13" s="127" t="n">
        <v>0.005585681342080795</v>
      </c>
      <c r="L13" s="171" t="n">
        <v>6.28302877776562</v>
      </c>
      <c r="M13" s="171" t="n">
        <v>8.484396819516087</v>
      </c>
      <c r="N13" s="286" t="n"/>
      <c r="O13" s="286" t="n"/>
      <c r="P13" s="49" t="n"/>
      <c r="Q13" s="50" t="n"/>
    </row>
    <row r="14">
      <c r="A14" s="101" t="inlineStr">
        <is>
          <t>Total Handheld</t>
        </is>
      </c>
      <c r="B14" s="300" t="n">
        <v>38.33912408759124</v>
      </c>
      <c r="C14" s="112" t="n">
        <v>-0.4342527826424656</v>
      </c>
      <c r="D14" s="104" t="n">
        <v>-0.5250410596636024</v>
      </c>
      <c r="E14" s="116" t="n">
        <v>137</v>
      </c>
      <c r="F14" s="112" t="n">
        <v>0.08096926713947991</v>
      </c>
      <c r="G14" s="112" t="n">
        <v>1.914893617021276</v>
      </c>
      <c r="H14" s="104" t="n">
        <v>1.107692307692308</v>
      </c>
      <c r="I14" s="103" t="n">
        <v>5252.46</v>
      </c>
      <c r="J14" s="129" t="n">
        <v>0.008815728406428433</v>
      </c>
      <c r="L14" s="170" t="n">
        <v>0.6490929527230256</v>
      </c>
      <c r="M14" s="170" t="n">
        <v>0.001067305016714926</v>
      </c>
      <c r="N14" s="286" t="n"/>
      <c r="O14" s="286" t="n"/>
      <c r="P14" s="49" t="n"/>
      <c r="Q14" s="50" t="n"/>
    </row>
    <row r="15">
      <c r="A15" s="78" t="inlineStr">
        <is>
          <t>Total Dongle</t>
        </is>
      </c>
      <c r="B15" s="301" t="n"/>
      <c r="C15" s="113" t="n"/>
      <c r="D15" s="107" t="n"/>
      <c r="E15" s="99" t="n">
        <v>0</v>
      </c>
      <c r="F15" s="113" t="n">
        <v>0</v>
      </c>
      <c r="G15" s="113" t="n"/>
      <c r="H15" s="107" t="n"/>
      <c r="I15" s="76" t="n">
        <v>0</v>
      </c>
      <c r="J15" s="130" t="n">
        <v>0</v>
      </c>
      <c r="L15" s="174" t="n"/>
      <c r="M15" s="174" t="n"/>
      <c r="N15" s="286" t="n"/>
      <c r="O15" s="286" t="n"/>
      <c r="P15" s="49" t="n"/>
      <c r="Q15" s="50" t="n"/>
    </row>
    <row r="16">
      <c r="A16" s="78" t="inlineStr">
        <is>
          <t>Total Other Tools</t>
        </is>
      </c>
      <c r="B16" s="301" t="n"/>
      <c r="C16" s="113" t="n"/>
      <c r="D16" s="107" t="n"/>
      <c r="E16" s="99" t="n">
        <v>0</v>
      </c>
      <c r="F16" s="113" t="n">
        <v>0</v>
      </c>
      <c r="G16" s="113" t="n"/>
      <c r="H16" s="107" t="n"/>
      <c r="I16" s="76" t="n">
        <v>0</v>
      </c>
      <c r="J16" s="130" t="n">
        <v>0</v>
      </c>
      <c r="L16" s="174" t="n"/>
      <c r="M16" s="174" t="n"/>
      <c r="N16" s="286" t="n"/>
      <c r="O16" s="286" t="n"/>
      <c r="P16" s="49" t="n"/>
      <c r="Q16" s="50" t="n"/>
    </row>
    <row r="17">
      <c r="A17" s="86" t="inlineStr">
        <is>
          <t>Total</t>
        </is>
      </c>
      <c r="B17" s="302" t="n">
        <v>352.1309456264776</v>
      </c>
      <c r="C17" s="109" t="n">
        <v>0.04689126343700512</v>
      </c>
      <c r="D17" s="108" t="n">
        <v>5.366887498937012</v>
      </c>
      <c r="E17" s="100" t="n">
        <v>1692</v>
      </c>
      <c r="F17" s="109" t="n">
        <v>1</v>
      </c>
      <c r="G17" s="109" t="n">
        <v>0.1782729805013927</v>
      </c>
      <c r="H17" s="108" t="n">
        <v>14.10714285714286</v>
      </c>
      <c r="I17" s="85" t="n">
        <v>595805.5600000001</v>
      </c>
      <c r="J17" s="109" t="n">
        <v>1</v>
      </c>
      <c r="L17" s="172" t="n">
        <v>0.2335236892307888</v>
      </c>
      <c r="M17" s="172" t="n">
        <v>95.18547900179844</v>
      </c>
      <c r="N17" s="286" t="n"/>
      <c r="O17" s="286" t="n"/>
      <c r="P17" s="49" t="n"/>
      <c r="Q17" s="50" t="n"/>
    </row>
    <row r="18">
      <c r="A18" s="29" t="n"/>
      <c r="B18" s="29" t="n"/>
      <c r="C18" s="321" t="n"/>
      <c r="D18" s="47" t="n"/>
      <c r="E18" s="48" t="n"/>
      <c r="F18" s="48" t="n"/>
      <c r="G18" s="48" t="n"/>
      <c r="H18" s="48" t="n"/>
      <c r="I18" s="49" t="n"/>
      <c r="J18" s="50" t="n"/>
    </row>
    <row r="19">
      <c r="A19" s="29" t="n"/>
      <c r="B19" s="29" t="n"/>
      <c r="C19" s="321" t="n"/>
      <c r="D19" s="47" t="n"/>
      <c r="E19" s="48" t="n"/>
      <c r="F19" s="48" t="n"/>
      <c r="G19" s="48" t="n"/>
      <c r="H19" s="48" t="n"/>
      <c r="I19" s="49" t="n"/>
      <c r="J19" s="50" t="n"/>
    </row>
    <row r="20">
      <c r="A20" s="29" t="n"/>
      <c r="B20" s="29" t="n"/>
      <c r="C20" s="321" t="n"/>
      <c r="D20" s="47" t="n"/>
      <c r="E20" s="48" t="n"/>
      <c r="F20" s="48" t="n"/>
      <c r="G20" s="48" t="n"/>
      <c r="H20" s="48" t="n"/>
      <c r="I20" s="49" t="n"/>
      <c r="J20" s="50" t="n"/>
    </row>
    <row r="21">
      <c r="A21" s="29" t="n"/>
      <c r="B21" s="29" t="n"/>
      <c r="C21" s="321" t="n"/>
      <c r="D21" s="47" t="n"/>
      <c r="E21" s="48" t="n"/>
      <c r="F21" s="48" t="n"/>
      <c r="G21" s="48" t="n"/>
      <c r="H21" s="48" t="n"/>
      <c r="I21" s="49" t="n"/>
      <c r="J21" s="50" t="n"/>
    </row>
    <row r="22">
      <c r="A22" s="29" t="n"/>
      <c r="B22" s="29" t="n"/>
      <c r="C22" s="321" t="n"/>
      <c r="D22" s="47" t="n"/>
      <c r="E22" s="48" t="n"/>
      <c r="F22" s="48" t="n"/>
      <c r="G22" s="48" t="n"/>
      <c r="H22" s="48" t="n"/>
      <c r="I22" s="49" t="n"/>
      <c r="J22" s="50" t="n"/>
    </row>
    <row r="23">
      <c r="A23" s="29" t="n"/>
      <c r="B23" s="29" t="n"/>
      <c r="C23" s="321" t="n"/>
      <c r="D23" s="47" t="n"/>
      <c r="E23" s="48" t="n"/>
      <c r="F23" s="48" t="n"/>
      <c r="G23" s="48" t="n"/>
      <c r="H23" s="48" t="n"/>
      <c r="I23" s="49" t="n"/>
      <c r="J23" s="50" t="n"/>
    </row>
    <row r="24">
      <c r="A24" s="29" t="n"/>
      <c r="B24" s="29" t="n"/>
      <c r="C24" s="321" t="n"/>
      <c r="D24" s="47" t="n"/>
      <c r="E24" s="48" t="n"/>
      <c r="F24" s="48" t="n"/>
      <c r="G24" s="48" t="n"/>
      <c r="H24" s="48" t="n"/>
      <c r="I24" s="49" t="n"/>
      <c r="J24" s="50" t="n"/>
    </row>
    <row r="25">
      <c r="A25" s="29" t="n"/>
      <c r="B25" s="29" t="n"/>
      <c r="C25" s="321" t="n"/>
      <c r="D25" s="47" t="n"/>
      <c r="E25" s="48" t="n"/>
      <c r="F25" s="48" t="n"/>
      <c r="G25" s="48" t="n"/>
      <c r="H25" s="48" t="n"/>
      <c r="I25" s="49" t="n"/>
      <c r="J25" s="50" t="n"/>
    </row>
    <row r="26">
      <c r="A26" s="29" t="n"/>
      <c r="B26" s="29" t="n"/>
      <c r="C26" s="321" t="n"/>
      <c r="D26" s="47" t="n"/>
      <c r="E26" s="48" t="n"/>
      <c r="F26" s="48" t="n"/>
      <c r="G26" s="48" t="n"/>
      <c r="H26" s="48" t="n"/>
      <c r="I26" s="49" t="n"/>
      <c r="J26" s="50" t="n"/>
    </row>
    <row r="27">
      <c r="A27" s="29" t="n"/>
      <c r="B27" s="29" t="n"/>
      <c r="C27" s="321" t="n"/>
      <c r="D27" s="47" t="n"/>
      <c r="E27" s="48" t="n"/>
      <c r="F27" s="48" t="n"/>
      <c r="G27" s="48" t="n"/>
      <c r="H27" s="48" t="n"/>
      <c r="I27" s="49" t="n"/>
      <c r="J27" s="50" t="n"/>
    </row>
    <row r="28">
      <c r="A28" s="29" t="n"/>
      <c r="B28" s="29" t="n"/>
      <c r="C28" s="321" t="n"/>
      <c r="D28" s="47" t="n"/>
      <c r="E28" s="48" t="n"/>
      <c r="F28" s="48" t="n"/>
      <c r="G28" s="48" t="n"/>
      <c r="H28" s="48" t="n"/>
      <c r="I28" s="49" t="n"/>
      <c r="J28" s="50" t="n"/>
    </row>
    <row r="29">
      <c r="A29" s="29" t="n"/>
      <c r="B29" s="29" t="n"/>
      <c r="C29" s="321" t="n"/>
      <c r="D29" s="47" t="n"/>
      <c r="E29" s="48" t="n"/>
      <c r="F29" s="48" t="n"/>
      <c r="G29" s="48" t="n"/>
      <c r="H29" s="48" t="n"/>
      <c r="I29" s="49" t="n"/>
      <c r="J29" s="50" t="n"/>
    </row>
    <row r="30">
      <c r="A30" s="29" t="n"/>
      <c r="B30" s="29" t="n"/>
      <c r="C30" s="321" t="n"/>
      <c r="D30" s="47" t="n"/>
      <c r="E30" s="48" t="n"/>
      <c r="F30" s="48" t="n"/>
      <c r="G30" s="48" t="n"/>
      <c r="H30" s="48" t="n"/>
      <c r="I30" s="49" t="n"/>
      <c r="J30" s="50" t="n"/>
    </row>
    <row r="31">
      <c r="A31" s="29" t="n"/>
      <c r="B31" s="29" t="n"/>
      <c r="C31" s="321" t="n"/>
      <c r="D31" s="47" t="n"/>
      <c r="E31" s="48" t="n"/>
      <c r="F31" s="48" t="n"/>
      <c r="G31" s="48" t="n"/>
      <c r="H31" s="48" t="n"/>
      <c r="I31" s="49" t="n"/>
      <c r="J31" s="50" t="n"/>
    </row>
    <row r="32">
      <c r="A32" s="29" t="n"/>
      <c r="B32" s="29" t="n"/>
      <c r="C32" s="321" t="n"/>
      <c r="D32" s="47" t="n"/>
      <c r="E32" s="48" t="n"/>
      <c r="F32" s="48" t="n"/>
      <c r="G32" s="48" t="n"/>
      <c r="H32" s="48" t="n"/>
      <c r="I32" s="49" t="n"/>
      <c r="J32" s="50" t="n"/>
    </row>
    <row r="33">
      <c r="A33" s="29" t="n"/>
      <c r="B33" s="29" t="n"/>
      <c r="C33" s="321" t="n"/>
      <c r="D33" s="47" t="n"/>
      <c r="E33" s="48" t="n"/>
      <c r="F33" s="48" t="n"/>
      <c r="G33" s="48" t="n"/>
      <c r="H33" s="48" t="n"/>
      <c r="I33" s="49" t="n"/>
      <c r="J33" s="50" t="n"/>
    </row>
    <row r="49" ht="16" customHeight="1" s="290">
      <c r="C49" s="284" t="n"/>
      <c r="D49" s="284" t="n"/>
      <c r="F49" s="284" t="n"/>
      <c r="G49" s="284" t="n"/>
      <c r="H49" s="284" t="n"/>
      <c r="I49" s="284" t="n"/>
    </row>
    <row r="50">
      <c r="C50" s="284" t="n"/>
      <c r="D50" s="284" t="n"/>
      <c r="F50" s="284" t="n"/>
      <c r="G50" s="284" t="n"/>
      <c r="H50" s="284" t="n"/>
      <c r="I50" s="284" t="n"/>
    </row>
    <row r="51">
      <c r="A51" s="283" t="inlineStr">
        <is>
          <t xml:space="preserve">Rank by Revenue </t>
        </is>
      </c>
    </row>
    <row r="52" ht="17" customHeight="1" s="290">
      <c r="A52" s="38" t="inlineStr">
        <is>
          <t>Product Name</t>
        </is>
      </c>
      <c r="B52" s="39" t="inlineStr">
        <is>
          <t>ASIN</t>
        </is>
      </c>
      <c r="C52" s="39" t="inlineStr">
        <is>
          <t>Type</t>
        </is>
      </c>
      <c r="D52" s="322" t="inlineStr">
        <is>
          <t>Avg Price</t>
        </is>
      </c>
      <c r="E52" s="41" t="inlineStr">
        <is>
          <t>Estimated 12mo Revenue</t>
        </is>
      </c>
      <c r="F52" s="39" t="inlineStr">
        <is>
          <t>Monthly Rev</t>
        </is>
      </c>
      <c r="G52" s="42" t="inlineStr">
        <is>
          <t>Estimated 12mo Units</t>
        </is>
      </c>
      <c r="H52" s="45" t="inlineStr">
        <is>
          <t>Monthly Units</t>
        </is>
      </c>
      <c r="I52" s="42" t="inlineStr">
        <is>
          <t># of Reviews</t>
        </is>
      </c>
      <c r="J52" s="43" t="inlineStr">
        <is>
          <t xml:space="preserve">Tool Rating </t>
        </is>
      </c>
      <c r="K52" s="43" t="inlineStr">
        <is>
          <t>Column1</t>
        </is>
      </c>
      <c r="L52" s="323" t="inlineStr">
        <is>
          <t>Link</t>
        </is>
      </c>
    </row>
    <row r="53" ht="45" customHeight="1" s="290">
      <c r="A53" s="30" t="inlineStr">
        <is>
          <t>MUCAR 892BT AI-Assisted Bidirectional Scan Tool, Full System OBD2 Scanner, Bi-Directional OBD2 Scanner Diagnostic Tool,ECU Coding, 35 Services, FCA Autoauth, CANFD and DOIP, Free Lifetime Upgrade</t>
        </is>
      </c>
      <c r="B53" s="30" t="inlineStr">
        <is>
          <t>B0DTK24XKB</t>
        </is>
      </c>
      <c r="C53" s="30" t="inlineStr">
        <is>
          <t>Tablet</t>
        </is>
      </c>
      <c r="D53" s="324" t="n">
        <v>644.8325789473685</v>
      </c>
      <c r="E53" s="53" t="n">
        <v>2958362.81</v>
      </c>
      <c r="F53" s="54" t="n">
        <v>367554.57</v>
      </c>
      <c r="G53" s="55" t="n">
        <v>4804</v>
      </c>
      <c r="H53" s="55" t="n">
        <v>570</v>
      </c>
      <c r="I53" s="55" t="n">
        <v>394</v>
      </c>
      <c r="J53" s="56" t="n">
        <v>4.3</v>
      </c>
      <c r="K53" s="56" t="inlineStr">
        <is>
          <t>https://amazon.com/dp/B0DTK24XKB</t>
        </is>
      </c>
      <c r="L53" s="34">
        <f>HYPERLINK(Mucar_2[[#This Row],[Column1]])</f>
        <v/>
      </c>
    </row>
    <row r="54" ht="45" customHeight="1" s="290">
      <c r="A54" s="30" t="inlineStr">
        <is>
          <t>OBD2 Scanner, MUCAR 632 Elite AI-Assisted Bidirectional Scan Tool, 15 Reset Services Oil/TPMS/EPB/BMS/SAS/Brake/Throttle Car Scanner Diagnostic Tool, AutoAuth FCA, CANFD, AutoVIN, Lifetime Free Update</t>
        </is>
      </c>
      <c r="B54" s="30" t="inlineStr">
        <is>
          <t>B0FGC7K873</t>
        </is>
      </c>
      <c r="C54" s="30" t="inlineStr">
        <is>
          <t>Tablet</t>
        </is>
      </c>
      <c r="D54" s="324" t="n">
        <v>207.5880847145488</v>
      </c>
      <c r="E54" s="53" t="n">
        <v>1217057.037692308</v>
      </c>
      <c r="F54" s="54" t="n">
        <v>112720.33</v>
      </c>
      <c r="G54" s="55" t="n">
        <v>2237</v>
      </c>
      <c r="H54" s="55" t="n">
        <v>543</v>
      </c>
      <c r="I54" s="55" t="n">
        <v>251</v>
      </c>
      <c r="J54" s="56" t="n">
        <v>4</v>
      </c>
      <c r="K54" s="56" t="inlineStr">
        <is>
          <t>https://amazon.com/dp/B0FGC7K873</t>
        </is>
      </c>
      <c r="L54" s="34">
        <f>HYPERLINK(Mucar_2[[#This Row],[Column1]])</f>
        <v/>
      </c>
    </row>
    <row r="55" ht="45" customHeight="1" s="290">
      <c r="A55" s="30" t="inlineStr">
        <is>
          <t>OBD2 Scanner, MUCAR 682 AI-Assisted Car Diagnostic Tool, Automotive Bidirectional Scan Tool, FULL Systems Car Diagnostic Scanner, Scanner for Car with 20+ Reset, CAN FD &amp; FCA SGW, Lifetime Free Update</t>
        </is>
      </c>
      <c r="B55" s="30" t="inlineStr">
        <is>
          <t>B0FGC4D4X2</t>
        </is>
      </c>
      <c r="C55" s="30" t="inlineStr">
        <is>
          <t>Tablet</t>
        </is>
      </c>
      <c r="D55" s="324" t="n">
        <v>285.628407079646</v>
      </c>
      <c r="E55" s="53" t="n">
        <v>341471.2299999999</v>
      </c>
      <c r="F55" s="54" t="n">
        <v>32276.01</v>
      </c>
      <c r="G55" s="55" t="n">
        <v>472</v>
      </c>
      <c r="H55" s="55" t="n">
        <v>113</v>
      </c>
      <c r="I55" s="55" t="n">
        <v>91</v>
      </c>
      <c r="J55" s="56" t="n">
        <v>4.5</v>
      </c>
      <c r="K55" s="56" t="inlineStr">
        <is>
          <t>https://amazon.com/dp/B0FGC4D4X2</t>
        </is>
      </c>
      <c r="L55" s="34">
        <f>HYPERLINK(Mucar_2[[#This Row],[Column1]])</f>
        <v/>
      </c>
    </row>
    <row r="56" ht="60" customHeight="1" s="290">
      <c r="A56" s="30" t="inlineStr">
        <is>
          <t>MUCAR 682 AI-Assisted OBD2 Scanner Bidirectional Scan Tool, Scanner for Car ALL System, OBD2 Scanner Diagnostic Tool with Active Test,Car Diagnostic Scanner with 20+ Reset,CAN FD &amp; FCA SGW,Free Update</t>
        </is>
      </c>
      <c r="B56" s="30" t="inlineStr">
        <is>
          <t>B0G1T4F8Y2</t>
        </is>
      </c>
      <c r="C56" s="30" t="inlineStr">
        <is>
          <t>Tablet</t>
        </is>
      </c>
      <c r="D56" s="324" t="n">
        <v>322.6429268292683</v>
      </c>
      <c r="E56" s="53" t="n">
        <v>320791.7515384615</v>
      </c>
      <c r="F56" s="54" t="n">
        <v>26456.72</v>
      </c>
      <c r="G56" s="55" t="n">
        <v>438</v>
      </c>
      <c r="H56" s="55" t="n">
        <v>82</v>
      </c>
      <c r="I56" s="55" t="n">
        <v>151</v>
      </c>
      <c r="J56" s="56" t="n">
        <v>4.3</v>
      </c>
      <c r="K56" s="56" t="inlineStr">
        <is>
          <t>https://amazon.com/dp/B0G1T4F8Y2</t>
        </is>
      </c>
      <c r="L56" s="34">
        <f>HYPERLINK(Mucar_2[[#This Row],[Column1]])</f>
        <v/>
      </c>
    </row>
    <row r="57" ht="45" customHeight="1" s="290">
      <c r="A57" s="30" t="inlineStr">
        <is>
          <t>MUCAR AI-Assisted OBD2 Scanner Bluetooth Lifetime Update, BT200 MAX Compatible with ELM327, All System OBD2 Diagnostic Tool with 15 Resets for iOS &amp; Android, CANFD Protocol, Autoauth for FCA SGW</t>
        </is>
      </c>
      <c r="B57" s="30" t="inlineStr">
        <is>
          <t>B0FB9B6KW5</t>
        </is>
      </c>
      <c r="C57" s="30" t="inlineStr">
        <is>
          <t>Tablet</t>
        </is>
      </c>
      <c r="D57" s="324" t="n">
        <v>151.1252666666667</v>
      </c>
      <c r="E57" s="53" t="n">
        <v>216805.3446153846</v>
      </c>
      <c r="F57" s="54" t="n">
        <v>22668.79</v>
      </c>
      <c r="G57" s="55" t="n">
        <v>753</v>
      </c>
      <c r="H57" s="55" t="n">
        <v>150</v>
      </c>
      <c r="I57" s="55" t="n">
        <v>101</v>
      </c>
      <c r="J57" s="56" t="n">
        <v>4.3</v>
      </c>
      <c r="K57" s="56" t="inlineStr">
        <is>
          <t>https://amazon.com/dp/B0FB9B6KW5</t>
        </is>
      </c>
      <c r="L57" s="34">
        <f>HYPERLINK(Mucar_2[[#This Row],[Column1]])</f>
        <v/>
      </c>
    </row>
    <row r="58" ht="45" customHeight="1" s="290">
      <c r="A58" s="30" t="inlineStr">
        <is>
          <t>MUCAR VO6 Bidirectional Scan Tool, Full Systems Diagnostic OBD2 Scanner, Automotive Diagnostic Scanner for Car, 28+ Services Code Reader, CAN FD, FCA/AutoAuth, Lifetime Free Update=No Subscriptions</t>
        </is>
      </c>
      <c r="B58" s="30" t="inlineStr">
        <is>
          <t>B0CJ33NYSL</t>
        </is>
      </c>
      <c r="C58" s="30" t="inlineStr">
        <is>
          <t>Tablet</t>
        </is>
      </c>
      <c r="D58" s="324" t="n">
        <v>395.8456818181818</v>
      </c>
      <c r="E58" s="53" t="n">
        <v>152072.0023076923</v>
      </c>
      <c r="F58" s="54" t="n">
        <v>17417.21</v>
      </c>
      <c r="G58" s="55" t="n">
        <v>101</v>
      </c>
      <c r="H58" s="55" t="n">
        <v>44</v>
      </c>
      <c r="I58" s="55" t="n">
        <v>33</v>
      </c>
      <c r="J58" s="56" t="n">
        <v>4.6</v>
      </c>
      <c r="K58" s="56" t="inlineStr">
        <is>
          <t>https://amazon.com/dp/B0CJ33NYSL</t>
        </is>
      </c>
      <c r="L58" s="34">
        <f>HYPERLINK(Mucar_2[[#This Row],[Column1]])</f>
        <v/>
      </c>
    </row>
    <row r="59" ht="45" customHeight="1" s="290">
      <c r="A59" s="30" t="inlineStr">
        <is>
          <t>MUCAR CS90 OBD2 Scanner Diagnostic Tool with 28+ Reset Services, Oil/EPB/SAS/BMS/Injector, ABS Bleeding, Throttle Relearn, ABS SRS Engine Transmission Code Reader, FCA AutoAuth, Lifetime Free Update</t>
        </is>
      </c>
      <c r="B59" s="30" t="inlineStr">
        <is>
          <t>B0FHGWXN2B</t>
        </is>
      </c>
      <c r="C59" s="30" t="inlineStr">
        <is>
          <t>Tablet</t>
        </is>
      </c>
      <c r="D59" s="324" t="n">
        <v>171.2790909090909</v>
      </c>
      <c r="E59" s="53" t="n">
        <v>48930.74307692309</v>
      </c>
      <c r="F59" s="54" t="n">
        <v>5652.21</v>
      </c>
      <c r="G59" s="55" t="n">
        <v>105</v>
      </c>
      <c r="H59" s="55" t="n">
        <v>33</v>
      </c>
      <c r="I59" s="55" t="n">
        <v>60</v>
      </c>
      <c r="J59" s="56" t="n">
        <v>4.3</v>
      </c>
      <c r="K59" s="56" t="inlineStr">
        <is>
          <t>https://amazon.com/dp/B0FHGWXN2B</t>
        </is>
      </c>
      <c r="L59" s="34">
        <f>HYPERLINK(Mucar_2[[#This Row],[Column1]])</f>
        <v/>
      </c>
    </row>
    <row r="60" ht="45" customHeight="1" s="290">
      <c r="A60" s="30" t="inlineStr">
        <is>
          <t>MUCAR CDL20 Universal OBD2 Scanner, Check Engine Car Code Reader with Full OBD2 Functions, Vehicle Info/MIL/EVAP/Freeze Frame/DTC Library, Diagnostic Scan Tool for All OBD II &amp; EOBD Cars After 1996</t>
        </is>
      </c>
      <c r="B60" s="30" t="inlineStr">
        <is>
          <t>B09GJL2G8W</t>
        </is>
      </c>
      <c r="C60" s="30" t="inlineStr">
        <is>
          <t>Handheld</t>
        </is>
      </c>
      <c r="D60" s="324" t="n">
        <v>27.96621848739496</v>
      </c>
      <c r="E60" s="53" t="n">
        <v>7230.55</v>
      </c>
      <c r="F60" s="54" t="n">
        <v>3327.98</v>
      </c>
      <c r="G60" s="55" t="n">
        <v>313</v>
      </c>
      <c r="H60" s="55" t="n">
        <v>119</v>
      </c>
      <c r="I60" s="55" t="n">
        <v>588</v>
      </c>
      <c r="J60" s="56" t="n">
        <v>4.3</v>
      </c>
      <c r="K60" s="56" t="inlineStr">
        <is>
          <t>https://amazon.com/dp/B09GJL2G8W</t>
        </is>
      </c>
      <c r="L60" s="34">
        <f>HYPERLINK(Mucar_2[[#This Row],[Column1]])</f>
        <v/>
      </c>
    </row>
    <row r="61" ht="45" customHeight="1" s="290">
      <c r="A61" s="30" t="inlineStr">
        <is>
          <t>MUCAR VO8 OBD2 Scanner Diagnostic Tool with Lifetime Free Update, Full System Bidirectional Scan Tool with 34+ Reset Service, ECU Coding, 3000+ Active Test, Power Balance, Crankshaft Relearn, FCA SGW</t>
        </is>
      </c>
      <c r="B61" s="30" t="inlineStr">
        <is>
          <t>B0G2949TGX</t>
        </is>
      </c>
      <c r="C61" s="30" t="inlineStr">
        <is>
          <t>Tablet</t>
        </is>
      </c>
      <c r="D61" s="324" t="n">
        <v>644.576</v>
      </c>
      <c r="E61" s="53" t="n">
        <v>48521.21923076922</v>
      </c>
      <c r="F61" s="54" t="n">
        <v>3222.88</v>
      </c>
      <c r="G61" s="55" t="n">
        <v>36</v>
      </c>
      <c r="H61" s="55" t="n">
        <v>5</v>
      </c>
      <c r="I61" s="55" t="n">
        <v>2</v>
      </c>
      <c r="J61" s="56" t="n">
        <v>4.5</v>
      </c>
      <c r="K61" s="56" t="inlineStr">
        <is>
          <t>https://amazon.com/dp/B0G2949TGX</t>
        </is>
      </c>
      <c r="L61" s="34">
        <f>HYPERLINK(Mucar_2[[#This Row],[Column1]])</f>
        <v/>
      </c>
    </row>
    <row r="62" ht="45" customHeight="1" s="290">
      <c r="A62" s="30" t="inlineStr">
        <is>
          <t>MUCAR CS6 OBD2 Scanner Diagnostic Tool, Engine Transmission BCM Car Scanner, ABS Code Reader, SRS TPMS Scan Tool, 7 Reset Service, Oil/EPB/SAS/TPMS/DPF/Throttle/ABS Bleed, Auto VIN, Free Update</t>
        </is>
      </c>
      <c r="B62" s="30" t="inlineStr">
        <is>
          <t>B0CQVL7MMW</t>
        </is>
      </c>
      <c r="C62" s="30" t="inlineStr">
        <is>
          <t>Tablet</t>
        </is>
      </c>
      <c r="D62" s="324" t="n">
        <v>168.7325</v>
      </c>
      <c r="E62" s="53" t="n">
        <v>130487.5569230769</v>
      </c>
      <c r="F62" s="54" t="n">
        <v>2024.79</v>
      </c>
      <c r="G62" s="55" t="n">
        <v>830</v>
      </c>
      <c r="H62" s="55" t="n">
        <v>12</v>
      </c>
      <c r="I62" s="55" t="n">
        <v>165</v>
      </c>
      <c r="J62" s="56" t="n">
        <v>4.4</v>
      </c>
      <c r="K62" s="56" t="inlineStr">
        <is>
          <t>https://amazon.com/dp/B0CQVL7MMW</t>
        </is>
      </c>
      <c r="L62" s="34">
        <f>HYPERLINK(Mucar_2[[#This Row],[Column1]])</f>
        <v/>
      </c>
    </row>
    <row r="63" ht="45" customHeight="1" s="290">
      <c r="A63" s="30" t="inlineStr">
        <is>
          <t>MUCAR CDE900 OBD2 Scanner, Check Engine System Car Code Reader, Automotive Diagnostic Scan Tool with 4 Inches Touchscreen, Cover 106 Brands, FCA Autoauth, Wireless Update</t>
        </is>
      </c>
      <c r="B63" s="30" t="inlineStr">
        <is>
          <t>B0B2NZTC2S</t>
        </is>
      </c>
      <c r="C63" s="30" t="inlineStr">
        <is>
          <t>Handheld</t>
        </is>
      </c>
      <c r="D63" s="324" t="n">
        <v>102.140625</v>
      </c>
      <c r="E63" s="53" t="n">
        <v>31656.5</v>
      </c>
      <c r="F63" s="54" t="n">
        <v>1634.25</v>
      </c>
      <c r="G63" s="55" t="n">
        <v>315</v>
      </c>
      <c r="H63" s="55" t="n">
        <v>16</v>
      </c>
      <c r="I63" s="55" t="n">
        <v>256</v>
      </c>
      <c r="J63" s="56" t="n">
        <v>4.4</v>
      </c>
      <c r="K63" s="56" t="inlineStr">
        <is>
          <t>https://amazon.com/dp/B0B2NZTC2S</t>
        </is>
      </c>
      <c r="L63" s="34">
        <f>HYPERLINK(Mucar_2[[#This Row],[Column1]])</f>
        <v/>
      </c>
    </row>
    <row r="64" ht="45" customHeight="1" s="290">
      <c r="A64" s="30" t="inlineStr">
        <is>
          <t>MUCAR BT200 MAX AI OBD2 Bluetooth Scanner, Full System 15 Resets Diagnostic Tools Bi-Directional Control, CAN-FD &amp; FCA Autoauth, AutoVIN, Real-Time Data, ELM327 APP Compatibility, Lifetime Free Update</t>
        </is>
      </c>
      <c r="B64" s="30" t="inlineStr">
        <is>
          <t>B0GFN39XPY</t>
        </is>
      </c>
      <c r="C64" s="30" t="inlineStr">
        <is>
          <t>Tablet</t>
        </is>
      </c>
      <c r="D64" s="324" t="n">
        <v>186.53</v>
      </c>
      <c r="E64" s="53" t="n">
        <v>6758.125384615382</v>
      </c>
      <c r="F64" s="54" t="n">
        <v>559.59</v>
      </c>
      <c r="G64" s="55" t="n">
        <v>3</v>
      </c>
      <c r="H64" s="55" t="n">
        <v>3</v>
      </c>
      <c r="I64" s="55" t="n"/>
      <c r="J64" s="56" t="n"/>
      <c r="K64" s="56" t="inlineStr">
        <is>
          <t>https://amazon.com/dp/B0GFN39XPY</t>
        </is>
      </c>
      <c r="L64" s="34">
        <f>HYPERLINK(Mucar_2[[#This Row],[Column1]])</f>
        <v/>
      </c>
    </row>
    <row r="65" ht="45" customHeight="1" s="290">
      <c r="A65" s="30" t="inlineStr">
        <is>
          <t>MUCAR CDE900S Bidirectional Scan Tool Fit for Ford, OEM Full Systems Car Code Reader, All Services, Bi Directional OBD2 Scanner with ECU Coding, Wireless Update</t>
        </is>
      </c>
      <c r="B65" s="30" t="inlineStr">
        <is>
          <t>B0DM88GPYD</t>
        </is>
      </c>
      <c r="C65" s="30" t="inlineStr">
        <is>
          <t>Handheld</t>
        </is>
      </c>
      <c r="D65" s="324" t="n">
        <v>145.115</v>
      </c>
      <c r="E65" s="53" t="n">
        <v>6698.51</v>
      </c>
      <c r="F65" s="54" t="n">
        <v>290.23</v>
      </c>
      <c r="G65" s="55" t="n">
        <v>38</v>
      </c>
      <c r="H65" s="55" t="n">
        <v>2</v>
      </c>
      <c r="I65" s="55" t="n">
        <v>19</v>
      </c>
      <c r="J65" s="56" t="n">
        <v>4.2</v>
      </c>
      <c r="K65" s="56" t="inlineStr">
        <is>
          <t>https://amazon.com/dp/B0DM88GPYD</t>
        </is>
      </c>
      <c r="L65" s="34">
        <f>HYPERLINK(Mucar_2[[#This Row],[Column1]])</f>
        <v/>
      </c>
    </row>
    <row r="66" ht="45" customHeight="1" s="290">
      <c r="A66" s="30" t="inlineStr">
        <is>
          <t>MUCAR CDE900 Elite OBD2 Scanner with 28 Reset Service, Oil/SAS/EPB/BMS/ABS Bleeding, Engine Transmission ABS SRS Car Diagnostic Tool, FCA AutoAuth, Lifetime Free Upgrade</t>
        </is>
      </c>
      <c r="B66" s="30" t="inlineStr">
        <is>
          <t>B0CB3TQNGJ</t>
        </is>
      </c>
      <c r="C66" s="30" t="inlineStr">
        <is>
          <t>Tablet</t>
        </is>
      </c>
      <c r="D66" s="324" t="n">
        <v>126.758</v>
      </c>
      <c r="E66" s="53" t="n">
        <v>11335.84</v>
      </c>
      <c r="F66" s="54" t="n">
        <v>0</v>
      </c>
      <c r="G66" s="55" t="n">
        <v>76</v>
      </c>
      <c r="H66" s="55" t="n">
        <v>0</v>
      </c>
      <c r="I66" s="55" t="n">
        <v>27</v>
      </c>
      <c r="J66" s="56" t="n">
        <v>4.2</v>
      </c>
      <c r="K66" s="56" t="inlineStr">
        <is>
          <t>https://amazon.com/dp/B0CB3TQNGJ</t>
        </is>
      </c>
      <c r="L66" s="34">
        <f>HYPERLINK(Mucar_2[[#This Row],[Column1]])</f>
        <v/>
      </c>
    </row>
    <row r="67" ht="45" customHeight="1" s="290">
      <c r="A67" s="30" t="inlineStr">
        <is>
          <t>MUCAR CDE900 Lite OBD2 Scanner Diagnostic Tool, All System Car Diagnostic Scan Tool with 5 Hot Services Options, FCA AutoAuth, Lifetime Update, No Subscriptions</t>
        </is>
      </c>
      <c r="B67" s="30" t="inlineStr">
        <is>
          <t>B0BZ4L25CZ</t>
        </is>
      </c>
      <c r="C67" s="30" t="inlineStr">
        <is>
          <t>Tablet</t>
        </is>
      </c>
      <c r="D67" s="324" t="n">
        <v>136.7444444444444</v>
      </c>
      <c r="E67" s="53" t="n">
        <v>26004.63</v>
      </c>
      <c r="F67" s="54" t="n">
        <v>0</v>
      </c>
      <c r="G67" s="55" t="n">
        <v>199</v>
      </c>
      <c r="H67" s="55" t="n">
        <v>0</v>
      </c>
      <c r="I67" s="55" t="n">
        <v>127</v>
      </c>
      <c r="J67" s="56" t="n">
        <v>4.3</v>
      </c>
      <c r="K67" s="56" t="inlineStr">
        <is>
          <t>https://amazon.com/dp/B0BZ4L25CZ</t>
        </is>
      </c>
      <c r="L67" s="34">
        <f>HYPERLINK(Mucar_2[[#This Row],[Column1]])</f>
        <v/>
      </c>
    </row>
    <row r="68" ht="45" customHeight="1" s="290">
      <c r="A68" s="30" t="n"/>
      <c r="B68" s="30" t="n"/>
      <c r="C68" s="30" t="n"/>
      <c r="D68" s="324" t="n"/>
      <c r="E68" s="53" t="n"/>
      <c r="F68" s="54" t="n"/>
      <c r="G68" s="55" t="n"/>
      <c r="H68" s="55" t="n"/>
      <c r="I68" s="55" t="n"/>
      <c r="J68" s="56" t="n"/>
      <c r="K68" s="56" t="n"/>
      <c r="L68" s="34">
        <f>HYPERLINK(Table544[[#This Row],[Column1]])</f>
        <v/>
      </c>
    </row>
    <row r="69" ht="60" customHeight="1" s="290">
      <c r="A69" s="30" t="n"/>
      <c r="B69" s="30" t="n"/>
      <c r="C69" s="30" t="n"/>
      <c r="D69" s="324" t="n"/>
      <c r="E69" s="53" t="n"/>
      <c r="F69" s="54" t="n"/>
      <c r="G69" s="55" t="n"/>
      <c r="H69" s="55" t="n"/>
      <c r="I69" s="55" t="n"/>
      <c r="J69" s="56" t="n"/>
      <c r="K69" s="56" t="n"/>
      <c r="L69" s="34">
        <f>HYPERLINK(Table544[[#This Row],[Column1]])</f>
        <v/>
      </c>
    </row>
    <row r="70" ht="45" customHeight="1" s="290">
      <c r="A70" s="30" t="n"/>
      <c r="B70" s="30" t="n"/>
      <c r="C70" s="30" t="n"/>
      <c r="D70" s="324" t="n"/>
      <c r="E70" s="53" t="n"/>
      <c r="F70" s="54" t="n"/>
      <c r="G70" s="55" t="n"/>
      <c r="H70" s="55" t="n"/>
      <c r="I70" s="55" t="n"/>
      <c r="J70" s="56" t="n"/>
      <c r="K70" s="56" t="n"/>
      <c r="L70" s="34">
        <f>HYPERLINK(Table544[[#This Row],[Column1]])</f>
        <v/>
      </c>
    </row>
    <row r="71" ht="45" customHeight="1" s="290">
      <c r="A71" s="30" t="n"/>
      <c r="B71" s="30" t="n"/>
      <c r="C71" s="30" t="n"/>
      <c r="D71" s="324" t="n"/>
      <c r="E71" s="53" t="n"/>
      <c r="F71" s="54" t="n"/>
      <c r="G71" s="55" t="n"/>
      <c r="H71" s="55" t="n"/>
      <c r="I71" s="55" t="n"/>
      <c r="J71" s="56" t="n"/>
      <c r="K71" s="56" t="n"/>
      <c r="L71" s="34">
        <f>HYPERLINK(Table544[[#This Row],[Column1]])</f>
        <v/>
      </c>
    </row>
    <row r="72" ht="45" customHeight="1" s="290">
      <c r="A72" s="30" t="n"/>
      <c r="B72" s="30" t="n"/>
      <c r="C72" s="30" t="n"/>
      <c r="D72" s="324" t="n"/>
      <c r="E72" s="53" t="n"/>
      <c r="F72" s="54" t="n"/>
      <c r="G72" s="55" t="n"/>
      <c r="H72" s="55" t="n"/>
      <c r="I72" s="55" t="n"/>
      <c r="J72" s="56" t="n"/>
      <c r="K72" s="56" t="n"/>
      <c r="L72" s="34">
        <f>HYPERLINK(Table544[[#This Row],[Column1]])</f>
        <v/>
      </c>
    </row>
    <row r="73" ht="45" customHeight="1" s="290">
      <c r="A73" s="30" t="n"/>
      <c r="B73" s="30" t="n"/>
      <c r="C73" s="30" t="n"/>
      <c r="D73" s="324" t="n"/>
      <c r="E73" s="53" t="n"/>
      <c r="F73" s="54" t="n"/>
      <c r="G73" s="55" t="n"/>
      <c r="H73" s="55" t="n"/>
      <c r="I73" s="55" t="n"/>
      <c r="J73" s="56" t="n"/>
      <c r="K73" s="56" t="n"/>
      <c r="L73" s="34">
        <f>HYPERLINK(Table544[[#This Row],[Column1]])</f>
        <v/>
      </c>
    </row>
    <row r="74" ht="45" customHeight="1" s="290">
      <c r="A74" s="30" t="n"/>
      <c r="B74" s="30" t="n"/>
      <c r="C74" s="30" t="n"/>
      <c r="D74" s="324" t="n"/>
      <c r="E74" s="53" t="n"/>
      <c r="F74" s="54" t="n"/>
      <c r="G74" s="55" t="n"/>
      <c r="H74" s="55" t="n"/>
      <c r="I74" s="55" t="n"/>
      <c r="J74" s="56" t="n"/>
      <c r="K74" s="56" t="n"/>
      <c r="L74" s="34">
        <f>HYPERLINK(Table544[[#This Row],[Column1]])</f>
        <v/>
      </c>
    </row>
    <row r="75" ht="45" customHeight="1" s="290">
      <c r="A75" s="30" t="n"/>
      <c r="B75" s="30" t="n"/>
      <c r="C75" s="30" t="n"/>
      <c r="D75" s="324" t="n"/>
      <c r="E75" s="53" t="n"/>
      <c r="F75" s="54" t="n"/>
      <c r="G75" s="55" t="n"/>
      <c r="H75" s="55" t="n"/>
      <c r="I75" s="55" t="n"/>
      <c r="J75" s="56" t="n"/>
      <c r="K75" s="56" t="n"/>
      <c r="L75" s="34">
        <f>HYPERLINK(Table544[[#This Row],[Column1]])</f>
        <v/>
      </c>
    </row>
    <row r="76" ht="45" customHeight="1" s="290">
      <c r="A76" s="30" t="n"/>
      <c r="B76" s="30" t="n"/>
      <c r="C76" s="30" t="n"/>
      <c r="D76" s="324" t="n"/>
      <c r="E76" s="53" t="n"/>
      <c r="F76" s="54" t="n"/>
      <c r="G76" s="55" t="n"/>
      <c r="H76" s="55" t="n"/>
      <c r="I76" s="55" t="n"/>
      <c r="J76" s="56" t="n"/>
      <c r="K76" s="56" t="n"/>
      <c r="L76" s="34">
        <f>HYPERLINK(Table544[[#This Row],[Column1]])</f>
        <v/>
      </c>
    </row>
    <row r="77" ht="60" customHeight="1" s="290">
      <c r="A77" s="30" t="n"/>
      <c r="B77" s="30" t="n"/>
      <c r="C77" s="30" t="n"/>
      <c r="D77" s="324" t="n"/>
      <c r="E77" s="53" t="n"/>
      <c r="F77" s="54" t="n"/>
      <c r="G77" s="55" t="n"/>
      <c r="H77" s="55" t="n"/>
      <c r="I77" s="55" t="n"/>
      <c r="J77" s="56" t="n"/>
      <c r="K77" s="56" t="n"/>
      <c r="L77" s="34">
        <f>HYPERLINK(Table544[[#This Row],[Column1]])</f>
        <v/>
      </c>
    </row>
    <row r="78" ht="45" customHeight="1" s="290">
      <c r="A78" s="30" t="n"/>
      <c r="B78" s="30" t="n"/>
      <c r="C78" s="30" t="n"/>
      <c r="D78" s="324" t="n"/>
      <c r="E78" s="53" t="n"/>
      <c r="F78" s="54" t="n"/>
      <c r="G78" s="55" t="n"/>
      <c r="H78" s="55" t="n"/>
      <c r="I78" s="55" t="n"/>
      <c r="J78" s="56" t="n"/>
      <c r="K78" s="56" t="n"/>
      <c r="L78" s="34">
        <f>HYPERLINK(Table544[[#This Row],[Column1]])</f>
        <v/>
      </c>
    </row>
    <row r="79" ht="45" customHeight="1" s="290">
      <c r="A79" s="30" t="n"/>
      <c r="B79" s="30" t="n"/>
      <c r="C79" s="30" t="n"/>
      <c r="D79" s="324" t="n"/>
      <c r="E79" s="53" t="n"/>
      <c r="F79" s="54" t="n"/>
      <c r="G79" s="55" t="n"/>
      <c r="H79" s="55" t="n"/>
      <c r="I79" s="55" t="n"/>
      <c r="J79" s="56" t="n"/>
      <c r="K79" s="56" t="n"/>
      <c r="L79" s="34">
        <f>HYPERLINK(Table544[[#This Row],[Column1]])</f>
        <v/>
      </c>
    </row>
    <row r="80" ht="45" customHeight="1" s="290">
      <c r="A80" s="30" t="n"/>
      <c r="B80" s="30" t="n"/>
      <c r="C80" s="30" t="n"/>
      <c r="D80" s="324" t="n"/>
      <c r="E80" s="53" t="n"/>
      <c r="F80" s="54" t="n"/>
      <c r="G80" s="55" t="n"/>
      <c r="H80" s="55" t="n"/>
      <c r="I80" s="55" t="n"/>
      <c r="J80" s="56" t="n"/>
      <c r="K80" s="56" t="n"/>
      <c r="L80" s="34">
        <f>HYPERLINK(Table544[[#This Row],[Column1]])</f>
        <v/>
      </c>
    </row>
    <row r="81" ht="45" customHeight="1" s="290">
      <c r="A81" s="30" t="n"/>
      <c r="B81" s="30" t="n"/>
      <c r="C81" s="30" t="n"/>
      <c r="D81" s="324" t="n"/>
      <c r="E81" s="53" t="n"/>
      <c r="F81" s="54" t="n"/>
      <c r="G81" s="55" t="n"/>
      <c r="H81" s="55" t="n"/>
      <c r="I81" s="55" t="n"/>
      <c r="J81" s="56" t="n"/>
      <c r="K81" s="56" t="n"/>
      <c r="L81" s="34">
        <f>HYPERLINK(Table544[[#This Row],[Column1]])</f>
        <v/>
      </c>
    </row>
    <row r="82" ht="45" customHeight="1" s="290">
      <c r="A82" s="30" t="n"/>
      <c r="B82" s="30" t="n"/>
      <c r="C82" s="30" t="n"/>
      <c r="D82" s="324" t="n"/>
      <c r="E82" s="53" t="n"/>
      <c r="F82" s="54" t="n"/>
      <c r="G82" s="55" t="n"/>
      <c r="H82" s="55" t="n"/>
      <c r="I82" s="55" t="n"/>
      <c r="J82" s="56" t="n"/>
      <c r="K82" s="56" t="n"/>
      <c r="L82" s="34">
        <f>HYPERLINK(Table544[[#This Row],[Column1]])</f>
        <v/>
      </c>
    </row>
    <row r="83" ht="30" customHeight="1" s="290">
      <c r="A83" s="30" t="n"/>
      <c r="B83" s="30" t="n"/>
      <c r="C83" s="30" t="n"/>
      <c r="D83" s="324" t="n"/>
      <c r="E83" s="53" t="n"/>
      <c r="F83" s="54" t="n"/>
      <c r="G83" s="55" t="n"/>
      <c r="H83" s="55" t="n"/>
      <c r="I83" s="55" t="n"/>
      <c r="J83" s="56" t="n"/>
      <c r="K83" s="56" t="n"/>
      <c r="L83" s="34">
        <f>HYPERLINK(Table544[[#This Row],[Column1]])</f>
        <v/>
      </c>
    </row>
    <row r="84" ht="45" customHeight="1" s="290">
      <c r="A84" s="30" t="n"/>
      <c r="B84" s="30" t="n"/>
      <c r="C84" s="30" t="n"/>
      <c r="D84" s="324" t="n"/>
      <c r="E84" s="53" t="n"/>
      <c r="F84" s="54" t="n"/>
      <c r="G84" s="55" t="n"/>
      <c r="H84" s="55" t="n"/>
      <c r="I84" s="55" t="n"/>
      <c r="J84" s="56" t="n"/>
      <c r="K84" s="56" t="n"/>
      <c r="L84" s="34">
        <f>HYPERLINK(Table544[[#This Row],[Column1]])</f>
        <v/>
      </c>
    </row>
    <row r="85" ht="45" customHeight="1" s="290">
      <c r="A85" s="30" t="n"/>
      <c r="B85" s="30" t="n"/>
      <c r="C85" s="30" t="n"/>
      <c r="D85" s="324" t="n"/>
      <c r="E85" s="53" t="n"/>
      <c r="F85" s="54" t="n"/>
      <c r="G85" s="55" t="n"/>
      <c r="H85" s="55" t="n"/>
      <c r="I85" s="55" t="n"/>
      <c r="J85" s="56" t="n"/>
      <c r="K85" s="56" t="n"/>
      <c r="L85" s="34">
        <f>HYPERLINK(Table544[[#This Row],[Column1]])</f>
        <v/>
      </c>
    </row>
    <row r="86" ht="45" customHeight="1" s="290">
      <c r="A86" s="30" t="n"/>
      <c r="B86" s="30" t="n"/>
      <c r="C86" s="30" t="n"/>
      <c r="D86" s="324" t="n"/>
      <c r="E86" s="53" t="n"/>
      <c r="F86" s="54" t="n"/>
      <c r="G86" s="55" t="n"/>
      <c r="H86" s="55" t="n"/>
      <c r="I86" s="55" t="n"/>
      <c r="J86" s="56" t="n"/>
      <c r="K86" s="56" t="n"/>
      <c r="L86" s="34">
        <f>HYPERLINK(Table544[[#This Row],[Column1]])</f>
        <v/>
      </c>
    </row>
    <row r="87" ht="45" customHeight="1" s="290">
      <c r="A87" s="30" t="n"/>
      <c r="B87" s="30" t="n"/>
      <c r="C87" s="30" t="n"/>
      <c r="D87" s="324" t="n"/>
      <c r="E87" s="53" t="n"/>
      <c r="F87" s="54" t="n"/>
      <c r="G87" s="55" t="n"/>
      <c r="H87" s="55" t="n"/>
      <c r="I87" s="55" t="n"/>
      <c r="J87" s="56" t="n"/>
      <c r="K87" s="56" t="n"/>
      <c r="L87" s="34">
        <f>HYPERLINK(Table544[[#This Row],[Column1]])</f>
        <v/>
      </c>
    </row>
    <row r="88" ht="45" customHeight="1" s="290">
      <c r="A88" s="30" t="n"/>
      <c r="B88" s="30" t="n"/>
      <c r="C88" s="30" t="n"/>
      <c r="D88" s="324" t="n"/>
      <c r="E88" s="53" t="n"/>
      <c r="F88" s="54" t="n"/>
      <c r="G88" s="55" t="n"/>
      <c r="H88" s="55" t="n"/>
      <c r="I88" s="55" t="n"/>
      <c r="J88" s="56" t="n"/>
      <c r="K88" s="56" t="n"/>
      <c r="L88" s="34">
        <f>HYPERLINK(Table544[[#This Row],[Column1]])</f>
        <v/>
      </c>
    </row>
    <row r="89" ht="45" customHeight="1" s="290">
      <c r="A89" s="30" t="n"/>
      <c r="B89" s="30" t="n"/>
      <c r="C89" s="30" t="n"/>
      <c r="D89" s="324" t="n"/>
      <c r="E89" s="53" t="n"/>
      <c r="F89" s="54" t="n"/>
      <c r="G89" s="55" t="n"/>
      <c r="H89" s="55" t="n"/>
      <c r="I89" s="55" t="n"/>
      <c r="J89" s="56" t="n"/>
      <c r="K89" s="56" t="n"/>
      <c r="L89" s="34">
        <f>HYPERLINK(Table544[[#This Row],[Column1]])</f>
        <v/>
      </c>
    </row>
    <row r="90" ht="45" customHeight="1" s="290">
      <c r="A90" s="30" t="n"/>
      <c r="B90" s="30" t="n"/>
      <c r="C90" s="30" t="n"/>
      <c r="D90" s="324" t="n"/>
      <c r="E90" s="53" t="n"/>
      <c r="F90" s="54" t="n"/>
      <c r="G90" s="55" t="n"/>
      <c r="H90" s="55" t="n"/>
      <c r="I90" s="55" t="n"/>
      <c r="J90" s="56" t="n"/>
      <c r="K90" s="56" t="n"/>
      <c r="L90" s="34">
        <f>HYPERLINK(Table544[[#This Row],[Column1]])</f>
        <v/>
      </c>
    </row>
    <row r="91" ht="45" customHeight="1" s="290">
      <c r="A91" s="30" t="n"/>
      <c r="B91" s="30" t="n"/>
      <c r="C91" s="30" t="n"/>
      <c r="D91" s="324" t="n"/>
      <c r="E91" s="53" t="n"/>
      <c r="F91" s="54" t="n"/>
      <c r="G91" s="55" t="n"/>
      <c r="H91" s="55" t="n"/>
      <c r="I91" s="55" t="n"/>
      <c r="J91" s="56" t="n"/>
      <c r="K91" s="56" t="n"/>
      <c r="L91" s="34">
        <f>HYPERLINK(Table544[[#This Row],[Column1]])</f>
        <v/>
      </c>
    </row>
    <row r="92" ht="45" customHeight="1" s="290">
      <c r="A92" s="30" t="n"/>
      <c r="B92" s="30" t="n"/>
      <c r="C92" s="30" t="n"/>
      <c r="D92" s="324" t="n"/>
      <c r="E92" s="53" t="n"/>
      <c r="F92" s="54" t="n"/>
      <c r="G92" s="55" t="n"/>
      <c r="H92" s="55" t="n"/>
      <c r="I92" s="55" t="n"/>
      <c r="J92" s="56" t="n"/>
      <c r="K92" s="56" t="n"/>
      <c r="L92" s="34">
        <f>HYPERLINK(Table544[[#This Row],[Column1]])</f>
        <v/>
      </c>
    </row>
    <row r="93" ht="45" customHeight="1" s="290">
      <c r="A93" s="30" t="n"/>
      <c r="B93" s="30" t="n"/>
      <c r="C93" s="30" t="n"/>
      <c r="D93" s="324" t="n"/>
      <c r="E93" s="53" t="n"/>
      <c r="F93" s="54" t="n"/>
      <c r="G93" s="55" t="n"/>
      <c r="H93" s="55" t="n"/>
      <c r="I93" s="55" t="n"/>
      <c r="J93" s="56" t="n"/>
      <c r="K93" s="56" t="n"/>
      <c r="L93" s="34">
        <f>HYPERLINK(Table544[[#This Row],[Column1]])</f>
        <v/>
      </c>
    </row>
    <row r="94" ht="60" customHeight="1" s="290">
      <c r="A94" s="30" t="n"/>
      <c r="B94" s="30" t="n"/>
      <c r="C94" s="30" t="n"/>
      <c r="D94" s="324" t="n"/>
      <c r="E94" s="53" t="n"/>
      <c r="F94" s="54" t="n"/>
      <c r="G94" s="55" t="n"/>
      <c r="H94" s="55" t="n"/>
      <c r="I94" s="55" t="n"/>
      <c r="J94" s="56" t="n"/>
      <c r="K94" s="56" t="n"/>
      <c r="L94" s="34">
        <f>HYPERLINK(Table544[[#This Row],[Column1]])</f>
        <v/>
      </c>
    </row>
    <row r="95" ht="45" customHeight="1" s="290">
      <c r="A95" s="30" t="n"/>
      <c r="B95" s="30" t="n"/>
      <c r="C95" s="30" t="n"/>
      <c r="D95" s="324" t="n"/>
      <c r="E95" s="53" t="n"/>
      <c r="F95" s="54" t="n"/>
      <c r="G95" s="55" t="n"/>
      <c r="H95" s="55" t="n"/>
      <c r="I95" s="55" t="n"/>
      <c r="J95" s="56" t="n"/>
      <c r="K95" s="56" t="n"/>
      <c r="L95" s="34">
        <f>HYPERLINK(Table544[[#This Row],[Column1]])</f>
        <v/>
      </c>
    </row>
    <row r="96" ht="45" customHeight="1" s="290">
      <c r="A96" s="30" t="n"/>
      <c r="B96" s="30" t="n"/>
      <c r="C96" s="30" t="n"/>
      <c r="D96" s="324" t="n"/>
      <c r="E96" s="53" t="n"/>
      <c r="F96" s="54" t="n"/>
      <c r="G96" s="55" t="n"/>
      <c r="H96" s="55" t="n"/>
      <c r="I96" s="55" t="n"/>
      <c r="J96" s="56" t="n"/>
      <c r="K96" s="56" t="n"/>
      <c r="L96" s="34">
        <f>HYPERLINK(Table544[[#This Row],[Column1]])</f>
        <v/>
      </c>
    </row>
    <row r="97" ht="45" customHeight="1" s="290">
      <c r="A97" s="30" t="n"/>
      <c r="B97" s="30" t="n"/>
      <c r="C97" s="30" t="n"/>
      <c r="D97" s="324" t="n"/>
      <c r="E97" s="53" t="n"/>
      <c r="F97" s="54" t="n"/>
      <c r="G97" s="55" t="n"/>
      <c r="H97" s="55" t="n"/>
      <c r="I97" s="55" t="n"/>
      <c r="J97" s="56" t="n"/>
      <c r="K97" s="56" t="n"/>
      <c r="L97" s="34">
        <f>HYPERLINK(Table544[[#This Row],[Column1]])</f>
        <v/>
      </c>
    </row>
    <row r="98" ht="60" customHeight="1" s="290">
      <c r="A98" s="30" t="n"/>
      <c r="B98" s="30" t="n"/>
      <c r="C98" s="30" t="n"/>
      <c r="D98" s="324" t="n"/>
      <c r="E98" s="53" t="n"/>
      <c r="F98" s="54" t="n"/>
      <c r="G98" s="55" t="n"/>
      <c r="H98" s="55" t="n"/>
      <c r="I98" s="55" t="n"/>
      <c r="J98" s="56" t="n"/>
      <c r="K98" s="56" t="n"/>
      <c r="L98" s="34">
        <f>HYPERLINK(Table544[[#This Row],[Column1]])</f>
        <v/>
      </c>
    </row>
    <row r="99" ht="45" customHeight="1" s="290">
      <c r="A99" s="30" t="n"/>
      <c r="B99" s="30" t="n"/>
      <c r="C99" s="30" t="n"/>
      <c r="D99" s="324" t="n"/>
      <c r="E99" s="53" t="n"/>
      <c r="F99" s="54" t="n"/>
      <c r="G99" s="55" t="n"/>
      <c r="H99" s="55" t="n"/>
      <c r="I99" s="55" t="n"/>
      <c r="J99" s="56" t="n"/>
      <c r="K99" s="56" t="n"/>
      <c r="L99" s="34">
        <f>HYPERLINK(Table544[[#This Row],[Column1]])</f>
        <v/>
      </c>
    </row>
    <row r="100" ht="45" customHeight="1" s="290">
      <c r="A100" s="30" t="n"/>
      <c r="B100" s="30" t="n"/>
      <c r="C100" s="30" t="n"/>
      <c r="D100" s="324" t="n"/>
      <c r="E100" s="53" t="n"/>
      <c r="F100" s="54" t="n"/>
      <c r="G100" s="55" t="n"/>
      <c r="H100" s="55" t="n"/>
      <c r="I100" s="55" t="n"/>
      <c r="J100" s="56" t="n"/>
      <c r="K100" s="56" t="n"/>
      <c r="L100" s="34">
        <f>HYPERLINK(Table544[[#This Row],[Column1]])</f>
        <v/>
      </c>
    </row>
    <row r="101" ht="45" customHeight="1" s="290">
      <c r="A101" s="30" t="n"/>
      <c r="B101" s="30" t="n"/>
      <c r="C101" s="30" t="n"/>
      <c r="D101" s="324" t="n"/>
      <c r="E101" s="53" t="n"/>
      <c r="F101" s="54" t="n"/>
      <c r="G101" s="55" t="n"/>
      <c r="H101" s="55" t="n"/>
      <c r="I101" s="55" t="n"/>
      <c r="J101" s="56" t="n"/>
      <c r="K101" s="56" t="n"/>
      <c r="L101" s="34">
        <f>HYPERLINK(Table544[[#This Row],[Column1]])</f>
        <v/>
      </c>
    </row>
    <row r="102" ht="45" customHeight="1" s="290">
      <c r="A102" s="30" t="n"/>
      <c r="B102" s="30" t="n"/>
      <c r="C102" s="30" t="n"/>
      <c r="D102" s="324" t="n"/>
      <c r="E102" s="53" t="n"/>
      <c r="F102" s="54" t="n"/>
      <c r="G102" s="55" t="n"/>
      <c r="H102" s="55" t="n"/>
      <c r="I102" s="55" t="n"/>
      <c r="J102" s="56" t="n"/>
      <c r="K102" s="56" t="n"/>
      <c r="L102" s="34">
        <f>HYPERLINK(Table544[[#This Row],[Column1]])</f>
        <v/>
      </c>
    </row>
    <row r="103" ht="45" customHeight="1" s="290">
      <c r="A103" s="30" t="n"/>
      <c r="B103" s="30" t="n"/>
      <c r="C103" s="30" t="n"/>
      <c r="D103" s="324" t="n"/>
      <c r="E103" s="53" t="n"/>
      <c r="F103" s="54" t="n"/>
      <c r="G103" s="55" t="n"/>
      <c r="H103" s="55" t="n"/>
      <c r="I103" s="55" t="n"/>
      <c r="J103" s="56" t="n"/>
      <c r="K103" s="56" t="n"/>
      <c r="L103" s="34">
        <f>HYPERLINK(Table544[[#This Row],[Column1]])</f>
        <v/>
      </c>
    </row>
    <row r="104" ht="45" customHeight="1" s="290">
      <c r="A104" s="30" t="n"/>
      <c r="B104" s="30" t="n"/>
      <c r="C104" s="30" t="n"/>
      <c r="D104" s="324" t="n"/>
      <c r="E104" s="53" t="n"/>
      <c r="F104" s="54" t="n"/>
      <c r="G104" s="55" t="n"/>
      <c r="H104" s="55" t="n"/>
      <c r="I104" s="55" t="n"/>
      <c r="J104" s="56" t="n"/>
      <c r="K104" s="56" t="n"/>
      <c r="L104" s="34">
        <f>HYPERLINK(Table544[[#This Row],[Column1]])</f>
        <v/>
      </c>
    </row>
    <row r="105" ht="45" customHeight="1" s="290">
      <c r="A105" s="30" t="n"/>
      <c r="B105" s="30" t="n"/>
      <c r="C105" s="30" t="n"/>
      <c r="D105" s="324" t="n"/>
      <c r="E105" s="53" t="n"/>
      <c r="F105" s="54" t="n"/>
      <c r="G105" s="55" t="n"/>
      <c r="H105" s="55" t="n"/>
      <c r="I105" s="55" t="n"/>
      <c r="J105" s="56" t="n"/>
      <c r="K105" s="56" t="n"/>
      <c r="L105" s="34">
        <f>HYPERLINK(Table544[[#This Row],[Column1]])</f>
        <v/>
      </c>
    </row>
    <row r="106" ht="45" customHeight="1" s="290">
      <c r="A106" s="30" t="n"/>
      <c r="B106" s="30" t="n"/>
      <c r="C106" s="30" t="n"/>
      <c r="D106" s="324" t="n"/>
      <c r="E106" s="53" t="n"/>
      <c r="F106" s="54" t="n"/>
      <c r="G106" s="55" t="n"/>
      <c r="H106" s="55" t="n"/>
      <c r="I106" s="55" t="n"/>
      <c r="J106" s="56" t="n"/>
      <c r="K106" s="56" t="n"/>
      <c r="L106" s="34">
        <f>HYPERLINK(Table544[[#This Row],[Column1]])</f>
        <v/>
      </c>
    </row>
    <row r="107" ht="60" customHeight="1" s="290">
      <c r="A107" s="30" t="n"/>
      <c r="B107" s="30" t="n"/>
      <c r="C107" s="30" t="n"/>
      <c r="D107" s="324" t="n"/>
      <c r="E107" s="53" t="n"/>
      <c r="F107" s="54" t="n"/>
      <c r="G107" s="55" t="n"/>
      <c r="H107" s="55" t="n"/>
      <c r="I107" s="55" t="n"/>
      <c r="J107" s="56" t="n"/>
      <c r="K107" s="56" t="n"/>
      <c r="L107" s="34">
        <f>HYPERLINK(Table544[[#This Row],[Column1]])</f>
        <v/>
      </c>
    </row>
    <row r="108" ht="45" customHeight="1" s="290">
      <c r="A108" s="30" t="n"/>
      <c r="B108" s="30" t="n"/>
      <c r="C108" s="30" t="n"/>
      <c r="D108" s="324" t="n"/>
      <c r="E108" s="53" t="n"/>
      <c r="F108" s="54" t="n"/>
      <c r="G108" s="55" t="n"/>
      <c r="H108" s="55" t="n"/>
      <c r="I108" s="55" t="n"/>
      <c r="J108" s="56" t="n"/>
      <c r="K108" s="56" t="n"/>
      <c r="L108" s="34">
        <f>HYPERLINK(Table544[[#This Row],[Column1]])</f>
        <v/>
      </c>
    </row>
    <row r="109" ht="45" customHeight="1" s="290">
      <c r="A109" s="30" t="n"/>
      <c r="B109" s="30" t="n"/>
      <c r="C109" s="30" t="n"/>
      <c r="D109" s="324" t="n"/>
      <c r="E109" s="53" t="n"/>
      <c r="F109" s="54" t="n"/>
      <c r="G109" s="55" t="n"/>
      <c r="H109" s="55" t="n"/>
      <c r="I109" s="55" t="n"/>
      <c r="J109" s="56" t="n"/>
      <c r="K109" s="56" t="n"/>
      <c r="L109" s="34">
        <f>HYPERLINK(Table544[[#This Row],[Column1]])</f>
        <v/>
      </c>
    </row>
    <row r="110" ht="45" customHeight="1" s="290">
      <c r="A110" s="30" t="n"/>
      <c r="B110" s="30" t="n"/>
      <c r="C110" s="30" t="n"/>
      <c r="D110" s="324" t="n"/>
      <c r="E110" s="53" t="n"/>
      <c r="F110" s="54" t="n"/>
      <c r="G110" s="55" t="n"/>
      <c r="H110" s="55" t="n"/>
      <c r="I110" s="55" t="n"/>
      <c r="J110" s="56" t="n"/>
      <c r="K110" s="56" t="n"/>
      <c r="L110" s="34">
        <f>HYPERLINK(Table544[[#This Row],[Column1]])</f>
        <v/>
      </c>
    </row>
    <row r="111" ht="45" customHeight="1" s="290">
      <c r="A111" s="30" t="n"/>
      <c r="B111" s="30" t="n"/>
      <c r="C111" s="30" t="n"/>
      <c r="D111" s="324" t="n"/>
      <c r="E111" s="53" t="n"/>
      <c r="F111" s="54" t="n"/>
      <c r="G111" s="55" t="n"/>
      <c r="H111" s="55" t="n"/>
      <c r="I111" s="55" t="n"/>
      <c r="J111" s="56" t="n"/>
      <c r="K111" s="56" t="n"/>
      <c r="L111" s="34">
        <f>HYPERLINK(Table544[[#This Row],[Column1]])</f>
        <v/>
      </c>
    </row>
    <row r="112" ht="45" customHeight="1" s="290">
      <c r="A112" s="30" t="n"/>
      <c r="B112" s="30" t="n"/>
      <c r="C112" s="30" t="n"/>
      <c r="D112" s="324" t="n"/>
      <c r="E112" s="53" t="n"/>
      <c r="F112" s="54" t="n"/>
      <c r="G112" s="55" t="n"/>
      <c r="H112" s="55" t="n"/>
      <c r="I112" s="55" t="n"/>
      <c r="J112" s="56" t="n"/>
      <c r="K112" s="56" t="n"/>
      <c r="L112" s="34">
        <f>HYPERLINK(Table544[[#This Row],[Column1]])</f>
        <v/>
      </c>
    </row>
    <row r="113" ht="45" customHeight="1" s="290">
      <c r="A113" s="30" t="n"/>
      <c r="B113" s="30" t="n"/>
      <c r="C113" s="30" t="n"/>
      <c r="D113" s="324" t="n"/>
      <c r="E113" s="53" t="n"/>
      <c r="F113" s="54" t="n"/>
      <c r="G113" s="55" t="n"/>
      <c r="H113" s="55" t="n"/>
      <c r="I113" s="55" t="n"/>
      <c r="J113" s="56" t="n"/>
      <c r="K113" s="56" t="n"/>
      <c r="L113" s="34">
        <f>HYPERLINK(Table544[[#This Row],[Column1]])</f>
        <v/>
      </c>
    </row>
    <row r="114" ht="45" customHeight="1" s="290">
      <c r="A114" s="30" t="n"/>
      <c r="B114" s="30" t="n"/>
      <c r="C114" s="30" t="n"/>
      <c r="D114" s="324" t="n"/>
      <c r="E114" s="53" t="n"/>
      <c r="F114" s="54" t="n"/>
      <c r="G114" s="55" t="n"/>
      <c r="H114" s="55" t="n"/>
      <c r="I114" s="55" t="n"/>
      <c r="J114" s="56" t="n"/>
      <c r="K114" s="56" t="n"/>
      <c r="L114" s="34">
        <f>HYPERLINK(Table544[[#This Row],[Column1]])</f>
        <v/>
      </c>
    </row>
    <row r="115" ht="45" customHeight="1" s="290">
      <c r="A115" s="30" t="n"/>
      <c r="B115" s="30" t="n"/>
      <c r="C115" s="30" t="n"/>
      <c r="D115" s="324" t="n"/>
      <c r="E115" s="53" t="n"/>
      <c r="F115" s="54" t="n"/>
      <c r="G115" s="55" t="n"/>
      <c r="H115" s="55" t="n"/>
      <c r="I115" s="55" t="n"/>
      <c r="J115" s="56" t="n"/>
      <c r="K115" s="56" t="n"/>
      <c r="L115" s="34">
        <f>HYPERLINK(Table544[[#This Row],[Column1]])</f>
        <v/>
      </c>
    </row>
    <row r="116" ht="30" customHeight="1" s="290">
      <c r="A116" s="30" t="n"/>
      <c r="B116" s="30" t="n"/>
      <c r="C116" s="30" t="n"/>
      <c r="D116" s="324" t="n"/>
      <c r="E116" s="53" t="n"/>
      <c r="F116" s="54" t="n"/>
      <c r="G116" s="55" t="n"/>
      <c r="H116" s="55" t="n"/>
      <c r="I116" s="55" t="n"/>
      <c r="J116" s="56" t="n"/>
      <c r="K116" s="56" t="n"/>
      <c r="L116" s="34">
        <f>HYPERLINK(Table544[[#This Row],[Column1]])</f>
        <v/>
      </c>
    </row>
    <row r="117" ht="30" customHeight="1" s="290">
      <c r="A117" s="30" t="n"/>
      <c r="B117" s="30" t="n"/>
      <c r="C117" s="30" t="n"/>
      <c r="D117" s="324" t="n"/>
      <c r="E117" s="53" t="n"/>
      <c r="F117" s="54" t="n"/>
      <c r="G117" s="55" t="n"/>
      <c r="H117" s="55" t="n"/>
      <c r="I117" s="55" t="n"/>
      <c r="J117" s="56" t="n"/>
      <c r="K117" s="56" t="n"/>
      <c r="L117" s="34">
        <f>HYPERLINK(Table544[[#This Row],[Column1]])</f>
        <v/>
      </c>
    </row>
    <row r="118" ht="45" customHeight="1" s="290">
      <c r="A118" s="30" t="n"/>
      <c r="B118" s="30" t="n"/>
      <c r="C118" s="30" t="n"/>
      <c r="D118" s="324" t="n"/>
      <c r="E118" s="53" t="n"/>
      <c r="F118" s="54" t="n"/>
      <c r="G118" s="55" t="n"/>
      <c r="H118" s="55" t="n"/>
      <c r="I118" s="55" t="n"/>
      <c r="J118" s="56" t="n"/>
      <c r="K118" s="56" t="n"/>
      <c r="L118" s="34">
        <f>HYPERLINK(Table544[[#This Row],[Column1]])</f>
        <v/>
      </c>
    </row>
    <row r="119" ht="45" customHeight="1" s="290">
      <c r="A119" s="30" t="n"/>
      <c r="B119" s="30" t="n"/>
      <c r="C119" s="30" t="n"/>
      <c r="D119" s="324" t="n"/>
      <c r="E119" s="53" t="n"/>
      <c r="F119" s="54" t="n"/>
      <c r="G119" s="55" t="n"/>
      <c r="H119" s="55" t="n"/>
      <c r="I119" s="55" t="n"/>
      <c r="J119" s="56" t="n"/>
      <c r="K119" s="56" t="n"/>
      <c r="L119" s="34">
        <f>HYPERLINK(Table544[[#This Row],[Column1]])</f>
        <v/>
      </c>
    </row>
    <row r="120" ht="60" customHeight="1" s="290">
      <c r="A120" s="30" t="n"/>
      <c r="B120" s="30" t="n"/>
      <c r="C120" s="30" t="n"/>
      <c r="D120" s="324" t="n"/>
      <c r="E120" s="53" t="n"/>
      <c r="F120" s="54" t="n"/>
      <c r="G120" s="55" t="n"/>
      <c r="H120" s="55" t="n"/>
      <c r="I120" s="55" t="n"/>
      <c r="J120" s="56" t="n"/>
      <c r="K120" s="56" t="n"/>
      <c r="L120" s="34">
        <f>HYPERLINK(Table544[[#This Row],[Column1]])</f>
        <v/>
      </c>
    </row>
    <row r="121" ht="45" customHeight="1" s="290">
      <c r="A121" s="30" t="n"/>
      <c r="B121" s="30" t="n"/>
      <c r="C121" s="30" t="n"/>
      <c r="D121" s="324" t="n"/>
      <c r="E121" s="53" t="n"/>
      <c r="F121" s="54" t="n"/>
      <c r="G121" s="55" t="n"/>
      <c r="H121" s="55" t="n"/>
      <c r="I121" s="55" t="n"/>
      <c r="J121" s="56" t="n"/>
      <c r="K121" s="56" t="n"/>
      <c r="L121" s="34">
        <f>HYPERLINK(Table544[[#This Row],[Column1]])</f>
        <v/>
      </c>
    </row>
    <row r="122" ht="45" customHeight="1" s="290">
      <c r="A122" s="30" t="n"/>
      <c r="B122" s="30" t="n"/>
      <c r="C122" s="30" t="n"/>
      <c r="D122" s="324" t="n"/>
      <c r="E122" s="53" t="n"/>
      <c r="F122" s="54" t="n"/>
      <c r="G122" s="55" t="n"/>
      <c r="H122" s="55" t="n"/>
      <c r="I122" s="55" t="n"/>
      <c r="J122" s="56" t="n"/>
      <c r="K122" s="56" t="n"/>
      <c r="L122" s="34">
        <f>HYPERLINK(Table544[[#This Row],[Column1]])</f>
        <v/>
      </c>
    </row>
    <row r="123" ht="45" customHeight="1" s="290">
      <c r="A123" s="30" t="n"/>
      <c r="B123" s="30" t="n"/>
      <c r="C123" s="30" t="n"/>
      <c r="D123" s="324" t="n"/>
      <c r="E123" s="53" t="n"/>
      <c r="F123" s="54" t="n"/>
      <c r="G123" s="55" t="n"/>
      <c r="H123" s="55" t="n"/>
      <c r="I123" s="55" t="n"/>
      <c r="J123" s="56" t="n"/>
      <c r="K123" s="56" t="n"/>
      <c r="L123" s="34">
        <f>HYPERLINK(Table544[[#This Row],[Column1]])</f>
        <v/>
      </c>
    </row>
    <row r="124" ht="17" customHeight="1" s="290">
      <c r="A124" s="30" t="n"/>
      <c r="B124" s="30" t="n"/>
      <c r="C124" s="30" t="n"/>
      <c r="D124" s="324" t="n"/>
      <c r="E124" s="53" t="n"/>
      <c r="F124" s="54" t="n"/>
      <c r="G124" s="55" t="n"/>
      <c r="H124" s="55" t="n"/>
      <c r="I124" s="55" t="n"/>
      <c r="J124" s="56" t="n"/>
      <c r="K124" s="56" t="n"/>
      <c r="L124" s="34">
        <f>HYPERLINK(Table544[[#This Row],[Column1]])</f>
        <v/>
      </c>
    </row>
    <row r="125" ht="30" customHeight="1" s="290">
      <c r="A125" s="30" t="n"/>
      <c r="B125" s="30" t="n"/>
      <c r="C125" s="30" t="n"/>
      <c r="D125" s="324" t="n"/>
      <c r="E125" s="53" t="n"/>
      <c r="F125" s="54" t="n"/>
      <c r="G125" s="55" t="n"/>
      <c r="H125" s="55" t="n"/>
      <c r="I125" s="55" t="n"/>
      <c r="J125" s="56" t="n"/>
      <c r="K125" s="56" t="n"/>
      <c r="L125" s="34">
        <f>HYPERLINK(Table544[[#This Row],[Column1]])</f>
        <v/>
      </c>
    </row>
    <row r="126" ht="45" customHeight="1" s="290">
      <c r="A126" s="30" t="n"/>
      <c r="B126" s="30" t="n"/>
      <c r="C126" s="30" t="n"/>
      <c r="D126" s="324" t="n"/>
      <c r="E126" s="53" t="n"/>
      <c r="F126" s="54" t="n"/>
      <c r="G126" s="55" t="n"/>
      <c r="H126" s="55" t="n"/>
      <c r="I126" s="55" t="n"/>
      <c r="J126" s="56" t="n"/>
      <c r="K126" s="56" t="n"/>
      <c r="L126" s="34">
        <f>HYPERLINK(Table544[[#This Row],[Column1]])</f>
        <v/>
      </c>
    </row>
    <row r="127" ht="45" customHeight="1" s="290">
      <c r="A127" s="30" t="n"/>
      <c r="B127" s="30" t="n"/>
      <c r="C127" s="30" t="n"/>
      <c r="D127" s="324" t="n"/>
      <c r="E127" s="53" t="n"/>
      <c r="F127" s="54" t="n"/>
      <c r="G127" s="55" t="n"/>
      <c r="H127" s="55" t="n"/>
      <c r="I127" s="55" t="n"/>
      <c r="J127" s="56" t="n"/>
      <c r="K127" s="56" t="n"/>
      <c r="L127" s="34">
        <f>HYPERLINK(Table544[[#This Row],[Column1]])</f>
        <v/>
      </c>
    </row>
    <row r="128" ht="17" customHeight="1" s="290">
      <c r="A128" s="33" t="inlineStr">
        <is>
          <t>Total</t>
        </is>
      </c>
      <c r="B128" s="32" t="n"/>
      <c r="C128" s="325" t="n"/>
      <c r="D128" s="325" t="n"/>
      <c r="E128" s="59">
        <f>SUM(Table544[Estimated 12mo Revenue])</f>
        <v/>
      </c>
      <c r="F128" s="59">
        <f>SUM(Table544[Monthly Rev])</f>
        <v/>
      </c>
      <c r="I128" s="286" t="n"/>
      <c r="J128" s="287" t="n"/>
    </row>
    <row r="131">
      <c r="A131" s="283" t="inlineStr">
        <is>
          <t>Rank by Units</t>
        </is>
      </c>
    </row>
    <row r="132" ht="17" customHeight="1" s="290">
      <c r="A132" s="38" t="inlineStr">
        <is>
          <t>Product Name</t>
        </is>
      </c>
      <c r="B132" s="39" t="inlineStr">
        <is>
          <t>ASIN</t>
        </is>
      </c>
      <c r="C132" s="39" t="inlineStr">
        <is>
          <t>Type</t>
        </is>
      </c>
      <c r="D132" s="322" t="inlineStr">
        <is>
          <t>Avg Price</t>
        </is>
      </c>
      <c r="E132" s="41" t="inlineStr">
        <is>
          <t>Estimated 12mo Revenue</t>
        </is>
      </c>
      <c r="F132" s="39" t="inlineStr">
        <is>
          <t>Monthly Rev</t>
        </is>
      </c>
      <c r="G132" s="42" t="inlineStr">
        <is>
          <t>Estimated 12mo Units</t>
        </is>
      </c>
      <c r="H132" s="45" t="inlineStr">
        <is>
          <t>Monthly Units</t>
        </is>
      </c>
      <c r="I132" s="42" t="inlineStr">
        <is>
          <t># of Reviews</t>
        </is>
      </c>
      <c r="J132" s="43" t="inlineStr">
        <is>
          <t xml:space="preserve">Tool Rating </t>
        </is>
      </c>
      <c r="K132" s="43" t="inlineStr">
        <is>
          <t>Column1</t>
        </is>
      </c>
      <c r="L132" s="323" t="inlineStr">
        <is>
          <t>Link</t>
        </is>
      </c>
    </row>
    <row r="133" ht="45" customHeight="1" s="290">
      <c r="A133" s="30" t="inlineStr">
        <is>
          <t>MUCAR 892BT AI-Assisted Bidirectional Scan Tool, Full System OBD2 Scanner, Bi-Directional OBD2 Scanner Diagnostic Tool,ECU Coding, 35 Services, FCA Autoauth, CANFD and DOIP, Free Lifetime Upgrade</t>
        </is>
      </c>
      <c r="B133" s="30" t="inlineStr">
        <is>
          <t>B0DTK24XKB</t>
        </is>
      </c>
      <c r="C133" s="30" t="inlineStr">
        <is>
          <t>Tablet</t>
        </is>
      </c>
      <c r="D133" s="324" t="n">
        <v>644.8325789473685</v>
      </c>
      <c r="E133" s="53" t="n">
        <v>2958362.81</v>
      </c>
      <c r="F133" s="53" t="n">
        <v>367554.57</v>
      </c>
      <c r="G133" s="55" t="n">
        <v>4804</v>
      </c>
      <c r="H133" s="57" t="n">
        <v>570</v>
      </c>
      <c r="I133" s="55" t="n">
        <v>394</v>
      </c>
      <c r="J133" s="56" t="n">
        <v>4.3</v>
      </c>
      <c r="K133" s="56" t="inlineStr">
        <is>
          <t>https://amazon.com/dp/B0DTK24XKB</t>
        </is>
      </c>
      <c r="L133" s="34">
        <f>HYPERLINK(Mucar_1[[#This Row],[Column1]])</f>
        <v/>
      </c>
    </row>
    <row r="134" ht="45" customHeight="1" s="290">
      <c r="A134" s="30" t="inlineStr">
        <is>
          <t>OBD2 Scanner, MUCAR 632 Elite AI-Assisted Bidirectional Scan Tool, 15 Reset Services Oil/TPMS/EPB/BMS/SAS/Brake/Throttle Car Scanner Diagnostic Tool, AutoAuth FCA, CANFD, AutoVIN, Lifetime Free Update</t>
        </is>
      </c>
      <c r="B134" s="30" t="inlineStr">
        <is>
          <t>B0FGC7K873</t>
        </is>
      </c>
      <c r="C134" s="30" t="inlineStr">
        <is>
          <t>Tablet</t>
        </is>
      </c>
      <c r="D134" s="324" t="n">
        <v>207.5880847145488</v>
      </c>
      <c r="E134" s="53" t="n">
        <v>1217057.037692308</v>
      </c>
      <c r="F134" s="53" t="n">
        <v>112720.33</v>
      </c>
      <c r="G134" s="55" t="n">
        <v>2237</v>
      </c>
      <c r="H134" s="57" t="n">
        <v>543</v>
      </c>
      <c r="I134" s="55" t="n">
        <v>251</v>
      </c>
      <c r="J134" s="56" t="n">
        <v>4</v>
      </c>
      <c r="K134" s="56" t="inlineStr">
        <is>
          <t>https://amazon.com/dp/B0FGC7K873</t>
        </is>
      </c>
      <c r="L134" s="34">
        <f>HYPERLINK(Mucar_1[[#This Row],[Column1]])</f>
        <v/>
      </c>
    </row>
    <row r="135" ht="45" customHeight="1" s="290">
      <c r="A135" s="30" t="inlineStr">
        <is>
          <t>MUCAR AI-Assisted OBD2 Scanner Bluetooth Lifetime Update, BT200 MAX Compatible with ELM327, All System OBD2 Diagnostic Tool with 15 Resets for iOS &amp; Android, CANFD Protocol, Autoauth for FCA SGW</t>
        </is>
      </c>
      <c r="B135" s="30" t="inlineStr">
        <is>
          <t>B0FB9B6KW5</t>
        </is>
      </c>
      <c r="C135" s="30" t="inlineStr">
        <is>
          <t>Tablet</t>
        </is>
      </c>
      <c r="D135" s="324" t="n">
        <v>151.1252666666667</v>
      </c>
      <c r="E135" s="53" t="n">
        <v>216805.3446153846</v>
      </c>
      <c r="F135" s="53" t="n">
        <v>22668.79</v>
      </c>
      <c r="G135" s="55" t="n">
        <v>753</v>
      </c>
      <c r="H135" s="57" t="n">
        <v>150</v>
      </c>
      <c r="I135" s="55" t="n">
        <v>101</v>
      </c>
      <c r="J135" s="56" t="n">
        <v>4.3</v>
      </c>
      <c r="K135" s="56" t="inlineStr">
        <is>
          <t>https://amazon.com/dp/B0FB9B6KW5</t>
        </is>
      </c>
      <c r="L135" s="34">
        <f>HYPERLINK(Mucar_1[[#This Row],[Column1]])</f>
        <v/>
      </c>
    </row>
    <row r="136" ht="45" customHeight="1" s="290">
      <c r="A136" s="30" t="inlineStr">
        <is>
          <t>MUCAR CDL20 Universal OBD2 Scanner, Check Engine Car Code Reader with Full OBD2 Functions, Vehicle Info/MIL/EVAP/Freeze Frame/DTC Library, Diagnostic Scan Tool for All OBD II &amp; EOBD Cars After 1996</t>
        </is>
      </c>
      <c r="B136" s="30" t="inlineStr">
        <is>
          <t>B09GJL2G8W</t>
        </is>
      </c>
      <c r="C136" s="30" t="inlineStr">
        <is>
          <t>Handheld</t>
        </is>
      </c>
      <c r="D136" s="324" t="n">
        <v>27.96621848739496</v>
      </c>
      <c r="E136" s="53" t="n">
        <v>7230.55</v>
      </c>
      <c r="F136" s="53" t="n">
        <v>3327.98</v>
      </c>
      <c r="G136" s="55" t="n">
        <v>313</v>
      </c>
      <c r="H136" s="57" t="n">
        <v>119</v>
      </c>
      <c r="I136" s="55" t="n">
        <v>588</v>
      </c>
      <c r="J136" s="56" t="n">
        <v>4.3</v>
      </c>
      <c r="K136" s="56" t="inlineStr">
        <is>
          <t>https://amazon.com/dp/B09GJL2G8W</t>
        </is>
      </c>
      <c r="L136" s="34">
        <f>HYPERLINK(Mucar_1[[#This Row],[Column1]])</f>
        <v/>
      </c>
    </row>
    <row r="137" ht="45" customHeight="1" s="290">
      <c r="A137" s="30" t="inlineStr">
        <is>
          <t>OBD2 Scanner, MUCAR 682 AI-Assisted Car Diagnostic Tool, Automotive Bidirectional Scan Tool, FULL Systems Car Diagnostic Scanner, Scanner for Car with 20+ Reset, CAN FD &amp; FCA SGW, Lifetime Free Update</t>
        </is>
      </c>
      <c r="B137" s="30" t="inlineStr">
        <is>
          <t>B0FGC4D4X2</t>
        </is>
      </c>
      <c r="C137" s="30" t="inlineStr">
        <is>
          <t>Tablet</t>
        </is>
      </c>
      <c r="D137" s="324" t="n">
        <v>285.628407079646</v>
      </c>
      <c r="E137" s="53" t="n">
        <v>341471.2299999999</v>
      </c>
      <c r="F137" s="53" t="n">
        <v>32276.01</v>
      </c>
      <c r="G137" s="55" t="n">
        <v>472</v>
      </c>
      <c r="H137" s="57" t="n">
        <v>113</v>
      </c>
      <c r="I137" s="55" t="n">
        <v>91</v>
      </c>
      <c r="J137" s="56" t="n">
        <v>4.5</v>
      </c>
      <c r="K137" s="56" t="inlineStr">
        <is>
          <t>https://amazon.com/dp/B0FGC4D4X2</t>
        </is>
      </c>
      <c r="L137" s="34">
        <f>HYPERLINK(Mucar_1[[#This Row],[Column1]])</f>
        <v/>
      </c>
    </row>
    <row r="138" ht="45" customHeight="1" s="290">
      <c r="A138" s="30" t="inlineStr">
        <is>
          <t>MUCAR 682 AI-Assisted OBD2 Scanner Bidirectional Scan Tool, Scanner for Car ALL System, OBD2 Scanner Diagnostic Tool with Active Test,Car Diagnostic Scanner with 20+ Reset,CAN FD &amp; FCA SGW,Free Update</t>
        </is>
      </c>
      <c r="B138" s="30" t="inlineStr">
        <is>
          <t>B0G1T4F8Y2</t>
        </is>
      </c>
      <c r="C138" s="30" t="inlineStr">
        <is>
          <t>Tablet</t>
        </is>
      </c>
      <c r="D138" s="324" t="n">
        <v>322.6429268292683</v>
      </c>
      <c r="E138" s="53" t="n">
        <v>320791.7515384615</v>
      </c>
      <c r="F138" s="53" t="n">
        <v>26456.72</v>
      </c>
      <c r="G138" s="55" t="n">
        <v>438</v>
      </c>
      <c r="H138" s="57" t="n">
        <v>82</v>
      </c>
      <c r="I138" s="55" t="n">
        <v>151</v>
      </c>
      <c r="J138" s="56" t="n">
        <v>4.3</v>
      </c>
      <c r="K138" s="56" t="inlineStr">
        <is>
          <t>https://amazon.com/dp/B0G1T4F8Y2</t>
        </is>
      </c>
      <c r="L138" s="34">
        <f>HYPERLINK(Mucar_1[[#This Row],[Column1]])</f>
        <v/>
      </c>
    </row>
    <row r="139" ht="45" customHeight="1" s="290">
      <c r="A139" s="30" t="inlineStr">
        <is>
          <t>MUCAR VO6 Bidirectional Scan Tool, Full Systems Diagnostic OBD2 Scanner, Automotive Diagnostic Scanner for Car, 28+ Services Code Reader, CAN FD, FCA/AutoAuth, Lifetime Free Update=No Subscriptions</t>
        </is>
      </c>
      <c r="B139" s="30" t="inlineStr">
        <is>
          <t>B0CJ33NYSL</t>
        </is>
      </c>
      <c r="C139" s="30" t="inlineStr">
        <is>
          <t>Tablet</t>
        </is>
      </c>
      <c r="D139" s="324" t="n">
        <v>395.8456818181818</v>
      </c>
      <c r="E139" s="53" t="n">
        <v>152072.0023076923</v>
      </c>
      <c r="F139" s="53" t="n">
        <v>17417.21</v>
      </c>
      <c r="G139" s="55" t="n">
        <v>101</v>
      </c>
      <c r="H139" s="57" t="n">
        <v>44</v>
      </c>
      <c r="I139" s="55" t="n">
        <v>33</v>
      </c>
      <c r="J139" s="56" t="n">
        <v>4.6</v>
      </c>
      <c r="K139" s="56" t="inlineStr">
        <is>
          <t>https://amazon.com/dp/B0CJ33NYSL</t>
        </is>
      </c>
      <c r="L139" s="34">
        <f>HYPERLINK(Mucar_1[[#This Row],[Column1]])</f>
        <v/>
      </c>
    </row>
    <row r="140" ht="45" customHeight="1" s="290">
      <c r="A140" s="30" t="inlineStr">
        <is>
          <t>MUCAR CS90 OBD2 Scanner Diagnostic Tool with 28+ Reset Services, Oil/EPB/SAS/BMS/Injector, ABS Bleeding, Throttle Relearn, ABS SRS Engine Transmission Code Reader, FCA AutoAuth, Lifetime Free Update</t>
        </is>
      </c>
      <c r="B140" s="30" t="inlineStr">
        <is>
          <t>B0FHGWXN2B</t>
        </is>
      </c>
      <c r="C140" s="30" t="inlineStr">
        <is>
          <t>Tablet</t>
        </is>
      </c>
      <c r="D140" s="324" t="n">
        <v>171.2790909090909</v>
      </c>
      <c r="E140" s="53" t="n">
        <v>48930.74307692309</v>
      </c>
      <c r="F140" s="53" t="n">
        <v>5652.21</v>
      </c>
      <c r="G140" s="55" t="n">
        <v>105</v>
      </c>
      <c r="H140" s="57" t="n">
        <v>33</v>
      </c>
      <c r="I140" s="55" t="n">
        <v>60</v>
      </c>
      <c r="J140" s="56" t="n">
        <v>4.3</v>
      </c>
      <c r="K140" s="56" t="inlineStr">
        <is>
          <t>https://amazon.com/dp/B0FHGWXN2B</t>
        </is>
      </c>
      <c r="L140" s="34">
        <f>HYPERLINK(Mucar_1[[#This Row],[Column1]])</f>
        <v/>
      </c>
    </row>
    <row r="141" ht="30" customHeight="1" s="290">
      <c r="A141" s="30" t="inlineStr">
        <is>
          <t>MUCAR CDE900 OBD2 Scanner, Check Engine System Car Code Reader, Automotive Diagnostic Scan Tool with 4 Inches Touchscreen, Cover 106 Brands, FCA Autoauth, Wireless Update</t>
        </is>
      </c>
      <c r="B141" s="30" t="inlineStr">
        <is>
          <t>B0B2NZTC2S</t>
        </is>
      </c>
      <c r="C141" s="30" t="inlineStr">
        <is>
          <t>Handheld</t>
        </is>
      </c>
      <c r="D141" s="324" t="n">
        <v>102.140625</v>
      </c>
      <c r="E141" s="53" t="n">
        <v>31656.5</v>
      </c>
      <c r="F141" s="53" t="n">
        <v>1634.25</v>
      </c>
      <c r="G141" s="55" t="n">
        <v>315</v>
      </c>
      <c r="H141" s="57" t="n">
        <v>16</v>
      </c>
      <c r="I141" s="55" t="n">
        <v>256</v>
      </c>
      <c r="J141" s="56" t="n">
        <v>4.4</v>
      </c>
      <c r="K141" s="56" t="inlineStr">
        <is>
          <t>https://amazon.com/dp/B0B2NZTC2S</t>
        </is>
      </c>
      <c r="L141" s="34">
        <f>HYPERLINK(Mucar_1[[#This Row],[Column1]])</f>
        <v/>
      </c>
    </row>
    <row r="142" ht="45" customHeight="1" s="290">
      <c r="A142" s="30" t="inlineStr">
        <is>
          <t>MUCAR CS6 OBD2 Scanner Diagnostic Tool, Engine Transmission BCM Car Scanner, ABS Code Reader, SRS TPMS Scan Tool, 7 Reset Service, Oil/EPB/SAS/TPMS/DPF/Throttle/ABS Bleed, Auto VIN, Free Update</t>
        </is>
      </c>
      <c r="B142" s="30" t="inlineStr">
        <is>
          <t>B0CQVL7MMW</t>
        </is>
      </c>
      <c r="C142" s="30" t="inlineStr">
        <is>
          <t>Tablet</t>
        </is>
      </c>
      <c r="D142" s="324" t="n">
        <v>168.7325</v>
      </c>
      <c r="E142" s="53" t="n">
        <v>130487.5569230769</v>
      </c>
      <c r="F142" s="53" t="n">
        <v>2024.79</v>
      </c>
      <c r="G142" s="55" t="n">
        <v>830</v>
      </c>
      <c r="H142" s="57" t="n">
        <v>12</v>
      </c>
      <c r="I142" s="55" t="n">
        <v>165</v>
      </c>
      <c r="J142" s="56" t="n">
        <v>4.4</v>
      </c>
      <c r="K142" s="56" t="inlineStr">
        <is>
          <t>https://amazon.com/dp/B0CQVL7MMW</t>
        </is>
      </c>
      <c r="L142" s="34">
        <f>HYPERLINK(Mucar_1[[#This Row],[Column1]])</f>
        <v/>
      </c>
    </row>
    <row r="143" ht="45" customHeight="1" s="290">
      <c r="A143" s="30" t="inlineStr">
        <is>
          <t>MUCAR VO8 OBD2 Scanner Diagnostic Tool with Lifetime Free Update, Full System Bidirectional Scan Tool with 34+ Reset Service, ECU Coding, 3000+ Active Test, Power Balance, Crankshaft Relearn, FCA SGW</t>
        </is>
      </c>
      <c r="B143" s="30" t="inlineStr">
        <is>
          <t>B0G2949TGX</t>
        </is>
      </c>
      <c r="C143" s="30" t="inlineStr">
        <is>
          <t>Tablet</t>
        </is>
      </c>
      <c r="D143" s="324" t="n">
        <v>644.576</v>
      </c>
      <c r="E143" s="53" t="n">
        <v>48521.21923076922</v>
      </c>
      <c r="F143" s="53" t="n">
        <v>3222.88</v>
      </c>
      <c r="G143" s="55" t="n">
        <v>36</v>
      </c>
      <c r="H143" s="57" t="n">
        <v>5</v>
      </c>
      <c r="I143" s="55" t="n">
        <v>2</v>
      </c>
      <c r="J143" s="56" t="n">
        <v>4.5</v>
      </c>
      <c r="K143" s="56" t="inlineStr">
        <is>
          <t>https://amazon.com/dp/B0G2949TGX</t>
        </is>
      </c>
      <c r="L143" s="34">
        <f>HYPERLINK(Mucar_1[[#This Row],[Column1]])</f>
        <v/>
      </c>
    </row>
    <row r="144" ht="45" customHeight="1" s="290">
      <c r="A144" s="30" t="inlineStr">
        <is>
          <t>MUCAR BT200 MAX AI OBD2 Bluetooth Scanner, Full System 15 Resets Diagnostic Tools Bi-Directional Control, CAN-FD &amp; FCA Autoauth, AutoVIN, Real-Time Data, ELM327 APP Compatibility, Lifetime Free Update</t>
        </is>
      </c>
      <c r="B144" s="30" t="inlineStr">
        <is>
          <t>B0GFN39XPY</t>
        </is>
      </c>
      <c r="C144" s="30" t="inlineStr">
        <is>
          <t>Tablet</t>
        </is>
      </c>
      <c r="D144" s="324" t="n">
        <v>186.53</v>
      </c>
      <c r="E144" s="53" t="n">
        <v>6758.125384615382</v>
      </c>
      <c r="F144" s="53" t="n">
        <v>559.59</v>
      </c>
      <c r="G144" s="55" t="n">
        <v>3</v>
      </c>
      <c r="H144" s="57" t="n">
        <v>3</v>
      </c>
      <c r="I144" s="55" t="n"/>
      <c r="J144" s="56" t="n"/>
      <c r="K144" s="56" t="inlineStr">
        <is>
          <t>https://amazon.com/dp/B0GFN39XPY</t>
        </is>
      </c>
      <c r="L144" s="34">
        <f>HYPERLINK(Mucar_1[[#This Row],[Column1]])</f>
        <v/>
      </c>
    </row>
    <row r="145" ht="45" customHeight="1" s="290">
      <c r="A145" s="30" t="inlineStr">
        <is>
          <t>MUCAR CDE900S Bidirectional Scan Tool Fit for Ford, OEM Full Systems Car Code Reader, All Services, Bi Directional OBD2 Scanner with ECU Coding, Wireless Update</t>
        </is>
      </c>
      <c r="B145" s="30" t="inlineStr">
        <is>
          <t>B0DM88GPYD</t>
        </is>
      </c>
      <c r="C145" s="30" t="inlineStr">
        <is>
          <t>Handheld</t>
        </is>
      </c>
      <c r="D145" s="324" t="n">
        <v>145.115</v>
      </c>
      <c r="E145" s="53" t="n">
        <v>6698.51</v>
      </c>
      <c r="F145" s="53" t="n">
        <v>290.23</v>
      </c>
      <c r="G145" s="55" t="n">
        <v>38</v>
      </c>
      <c r="H145" s="57" t="n">
        <v>2</v>
      </c>
      <c r="I145" s="55" t="n">
        <v>19</v>
      </c>
      <c r="J145" s="56" t="n">
        <v>4.2</v>
      </c>
      <c r="K145" s="56" t="inlineStr">
        <is>
          <t>https://amazon.com/dp/B0DM88GPYD</t>
        </is>
      </c>
      <c r="L145" s="34">
        <f>HYPERLINK(Mucar_1[[#This Row],[Column1]])</f>
        <v/>
      </c>
    </row>
    <row r="146" ht="60" customHeight="1" s="290">
      <c r="A146" s="30" t="inlineStr">
        <is>
          <t>MUCAR CDE900 Elite OBD2 Scanner with 28 Reset Service, Oil/SAS/EPB/BMS/ABS Bleeding, Engine Transmission ABS SRS Car Diagnostic Tool, FCA AutoAuth, Lifetime Free Upgrade</t>
        </is>
      </c>
      <c r="B146" s="30" t="inlineStr">
        <is>
          <t>B0CB3TQNGJ</t>
        </is>
      </c>
      <c r="C146" s="30" t="inlineStr">
        <is>
          <t>Tablet</t>
        </is>
      </c>
      <c r="D146" s="324" t="n">
        <v>126.758</v>
      </c>
      <c r="E146" s="53" t="n">
        <v>11335.84</v>
      </c>
      <c r="F146" s="53" t="n">
        <v>0</v>
      </c>
      <c r="G146" s="55" t="n">
        <v>76</v>
      </c>
      <c r="H146" s="57" t="n">
        <v>0</v>
      </c>
      <c r="I146" s="55" t="n">
        <v>27</v>
      </c>
      <c r="J146" s="56" t="n">
        <v>4.2</v>
      </c>
      <c r="K146" s="56" t="inlineStr">
        <is>
          <t>https://amazon.com/dp/B0CB3TQNGJ</t>
        </is>
      </c>
      <c r="L146" s="34">
        <f>HYPERLINK(Mucar_1[[#This Row],[Column1]])</f>
        <v/>
      </c>
    </row>
    <row r="147" ht="45" customHeight="1" s="290">
      <c r="A147" s="30" t="inlineStr">
        <is>
          <t>MUCAR CDE900 Lite OBD2 Scanner Diagnostic Tool, All System Car Diagnostic Scan Tool with 5 Hot Services Options, FCA AutoAuth, Lifetime Update, No Subscriptions</t>
        </is>
      </c>
      <c r="B147" s="30" t="inlineStr">
        <is>
          <t>B0BZ4L25CZ</t>
        </is>
      </c>
      <c r="C147" s="30" t="inlineStr">
        <is>
          <t>Tablet</t>
        </is>
      </c>
      <c r="D147" s="324" t="n">
        <v>136.7444444444444</v>
      </c>
      <c r="E147" s="53" t="n">
        <v>26004.63</v>
      </c>
      <c r="F147" s="53" t="n">
        <v>0</v>
      </c>
      <c r="G147" s="55" t="n">
        <v>199</v>
      </c>
      <c r="H147" s="57" t="n">
        <v>0</v>
      </c>
      <c r="I147" s="55" t="n">
        <v>127</v>
      </c>
      <c r="J147" s="56" t="n">
        <v>4.3</v>
      </c>
      <c r="K147" s="56" t="inlineStr">
        <is>
          <t>https://amazon.com/dp/B0BZ4L25CZ</t>
        </is>
      </c>
      <c r="L147" s="34">
        <f>HYPERLINK(Mucar_1[[#This Row],[Column1]])</f>
        <v/>
      </c>
    </row>
    <row r="148" ht="45" customHeight="1" s="290">
      <c r="A148" s="30" t="n"/>
      <c r="B148" s="30" t="n"/>
      <c r="C148" s="30" t="n"/>
      <c r="D148" s="324" t="n"/>
      <c r="E148" s="53" t="n"/>
      <c r="F148" s="53" t="n"/>
      <c r="G148" s="55" t="n"/>
      <c r="H148" s="57" t="n"/>
      <c r="I148" s="55" t="n"/>
      <c r="J148" s="56" t="n"/>
      <c r="K148" s="56" t="n"/>
      <c r="L148" s="34">
        <f>HYPERLINK(Table65[[#This Row],[Column1]])</f>
        <v/>
      </c>
    </row>
    <row r="149" ht="45" customHeight="1" s="290">
      <c r="A149" s="30" t="n"/>
      <c r="B149" s="30" t="n"/>
      <c r="C149" s="30" t="n"/>
      <c r="D149" s="324" t="n"/>
      <c r="E149" s="53" t="n"/>
      <c r="F149" s="53" t="n"/>
      <c r="G149" s="55" t="n"/>
      <c r="H149" s="57" t="n"/>
      <c r="I149" s="55" t="n"/>
      <c r="J149" s="56" t="n"/>
      <c r="K149" s="56" t="n"/>
      <c r="L149" s="34">
        <f>HYPERLINK(Table65[[#This Row],[Column1]])</f>
        <v/>
      </c>
    </row>
    <row r="150" ht="45" customHeight="1" s="290">
      <c r="A150" s="30" t="n"/>
      <c r="B150" s="30" t="n"/>
      <c r="C150" s="30" t="n"/>
      <c r="D150" s="324" t="n"/>
      <c r="E150" s="53" t="n"/>
      <c r="F150" s="53" t="n"/>
      <c r="G150" s="55" t="n"/>
      <c r="H150" s="57" t="n"/>
      <c r="I150" s="55" t="n"/>
      <c r="J150" s="56" t="n"/>
      <c r="K150" s="56" t="n"/>
      <c r="L150" s="34">
        <f>HYPERLINK(Table65[[#This Row],[Column1]])</f>
        <v/>
      </c>
    </row>
    <row r="151" ht="45" customHeight="1" s="290">
      <c r="A151" s="30" t="n"/>
      <c r="B151" s="30" t="n"/>
      <c r="C151" s="30" t="n"/>
      <c r="D151" s="324" t="n"/>
      <c r="E151" s="53" t="n"/>
      <c r="F151" s="53" t="n"/>
      <c r="G151" s="55" t="n"/>
      <c r="H151" s="57" t="n"/>
      <c r="I151" s="55" t="n"/>
      <c r="J151" s="56" t="n"/>
      <c r="K151" s="56" t="n"/>
      <c r="L151" s="34">
        <f>HYPERLINK(Table65[[#This Row],[Column1]])</f>
        <v/>
      </c>
    </row>
    <row r="152" ht="45" customHeight="1" s="290">
      <c r="A152" s="30" t="n"/>
      <c r="B152" s="30" t="n"/>
      <c r="C152" s="30" t="n"/>
      <c r="D152" s="324" t="n"/>
      <c r="E152" s="53" t="n"/>
      <c r="F152" s="53" t="n"/>
      <c r="G152" s="55" t="n"/>
      <c r="H152" s="57" t="n"/>
      <c r="I152" s="55" t="n"/>
      <c r="J152" s="56" t="n"/>
      <c r="K152" s="56" t="n"/>
      <c r="L152" s="34">
        <f>HYPERLINK(Table65[[#This Row],[Column1]])</f>
        <v/>
      </c>
    </row>
    <row r="153" ht="60" customHeight="1" s="290">
      <c r="A153" s="30" t="n"/>
      <c r="B153" s="30" t="n"/>
      <c r="C153" s="30" t="n"/>
      <c r="D153" s="324" t="n"/>
      <c r="E153" s="53" t="n"/>
      <c r="F153" s="53" t="n"/>
      <c r="G153" s="55" t="n"/>
      <c r="H153" s="57" t="n"/>
      <c r="I153" s="55" t="n"/>
      <c r="J153" s="56" t="n"/>
      <c r="K153" s="56" t="n"/>
      <c r="L153" s="34">
        <f>HYPERLINK(Table65[[#This Row],[Column1]])</f>
        <v/>
      </c>
    </row>
    <row r="154" ht="45" customHeight="1" s="290">
      <c r="A154" s="30" t="n"/>
      <c r="B154" s="30" t="n"/>
      <c r="C154" s="30" t="n"/>
      <c r="D154" s="324" t="n"/>
      <c r="E154" s="53" t="n"/>
      <c r="F154" s="53" t="n"/>
      <c r="G154" s="55" t="n"/>
      <c r="H154" s="57" t="n"/>
      <c r="I154" s="55" t="n"/>
      <c r="J154" s="56" t="n"/>
      <c r="K154" s="56" t="n"/>
      <c r="L154" s="34">
        <f>HYPERLINK(Table65[[#This Row],[Column1]])</f>
        <v/>
      </c>
    </row>
    <row r="155" ht="45" customHeight="1" s="290">
      <c r="A155" s="30" t="n"/>
      <c r="B155" s="30" t="n"/>
      <c r="C155" s="30" t="n"/>
      <c r="D155" s="324" t="n"/>
      <c r="E155" s="53" t="n"/>
      <c r="F155" s="53" t="n"/>
      <c r="G155" s="55" t="n"/>
      <c r="H155" s="57" t="n"/>
      <c r="I155" s="55" t="n"/>
      <c r="J155" s="56" t="n"/>
      <c r="K155" s="56" t="n"/>
      <c r="L155" s="34">
        <f>HYPERLINK(Table65[[#This Row],[Column1]])</f>
        <v/>
      </c>
    </row>
    <row r="156" ht="45" customHeight="1" s="290">
      <c r="A156" s="30" t="n"/>
      <c r="B156" s="30" t="n"/>
      <c r="C156" s="30" t="n"/>
      <c r="D156" s="324" t="n"/>
      <c r="E156" s="53" t="n"/>
      <c r="F156" s="53" t="n"/>
      <c r="G156" s="55" t="n"/>
      <c r="H156" s="57" t="n"/>
      <c r="I156" s="55" t="n"/>
      <c r="J156" s="56" t="n"/>
      <c r="K156" s="56" t="n"/>
      <c r="L156" s="34">
        <f>HYPERLINK(Table65[[#This Row],[Column1]])</f>
        <v/>
      </c>
    </row>
    <row r="157" ht="45" customHeight="1" s="290">
      <c r="A157" s="30" t="n"/>
      <c r="B157" s="30" t="n"/>
      <c r="C157" s="30" t="n"/>
      <c r="D157" s="324" t="n"/>
      <c r="E157" s="53" t="n"/>
      <c r="F157" s="53" t="n"/>
      <c r="G157" s="55" t="n"/>
      <c r="H157" s="57" t="n"/>
      <c r="I157" s="55" t="n"/>
      <c r="J157" s="56" t="n"/>
      <c r="K157" s="56" t="n"/>
      <c r="L157" s="34">
        <f>HYPERLINK(Table65[[#This Row],[Column1]])</f>
        <v/>
      </c>
    </row>
    <row r="158" ht="45" customHeight="1" s="290">
      <c r="A158" s="30" t="n"/>
      <c r="B158" s="30" t="n"/>
      <c r="C158" s="30" t="n"/>
      <c r="D158" s="324" t="n"/>
      <c r="E158" s="53" t="n"/>
      <c r="F158" s="53" t="n"/>
      <c r="G158" s="55" t="n"/>
      <c r="H158" s="57" t="n"/>
      <c r="I158" s="55" t="n"/>
      <c r="J158" s="56" t="n"/>
      <c r="K158" s="56" t="n"/>
      <c r="L158" s="34">
        <f>HYPERLINK(Table65[[#This Row],[Column1]])</f>
        <v/>
      </c>
    </row>
    <row r="159" ht="45" customHeight="1" s="290">
      <c r="A159" s="30" t="n"/>
      <c r="B159" s="30" t="n"/>
      <c r="C159" s="30" t="n"/>
      <c r="D159" s="324" t="n"/>
      <c r="E159" s="53" t="n"/>
      <c r="F159" s="53" t="n"/>
      <c r="G159" s="55" t="n"/>
      <c r="H159" s="57" t="n"/>
      <c r="I159" s="55" t="n"/>
      <c r="J159" s="56" t="n"/>
      <c r="K159" s="56" t="n"/>
      <c r="L159" s="34">
        <f>HYPERLINK(Table65[[#This Row],[Column1]])</f>
        <v/>
      </c>
    </row>
    <row r="160" ht="45" customHeight="1" s="290">
      <c r="A160" s="30" t="n"/>
      <c r="B160" s="30" t="n"/>
      <c r="C160" s="30" t="n"/>
      <c r="D160" s="324" t="n"/>
      <c r="E160" s="53" t="n"/>
      <c r="F160" s="53" t="n"/>
      <c r="G160" s="55" t="n"/>
      <c r="H160" s="57" t="n"/>
      <c r="I160" s="55" t="n"/>
      <c r="J160" s="56" t="n"/>
      <c r="K160" s="56" t="n"/>
      <c r="L160" s="34">
        <f>HYPERLINK(Table65[[#This Row],[Column1]])</f>
        <v/>
      </c>
    </row>
    <row r="161" ht="60" customHeight="1" s="290">
      <c r="A161" s="30" t="n"/>
      <c r="B161" s="30" t="n"/>
      <c r="C161" s="30" t="n"/>
      <c r="D161" s="324" t="n"/>
      <c r="E161" s="53" t="n"/>
      <c r="F161" s="53" t="n"/>
      <c r="G161" s="55" t="n"/>
      <c r="H161" s="57" t="n"/>
      <c r="I161" s="55" t="n"/>
      <c r="J161" s="56" t="n"/>
      <c r="K161" s="56" t="n"/>
      <c r="L161" s="34">
        <f>HYPERLINK(Table65[[#This Row],[Column1]])</f>
        <v/>
      </c>
    </row>
    <row r="162" ht="45" customHeight="1" s="290">
      <c r="A162" s="30" t="n"/>
      <c r="B162" s="30" t="n"/>
      <c r="C162" s="30" t="n"/>
      <c r="D162" s="324" t="n"/>
      <c r="E162" s="53" t="n"/>
      <c r="F162" s="53" t="n"/>
      <c r="G162" s="55" t="n"/>
      <c r="H162" s="57" t="n"/>
      <c r="I162" s="55" t="n"/>
      <c r="J162" s="56" t="n"/>
      <c r="K162" s="56" t="n"/>
      <c r="L162" s="34">
        <f>HYPERLINK(Table65[[#This Row],[Column1]])</f>
        <v/>
      </c>
    </row>
    <row r="163" ht="45" customHeight="1" s="290">
      <c r="A163" s="30" t="n"/>
      <c r="B163" s="30" t="n"/>
      <c r="C163" s="30" t="n"/>
      <c r="D163" s="324" t="n"/>
      <c r="E163" s="53" t="n"/>
      <c r="F163" s="53" t="n"/>
      <c r="G163" s="55" t="n"/>
      <c r="H163" s="57" t="n"/>
      <c r="I163" s="55" t="n"/>
      <c r="J163" s="56" t="n"/>
      <c r="K163" s="56" t="n"/>
      <c r="L163" s="34">
        <f>HYPERLINK(Table65[[#This Row],[Column1]])</f>
        <v/>
      </c>
    </row>
    <row r="164" ht="45" customHeight="1" s="290">
      <c r="A164" s="30" t="n"/>
      <c r="B164" s="30" t="n"/>
      <c r="C164" s="30" t="n"/>
      <c r="D164" s="324" t="n"/>
      <c r="E164" s="53" t="n"/>
      <c r="F164" s="53" t="n"/>
      <c r="G164" s="55" t="n"/>
      <c r="H164" s="57" t="n"/>
      <c r="I164" s="55" t="n"/>
      <c r="J164" s="56" t="n"/>
      <c r="K164" s="56" t="n"/>
      <c r="L164" s="34">
        <f>HYPERLINK(Table65[[#This Row],[Column1]])</f>
        <v/>
      </c>
    </row>
    <row r="165" ht="45" customHeight="1" s="290">
      <c r="A165" s="30" t="n"/>
      <c r="B165" s="30" t="n"/>
      <c r="C165" s="30" t="n"/>
      <c r="D165" s="324" t="n"/>
      <c r="E165" s="53" t="n"/>
      <c r="F165" s="53" t="n"/>
      <c r="G165" s="55" t="n"/>
      <c r="H165" s="57" t="n"/>
      <c r="I165" s="55" t="n"/>
      <c r="J165" s="56" t="n"/>
      <c r="K165" s="56" t="n"/>
      <c r="L165" s="34">
        <f>HYPERLINK(Table65[[#This Row],[Column1]])</f>
        <v/>
      </c>
    </row>
    <row r="166" ht="45" customHeight="1" s="290">
      <c r="A166" s="30" t="n"/>
      <c r="B166" s="30" t="n"/>
      <c r="C166" s="30" t="n"/>
      <c r="D166" s="324" t="n"/>
      <c r="E166" s="53" t="n"/>
      <c r="F166" s="53" t="n"/>
      <c r="G166" s="55" t="n"/>
      <c r="H166" s="57" t="n"/>
      <c r="I166" s="55" t="n"/>
      <c r="J166" s="56" t="n"/>
      <c r="K166" s="56" t="n"/>
      <c r="L166" s="34">
        <f>HYPERLINK(Table65[[#This Row],[Column1]])</f>
        <v/>
      </c>
    </row>
    <row r="167" ht="45" customHeight="1" s="290">
      <c r="A167" s="30" t="n"/>
      <c r="B167" s="30" t="n"/>
      <c r="C167" s="30" t="n"/>
      <c r="D167" s="324" t="n"/>
      <c r="E167" s="53" t="n"/>
      <c r="F167" s="53" t="n"/>
      <c r="G167" s="55" t="n"/>
      <c r="H167" s="57" t="n"/>
      <c r="I167" s="55" t="n"/>
      <c r="J167" s="56" t="n"/>
      <c r="K167" s="56" t="n"/>
      <c r="L167" s="34">
        <f>HYPERLINK(Table65[[#This Row],[Column1]])</f>
        <v/>
      </c>
    </row>
    <row r="168" ht="45" customHeight="1" s="290">
      <c r="A168" s="30" t="n"/>
      <c r="B168" s="30" t="n"/>
      <c r="C168" s="30" t="n"/>
      <c r="D168" s="324" t="n"/>
      <c r="E168" s="53" t="n"/>
      <c r="F168" s="53" t="n"/>
      <c r="G168" s="55" t="n"/>
      <c r="H168" s="57" t="n"/>
      <c r="I168" s="55" t="n"/>
      <c r="J168" s="56" t="n"/>
      <c r="K168" s="56" t="n"/>
      <c r="L168" s="34">
        <f>HYPERLINK(Table65[[#This Row],[Column1]])</f>
        <v/>
      </c>
    </row>
    <row r="169" ht="45" customHeight="1" s="290">
      <c r="A169" s="30" t="n"/>
      <c r="B169" s="30" t="n"/>
      <c r="C169" s="30" t="n"/>
      <c r="D169" s="324" t="n"/>
      <c r="E169" s="53" t="n"/>
      <c r="F169" s="53" t="n"/>
      <c r="G169" s="55" t="n"/>
      <c r="H169" s="57" t="n"/>
      <c r="I169" s="55" t="n"/>
      <c r="J169" s="56" t="n"/>
      <c r="K169" s="56" t="n"/>
      <c r="L169" s="34">
        <f>HYPERLINK(Table65[[#This Row],[Column1]])</f>
        <v/>
      </c>
    </row>
    <row r="170" ht="30" customHeight="1" s="290">
      <c r="A170" s="30" t="n"/>
      <c r="B170" s="30" t="n"/>
      <c r="C170" s="30" t="n"/>
      <c r="D170" s="324" t="n"/>
      <c r="E170" s="53" t="n"/>
      <c r="F170" s="53" t="n"/>
      <c r="G170" s="55" t="n"/>
      <c r="H170" s="57" t="n"/>
      <c r="I170" s="55" t="n"/>
      <c r="J170" s="56" t="n"/>
      <c r="K170" s="56" t="n"/>
      <c r="L170" s="34">
        <f>HYPERLINK(Table65[[#This Row],[Column1]])</f>
        <v/>
      </c>
    </row>
    <row r="171" ht="45" customHeight="1" s="290">
      <c r="A171" s="30" t="n"/>
      <c r="B171" s="30" t="n"/>
      <c r="C171" s="30" t="n"/>
      <c r="D171" s="324" t="n"/>
      <c r="E171" s="53" t="n"/>
      <c r="F171" s="53" t="n"/>
      <c r="G171" s="55" t="n"/>
      <c r="H171" s="57" t="n"/>
      <c r="I171" s="55" t="n"/>
      <c r="J171" s="56" t="n"/>
      <c r="K171" s="56" t="n"/>
      <c r="L171" s="34">
        <f>HYPERLINK(Table65[[#This Row],[Column1]])</f>
        <v/>
      </c>
    </row>
    <row r="172" ht="45" customHeight="1" s="290">
      <c r="A172" s="30" t="n"/>
      <c r="B172" s="30" t="n"/>
      <c r="C172" s="30" t="n"/>
      <c r="D172" s="324" t="n"/>
      <c r="E172" s="53" t="n"/>
      <c r="F172" s="53" t="n"/>
      <c r="G172" s="55" t="n"/>
      <c r="H172" s="57" t="n"/>
      <c r="I172" s="55" t="n"/>
      <c r="J172" s="56" t="n"/>
      <c r="K172" s="56" t="n"/>
      <c r="L172" s="34">
        <f>HYPERLINK(Table65[[#This Row],[Column1]])</f>
        <v/>
      </c>
    </row>
    <row r="173" ht="45" customHeight="1" s="290">
      <c r="A173" s="30" t="n"/>
      <c r="B173" s="30" t="n"/>
      <c r="C173" s="30" t="n"/>
      <c r="D173" s="324" t="n"/>
      <c r="E173" s="53" t="n"/>
      <c r="F173" s="53" t="n"/>
      <c r="G173" s="55" t="n"/>
      <c r="H173" s="57" t="n"/>
      <c r="I173" s="55" t="n"/>
      <c r="J173" s="56" t="n"/>
      <c r="K173" s="56" t="n"/>
      <c r="L173" s="34">
        <f>HYPERLINK(Table65[[#This Row],[Column1]])</f>
        <v/>
      </c>
    </row>
    <row r="174" ht="45" customHeight="1" s="290">
      <c r="A174" s="30" t="n"/>
      <c r="B174" s="30" t="n"/>
      <c r="C174" s="30" t="n"/>
      <c r="D174" s="324" t="n"/>
      <c r="E174" s="53" t="n"/>
      <c r="F174" s="53" t="n"/>
      <c r="G174" s="55" t="n"/>
      <c r="H174" s="57" t="n"/>
      <c r="I174" s="55" t="n"/>
      <c r="J174" s="56" t="n"/>
      <c r="K174" s="56" t="n"/>
      <c r="L174" s="34">
        <f>HYPERLINK(Table65[[#This Row],[Column1]])</f>
        <v/>
      </c>
    </row>
    <row r="175" ht="45" customHeight="1" s="290">
      <c r="A175" s="30" t="n"/>
      <c r="B175" s="30" t="n"/>
      <c r="C175" s="30" t="n"/>
      <c r="D175" s="324" t="n"/>
      <c r="E175" s="53" t="n"/>
      <c r="F175" s="53" t="n"/>
      <c r="G175" s="55" t="n"/>
      <c r="H175" s="57" t="n"/>
      <c r="I175" s="55" t="n"/>
      <c r="J175" s="56" t="n"/>
      <c r="K175" s="56" t="n"/>
      <c r="L175" s="34">
        <f>HYPERLINK(Table65[[#This Row],[Column1]])</f>
        <v/>
      </c>
    </row>
    <row r="176" ht="60" customHeight="1" s="290">
      <c r="A176" s="30" t="n"/>
      <c r="B176" s="30" t="n"/>
      <c r="C176" s="30" t="n"/>
      <c r="D176" s="324" t="n"/>
      <c r="E176" s="53" t="n"/>
      <c r="F176" s="53" t="n"/>
      <c r="G176" s="55" t="n"/>
      <c r="H176" s="57" t="n"/>
      <c r="I176" s="55" t="n"/>
      <c r="J176" s="56" t="n"/>
      <c r="K176" s="56" t="n"/>
      <c r="L176" s="34">
        <f>HYPERLINK(Table65[[#This Row],[Column1]])</f>
        <v/>
      </c>
    </row>
    <row r="177" ht="45" customHeight="1" s="290">
      <c r="A177" s="30" t="n"/>
      <c r="B177" s="30" t="n"/>
      <c r="C177" s="30" t="n"/>
      <c r="D177" s="324" t="n"/>
      <c r="E177" s="53" t="n"/>
      <c r="F177" s="53" t="n"/>
      <c r="G177" s="55" t="n"/>
      <c r="H177" s="57" t="n"/>
      <c r="I177" s="55" t="n"/>
      <c r="J177" s="56" t="n"/>
      <c r="K177" s="56" t="n"/>
      <c r="L177" s="34">
        <f>HYPERLINK(Table65[[#This Row],[Column1]])</f>
        <v/>
      </c>
    </row>
    <row r="178" ht="45" customHeight="1" s="290">
      <c r="A178" s="30" t="n"/>
      <c r="B178" s="30" t="n"/>
      <c r="C178" s="30" t="n"/>
      <c r="D178" s="324" t="n"/>
      <c r="E178" s="53" t="n"/>
      <c r="F178" s="53" t="n"/>
      <c r="G178" s="55" t="n"/>
      <c r="H178" s="57" t="n"/>
      <c r="I178" s="55" t="n"/>
      <c r="J178" s="56" t="n"/>
      <c r="K178" s="56" t="n"/>
      <c r="L178" s="34">
        <f>HYPERLINK(Table65[[#This Row],[Column1]])</f>
        <v/>
      </c>
    </row>
    <row r="179" ht="30" customHeight="1" s="290">
      <c r="A179" s="30" t="n"/>
      <c r="B179" s="30" t="n"/>
      <c r="C179" s="30" t="n"/>
      <c r="D179" s="324" t="n"/>
      <c r="E179" s="53" t="n"/>
      <c r="F179" s="53" t="n"/>
      <c r="G179" s="55" t="n"/>
      <c r="H179" s="57" t="n"/>
      <c r="I179" s="55" t="n"/>
      <c r="J179" s="56" t="n"/>
      <c r="K179" s="56" t="n"/>
      <c r="L179" s="34">
        <f>HYPERLINK(Table65[[#This Row],[Column1]])</f>
        <v/>
      </c>
    </row>
    <row r="180" ht="45" customHeight="1" s="290">
      <c r="A180" s="30" t="n"/>
      <c r="B180" s="30" t="n"/>
      <c r="C180" s="30" t="n"/>
      <c r="D180" s="324" t="n"/>
      <c r="E180" s="53" t="n"/>
      <c r="F180" s="53" t="n"/>
      <c r="G180" s="55" t="n"/>
      <c r="H180" s="57" t="n"/>
      <c r="I180" s="55" t="n"/>
      <c r="J180" s="56" t="n"/>
      <c r="K180" s="56" t="n"/>
      <c r="L180" s="34">
        <f>HYPERLINK(Table65[[#This Row],[Column1]])</f>
        <v/>
      </c>
    </row>
    <row r="181" ht="45" customHeight="1" s="290">
      <c r="A181" s="30" t="n"/>
      <c r="B181" s="30" t="n"/>
      <c r="C181" s="30" t="n"/>
      <c r="D181" s="324" t="n"/>
      <c r="E181" s="53" t="n"/>
      <c r="F181" s="53" t="n"/>
      <c r="G181" s="55" t="n"/>
      <c r="H181" s="57" t="n"/>
      <c r="I181" s="55" t="n"/>
      <c r="J181" s="56" t="n"/>
      <c r="K181" s="56" t="n"/>
      <c r="L181" s="34">
        <f>HYPERLINK(Table65[[#This Row],[Column1]])</f>
        <v/>
      </c>
    </row>
    <row r="182" ht="45" customHeight="1" s="290">
      <c r="A182" s="30" t="n"/>
      <c r="B182" s="30" t="n"/>
      <c r="C182" s="30" t="n"/>
      <c r="D182" s="324" t="n"/>
      <c r="E182" s="53" t="n"/>
      <c r="F182" s="53" t="n"/>
      <c r="G182" s="55" t="n"/>
      <c r="H182" s="57" t="n"/>
      <c r="I182" s="55" t="n"/>
      <c r="J182" s="56" t="n"/>
      <c r="K182" s="56" t="n"/>
      <c r="L182" s="34">
        <f>HYPERLINK(Table65[[#This Row],[Column1]])</f>
        <v/>
      </c>
    </row>
    <row r="183" ht="45" customHeight="1" s="290">
      <c r="A183" s="30" t="n"/>
      <c r="B183" s="30" t="n"/>
      <c r="C183" s="30" t="n"/>
      <c r="D183" s="324" t="n"/>
      <c r="E183" s="53" t="n"/>
      <c r="F183" s="53" t="n"/>
      <c r="G183" s="55" t="n"/>
      <c r="H183" s="57" t="n"/>
      <c r="I183" s="55" t="n"/>
      <c r="J183" s="56" t="n"/>
      <c r="K183" s="56" t="n"/>
      <c r="L183" s="34">
        <f>HYPERLINK(Table65[[#This Row],[Column1]])</f>
        <v/>
      </c>
    </row>
    <row r="184" ht="45" customHeight="1" s="290">
      <c r="A184" s="30" t="n"/>
      <c r="B184" s="30" t="n"/>
      <c r="C184" s="30" t="n"/>
      <c r="D184" s="324" t="n"/>
      <c r="E184" s="53" t="n"/>
      <c r="F184" s="53" t="n"/>
      <c r="G184" s="55" t="n"/>
      <c r="H184" s="57" t="n"/>
      <c r="I184" s="55" t="n"/>
      <c r="J184" s="56" t="n"/>
      <c r="K184" s="56" t="n"/>
      <c r="L184" s="34">
        <f>HYPERLINK(Table65[[#This Row],[Column1]])</f>
        <v/>
      </c>
    </row>
    <row r="185" ht="45" customHeight="1" s="290">
      <c r="A185" s="30" t="n"/>
      <c r="B185" s="30" t="n"/>
      <c r="C185" s="30" t="n"/>
      <c r="D185" s="324" t="n"/>
      <c r="E185" s="53" t="n"/>
      <c r="F185" s="53" t="n"/>
      <c r="G185" s="55" t="n"/>
      <c r="H185" s="57" t="n"/>
      <c r="I185" s="55" t="n"/>
      <c r="J185" s="56" t="n"/>
      <c r="K185" s="56" t="n"/>
      <c r="L185" s="34">
        <f>HYPERLINK(Table65[[#This Row],[Column1]])</f>
        <v/>
      </c>
    </row>
    <row r="186" ht="60" customHeight="1" s="290">
      <c r="A186" s="30" t="n"/>
      <c r="B186" s="30" t="n"/>
      <c r="C186" s="30" t="n"/>
      <c r="D186" s="324" t="n"/>
      <c r="E186" s="53" t="n"/>
      <c r="F186" s="53" t="n"/>
      <c r="G186" s="55" t="n"/>
      <c r="H186" s="57" t="n"/>
      <c r="I186" s="55" t="n"/>
      <c r="J186" s="56" t="n"/>
      <c r="K186" s="56" t="n"/>
      <c r="L186" s="34">
        <f>HYPERLINK(Table65[[#This Row],[Column1]])</f>
        <v/>
      </c>
    </row>
    <row r="187" ht="45" customHeight="1" s="290">
      <c r="A187" s="30" t="n"/>
      <c r="B187" s="30" t="n"/>
      <c r="C187" s="30" t="n"/>
      <c r="D187" s="324" t="n"/>
      <c r="E187" s="53" t="n"/>
      <c r="F187" s="53" t="n"/>
      <c r="G187" s="55" t="n"/>
      <c r="H187" s="57" t="n"/>
      <c r="I187" s="55" t="n"/>
      <c r="J187" s="56" t="n"/>
      <c r="K187" s="56" t="n"/>
      <c r="L187" s="34">
        <f>HYPERLINK(Table65[[#This Row],[Column1]])</f>
        <v/>
      </c>
    </row>
    <row r="188" ht="45" customHeight="1" s="290">
      <c r="A188" s="30" t="n"/>
      <c r="B188" s="30" t="n"/>
      <c r="C188" s="30" t="n"/>
      <c r="D188" s="324" t="n"/>
      <c r="E188" s="53" t="n"/>
      <c r="F188" s="53" t="n"/>
      <c r="G188" s="55" t="n"/>
      <c r="H188" s="57" t="n"/>
      <c r="I188" s="55" t="n"/>
      <c r="J188" s="56" t="n"/>
      <c r="K188" s="56" t="n"/>
      <c r="L188" s="34">
        <f>HYPERLINK(Table65[[#This Row],[Column1]])</f>
        <v/>
      </c>
    </row>
    <row r="189" ht="45" customHeight="1" s="290">
      <c r="A189" s="30" t="n"/>
      <c r="B189" s="30" t="n"/>
      <c r="C189" s="30" t="n"/>
      <c r="D189" s="324" t="n"/>
      <c r="E189" s="53" t="n"/>
      <c r="F189" s="53" t="n"/>
      <c r="G189" s="55" t="n"/>
      <c r="H189" s="57" t="n"/>
      <c r="I189" s="55" t="n"/>
      <c r="J189" s="56" t="n"/>
      <c r="K189" s="56" t="n"/>
      <c r="L189" s="34">
        <f>HYPERLINK(Table65[[#This Row],[Column1]])</f>
        <v/>
      </c>
    </row>
    <row r="190" ht="60" customHeight="1" s="290">
      <c r="A190" s="30" t="n"/>
      <c r="B190" s="30" t="n"/>
      <c r="C190" s="30" t="n"/>
      <c r="D190" s="324" t="n"/>
      <c r="E190" s="53" t="n"/>
      <c r="F190" s="53" t="n"/>
      <c r="G190" s="55" t="n"/>
      <c r="H190" s="57" t="n"/>
      <c r="I190" s="55" t="n"/>
      <c r="J190" s="56" t="n"/>
      <c r="K190" s="56" t="n"/>
      <c r="L190" s="34">
        <f>HYPERLINK(Table65[[#This Row],[Column1]])</f>
        <v/>
      </c>
    </row>
    <row r="191" ht="45" customHeight="1" s="290">
      <c r="A191" s="30" t="n"/>
      <c r="B191" s="30" t="n"/>
      <c r="C191" s="30" t="n"/>
      <c r="D191" s="324" t="n"/>
      <c r="E191" s="53" t="n"/>
      <c r="F191" s="53" t="n"/>
      <c r="G191" s="55" t="n"/>
      <c r="H191" s="57" t="n"/>
      <c r="I191" s="55" t="n"/>
      <c r="J191" s="56" t="n"/>
      <c r="K191" s="56" t="n"/>
      <c r="L191" s="34">
        <f>HYPERLINK(Table65[[#This Row],[Column1]])</f>
        <v/>
      </c>
    </row>
    <row r="192" ht="45" customHeight="1" s="290">
      <c r="A192" s="30" t="n"/>
      <c r="B192" s="30" t="n"/>
      <c r="C192" s="30" t="n"/>
      <c r="D192" s="324" t="n"/>
      <c r="E192" s="53" t="n"/>
      <c r="F192" s="53" t="n"/>
      <c r="G192" s="55" t="n"/>
      <c r="H192" s="57" t="n"/>
      <c r="I192" s="55" t="n"/>
      <c r="J192" s="56" t="n"/>
      <c r="K192" s="56" t="n"/>
      <c r="L192" s="34">
        <f>HYPERLINK(Table65[[#This Row],[Column1]])</f>
        <v/>
      </c>
    </row>
    <row r="193" ht="60" customHeight="1" s="290">
      <c r="A193" s="30" t="n"/>
      <c r="B193" s="30" t="n"/>
      <c r="C193" s="30" t="n"/>
      <c r="D193" s="324" t="n"/>
      <c r="E193" s="53" t="n"/>
      <c r="F193" s="53" t="n"/>
      <c r="G193" s="55" t="n"/>
      <c r="H193" s="57" t="n"/>
      <c r="I193" s="55" t="n"/>
      <c r="J193" s="56" t="n"/>
      <c r="K193" s="56" t="n"/>
      <c r="L193" s="34">
        <f>HYPERLINK(Table65[[#This Row],[Column1]])</f>
        <v/>
      </c>
    </row>
    <row r="194" ht="45" customHeight="1" s="290">
      <c r="A194" s="30" t="n"/>
      <c r="B194" s="30" t="n"/>
      <c r="C194" s="30" t="n"/>
      <c r="D194" s="324" t="n"/>
      <c r="E194" s="53" t="n"/>
      <c r="F194" s="53" t="n"/>
      <c r="G194" s="55" t="n"/>
      <c r="H194" s="57" t="n"/>
      <c r="I194" s="55" t="n"/>
      <c r="J194" s="56" t="n"/>
      <c r="K194" s="56" t="n"/>
      <c r="L194" s="34">
        <f>HYPERLINK(Table65[[#This Row],[Column1]])</f>
        <v/>
      </c>
    </row>
    <row r="195" ht="45" customHeight="1" s="290">
      <c r="A195" s="30" t="n"/>
      <c r="B195" s="30" t="n"/>
      <c r="C195" s="30" t="n"/>
      <c r="D195" s="324" t="n"/>
      <c r="E195" s="53" t="n"/>
      <c r="F195" s="53" t="n"/>
      <c r="G195" s="55" t="n"/>
      <c r="H195" s="57" t="n"/>
      <c r="I195" s="55" t="n"/>
      <c r="J195" s="56" t="n"/>
      <c r="K195" s="56" t="n"/>
      <c r="L195" s="34">
        <f>HYPERLINK(Table65[[#This Row],[Column1]])</f>
        <v/>
      </c>
    </row>
    <row r="196" ht="45" customHeight="1" s="290">
      <c r="A196" s="30" t="n"/>
      <c r="B196" s="30" t="n"/>
      <c r="C196" s="30" t="n"/>
      <c r="D196" s="324" t="n"/>
      <c r="E196" s="53" t="n"/>
      <c r="F196" s="53" t="n"/>
      <c r="G196" s="55" t="n"/>
      <c r="H196" s="57" t="n"/>
      <c r="I196" s="55" t="n"/>
      <c r="J196" s="56" t="n"/>
      <c r="K196" s="56" t="n"/>
      <c r="L196" s="34">
        <f>HYPERLINK(Table65[[#This Row],[Column1]])</f>
        <v/>
      </c>
    </row>
    <row r="197" ht="45" customHeight="1" s="290">
      <c r="A197" s="30" t="n"/>
      <c r="B197" s="30" t="n"/>
      <c r="C197" s="30" t="n"/>
      <c r="D197" s="324" t="n"/>
      <c r="E197" s="53" t="n"/>
      <c r="F197" s="53" t="n"/>
      <c r="G197" s="55" t="n"/>
      <c r="H197" s="57" t="n"/>
      <c r="I197" s="55" t="n"/>
      <c r="J197" s="56" t="n"/>
      <c r="K197" s="56" t="n"/>
      <c r="L197" s="34">
        <f>HYPERLINK(Table65[[#This Row],[Column1]])</f>
        <v/>
      </c>
    </row>
    <row r="198" ht="45" customHeight="1" s="290">
      <c r="A198" s="30" t="n"/>
      <c r="B198" s="30" t="n"/>
      <c r="C198" s="30" t="n"/>
      <c r="D198" s="324" t="n"/>
      <c r="E198" s="53" t="n"/>
      <c r="F198" s="53" t="n"/>
      <c r="G198" s="55" t="n"/>
      <c r="H198" s="57" t="n"/>
      <c r="I198" s="55" t="n"/>
      <c r="J198" s="56" t="n"/>
      <c r="K198" s="56" t="n"/>
      <c r="L198" s="34">
        <f>HYPERLINK(Table65[[#This Row],[Column1]])</f>
        <v/>
      </c>
    </row>
    <row r="199" ht="45" customHeight="1" s="290">
      <c r="A199" s="30" t="n"/>
      <c r="B199" s="30" t="n"/>
      <c r="C199" s="30" t="n"/>
      <c r="D199" s="324" t="n"/>
      <c r="E199" s="53" t="n"/>
      <c r="F199" s="53" t="n"/>
      <c r="G199" s="55" t="n"/>
      <c r="H199" s="57" t="n"/>
      <c r="I199" s="55" t="n"/>
      <c r="J199" s="56" t="n"/>
      <c r="K199" s="56" t="n"/>
      <c r="L199" s="34">
        <f>HYPERLINK(Table65[[#This Row],[Column1]])</f>
        <v/>
      </c>
    </row>
    <row r="200" ht="45" customHeight="1" s="290">
      <c r="A200" s="30" t="n"/>
      <c r="B200" s="30" t="n"/>
      <c r="C200" s="30" t="n"/>
      <c r="D200" s="324" t="n"/>
      <c r="E200" s="53" t="n"/>
      <c r="F200" s="53" t="n"/>
      <c r="G200" s="55" t="n"/>
      <c r="H200" s="57" t="n"/>
      <c r="I200" s="55" t="n"/>
      <c r="J200" s="56" t="n"/>
      <c r="K200" s="56" t="n"/>
      <c r="L200" s="34">
        <f>HYPERLINK(Table65[[#This Row],[Column1]])</f>
        <v/>
      </c>
    </row>
    <row r="201" ht="45" customHeight="1" s="290">
      <c r="A201" s="30" t="n"/>
      <c r="B201" s="30" t="n"/>
      <c r="C201" s="30" t="n"/>
      <c r="D201" s="324" t="n"/>
      <c r="E201" s="53" t="n"/>
      <c r="F201" s="53" t="n"/>
      <c r="G201" s="55" t="n"/>
      <c r="H201" s="57" t="n"/>
      <c r="I201" s="55" t="n"/>
      <c r="J201" s="56" t="n"/>
      <c r="K201" s="56" t="n"/>
      <c r="L201" s="34">
        <f>HYPERLINK(Table65[[#This Row],[Column1]])</f>
        <v/>
      </c>
    </row>
    <row r="202" ht="45" customHeight="1" s="290">
      <c r="A202" s="30" t="n"/>
      <c r="B202" s="30" t="n"/>
      <c r="C202" s="30" t="n"/>
      <c r="D202" s="324" t="n"/>
      <c r="E202" s="53" t="n"/>
      <c r="F202" s="53" t="n"/>
      <c r="G202" s="55" t="n"/>
      <c r="H202" s="57" t="n"/>
      <c r="I202" s="55" t="n"/>
      <c r="J202" s="56" t="n"/>
      <c r="K202" s="56" t="n"/>
      <c r="L202" s="34">
        <f>HYPERLINK(Table65[[#This Row],[Column1]])</f>
        <v/>
      </c>
    </row>
    <row r="203" ht="45" customHeight="1" s="290">
      <c r="A203" s="30" t="n"/>
      <c r="B203" s="30" t="n"/>
      <c r="C203" s="30" t="n"/>
      <c r="D203" s="324" t="n"/>
      <c r="E203" s="53" t="n"/>
      <c r="F203" s="53" t="n"/>
      <c r="G203" s="55" t="n"/>
      <c r="H203" s="57" t="n"/>
      <c r="I203" s="55" t="n"/>
      <c r="J203" s="56" t="n"/>
      <c r="K203" s="56" t="n"/>
      <c r="L203" s="34">
        <f>HYPERLINK(Table65[[#This Row],[Column1]])</f>
        <v/>
      </c>
    </row>
    <row r="204" ht="17" customHeight="1" s="290">
      <c r="A204" s="30" t="n"/>
      <c r="B204" s="30" t="n"/>
      <c r="C204" s="30" t="n"/>
      <c r="D204" s="324" t="n"/>
      <c r="E204" s="53" t="n"/>
      <c r="F204" s="53" t="n"/>
      <c r="G204" s="55" t="n"/>
      <c r="H204" s="57" t="n"/>
      <c r="I204" s="55" t="n"/>
      <c r="J204" s="56" t="n"/>
      <c r="K204" s="56" t="n"/>
      <c r="L204" s="34">
        <f>HYPERLINK(Table65[[#This Row],[Column1]])</f>
        <v/>
      </c>
    </row>
    <row r="205" ht="30" customHeight="1" s="290">
      <c r="A205" s="30" t="n"/>
      <c r="B205" s="30" t="n"/>
      <c r="C205" s="30" t="n"/>
      <c r="D205" s="324" t="n"/>
      <c r="E205" s="53" t="n"/>
      <c r="F205" s="53" t="n"/>
      <c r="G205" s="55" t="n"/>
      <c r="H205" s="57" t="n"/>
      <c r="I205" s="55" t="n"/>
      <c r="J205" s="56" t="n"/>
      <c r="K205" s="56" t="n"/>
      <c r="L205" s="34">
        <f>HYPERLINK(Table65[[#This Row],[Column1]])</f>
        <v/>
      </c>
    </row>
    <row r="206" ht="45" customHeight="1" s="290">
      <c r="A206" s="30" t="n"/>
      <c r="B206" s="30" t="n"/>
      <c r="C206" s="30" t="n"/>
      <c r="D206" s="324" t="n"/>
      <c r="E206" s="53" t="n"/>
      <c r="F206" s="53" t="n"/>
      <c r="G206" s="55" t="n"/>
      <c r="H206" s="57" t="n"/>
      <c r="I206" s="55" t="n"/>
      <c r="J206" s="56" t="n"/>
      <c r="K206" s="56" t="n"/>
      <c r="L206" s="34">
        <f>HYPERLINK(Table65[[#This Row],[Column1]])</f>
        <v/>
      </c>
    </row>
    <row r="207" ht="45" customHeight="1" s="290">
      <c r="A207" s="30" t="n"/>
      <c r="B207" s="30" t="n"/>
      <c r="C207" s="30" t="n"/>
      <c r="D207" s="324" t="n"/>
      <c r="E207" s="53" t="n"/>
      <c r="F207" s="53" t="n"/>
      <c r="G207" s="55" t="n"/>
      <c r="H207" s="57" t="n"/>
      <c r="I207" s="55" t="n"/>
      <c r="J207" s="56" t="n"/>
      <c r="K207" s="56" t="n"/>
      <c r="L207" s="34">
        <f>HYPERLINK(Table65[[#This Row],[Column1]])</f>
        <v/>
      </c>
    </row>
    <row r="208" ht="17" customHeight="1" s="290">
      <c r="A208" s="33" t="inlineStr">
        <is>
          <t>Total</t>
        </is>
      </c>
      <c r="B208" s="32" t="n"/>
      <c r="C208" s="325" t="n"/>
      <c r="D208" s="59" t="n"/>
      <c r="E208" s="32" t="n"/>
      <c r="F208" s="32" t="n"/>
      <c r="G208" s="36">
        <f>SUM(G133:G207)</f>
        <v/>
      </c>
      <c r="H208" s="36">
        <f>SUM(H133:H207)</f>
        <v/>
      </c>
      <c r="I208" s="36" t="n"/>
      <c r="J208" s="167" t="n"/>
      <c r="K208" s="168" t="n"/>
      <c r="L208" s="32" t="n"/>
    </row>
  </sheetData>
  <mergeCells count="3">
    <mergeCell ref="A1:M5"/>
    <mergeCell ref="A131:L131"/>
    <mergeCell ref="A51:L51"/>
  </mergeCells>
  <pageMargins left="0.7" right="0.7" top="0.75" bottom="0.75" header="0.3" footer="0.3"/>
  <drawing xmlns:r="http://schemas.openxmlformats.org/officeDocument/2006/relationships" r:id="rId1"/>
  <tableParts count="2">
    <tablePart xmlns:r="http://schemas.openxmlformats.org/officeDocument/2006/relationships" r:id="rId2"/>
    <tablePart xmlns:r="http://schemas.openxmlformats.org/officeDocument/2006/relationships" r:id="rId3"/>
  </tableParts>
</worksheet>
</file>

<file path=xl/worksheets/sheet33.xml><?xml version="1.0" encoding="utf-8"?>
<worksheet xmlns="http://schemas.openxmlformats.org/spreadsheetml/2006/main">
  <sheetPr codeName="Sheet6">
    <outlinePr summaryBelow="1" summaryRight="1"/>
    <pageSetUpPr/>
  </sheetPr>
  <dimension ref="A1:Q208"/>
  <sheetViews>
    <sheetView workbookViewId="0">
      <selection activeCell="A1" sqref="A1"/>
    </sheetView>
  </sheetViews>
  <sheetFormatPr baseColWidth="10" defaultColWidth="10.83203125" defaultRowHeight="16"/>
  <cols>
    <col width="50.6640625" customWidth="1" style="284" min="1" max="1"/>
    <col width="12.6640625" customWidth="1" style="284" min="2" max="2"/>
    <col width="12.6640625" customWidth="1" style="320" min="3" max="3"/>
    <col width="11.1640625" customWidth="1" style="296" min="4" max="4"/>
    <col width="24.83203125" bestFit="1" customWidth="1" style="284" min="5" max="5"/>
    <col width="17.6640625" bestFit="1" customWidth="1" style="286" min="6" max="6"/>
    <col width="21.6640625" bestFit="1" customWidth="1" style="286" min="7" max="7"/>
    <col width="19.1640625" bestFit="1" customWidth="1" style="286" min="8" max="8"/>
    <col width="13.5" bestFit="1" customWidth="1" style="287" min="9" max="9"/>
    <col width="13" bestFit="1" customWidth="1" style="284" min="10" max="10"/>
    <col hidden="1" width="29" customWidth="1" style="284" min="11" max="11"/>
    <col width="35.6640625" customWidth="1" style="284" min="12" max="12"/>
    <col width="15.6640625" customWidth="1" style="284" min="13" max="13"/>
    <col width="10.83203125" customWidth="1" style="284" min="14" max="16384"/>
  </cols>
  <sheetData>
    <row r="1">
      <c r="A1" s="282" t="inlineStr">
        <is>
          <t>OBDeleven Monthly Summary</t>
        </is>
      </c>
    </row>
    <row r="2"/>
    <row r="3"/>
    <row r="4"/>
    <row r="5"/>
    <row r="6">
      <c r="A6" s="29" t="n"/>
      <c r="B6" s="29" t="n"/>
      <c r="C6" s="321" t="n"/>
      <c r="D6" s="47" t="n"/>
      <c r="E6" s="48" t="n"/>
      <c r="F6" s="48" t="n"/>
      <c r="G6" s="48" t="n"/>
      <c r="H6" s="48" t="n"/>
      <c r="I6" s="49" t="n"/>
      <c r="J6" s="50" t="n"/>
    </row>
    <row r="7" ht="32" customHeight="1" s="290">
      <c r="A7" s="80" t="n"/>
      <c r="B7" s="81" t="inlineStr">
        <is>
          <t>Avg Price</t>
        </is>
      </c>
      <c r="C7" s="81" t="inlineStr">
        <is>
          <t>Avg Price MoM</t>
        </is>
      </c>
      <c r="D7" s="82" t="inlineStr">
        <is>
          <t>Avg Price YoY</t>
        </is>
      </c>
      <c r="E7" s="81" t="inlineStr">
        <is>
          <t>Quantity/Mo</t>
        </is>
      </c>
      <c r="F7" s="84" t="inlineStr">
        <is>
          <t>Qty by %</t>
        </is>
      </c>
      <c r="G7" s="84" t="inlineStr">
        <is>
          <t>Qty MoM</t>
        </is>
      </c>
      <c r="H7" s="82" t="inlineStr">
        <is>
          <t>Qty YoY</t>
        </is>
      </c>
      <c r="I7" s="309" t="inlineStr">
        <is>
          <t>Revenue/Mo</t>
        </is>
      </c>
      <c r="J7" s="126" t="inlineStr">
        <is>
          <t>Revenue by %</t>
        </is>
      </c>
      <c r="K7" s="173" t="n"/>
      <c r="L7" s="126" t="inlineStr">
        <is>
          <t>Revenue MoM</t>
        </is>
      </c>
      <c r="M7" s="310" t="inlineStr">
        <is>
          <t>Revenue YoY</t>
        </is>
      </c>
      <c r="N7" s="286" t="n"/>
      <c r="O7" s="286" t="n"/>
      <c r="P7" s="49" t="n"/>
      <c r="Q7" s="50" t="n"/>
    </row>
    <row r="8">
      <c r="A8" s="93" t="inlineStr">
        <is>
          <t>Tablet $800+</t>
        </is>
      </c>
      <c r="B8" s="298" t="n"/>
      <c r="C8" s="270" t="n"/>
      <c r="D8" s="271" t="n"/>
      <c r="E8" s="269" t="n">
        <v>0</v>
      </c>
      <c r="F8" s="270" t="n">
        <v>0</v>
      </c>
      <c r="G8" s="270" t="n"/>
      <c r="H8" s="271" t="n"/>
      <c r="I8" s="95" t="n">
        <v>0</v>
      </c>
      <c r="J8" s="128" t="n">
        <v>0</v>
      </c>
      <c r="L8" s="169" t="n"/>
      <c r="M8" s="169" t="n"/>
      <c r="N8" s="286" t="n"/>
      <c r="O8" s="286" t="n"/>
      <c r="P8" s="49" t="n"/>
      <c r="Q8" s="50" t="n"/>
    </row>
    <row r="9">
      <c r="A9" s="93" t="inlineStr">
        <is>
          <t>Tablet $400-$800</t>
        </is>
      </c>
      <c r="B9" s="298" t="n"/>
      <c r="C9" s="270" t="n"/>
      <c r="D9" s="271" t="n"/>
      <c r="E9" s="269" t="n">
        <v>0</v>
      </c>
      <c r="F9" s="270" t="n">
        <v>0</v>
      </c>
      <c r="G9" s="270" t="n"/>
      <c r="H9" s="271" t="n"/>
      <c r="I9" s="95" t="n">
        <v>0</v>
      </c>
      <c r="J9" s="128" t="n">
        <v>0</v>
      </c>
      <c r="L9" s="169" t="n"/>
      <c r="M9" s="169" t="n"/>
      <c r="N9" s="286" t="n"/>
      <c r="O9" s="286" t="n"/>
      <c r="P9" s="49" t="n"/>
      <c r="Q9" s="50" t="n"/>
    </row>
    <row r="10">
      <c r="A10" s="96" t="inlineStr">
        <is>
          <t>Tablet $400-</t>
        </is>
      </c>
      <c r="B10" s="299" t="n"/>
      <c r="C10" s="274" t="n"/>
      <c r="D10" s="275" t="n"/>
      <c r="E10" s="273" t="n">
        <v>0</v>
      </c>
      <c r="F10" s="274" t="n">
        <v>0</v>
      </c>
      <c r="G10" s="274" t="n"/>
      <c r="H10" s="275" t="n"/>
      <c r="I10" s="98" t="n">
        <v>0</v>
      </c>
      <c r="J10" s="127" t="n">
        <v>0</v>
      </c>
      <c r="L10" s="171" t="n"/>
      <c r="M10" s="171" t="n"/>
      <c r="N10" s="286" t="n"/>
      <c r="O10" s="286" t="n"/>
      <c r="P10" s="49" t="n"/>
      <c r="Q10" s="50" t="n"/>
    </row>
    <row r="11">
      <c r="A11" s="101" t="inlineStr">
        <is>
          <t>Total Tablet</t>
        </is>
      </c>
      <c r="B11" s="300" t="n"/>
      <c r="C11" s="112" t="n"/>
      <c r="D11" s="104" t="n"/>
      <c r="E11" s="116" t="n">
        <v>0</v>
      </c>
      <c r="F11" s="112" t="n">
        <v>0</v>
      </c>
      <c r="G11" s="112" t="n"/>
      <c r="H11" s="104" t="n"/>
      <c r="I11" s="103" t="n">
        <v>0</v>
      </c>
      <c r="J11" s="129" t="n">
        <v>0</v>
      </c>
      <c r="L11" s="170" t="n"/>
      <c r="M11" s="170" t="n"/>
      <c r="N11" s="286" t="n"/>
      <c r="O11" s="286" t="n"/>
      <c r="P11" s="49" t="n"/>
      <c r="Q11" s="50" t="n"/>
    </row>
    <row r="12">
      <c r="A12" s="93" t="inlineStr">
        <is>
          <t>Handheld $75+</t>
        </is>
      </c>
      <c r="B12" s="298" t="n"/>
      <c r="C12" s="270" t="n"/>
      <c r="D12" s="271" t="n"/>
      <c r="E12" s="269" t="n">
        <v>0</v>
      </c>
      <c r="F12" s="270" t="n">
        <v>0</v>
      </c>
      <c r="G12" s="270" t="n"/>
      <c r="H12" s="271" t="n"/>
      <c r="I12" s="95" t="n">
        <v>0</v>
      </c>
      <c r="J12" s="128" t="n">
        <v>0</v>
      </c>
      <c r="L12" s="169" t="n"/>
      <c r="M12" s="169" t="n"/>
      <c r="N12" s="286" t="n"/>
      <c r="O12" s="286" t="n"/>
      <c r="P12" s="49" t="n"/>
      <c r="Q12" s="50" t="n"/>
    </row>
    <row r="13">
      <c r="A13" s="96" t="inlineStr">
        <is>
          <t>Handheld $75-</t>
        </is>
      </c>
      <c r="B13" s="299" t="n"/>
      <c r="C13" s="274" t="n"/>
      <c r="D13" s="275" t="n"/>
      <c r="E13" s="273" t="n">
        <v>0</v>
      </c>
      <c r="F13" s="274" t="n">
        <v>0</v>
      </c>
      <c r="G13" s="274" t="n"/>
      <c r="H13" s="275" t="n"/>
      <c r="I13" s="98" t="n">
        <v>0</v>
      </c>
      <c r="J13" s="127" t="n">
        <v>0</v>
      </c>
      <c r="L13" s="171" t="n"/>
      <c r="M13" s="171" t="n"/>
      <c r="N13" s="286" t="n"/>
      <c r="O13" s="286" t="n"/>
      <c r="P13" s="49" t="n"/>
      <c r="Q13" s="50" t="n"/>
    </row>
    <row r="14">
      <c r="A14" s="101" t="inlineStr">
        <is>
          <t>Total Handheld</t>
        </is>
      </c>
      <c r="B14" s="300" t="n"/>
      <c r="C14" s="112" t="n"/>
      <c r="D14" s="104" t="n"/>
      <c r="E14" s="116" t="n">
        <v>0</v>
      </c>
      <c r="F14" s="112" t="n">
        <v>0</v>
      </c>
      <c r="G14" s="112" t="n"/>
      <c r="H14" s="104" t="n"/>
      <c r="I14" s="103" t="n">
        <v>0</v>
      </c>
      <c r="J14" s="129" t="n">
        <v>0</v>
      </c>
      <c r="L14" s="170" t="n"/>
      <c r="M14" s="170" t="n"/>
      <c r="N14" s="286" t="n"/>
      <c r="O14" s="286" t="n"/>
      <c r="P14" s="49" t="n"/>
      <c r="Q14" s="50" t="n"/>
    </row>
    <row r="15">
      <c r="A15" s="78" t="inlineStr">
        <is>
          <t>Total Dongle</t>
        </is>
      </c>
      <c r="B15" s="301" t="n">
        <v>159.099400887574</v>
      </c>
      <c r="C15" s="113" t="n">
        <v>-0.02157035398666518</v>
      </c>
      <c r="D15" s="107" t="n">
        <v>-0.3544039032258995</v>
      </c>
      <c r="E15" s="99" t="n">
        <v>1352</v>
      </c>
      <c r="F15" s="113" t="n">
        <v>1</v>
      </c>
      <c r="G15" s="113" t="n">
        <v>-0.050561797752809</v>
      </c>
      <c r="H15" s="107" t="n">
        <v>9.480620155038761</v>
      </c>
      <c r="I15" s="76" t="n">
        <v>215102.39</v>
      </c>
      <c r="J15" s="130" t="n">
        <v>1</v>
      </c>
      <c r="L15" s="174" t="n">
        <v>-0.07104151586374396</v>
      </c>
      <c r="M15" s="174" t="n">
        <v>5.766247463864992</v>
      </c>
      <c r="N15" s="286" t="n"/>
      <c r="O15" s="286" t="n"/>
      <c r="P15" s="49" t="n"/>
      <c r="Q15" s="50" t="n"/>
    </row>
    <row r="16">
      <c r="A16" s="78" t="inlineStr">
        <is>
          <t>Total Other Tools</t>
        </is>
      </c>
      <c r="B16" s="301" t="n"/>
      <c r="C16" s="113" t="n"/>
      <c r="D16" s="107" t="n"/>
      <c r="E16" s="99" t="n">
        <v>0</v>
      </c>
      <c r="F16" s="113" t="n">
        <v>0</v>
      </c>
      <c r="G16" s="113" t="n"/>
      <c r="H16" s="107" t="n"/>
      <c r="I16" s="76" t="n">
        <v>0</v>
      </c>
      <c r="J16" s="130" t="n">
        <v>0</v>
      </c>
      <c r="L16" s="174" t="n"/>
      <c r="M16" s="174" t="n"/>
      <c r="N16" s="286" t="n"/>
      <c r="O16" s="286" t="n"/>
      <c r="P16" s="49" t="n"/>
      <c r="Q16" s="50" t="n"/>
    </row>
    <row r="17">
      <c r="A17" s="86" t="inlineStr">
        <is>
          <t>Total</t>
        </is>
      </c>
      <c r="B17" s="302" t="n">
        <v>159.099400887574</v>
      </c>
      <c r="C17" s="109" t="n">
        <v>-0.02157035398666518</v>
      </c>
      <c r="D17" s="108" t="n">
        <v>-0.3544039032258995</v>
      </c>
      <c r="E17" s="100" t="n">
        <v>1352</v>
      </c>
      <c r="F17" s="109" t="n">
        <v>1</v>
      </c>
      <c r="G17" s="109" t="n">
        <v>-0.050561797752809</v>
      </c>
      <c r="H17" s="108" t="n">
        <v>9.480620155038761</v>
      </c>
      <c r="I17" s="85" t="n">
        <v>215102.39</v>
      </c>
      <c r="J17" s="109" t="n">
        <v>1</v>
      </c>
      <c r="L17" s="172" t="n">
        <v>-0.07104151586374396</v>
      </c>
      <c r="M17" s="172" t="n">
        <v>5.766247463864992</v>
      </c>
      <c r="N17" s="286" t="n"/>
      <c r="O17" s="286" t="n"/>
      <c r="P17" s="49" t="n"/>
      <c r="Q17" s="50" t="n"/>
    </row>
    <row r="18">
      <c r="A18" s="29" t="n"/>
      <c r="B18" s="29" t="n"/>
      <c r="C18" s="321" t="n"/>
      <c r="D18" s="47" t="n"/>
      <c r="E18" s="48" t="n"/>
      <c r="F18" s="48" t="n"/>
      <c r="G18" s="48" t="n"/>
      <c r="H18" s="48" t="n"/>
      <c r="I18" s="49" t="n"/>
      <c r="J18" s="50" t="n"/>
    </row>
    <row r="19">
      <c r="A19" s="29" t="n"/>
      <c r="B19" s="29" t="n"/>
      <c r="C19" s="321" t="n"/>
      <c r="D19" s="47" t="n"/>
      <c r="E19" s="48" t="n"/>
      <c r="F19" s="48" t="n"/>
      <c r="G19" s="48" t="n"/>
      <c r="H19" s="48" t="n"/>
      <c r="I19" s="49" t="n"/>
      <c r="J19" s="50" t="n"/>
    </row>
    <row r="20">
      <c r="A20" s="29" t="n"/>
      <c r="B20" s="29" t="n"/>
      <c r="C20" s="321" t="n"/>
      <c r="D20" s="47" t="n"/>
      <c r="E20" s="48" t="n"/>
      <c r="F20" s="48" t="n"/>
      <c r="G20" s="48" t="n"/>
      <c r="H20" s="48" t="n"/>
      <c r="I20" s="49" t="n"/>
      <c r="J20" s="50" t="n"/>
    </row>
    <row r="21">
      <c r="A21" s="29" t="n"/>
      <c r="B21" s="29" t="n"/>
      <c r="C21" s="321" t="n"/>
      <c r="D21" s="47" t="n"/>
      <c r="E21" s="48" t="n"/>
      <c r="F21" s="48" t="n"/>
      <c r="G21" s="48" t="n"/>
      <c r="H21" s="48" t="n"/>
      <c r="I21" s="49" t="n"/>
      <c r="J21" s="50" t="n"/>
    </row>
    <row r="22">
      <c r="A22" s="29" t="n"/>
      <c r="B22" s="29" t="n"/>
      <c r="C22" s="321" t="n"/>
      <c r="D22" s="47" t="n"/>
      <c r="E22" s="48" t="n"/>
      <c r="F22" s="48" t="n"/>
      <c r="G22" s="48" t="n"/>
      <c r="H22" s="48" t="n"/>
      <c r="I22" s="49" t="n"/>
      <c r="J22" s="50" t="n"/>
    </row>
    <row r="23">
      <c r="A23" s="29" t="n"/>
      <c r="B23" s="29" t="n"/>
      <c r="C23" s="321" t="n"/>
      <c r="D23" s="47" t="n"/>
      <c r="E23" s="48" t="n"/>
      <c r="F23" s="48" t="n"/>
      <c r="G23" s="48" t="n"/>
      <c r="H23" s="48" t="n"/>
      <c r="I23" s="49" t="n"/>
      <c r="J23" s="50" t="n"/>
    </row>
    <row r="24">
      <c r="A24" s="29" t="n"/>
      <c r="B24" s="29" t="n"/>
      <c r="C24" s="321" t="n"/>
      <c r="D24" s="47" t="n"/>
      <c r="E24" s="48" t="n"/>
      <c r="F24" s="48" t="n"/>
      <c r="G24" s="48" t="n"/>
      <c r="H24" s="48" t="n"/>
      <c r="I24" s="49" t="n"/>
      <c r="J24" s="50" t="n"/>
    </row>
    <row r="25">
      <c r="A25" s="29" t="n"/>
      <c r="B25" s="29" t="n"/>
      <c r="C25" s="321" t="n"/>
      <c r="D25" s="47" t="n"/>
      <c r="E25" s="48" t="n"/>
      <c r="F25" s="48" t="n"/>
      <c r="G25" s="48" t="n"/>
      <c r="H25" s="48" t="n"/>
      <c r="I25" s="49" t="n"/>
      <c r="J25" s="50" t="n"/>
    </row>
    <row r="26">
      <c r="A26" s="29" t="n"/>
      <c r="B26" s="29" t="n"/>
      <c r="C26" s="321" t="n"/>
      <c r="D26" s="47" t="n"/>
      <c r="E26" s="48" t="n"/>
      <c r="F26" s="48" t="n"/>
      <c r="G26" s="48" t="n"/>
      <c r="H26" s="48" t="n"/>
      <c r="I26" s="49" t="n"/>
      <c r="J26" s="50" t="n"/>
    </row>
    <row r="27">
      <c r="A27" s="29" t="n"/>
      <c r="B27" s="29" t="n"/>
      <c r="C27" s="321" t="n"/>
      <c r="D27" s="47" t="n"/>
      <c r="E27" s="48" t="n"/>
      <c r="F27" s="48" t="n"/>
      <c r="G27" s="48" t="n"/>
      <c r="H27" s="48" t="n"/>
      <c r="I27" s="49" t="n"/>
      <c r="J27" s="50" t="n"/>
    </row>
    <row r="28">
      <c r="A28" s="29" t="n"/>
      <c r="B28" s="29" t="n"/>
      <c r="C28" s="321" t="n"/>
      <c r="D28" s="47" t="n"/>
      <c r="E28" s="48" t="n"/>
      <c r="F28" s="48" t="n"/>
      <c r="G28" s="48" t="n"/>
      <c r="H28" s="48" t="n"/>
      <c r="I28" s="49" t="n"/>
      <c r="J28" s="50" t="n"/>
    </row>
    <row r="29">
      <c r="A29" s="29" t="n"/>
      <c r="B29" s="29" t="n"/>
      <c r="C29" s="321" t="n"/>
      <c r="D29" s="47" t="n"/>
      <c r="E29" s="48" t="n"/>
      <c r="F29" s="48" t="n"/>
      <c r="G29" s="48" t="n"/>
      <c r="H29" s="48" t="n"/>
      <c r="I29" s="49" t="n"/>
      <c r="J29" s="50" t="n"/>
    </row>
    <row r="30">
      <c r="A30" s="29" t="n"/>
      <c r="B30" s="29" t="n"/>
      <c r="C30" s="321" t="n"/>
      <c r="D30" s="47" t="n"/>
      <c r="E30" s="48" t="n"/>
      <c r="F30" s="48" t="n"/>
      <c r="G30" s="48" t="n"/>
      <c r="H30" s="48" t="n"/>
      <c r="I30" s="49" t="n"/>
      <c r="J30" s="50" t="n"/>
    </row>
    <row r="31">
      <c r="A31" s="29" t="n"/>
      <c r="B31" s="29" t="n"/>
      <c r="C31" s="321" t="n"/>
      <c r="D31" s="47" t="n"/>
      <c r="E31" s="48" t="n"/>
      <c r="F31" s="48" t="n"/>
      <c r="G31" s="48" t="n"/>
      <c r="H31" s="48" t="n"/>
      <c r="I31" s="49" t="n"/>
      <c r="J31" s="50" t="n"/>
    </row>
    <row r="32">
      <c r="A32" s="29" t="n"/>
      <c r="B32" s="29" t="n"/>
      <c r="C32" s="321" t="n"/>
      <c r="D32" s="47" t="n"/>
      <c r="E32" s="48" t="n"/>
      <c r="F32" s="48" t="n"/>
      <c r="G32" s="48" t="n"/>
      <c r="H32" s="48" t="n"/>
      <c r="I32" s="49" t="n"/>
      <c r="J32" s="50" t="n"/>
    </row>
    <row r="33">
      <c r="A33" s="29" t="n"/>
      <c r="B33" s="29" t="n"/>
      <c r="C33" s="321" t="n"/>
      <c r="D33" s="47" t="n"/>
      <c r="E33" s="48" t="n"/>
      <c r="F33" s="48" t="n"/>
      <c r="G33" s="48" t="n"/>
      <c r="H33" s="48" t="n"/>
      <c r="I33" s="49" t="n"/>
      <c r="J33" s="50" t="n"/>
    </row>
    <row r="49" ht="16" customHeight="1" s="290">
      <c r="C49" s="284" t="n"/>
      <c r="D49" s="284" t="n"/>
      <c r="F49" s="284" t="n"/>
      <c r="G49" s="284" t="n"/>
      <c r="H49" s="284" t="n"/>
      <c r="I49" s="284" t="n"/>
    </row>
    <row r="50">
      <c r="C50" s="284" t="n"/>
      <c r="D50" s="284" t="n"/>
      <c r="F50" s="284" t="n"/>
      <c r="G50" s="284" t="n"/>
      <c r="H50" s="284" t="n"/>
      <c r="I50" s="284" t="n"/>
    </row>
    <row r="51">
      <c r="A51" s="283" t="inlineStr">
        <is>
          <t xml:space="preserve">Rank by Revenue </t>
        </is>
      </c>
    </row>
    <row r="52" ht="17" customHeight="1" s="290">
      <c r="A52" s="38" t="inlineStr">
        <is>
          <t>Product Name</t>
        </is>
      </c>
      <c r="B52" s="39" t="inlineStr">
        <is>
          <t>ASIN</t>
        </is>
      </c>
      <c r="C52" s="39" t="inlineStr">
        <is>
          <t>Type</t>
        </is>
      </c>
      <c r="D52" s="322" t="inlineStr">
        <is>
          <t>Avg Price</t>
        </is>
      </c>
      <c r="E52" s="41" t="inlineStr">
        <is>
          <t>Estimated 12mo Revenue</t>
        </is>
      </c>
      <c r="F52" s="39" t="inlineStr">
        <is>
          <t>Monthly Rev</t>
        </is>
      </c>
      <c r="G52" s="42" t="inlineStr">
        <is>
          <t>Estimated 12mo Units</t>
        </is>
      </c>
      <c r="H52" s="45" t="inlineStr">
        <is>
          <t>Monthly Units</t>
        </is>
      </c>
      <c r="I52" s="42" t="inlineStr">
        <is>
          <t># of Reviews</t>
        </is>
      </c>
      <c r="J52" s="43" t="inlineStr">
        <is>
          <t xml:space="preserve">Tool Rating </t>
        </is>
      </c>
      <c r="K52" s="43" t="inlineStr">
        <is>
          <t>Column1</t>
        </is>
      </c>
      <c r="L52" s="323" t="inlineStr">
        <is>
          <t>Link</t>
        </is>
      </c>
    </row>
    <row r="53" ht="45" customHeight="1" s="290">
      <c r="A53" s="30" t="inlineStr">
        <is>
          <t>OBDeleven 3 Diagnostic Tool Scanner for Audi Seat Cupra Skoda Volkswagen BMW Mini Toyota Ford Mercedes-Benz (Android &amp; iOS)</t>
        </is>
      </c>
      <c r="B53" s="30" t="inlineStr">
        <is>
          <t>B0FH794MQC</t>
        </is>
      </c>
      <c r="C53" s="30" t="inlineStr">
        <is>
          <t>Dongle</t>
        </is>
      </c>
      <c r="D53" s="324" t="n">
        <v>127.6966708542714</v>
      </c>
      <c r="E53" s="53" t="n">
        <v>795999.7284615384</v>
      </c>
      <c r="F53" s="54" t="n">
        <v>101646.55</v>
      </c>
      <c r="G53" s="55" t="n">
        <v>3360</v>
      </c>
      <c r="H53" s="55" t="n">
        <v>796</v>
      </c>
      <c r="I53" s="55" t="n">
        <v>180</v>
      </c>
      <c r="J53" s="56" t="n">
        <v>3.8</v>
      </c>
      <c r="K53" s="56" t="inlineStr">
        <is>
          <t>https://amazon.com/dp/B0FH794MQC</t>
        </is>
      </c>
      <c r="L53" s="34">
        <f>HYPERLINK(OBDeleven_2[[#This Row],[Column1]])</f>
        <v/>
      </c>
    </row>
    <row r="54" ht="45" customHeight="1" s="290">
      <c r="A54" s="30" t="inlineStr">
        <is>
          <t>OBDeleven 3 Pro Pack OBD2 Diagnostic Tool Scanner for Audi Seat Cupra Skoda Volkswagen BMW Mini Toyota Ford Mercedes-Benz (OBDeleven 3 PRO)</t>
        </is>
      </c>
      <c r="B54" s="30" t="inlineStr">
        <is>
          <t>B0FH574J2P</t>
        </is>
      </c>
      <c r="C54" s="30" t="inlineStr">
        <is>
          <t>Dongle</t>
        </is>
      </c>
      <c r="D54" s="324" t="n">
        <v>185.175</v>
      </c>
      <c r="E54" s="53" t="n">
        <v>790297.336923077</v>
      </c>
      <c r="F54" s="54" t="n">
        <v>88884</v>
      </c>
      <c r="G54" s="55" t="n">
        <v>2531</v>
      </c>
      <c r="H54" s="55" t="n">
        <v>480</v>
      </c>
      <c r="I54" s="55" t="n">
        <v>224</v>
      </c>
      <c r="J54" s="56" t="n">
        <v>3.8</v>
      </c>
      <c r="K54" s="56" t="inlineStr">
        <is>
          <t>https://amazon.com/dp/B0FH574J2P</t>
        </is>
      </c>
      <c r="L54" s="34">
        <f>HYPERLINK(OBDeleven_2[[#This Row],[Column1]])</f>
        <v/>
      </c>
    </row>
    <row r="55" ht="45" customHeight="1" s="290">
      <c r="A55" s="30" t="inlineStr">
        <is>
          <t>OBDeleven 3 Ultimate Professional Code Reader OBD2 Bluetooth Diagnostic Scan Tool Fault Reader (Android and iOS)</t>
        </is>
      </c>
      <c r="B55" s="30" t="inlineStr">
        <is>
          <t>B0FH7DP71C</t>
        </is>
      </c>
      <c r="C55" s="30" t="inlineStr">
        <is>
          <t>Dongle</t>
        </is>
      </c>
      <c r="D55" s="324" t="n">
        <v>334.73671875</v>
      </c>
      <c r="E55" s="53" t="n">
        <v>219692.6415384615</v>
      </c>
      <c r="F55" s="54" t="n">
        <v>21423.15</v>
      </c>
      <c r="G55" s="55" t="n">
        <v>422</v>
      </c>
      <c r="H55" s="55" t="n">
        <v>64</v>
      </c>
      <c r="I55" s="55" t="n">
        <v>42</v>
      </c>
      <c r="J55" s="56" t="n">
        <v>3.6</v>
      </c>
      <c r="K55" s="56" t="inlineStr">
        <is>
          <t>https://amazon.com/dp/B0FH7DP71C</t>
        </is>
      </c>
      <c r="L55" s="34">
        <f>HYPERLINK(OBDeleven_2[[#This Row],[Column1]])</f>
        <v/>
      </c>
    </row>
    <row r="56" ht="60" customHeight="1" s="290">
      <c r="A56" s="30" t="inlineStr">
        <is>
          <t>OBDeleven OBD2 Diagnostic Tool Scanner for Audi Seat Cupra Skoda Volkswagen BMW Mini Toyota (Android &amp; iOS, Next Gen Device) (Ultimate Pack)</t>
        </is>
      </c>
      <c r="B56" s="30" t="inlineStr">
        <is>
          <t>B07L75WTTT</t>
        </is>
      </c>
      <c r="C56" s="30" t="inlineStr">
        <is>
          <t>Dongle</t>
        </is>
      </c>
      <c r="D56" s="324" t="n">
        <v>262.3908333333333</v>
      </c>
      <c r="E56" s="53" t="n">
        <v>184752.11</v>
      </c>
      <c r="F56" s="54" t="n">
        <v>3148.69</v>
      </c>
      <c r="G56" s="55" t="n">
        <v>699</v>
      </c>
      <c r="H56" s="55" t="n">
        <v>12</v>
      </c>
      <c r="I56" s="55" t="n">
        <v>8502</v>
      </c>
      <c r="J56" s="56" t="n">
        <v>4</v>
      </c>
      <c r="K56" s="56" t="inlineStr">
        <is>
          <t>https://amazon.com/dp/B07L75WTTT</t>
        </is>
      </c>
      <c r="L56" s="34">
        <f>HYPERLINK(OBDeleven_2[[#This Row],[Column1]])</f>
        <v/>
      </c>
    </row>
    <row r="57" ht="45" customHeight="1" s="290">
      <c r="A57" s="30" t="inlineStr">
        <is>
          <t>OBDeleven OBD2 Diagnostic Tool Scanner for Audi Seat Cupra Skoda Volkswagen BMW Mini Toyota (Android &amp; iOS, Next Gen Device) (Pro Pack)</t>
        </is>
      </c>
      <c r="B57" s="30" t="inlineStr">
        <is>
          <t>B00OTG9KGG</t>
        </is>
      </c>
      <c r="C57" s="30" t="inlineStr">
        <is>
          <t>Dongle</t>
        </is>
      </c>
      <c r="D57" s="324" t="n">
        <v>155.1797826086957</v>
      </c>
      <c r="E57" s="53" t="n">
        <v>577552.8700000001</v>
      </c>
      <c r="F57" s="54" t="n">
        <v>0</v>
      </c>
      <c r="G57" s="55" t="n">
        <v>3785</v>
      </c>
      <c r="H57" s="55" t="n">
        <v>0</v>
      </c>
      <c r="I57" s="55" t="n">
        <v>8448</v>
      </c>
      <c r="J57" s="56" t="n">
        <v>3.9</v>
      </c>
      <c r="K57" s="56" t="inlineStr">
        <is>
          <t>https://amazon.com/dp/B00OTG9KGG</t>
        </is>
      </c>
      <c r="L57" s="34">
        <f>HYPERLINK(OBDeleven_2[[#This Row],[Column1]])</f>
        <v/>
      </c>
    </row>
    <row r="58" ht="45" customHeight="1" s="290">
      <c r="A58" s="30" t="n"/>
      <c r="B58" s="30" t="n"/>
      <c r="C58" s="30" t="n"/>
      <c r="D58" s="324" t="n"/>
      <c r="E58" s="53" t="n"/>
      <c r="F58" s="54" t="n"/>
      <c r="G58" s="55" t="n"/>
      <c r="H58" s="55" t="n"/>
      <c r="I58" s="55" t="n"/>
      <c r="J58" s="56" t="n"/>
      <c r="K58" s="56" t="n"/>
      <c r="L58" s="34">
        <f>HYPERLINK(Table544[[#This Row],[Column1]])</f>
        <v/>
      </c>
    </row>
    <row r="59" ht="45" customHeight="1" s="290">
      <c r="A59" s="30" t="n"/>
      <c r="B59" s="30" t="n"/>
      <c r="C59" s="30" t="n"/>
      <c r="D59" s="324" t="n"/>
      <c r="E59" s="53" t="n"/>
      <c r="F59" s="54" t="n"/>
      <c r="G59" s="55" t="n"/>
      <c r="H59" s="55" t="n"/>
      <c r="I59" s="55" t="n"/>
      <c r="J59" s="56" t="n"/>
      <c r="K59" s="56" t="n"/>
      <c r="L59" s="34">
        <f>HYPERLINK(Table544[[#This Row],[Column1]])</f>
        <v/>
      </c>
    </row>
    <row r="60" ht="45" customHeight="1" s="290">
      <c r="A60" s="30" t="n"/>
      <c r="B60" s="30" t="n"/>
      <c r="C60" s="30" t="n"/>
      <c r="D60" s="324" t="n"/>
      <c r="E60" s="53" t="n"/>
      <c r="F60" s="54" t="n"/>
      <c r="G60" s="55" t="n"/>
      <c r="H60" s="55" t="n"/>
      <c r="I60" s="55" t="n"/>
      <c r="J60" s="56" t="n"/>
      <c r="K60" s="56" t="n"/>
      <c r="L60" s="34">
        <f>HYPERLINK(Table544[[#This Row],[Column1]])</f>
        <v/>
      </c>
    </row>
    <row r="61" ht="45" customHeight="1" s="290">
      <c r="A61" s="30" t="n"/>
      <c r="B61" s="30" t="n"/>
      <c r="C61" s="30" t="n"/>
      <c r="D61" s="324" t="n"/>
      <c r="E61" s="53" t="n"/>
      <c r="F61" s="54" t="n"/>
      <c r="G61" s="55" t="n"/>
      <c r="H61" s="55" t="n"/>
      <c r="I61" s="55" t="n"/>
      <c r="J61" s="56" t="n"/>
      <c r="K61" s="56" t="n"/>
      <c r="L61" s="34">
        <f>HYPERLINK(Table544[[#This Row],[Column1]])</f>
        <v/>
      </c>
    </row>
    <row r="62" ht="45" customHeight="1" s="290">
      <c r="A62" s="30" t="n"/>
      <c r="B62" s="30" t="n"/>
      <c r="C62" s="30" t="n"/>
      <c r="D62" s="324" t="n"/>
      <c r="E62" s="53" t="n"/>
      <c r="F62" s="54" t="n"/>
      <c r="G62" s="55" t="n"/>
      <c r="H62" s="55" t="n"/>
      <c r="I62" s="55" t="n"/>
      <c r="J62" s="56" t="n"/>
      <c r="K62" s="56" t="n"/>
      <c r="L62" s="34">
        <f>HYPERLINK(Table544[[#This Row],[Column1]])</f>
        <v/>
      </c>
    </row>
    <row r="63" ht="45" customHeight="1" s="290">
      <c r="A63" s="30" t="n"/>
      <c r="B63" s="30" t="n"/>
      <c r="C63" s="30" t="n"/>
      <c r="D63" s="324" t="n"/>
      <c r="E63" s="53" t="n"/>
      <c r="F63" s="54" t="n"/>
      <c r="G63" s="55" t="n"/>
      <c r="H63" s="55" t="n"/>
      <c r="I63" s="55" t="n"/>
      <c r="J63" s="56" t="n"/>
      <c r="K63" s="56" t="n"/>
      <c r="L63" s="34">
        <f>HYPERLINK(Table544[[#This Row],[Column1]])</f>
        <v/>
      </c>
    </row>
    <row r="64" ht="45" customHeight="1" s="290">
      <c r="A64" s="30" t="n"/>
      <c r="B64" s="30" t="n"/>
      <c r="C64" s="30" t="n"/>
      <c r="D64" s="324" t="n"/>
      <c r="E64" s="53" t="n"/>
      <c r="F64" s="54" t="n"/>
      <c r="G64" s="55" t="n"/>
      <c r="H64" s="55" t="n"/>
      <c r="I64" s="55" t="n"/>
      <c r="J64" s="56" t="n"/>
      <c r="K64" s="56" t="n"/>
      <c r="L64" s="34">
        <f>HYPERLINK(Table544[[#This Row],[Column1]])</f>
        <v/>
      </c>
    </row>
    <row r="65" ht="45" customHeight="1" s="290">
      <c r="A65" s="30" t="n"/>
      <c r="B65" s="30" t="n"/>
      <c r="C65" s="30" t="n"/>
      <c r="D65" s="324" t="n"/>
      <c r="E65" s="53" t="n"/>
      <c r="F65" s="54" t="n"/>
      <c r="G65" s="55" t="n"/>
      <c r="H65" s="55" t="n"/>
      <c r="I65" s="55" t="n"/>
      <c r="J65" s="56" t="n"/>
      <c r="K65" s="56" t="n"/>
      <c r="L65" s="34">
        <f>HYPERLINK(Table544[[#This Row],[Column1]])</f>
        <v/>
      </c>
    </row>
    <row r="66" ht="45" customHeight="1" s="290">
      <c r="A66" s="30" t="n"/>
      <c r="B66" s="30" t="n"/>
      <c r="C66" s="30" t="n"/>
      <c r="D66" s="324" t="n"/>
      <c r="E66" s="53" t="n"/>
      <c r="F66" s="54" t="n"/>
      <c r="G66" s="55" t="n"/>
      <c r="H66" s="55" t="n"/>
      <c r="I66" s="55" t="n"/>
      <c r="J66" s="56" t="n"/>
      <c r="K66" s="56" t="n"/>
      <c r="L66" s="34">
        <f>HYPERLINK(Table544[[#This Row],[Column1]])</f>
        <v/>
      </c>
    </row>
    <row r="67" ht="45" customHeight="1" s="290">
      <c r="A67" s="30" t="n"/>
      <c r="B67" s="30" t="n"/>
      <c r="C67" s="30" t="n"/>
      <c r="D67" s="324" t="n"/>
      <c r="E67" s="53" t="n"/>
      <c r="F67" s="54" t="n"/>
      <c r="G67" s="55" t="n"/>
      <c r="H67" s="55" t="n"/>
      <c r="I67" s="55" t="n"/>
      <c r="J67" s="56" t="n"/>
      <c r="K67" s="56" t="n"/>
      <c r="L67" s="34">
        <f>HYPERLINK(Table544[[#This Row],[Column1]])</f>
        <v/>
      </c>
    </row>
    <row r="68" ht="45" customHeight="1" s="290">
      <c r="A68" s="30" t="n"/>
      <c r="B68" s="30" t="n"/>
      <c r="C68" s="30" t="n"/>
      <c r="D68" s="324" t="n"/>
      <c r="E68" s="53" t="n"/>
      <c r="F68" s="54" t="n"/>
      <c r="G68" s="55" t="n"/>
      <c r="H68" s="55" t="n"/>
      <c r="I68" s="55" t="n"/>
      <c r="J68" s="56" t="n"/>
      <c r="K68" s="56" t="n"/>
      <c r="L68" s="34">
        <f>HYPERLINK(Table544[[#This Row],[Column1]])</f>
        <v/>
      </c>
    </row>
    <row r="69" ht="60" customHeight="1" s="290">
      <c r="A69" s="30" t="n"/>
      <c r="B69" s="30" t="n"/>
      <c r="C69" s="30" t="n"/>
      <c r="D69" s="324" t="n"/>
      <c r="E69" s="53" t="n"/>
      <c r="F69" s="54" t="n"/>
      <c r="G69" s="55" t="n"/>
      <c r="H69" s="55" t="n"/>
      <c r="I69" s="55" t="n"/>
      <c r="J69" s="56" t="n"/>
      <c r="K69" s="56" t="n"/>
      <c r="L69" s="34">
        <f>HYPERLINK(Table544[[#This Row],[Column1]])</f>
        <v/>
      </c>
    </row>
    <row r="70" ht="45" customHeight="1" s="290">
      <c r="A70" s="30" t="n"/>
      <c r="B70" s="30" t="n"/>
      <c r="C70" s="30" t="n"/>
      <c r="D70" s="324" t="n"/>
      <c r="E70" s="53" t="n"/>
      <c r="F70" s="54" t="n"/>
      <c r="G70" s="55" t="n"/>
      <c r="H70" s="55" t="n"/>
      <c r="I70" s="55" t="n"/>
      <c r="J70" s="56" t="n"/>
      <c r="K70" s="56" t="n"/>
      <c r="L70" s="34">
        <f>HYPERLINK(Table544[[#This Row],[Column1]])</f>
        <v/>
      </c>
    </row>
    <row r="71" ht="45" customHeight="1" s="290">
      <c r="A71" s="30" t="n"/>
      <c r="B71" s="30" t="n"/>
      <c r="C71" s="30" t="n"/>
      <c r="D71" s="324" t="n"/>
      <c r="E71" s="53" t="n"/>
      <c r="F71" s="54" t="n"/>
      <c r="G71" s="55" t="n"/>
      <c r="H71" s="55" t="n"/>
      <c r="I71" s="55" t="n"/>
      <c r="J71" s="56" t="n"/>
      <c r="K71" s="56" t="n"/>
      <c r="L71" s="34">
        <f>HYPERLINK(Table544[[#This Row],[Column1]])</f>
        <v/>
      </c>
    </row>
    <row r="72" ht="45" customHeight="1" s="290">
      <c r="A72" s="30" t="n"/>
      <c r="B72" s="30" t="n"/>
      <c r="C72" s="30" t="n"/>
      <c r="D72" s="324" t="n"/>
      <c r="E72" s="53" t="n"/>
      <c r="F72" s="54" t="n"/>
      <c r="G72" s="55" t="n"/>
      <c r="H72" s="55" t="n"/>
      <c r="I72" s="55" t="n"/>
      <c r="J72" s="56" t="n"/>
      <c r="K72" s="56" t="n"/>
      <c r="L72" s="34">
        <f>HYPERLINK(Table544[[#This Row],[Column1]])</f>
        <v/>
      </c>
    </row>
    <row r="73" ht="45" customHeight="1" s="290">
      <c r="A73" s="30" t="n"/>
      <c r="B73" s="30" t="n"/>
      <c r="C73" s="30" t="n"/>
      <c r="D73" s="324" t="n"/>
      <c r="E73" s="53" t="n"/>
      <c r="F73" s="54" t="n"/>
      <c r="G73" s="55" t="n"/>
      <c r="H73" s="55" t="n"/>
      <c r="I73" s="55" t="n"/>
      <c r="J73" s="56" t="n"/>
      <c r="K73" s="56" t="n"/>
      <c r="L73" s="34">
        <f>HYPERLINK(Table544[[#This Row],[Column1]])</f>
        <v/>
      </c>
    </row>
    <row r="74" ht="45" customHeight="1" s="290">
      <c r="A74" s="30" t="n"/>
      <c r="B74" s="30" t="n"/>
      <c r="C74" s="30" t="n"/>
      <c r="D74" s="324" t="n"/>
      <c r="E74" s="53" t="n"/>
      <c r="F74" s="54" t="n"/>
      <c r="G74" s="55" t="n"/>
      <c r="H74" s="55" t="n"/>
      <c r="I74" s="55" t="n"/>
      <c r="J74" s="56" t="n"/>
      <c r="K74" s="56" t="n"/>
      <c r="L74" s="34">
        <f>HYPERLINK(Table544[[#This Row],[Column1]])</f>
        <v/>
      </c>
    </row>
    <row r="75" ht="45" customHeight="1" s="290">
      <c r="A75" s="30" t="n"/>
      <c r="B75" s="30" t="n"/>
      <c r="C75" s="30" t="n"/>
      <c r="D75" s="324" t="n"/>
      <c r="E75" s="53" t="n"/>
      <c r="F75" s="54" t="n"/>
      <c r="G75" s="55" t="n"/>
      <c r="H75" s="55" t="n"/>
      <c r="I75" s="55" t="n"/>
      <c r="J75" s="56" t="n"/>
      <c r="K75" s="56" t="n"/>
      <c r="L75" s="34">
        <f>HYPERLINK(Table544[[#This Row],[Column1]])</f>
        <v/>
      </c>
    </row>
    <row r="76" ht="45" customHeight="1" s="290">
      <c r="A76" s="30" t="n"/>
      <c r="B76" s="30" t="n"/>
      <c r="C76" s="30" t="n"/>
      <c r="D76" s="324" t="n"/>
      <c r="E76" s="53" t="n"/>
      <c r="F76" s="54" t="n"/>
      <c r="G76" s="55" t="n"/>
      <c r="H76" s="55" t="n"/>
      <c r="I76" s="55" t="n"/>
      <c r="J76" s="56" t="n"/>
      <c r="K76" s="56" t="n"/>
      <c r="L76" s="34">
        <f>HYPERLINK(Table544[[#This Row],[Column1]])</f>
        <v/>
      </c>
    </row>
    <row r="77" ht="60" customHeight="1" s="290">
      <c r="A77" s="30" t="n"/>
      <c r="B77" s="30" t="n"/>
      <c r="C77" s="30" t="n"/>
      <c r="D77" s="324" t="n"/>
      <c r="E77" s="53" t="n"/>
      <c r="F77" s="54" t="n"/>
      <c r="G77" s="55" t="n"/>
      <c r="H77" s="55" t="n"/>
      <c r="I77" s="55" t="n"/>
      <c r="J77" s="56" t="n"/>
      <c r="K77" s="56" t="n"/>
      <c r="L77" s="34">
        <f>HYPERLINK(Table544[[#This Row],[Column1]])</f>
        <v/>
      </c>
    </row>
    <row r="78" ht="45" customHeight="1" s="290">
      <c r="A78" s="30" t="n"/>
      <c r="B78" s="30" t="n"/>
      <c r="C78" s="30" t="n"/>
      <c r="D78" s="324" t="n"/>
      <c r="E78" s="53" t="n"/>
      <c r="F78" s="54" t="n"/>
      <c r="G78" s="55" t="n"/>
      <c r="H78" s="55" t="n"/>
      <c r="I78" s="55" t="n"/>
      <c r="J78" s="56" t="n"/>
      <c r="K78" s="56" t="n"/>
      <c r="L78" s="34">
        <f>HYPERLINK(Table544[[#This Row],[Column1]])</f>
        <v/>
      </c>
    </row>
    <row r="79" ht="45" customHeight="1" s="290">
      <c r="A79" s="30" t="n"/>
      <c r="B79" s="30" t="n"/>
      <c r="C79" s="30" t="n"/>
      <c r="D79" s="324" t="n"/>
      <c r="E79" s="53" t="n"/>
      <c r="F79" s="54" t="n"/>
      <c r="G79" s="55" t="n"/>
      <c r="H79" s="55" t="n"/>
      <c r="I79" s="55" t="n"/>
      <c r="J79" s="56" t="n"/>
      <c r="K79" s="56" t="n"/>
      <c r="L79" s="34">
        <f>HYPERLINK(Table544[[#This Row],[Column1]])</f>
        <v/>
      </c>
    </row>
    <row r="80" ht="45" customHeight="1" s="290">
      <c r="A80" s="30" t="n"/>
      <c r="B80" s="30" t="n"/>
      <c r="C80" s="30" t="n"/>
      <c r="D80" s="324" t="n"/>
      <c r="E80" s="53" t="n"/>
      <c r="F80" s="54" t="n"/>
      <c r="G80" s="55" t="n"/>
      <c r="H80" s="55" t="n"/>
      <c r="I80" s="55" t="n"/>
      <c r="J80" s="56" t="n"/>
      <c r="K80" s="56" t="n"/>
      <c r="L80" s="34">
        <f>HYPERLINK(Table544[[#This Row],[Column1]])</f>
        <v/>
      </c>
    </row>
    <row r="81" ht="45" customHeight="1" s="290">
      <c r="A81" s="30" t="n"/>
      <c r="B81" s="30" t="n"/>
      <c r="C81" s="30" t="n"/>
      <c r="D81" s="324" t="n"/>
      <c r="E81" s="53" t="n"/>
      <c r="F81" s="54" t="n"/>
      <c r="G81" s="55" t="n"/>
      <c r="H81" s="55" t="n"/>
      <c r="I81" s="55" t="n"/>
      <c r="J81" s="56" t="n"/>
      <c r="K81" s="56" t="n"/>
      <c r="L81" s="34">
        <f>HYPERLINK(Table544[[#This Row],[Column1]])</f>
        <v/>
      </c>
    </row>
    <row r="82" ht="45" customHeight="1" s="290">
      <c r="A82" s="30" t="n"/>
      <c r="B82" s="30" t="n"/>
      <c r="C82" s="30" t="n"/>
      <c r="D82" s="324" t="n"/>
      <c r="E82" s="53" t="n"/>
      <c r="F82" s="54" t="n"/>
      <c r="G82" s="55" t="n"/>
      <c r="H82" s="55" t="n"/>
      <c r="I82" s="55" t="n"/>
      <c r="J82" s="56" t="n"/>
      <c r="K82" s="56" t="n"/>
      <c r="L82" s="34">
        <f>HYPERLINK(Table544[[#This Row],[Column1]])</f>
        <v/>
      </c>
    </row>
    <row r="83" ht="30" customHeight="1" s="290">
      <c r="A83" s="30" t="n"/>
      <c r="B83" s="30" t="n"/>
      <c r="C83" s="30" t="n"/>
      <c r="D83" s="324" t="n"/>
      <c r="E83" s="53" t="n"/>
      <c r="F83" s="54" t="n"/>
      <c r="G83" s="55" t="n"/>
      <c r="H83" s="55" t="n"/>
      <c r="I83" s="55" t="n"/>
      <c r="J83" s="56" t="n"/>
      <c r="K83" s="56" t="n"/>
      <c r="L83" s="34">
        <f>HYPERLINK(Table544[[#This Row],[Column1]])</f>
        <v/>
      </c>
    </row>
    <row r="84" ht="45" customHeight="1" s="290">
      <c r="A84" s="30" t="n"/>
      <c r="B84" s="30" t="n"/>
      <c r="C84" s="30" t="n"/>
      <c r="D84" s="324" t="n"/>
      <c r="E84" s="53" t="n"/>
      <c r="F84" s="54" t="n"/>
      <c r="G84" s="55" t="n"/>
      <c r="H84" s="55" t="n"/>
      <c r="I84" s="55" t="n"/>
      <c r="J84" s="56" t="n"/>
      <c r="K84" s="56" t="n"/>
      <c r="L84" s="34">
        <f>HYPERLINK(Table544[[#This Row],[Column1]])</f>
        <v/>
      </c>
    </row>
    <row r="85" ht="45" customHeight="1" s="290">
      <c r="A85" s="30" t="n"/>
      <c r="B85" s="30" t="n"/>
      <c r="C85" s="30" t="n"/>
      <c r="D85" s="324" t="n"/>
      <c r="E85" s="53" t="n"/>
      <c r="F85" s="54" t="n"/>
      <c r="G85" s="55" t="n"/>
      <c r="H85" s="55" t="n"/>
      <c r="I85" s="55" t="n"/>
      <c r="J85" s="56" t="n"/>
      <c r="K85" s="56" t="n"/>
      <c r="L85" s="34">
        <f>HYPERLINK(Table544[[#This Row],[Column1]])</f>
        <v/>
      </c>
    </row>
    <row r="86" ht="45" customHeight="1" s="290">
      <c r="A86" s="30" t="n"/>
      <c r="B86" s="30" t="n"/>
      <c r="C86" s="30" t="n"/>
      <c r="D86" s="324" t="n"/>
      <c r="E86" s="53" t="n"/>
      <c r="F86" s="54" t="n"/>
      <c r="G86" s="55" t="n"/>
      <c r="H86" s="55" t="n"/>
      <c r="I86" s="55" t="n"/>
      <c r="J86" s="56" t="n"/>
      <c r="K86" s="56" t="n"/>
      <c r="L86" s="34">
        <f>HYPERLINK(Table544[[#This Row],[Column1]])</f>
        <v/>
      </c>
    </row>
    <row r="87" ht="45" customHeight="1" s="290">
      <c r="A87" s="30" t="n"/>
      <c r="B87" s="30" t="n"/>
      <c r="C87" s="30" t="n"/>
      <c r="D87" s="324" t="n"/>
      <c r="E87" s="53" t="n"/>
      <c r="F87" s="54" t="n"/>
      <c r="G87" s="55" t="n"/>
      <c r="H87" s="55" t="n"/>
      <c r="I87" s="55" t="n"/>
      <c r="J87" s="56" t="n"/>
      <c r="K87" s="56" t="n"/>
      <c r="L87" s="34">
        <f>HYPERLINK(Table544[[#This Row],[Column1]])</f>
        <v/>
      </c>
    </row>
    <row r="88" ht="45" customHeight="1" s="290">
      <c r="A88" s="30" t="n"/>
      <c r="B88" s="30" t="n"/>
      <c r="C88" s="30" t="n"/>
      <c r="D88" s="324" t="n"/>
      <c r="E88" s="53" t="n"/>
      <c r="F88" s="54" t="n"/>
      <c r="G88" s="55" t="n"/>
      <c r="H88" s="55" t="n"/>
      <c r="I88" s="55" t="n"/>
      <c r="J88" s="56" t="n"/>
      <c r="K88" s="56" t="n"/>
      <c r="L88" s="34">
        <f>HYPERLINK(Table544[[#This Row],[Column1]])</f>
        <v/>
      </c>
    </row>
    <row r="89" ht="45" customHeight="1" s="290">
      <c r="A89" s="30" t="n"/>
      <c r="B89" s="30" t="n"/>
      <c r="C89" s="30" t="n"/>
      <c r="D89" s="324" t="n"/>
      <c r="E89" s="53" t="n"/>
      <c r="F89" s="54" t="n"/>
      <c r="G89" s="55" t="n"/>
      <c r="H89" s="55" t="n"/>
      <c r="I89" s="55" t="n"/>
      <c r="J89" s="56" t="n"/>
      <c r="K89" s="56" t="n"/>
      <c r="L89" s="34">
        <f>HYPERLINK(Table544[[#This Row],[Column1]])</f>
        <v/>
      </c>
    </row>
    <row r="90" ht="45" customHeight="1" s="290">
      <c r="A90" s="30" t="n"/>
      <c r="B90" s="30" t="n"/>
      <c r="C90" s="30" t="n"/>
      <c r="D90" s="324" t="n"/>
      <c r="E90" s="53" t="n"/>
      <c r="F90" s="54" t="n"/>
      <c r="G90" s="55" t="n"/>
      <c r="H90" s="55" t="n"/>
      <c r="I90" s="55" t="n"/>
      <c r="J90" s="56" t="n"/>
      <c r="K90" s="56" t="n"/>
      <c r="L90" s="34">
        <f>HYPERLINK(Table544[[#This Row],[Column1]])</f>
        <v/>
      </c>
    </row>
    <row r="91" ht="45" customHeight="1" s="290">
      <c r="A91" s="30" t="n"/>
      <c r="B91" s="30" t="n"/>
      <c r="C91" s="30" t="n"/>
      <c r="D91" s="324" t="n"/>
      <c r="E91" s="53" t="n"/>
      <c r="F91" s="54" t="n"/>
      <c r="G91" s="55" t="n"/>
      <c r="H91" s="55" t="n"/>
      <c r="I91" s="55" t="n"/>
      <c r="J91" s="56" t="n"/>
      <c r="K91" s="56" t="n"/>
      <c r="L91" s="34">
        <f>HYPERLINK(Table544[[#This Row],[Column1]])</f>
        <v/>
      </c>
    </row>
    <row r="92" ht="45" customHeight="1" s="290">
      <c r="A92" s="30" t="n"/>
      <c r="B92" s="30" t="n"/>
      <c r="C92" s="30" t="n"/>
      <c r="D92" s="324" t="n"/>
      <c r="E92" s="53" t="n"/>
      <c r="F92" s="54" t="n"/>
      <c r="G92" s="55" t="n"/>
      <c r="H92" s="55" t="n"/>
      <c r="I92" s="55" t="n"/>
      <c r="J92" s="56" t="n"/>
      <c r="K92" s="56" t="n"/>
      <c r="L92" s="34">
        <f>HYPERLINK(Table544[[#This Row],[Column1]])</f>
        <v/>
      </c>
    </row>
    <row r="93" ht="45" customHeight="1" s="290">
      <c r="A93" s="30" t="n"/>
      <c r="B93" s="30" t="n"/>
      <c r="C93" s="30" t="n"/>
      <c r="D93" s="324" t="n"/>
      <c r="E93" s="53" t="n"/>
      <c r="F93" s="54" t="n"/>
      <c r="G93" s="55" t="n"/>
      <c r="H93" s="55" t="n"/>
      <c r="I93" s="55" t="n"/>
      <c r="J93" s="56" t="n"/>
      <c r="K93" s="56" t="n"/>
      <c r="L93" s="34">
        <f>HYPERLINK(Table544[[#This Row],[Column1]])</f>
        <v/>
      </c>
    </row>
    <row r="94" ht="60" customHeight="1" s="290">
      <c r="A94" s="30" t="n"/>
      <c r="B94" s="30" t="n"/>
      <c r="C94" s="30" t="n"/>
      <c r="D94" s="324" t="n"/>
      <c r="E94" s="53" t="n"/>
      <c r="F94" s="54" t="n"/>
      <c r="G94" s="55" t="n"/>
      <c r="H94" s="55" t="n"/>
      <c r="I94" s="55" t="n"/>
      <c r="J94" s="56" t="n"/>
      <c r="K94" s="56" t="n"/>
      <c r="L94" s="34">
        <f>HYPERLINK(Table544[[#This Row],[Column1]])</f>
        <v/>
      </c>
    </row>
    <row r="95" ht="45" customHeight="1" s="290">
      <c r="A95" s="30" t="n"/>
      <c r="B95" s="30" t="n"/>
      <c r="C95" s="30" t="n"/>
      <c r="D95" s="324" t="n"/>
      <c r="E95" s="53" t="n"/>
      <c r="F95" s="54" t="n"/>
      <c r="G95" s="55" t="n"/>
      <c r="H95" s="55" t="n"/>
      <c r="I95" s="55" t="n"/>
      <c r="J95" s="56" t="n"/>
      <c r="K95" s="56" t="n"/>
      <c r="L95" s="34">
        <f>HYPERLINK(Table544[[#This Row],[Column1]])</f>
        <v/>
      </c>
    </row>
    <row r="96" ht="45" customHeight="1" s="290">
      <c r="A96" s="30" t="n"/>
      <c r="B96" s="30" t="n"/>
      <c r="C96" s="30" t="n"/>
      <c r="D96" s="324" t="n"/>
      <c r="E96" s="53" t="n"/>
      <c r="F96" s="54" t="n"/>
      <c r="G96" s="55" t="n"/>
      <c r="H96" s="55" t="n"/>
      <c r="I96" s="55" t="n"/>
      <c r="J96" s="56" t="n"/>
      <c r="K96" s="56" t="n"/>
      <c r="L96" s="34">
        <f>HYPERLINK(Table544[[#This Row],[Column1]])</f>
        <v/>
      </c>
    </row>
    <row r="97" ht="45" customHeight="1" s="290">
      <c r="A97" s="30" t="n"/>
      <c r="B97" s="30" t="n"/>
      <c r="C97" s="30" t="n"/>
      <c r="D97" s="324" t="n"/>
      <c r="E97" s="53" t="n"/>
      <c r="F97" s="54" t="n"/>
      <c r="G97" s="55" t="n"/>
      <c r="H97" s="55" t="n"/>
      <c r="I97" s="55" t="n"/>
      <c r="J97" s="56" t="n"/>
      <c r="K97" s="56" t="n"/>
      <c r="L97" s="34">
        <f>HYPERLINK(Table544[[#This Row],[Column1]])</f>
        <v/>
      </c>
    </row>
    <row r="98" ht="60" customHeight="1" s="290">
      <c r="A98" s="30" t="n"/>
      <c r="B98" s="30" t="n"/>
      <c r="C98" s="30" t="n"/>
      <c r="D98" s="324" t="n"/>
      <c r="E98" s="53" t="n"/>
      <c r="F98" s="54" t="n"/>
      <c r="G98" s="55" t="n"/>
      <c r="H98" s="55" t="n"/>
      <c r="I98" s="55" t="n"/>
      <c r="J98" s="56" t="n"/>
      <c r="K98" s="56" t="n"/>
      <c r="L98" s="34">
        <f>HYPERLINK(Table544[[#This Row],[Column1]])</f>
        <v/>
      </c>
    </row>
    <row r="99" ht="45" customHeight="1" s="290">
      <c r="A99" s="30" t="n"/>
      <c r="B99" s="30" t="n"/>
      <c r="C99" s="30" t="n"/>
      <c r="D99" s="324" t="n"/>
      <c r="E99" s="53" t="n"/>
      <c r="F99" s="54" t="n"/>
      <c r="G99" s="55" t="n"/>
      <c r="H99" s="55" t="n"/>
      <c r="I99" s="55" t="n"/>
      <c r="J99" s="56" t="n"/>
      <c r="K99" s="56" t="n"/>
      <c r="L99" s="34">
        <f>HYPERLINK(Table544[[#This Row],[Column1]])</f>
        <v/>
      </c>
    </row>
    <row r="100" ht="45" customHeight="1" s="290">
      <c r="A100" s="30" t="n"/>
      <c r="B100" s="30" t="n"/>
      <c r="C100" s="30" t="n"/>
      <c r="D100" s="324" t="n"/>
      <c r="E100" s="53" t="n"/>
      <c r="F100" s="54" t="n"/>
      <c r="G100" s="55" t="n"/>
      <c r="H100" s="55" t="n"/>
      <c r="I100" s="55" t="n"/>
      <c r="J100" s="56" t="n"/>
      <c r="K100" s="56" t="n"/>
      <c r="L100" s="34">
        <f>HYPERLINK(Table544[[#This Row],[Column1]])</f>
        <v/>
      </c>
    </row>
    <row r="101" ht="45" customHeight="1" s="290">
      <c r="A101" s="30" t="n"/>
      <c r="B101" s="30" t="n"/>
      <c r="C101" s="30" t="n"/>
      <c r="D101" s="324" t="n"/>
      <c r="E101" s="53" t="n"/>
      <c r="F101" s="54" t="n"/>
      <c r="G101" s="55" t="n"/>
      <c r="H101" s="55" t="n"/>
      <c r="I101" s="55" t="n"/>
      <c r="J101" s="56" t="n"/>
      <c r="K101" s="56" t="n"/>
      <c r="L101" s="34">
        <f>HYPERLINK(Table544[[#This Row],[Column1]])</f>
        <v/>
      </c>
    </row>
    <row r="102" ht="45" customHeight="1" s="290">
      <c r="A102" s="30" t="n"/>
      <c r="B102" s="30" t="n"/>
      <c r="C102" s="30" t="n"/>
      <c r="D102" s="324" t="n"/>
      <c r="E102" s="53" t="n"/>
      <c r="F102" s="54" t="n"/>
      <c r="G102" s="55" t="n"/>
      <c r="H102" s="55" t="n"/>
      <c r="I102" s="55" t="n"/>
      <c r="J102" s="56" t="n"/>
      <c r="K102" s="56" t="n"/>
      <c r="L102" s="34">
        <f>HYPERLINK(Table544[[#This Row],[Column1]])</f>
        <v/>
      </c>
    </row>
    <row r="103" ht="45" customHeight="1" s="290">
      <c r="A103" s="30" t="n"/>
      <c r="B103" s="30" t="n"/>
      <c r="C103" s="30" t="n"/>
      <c r="D103" s="324" t="n"/>
      <c r="E103" s="53" t="n"/>
      <c r="F103" s="54" t="n"/>
      <c r="G103" s="55" t="n"/>
      <c r="H103" s="55" t="n"/>
      <c r="I103" s="55" t="n"/>
      <c r="J103" s="56" t="n"/>
      <c r="K103" s="56" t="n"/>
      <c r="L103" s="34">
        <f>HYPERLINK(Table544[[#This Row],[Column1]])</f>
        <v/>
      </c>
    </row>
    <row r="104" ht="45" customHeight="1" s="290">
      <c r="A104" s="30" t="n"/>
      <c r="B104" s="30" t="n"/>
      <c r="C104" s="30" t="n"/>
      <c r="D104" s="324" t="n"/>
      <c r="E104" s="53" t="n"/>
      <c r="F104" s="54" t="n"/>
      <c r="G104" s="55" t="n"/>
      <c r="H104" s="55" t="n"/>
      <c r="I104" s="55" t="n"/>
      <c r="J104" s="56" t="n"/>
      <c r="K104" s="56" t="n"/>
      <c r="L104" s="34">
        <f>HYPERLINK(Table544[[#This Row],[Column1]])</f>
        <v/>
      </c>
    </row>
    <row r="105" ht="45" customHeight="1" s="290">
      <c r="A105" s="30" t="n"/>
      <c r="B105" s="30" t="n"/>
      <c r="C105" s="30" t="n"/>
      <c r="D105" s="324" t="n"/>
      <c r="E105" s="53" t="n"/>
      <c r="F105" s="54" t="n"/>
      <c r="G105" s="55" t="n"/>
      <c r="H105" s="55" t="n"/>
      <c r="I105" s="55" t="n"/>
      <c r="J105" s="56" t="n"/>
      <c r="K105" s="56" t="n"/>
      <c r="L105" s="34">
        <f>HYPERLINK(Table544[[#This Row],[Column1]])</f>
        <v/>
      </c>
    </row>
    <row r="106" ht="45" customHeight="1" s="290">
      <c r="A106" s="30" t="n"/>
      <c r="B106" s="30" t="n"/>
      <c r="C106" s="30" t="n"/>
      <c r="D106" s="324" t="n"/>
      <c r="E106" s="53" t="n"/>
      <c r="F106" s="54" t="n"/>
      <c r="G106" s="55" t="n"/>
      <c r="H106" s="55" t="n"/>
      <c r="I106" s="55" t="n"/>
      <c r="J106" s="56" t="n"/>
      <c r="K106" s="56" t="n"/>
      <c r="L106" s="34">
        <f>HYPERLINK(Table544[[#This Row],[Column1]])</f>
        <v/>
      </c>
    </row>
    <row r="107" ht="60" customHeight="1" s="290">
      <c r="A107" s="30" t="n"/>
      <c r="B107" s="30" t="n"/>
      <c r="C107" s="30" t="n"/>
      <c r="D107" s="324" t="n"/>
      <c r="E107" s="53" t="n"/>
      <c r="F107" s="54" t="n"/>
      <c r="G107" s="55" t="n"/>
      <c r="H107" s="55" t="n"/>
      <c r="I107" s="55" t="n"/>
      <c r="J107" s="56" t="n"/>
      <c r="K107" s="56" t="n"/>
      <c r="L107" s="34">
        <f>HYPERLINK(Table544[[#This Row],[Column1]])</f>
        <v/>
      </c>
    </row>
    <row r="108" ht="45" customHeight="1" s="290">
      <c r="A108" s="30" t="n"/>
      <c r="B108" s="30" t="n"/>
      <c r="C108" s="30" t="n"/>
      <c r="D108" s="324" t="n"/>
      <c r="E108" s="53" t="n"/>
      <c r="F108" s="54" t="n"/>
      <c r="G108" s="55" t="n"/>
      <c r="H108" s="55" t="n"/>
      <c r="I108" s="55" t="n"/>
      <c r="J108" s="56" t="n"/>
      <c r="K108" s="56" t="n"/>
      <c r="L108" s="34">
        <f>HYPERLINK(Table544[[#This Row],[Column1]])</f>
        <v/>
      </c>
    </row>
    <row r="109" ht="45" customHeight="1" s="290">
      <c r="A109" s="30" t="n"/>
      <c r="B109" s="30" t="n"/>
      <c r="C109" s="30" t="n"/>
      <c r="D109" s="324" t="n"/>
      <c r="E109" s="53" t="n"/>
      <c r="F109" s="54" t="n"/>
      <c r="G109" s="55" t="n"/>
      <c r="H109" s="55" t="n"/>
      <c r="I109" s="55" t="n"/>
      <c r="J109" s="56" t="n"/>
      <c r="K109" s="56" t="n"/>
      <c r="L109" s="34">
        <f>HYPERLINK(Table544[[#This Row],[Column1]])</f>
        <v/>
      </c>
    </row>
    <row r="110" ht="45" customHeight="1" s="290">
      <c r="A110" s="30" t="n"/>
      <c r="B110" s="30" t="n"/>
      <c r="C110" s="30" t="n"/>
      <c r="D110" s="324" t="n"/>
      <c r="E110" s="53" t="n"/>
      <c r="F110" s="54" t="n"/>
      <c r="G110" s="55" t="n"/>
      <c r="H110" s="55" t="n"/>
      <c r="I110" s="55" t="n"/>
      <c r="J110" s="56" t="n"/>
      <c r="K110" s="56" t="n"/>
      <c r="L110" s="34">
        <f>HYPERLINK(Table544[[#This Row],[Column1]])</f>
        <v/>
      </c>
    </row>
    <row r="111" ht="45" customHeight="1" s="290">
      <c r="A111" s="30" t="n"/>
      <c r="B111" s="30" t="n"/>
      <c r="C111" s="30" t="n"/>
      <c r="D111" s="324" t="n"/>
      <c r="E111" s="53" t="n"/>
      <c r="F111" s="54" t="n"/>
      <c r="G111" s="55" t="n"/>
      <c r="H111" s="55" t="n"/>
      <c r="I111" s="55" t="n"/>
      <c r="J111" s="56" t="n"/>
      <c r="K111" s="56" t="n"/>
      <c r="L111" s="34">
        <f>HYPERLINK(Table544[[#This Row],[Column1]])</f>
        <v/>
      </c>
    </row>
    <row r="112" ht="45" customHeight="1" s="290">
      <c r="A112" s="30" t="n"/>
      <c r="B112" s="30" t="n"/>
      <c r="C112" s="30" t="n"/>
      <c r="D112" s="324" t="n"/>
      <c r="E112" s="53" t="n"/>
      <c r="F112" s="54" t="n"/>
      <c r="G112" s="55" t="n"/>
      <c r="H112" s="55" t="n"/>
      <c r="I112" s="55" t="n"/>
      <c r="J112" s="56" t="n"/>
      <c r="K112" s="56" t="n"/>
      <c r="L112" s="34">
        <f>HYPERLINK(Table544[[#This Row],[Column1]])</f>
        <v/>
      </c>
    </row>
    <row r="113" ht="45" customHeight="1" s="290">
      <c r="A113" s="30" t="n"/>
      <c r="B113" s="30" t="n"/>
      <c r="C113" s="30" t="n"/>
      <c r="D113" s="324" t="n"/>
      <c r="E113" s="53" t="n"/>
      <c r="F113" s="54" t="n"/>
      <c r="G113" s="55" t="n"/>
      <c r="H113" s="55" t="n"/>
      <c r="I113" s="55" t="n"/>
      <c r="J113" s="56" t="n"/>
      <c r="K113" s="56" t="n"/>
      <c r="L113" s="34">
        <f>HYPERLINK(Table544[[#This Row],[Column1]])</f>
        <v/>
      </c>
    </row>
    <row r="114" ht="45" customHeight="1" s="290">
      <c r="A114" s="30" t="n"/>
      <c r="B114" s="30" t="n"/>
      <c r="C114" s="30" t="n"/>
      <c r="D114" s="324" t="n"/>
      <c r="E114" s="53" t="n"/>
      <c r="F114" s="54" t="n"/>
      <c r="G114" s="55" t="n"/>
      <c r="H114" s="55" t="n"/>
      <c r="I114" s="55" t="n"/>
      <c r="J114" s="56" t="n"/>
      <c r="K114" s="56" t="n"/>
      <c r="L114" s="34">
        <f>HYPERLINK(Table544[[#This Row],[Column1]])</f>
        <v/>
      </c>
    </row>
    <row r="115" ht="45" customHeight="1" s="290">
      <c r="A115" s="30" t="n"/>
      <c r="B115" s="30" t="n"/>
      <c r="C115" s="30" t="n"/>
      <c r="D115" s="324" t="n"/>
      <c r="E115" s="53" t="n"/>
      <c r="F115" s="54" t="n"/>
      <c r="G115" s="55" t="n"/>
      <c r="H115" s="55" t="n"/>
      <c r="I115" s="55" t="n"/>
      <c r="J115" s="56" t="n"/>
      <c r="K115" s="56" t="n"/>
      <c r="L115" s="34">
        <f>HYPERLINK(Table544[[#This Row],[Column1]])</f>
        <v/>
      </c>
    </row>
    <row r="116" ht="30" customHeight="1" s="290">
      <c r="A116" s="30" t="n"/>
      <c r="B116" s="30" t="n"/>
      <c r="C116" s="30" t="n"/>
      <c r="D116" s="324" t="n"/>
      <c r="E116" s="53" t="n"/>
      <c r="F116" s="54" t="n"/>
      <c r="G116" s="55" t="n"/>
      <c r="H116" s="55" t="n"/>
      <c r="I116" s="55" t="n"/>
      <c r="J116" s="56" t="n"/>
      <c r="K116" s="56" t="n"/>
      <c r="L116" s="34">
        <f>HYPERLINK(Table544[[#This Row],[Column1]])</f>
        <v/>
      </c>
    </row>
    <row r="117" ht="30" customHeight="1" s="290">
      <c r="A117" s="30" t="n"/>
      <c r="B117" s="30" t="n"/>
      <c r="C117" s="30" t="n"/>
      <c r="D117" s="324" t="n"/>
      <c r="E117" s="53" t="n"/>
      <c r="F117" s="54" t="n"/>
      <c r="G117" s="55" t="n"/>
      <c r="H117" s="55" t="n"/>
      <c r="I117" s="55" t="n"/>
      <c r="J117" s="56" t="n"/>
      <c r="K117" s="56" t="n"/>
      <c r="L117" s="34">
        <f>HYPERLINK(Table544[[#This Row],[Column1]])</f>
        <v/>
      </c>
    </row>
    <row r="118" ht="45" customHeight="1" s="290">
      <c r="A118" s="30" t="n"/>
      <c r="B118" s="30" t="n"/>
      <c r="C118" s="30" t="n"/>
      <c r="D118" s="324" t="n"/>
      <c r="E118" s="53" t="n"/>
      <c r="F118" s="54" t="n"/>
      <c r="G118" s="55" t="n"/>
      <c r="H118" s="55" t="n"/>
      <c r="I118" s="55" t="n"/>
      <c r="J118" s="56" t="n"/>
      <c r="K118" s="56" t="n"/>
      <c r="L118" s="34">
        <f>HYPERLINK(Table544[[#This Row],[Column1]])</f>
        <v/>
      </c>
    </row>
    <row r="119" ht="45" customHeight="1" s="290">
      <c r="A119" s="30" t="n"/>
      <c r="B119" s="30" t="n"/>
      <c r="C119" s="30" t="n"/>
      <c r="D119" s="324" t="n"/>
      <c r="E119" s="53" t="n"/>
      <c r="F119" s="54" t="n"/>
      <c r="G119" s="55" t="n"/>
      <c r="H119" s="55" t="n"/>
      <c r="I119" s="55" t="n"/>
      <c r="J119" s="56" t="n"/>
      <c r="K119" s="56" t="n"/>
      <c r="L119" s="34">
        <f>HYPERLINK(Table544[[#This Row],[Column1]])</f>
        <v/>
      </c>
    </row>
    <row r="120" ht="60" customHeight="1" s="290">
      <c r="A120" s="30" t="n"/>
      <c r="B120" s="30" t="n"/>
      <c r="C120" s="30" t="n"/>
      <c r="D120" s="324" t="n"/>
      <c r="E120" s="53" t="n"/>
      <c r="F120" s="54" t="n"/>
      <c r="G120" s="55" t="n"/>
      <c r="H120" s="55" t="n"/>
      <c r="I120" s="55" t="n"/>
      <c r="J120" s="56" t="n"/>
      <c r="K120" s="56" t="n"/>
      <c r="L120" s="34">
        <f>HYPERLINK(Table544[[#This Row],[Column1]])</f>
        <v/>
      </c>
    </row>
    <row r="121" ht="45" customHeight="1" s="290">
      <c r="A121" s="30" t="n"/>
      <c r="B121" s="30" t="n"/>
      <c r="C121" s="30" t="n"/>
      <c r="D121" s="324" t="n"/>
      <c r="E121" s="53" t="n"/>
      <c r="F121" s="54" t="n"/>
      <c r="G121" s="55" t="n"/>
      <c r="H121" s="55" t="n"/>
      <c r="I121" s="55" t="n"/>
      <c r="J121" s="56" t="n"/>
      <c r="K121" s="56" t="n"/>
      <c r="L121" s="34">
        <f>HYPERLINK(Table544[[#This Row],[Column1]])</f>
        <v/>
      </c>
    </row>
    <row r="122" ht="45" customHeight="1" s="290">
      <c r="A122" s="30" t="n"/>
      <c r="B122" s="30" t="n"/>
      <c r="C122" s="30" t="n"/>
      <c r="D122" s="324" t="n"/>
      <c r="E122" s="53" t="n"/>
      <c r="F122" s="54" t="n"/>
      <c r="G122" s="55" t="n"/>
      <c r="H122" s="55" t="n"/>
      <c r="I122" s="55" t="n"/>
      <c r="J122" s="56" t="n"/>
      <c r="K122" s="56" t="n"/>
      <c r="L122" s="34">
        <f>HYPERLINK(Table544[[#This Row],[Column1]])</f>
        <v/>
      </c>
    </row>
    <row r="123" ht="45" customHeight="1" s="290">
      <c r="A123" s="30" t="n"/>
      <c r="B123" s="30" t="n"/>
      <c r="C123" s="30" t="n"/>
      <c r="D123" s="324" t="n"/>
      <c r="E123" s="53" t="n"/>
      <c r="F123" s="54" t="n"/>
      <c r="G123" s="55" t="n"/>
      <c r="H123" s="55" t="n"/>
      <c r="I123" s="55" t="n"/>
      <c r="J123" s="56" t="n"/>
      <c r="K123" s="56" t="n"/>
      <c r="L123" s="34">
        <f>HYPERLINK(Table544[[#This Row],[Column1]])</f>
        <v/>
      </c>
    </row>
    <row r="124" ht="17" customHeight="1" s="290">
      <c r="A124" s="30" t="n"/>
      <c r="B124" s="30" t="n"/>
      <c r="C124" s="30" t="n"/>
      <c r="D124" s="324" t="n"/>
      <c r="E124" s="53" t="n"/>
      <c r="F124" s="54" t="n"/>
      <c r="G124" s="55" t="n"/>
      <c r="H124" s="55" t="n"/>
      <c r="I124" s="55" t="n"/>
      <c r="J124" s="56" t="n"/>
      <c r="K124" s="56" t="n"/>
      <c r="L124" s="34">
        <f>HYPERLINK(Table544[[#This Row],[Column1]])</f>
        <v/>
      </c>
    </row>
    <row r="125" ht="30" customHeight="1" s="290">
      <c r="A125" s="30" t="n"/>
      <c r="B125" s="30" t="n"/>
      <c r="C125" s="30" t="n"/>
      <c r="D125" s="324" t="n"/>
      <c r="E125" s="53" t="n"/>
      <c r="F125" s="54" t="n"/>
      <c r="G125" s="55" t="n"/>
      <c r="H125" s="55" t="n"/>
      <c r="I125" s="55" t="n"/>
      <c r="J125" s="56" t="n"/>
      <c r="K125" s="56" t="n"/>
      <c r="L125" s="34">
        <f>HYPERLINK(Table544[[#This Row],[Column1]])</f>
        <v/>
      </c>
    </row>
    <row r="126" ht="45" customHeight="1" s="290">
      <c r="A126" s="30" t="n"/>
      <c r="B126" s="30" t="n"/>
      <c r="C126" s="30" t="n"/>
      <c r="D126" s="324" t="n"/>
      <c r="E126" s="53" t="n"/>
      <c r="F126" s="54" t="n"/>
      <c r="G126" s="55" t="n"/>
      <c r="H126" s="55" t="n"/>
      <c r="I126" s="55" t="n"/>
      <c r="J126" s="56" t="n"/>
      <c r="K126" s="56" t="n"/>
      <c r="L126" s="34">
        <f>HYPERLINK(Table544[[#This Row],[Column1]])</f>
        <v/>
      </c>
    </row>
    <row r="127" ht="45" customHeight="1" s="290">
      <c r="A127" s="30" t="n"/>
      <c r="B127" s="30" t="n"/>
      <c r="C127" s="30" t="n"/>
      <c r="D127" s="324" t="n"/>
      <c r="E127" s="53" t="n"/>
      <c r="F127" s="54" t="n"/>
      <c r="G127" s="55" t="n"/>
      <c r="H127" s="55" t="n"/>
      <c r="I127" s="55" t="n"/>
      <c r="J127" s="56" t="n"/>
      <c r="K127" s="56" t="n"/>
      <c r="L127" s="34">
        <f>HYPERLINK(Table544[[#This Row],[Column1]])</f>
        <v/>
      </c>
    </row>
    <row r="128" ht="17" customHeight="1" s="290">
      <c r="A128" s="33" t="inlineStr">
        <is>
          <t>Total</t>
        </is>
      </c>
      <c r="B128" s="32" t="n"/>
      <c r="C128" s="325" t="n"/>
      <c r="D128" s="325" t="n"/>
      <c r="E128" s="59">
        <f>SUM(Table544[Estimated 12mo Revenue])</f>
        <v/>
      </c>
      <c r="F128" s="59">
        <f>SUM(Table544[Monthly Rev])</f>
        <v/>
      </c>
      <c r="I128" s="286" t="n"/>
      <c r="J128" s="287" t="n"/>
    </row>
    <row r="131">
      <c r="A131" s="283" t="inlineStr">
        <is>
          <t>Rank by Units</t>
        </is>
      </c>
    </row>
    <row r="132" ht="17" customHeight="1" s="290">
      <c r="A132" s="38" t="inlineStr">
        <is>
          <t>Product Name</t>
        </is>
      </c>
      <c r="B132" s="39" t="inlineStr">
        <is>
          <t>ASIN</t>
        </is>
      </c>
      <c r="C132" s="39" t="inlineStr">
        <is>
          <t>Type</t>
        </is>
      </c>
      <c r="D132" s="322" t="inlineStr">
        <is>
          <t>Avg Price</t>
        </is>
      </c>
      <c r="E132" s="41" t="inlineStr">
        <is>
          <t>Estimated 12mo Revenue</t>
        </is>
      </c>
      <c r="F132" s="39" t="inlineStr">
        <is>
          <t>Monthly Rev</t>
        </is>
      </c>
      <c r="G132" s="42" t="inlineStr">
        <is>
          <t>Estimated 12mo Units</t>
        </is>
      </c>
      <c r="H132" s="45" t="inlineStr">
        <is>
          <t>Monthly Units</t>
        </is>
      </c>
      <c r="I132" s="42" t="inlineStr">
        <is>
          <t># of Reviews</t>
        </is>
      </c>
      <c r="J132" s="43" t="inlineStr">
        <is>
          <t xml:space="preserve">Tool Rating </t>
        </is>
      </c>
      <c r="K132" s="43" t="inlineStr">
        <is>
          <t>Column1</t>
        </is>
      </c>
      <c r="L132" s="323" t="inlineStr">
        <is>
          <t>Link</t>
        </is>
      </c>
    </row>
    <row r="133" ht="45" customHeight="1" s="290">
      <c r="A133" s="30" t="inlineStr">
        <is>
          <t>OBDeleven 3 Diagnostic Tool Scanner for Audi Seat Cupra Skoda Volkswagen BMW Mini Toyota Ford Mercedes-Benz (Android &amp; iOS)</t>
        </is>
      </c>
      <c r="B133" s="30" t="inlineStr">
        <is>
          <t>B0FH794MQC</t>
        </is>
      </c>
      <c r="C133" s="30" t="inlineStr">
        <is>
          <t>Dongle</t>
        </is>
      </c>
      <c r="D133" s="324" t="n">
        <v>127.6966708542714</v>
      </c>
      <c r="E133" s="53" t="n">
        <v>795999.7284615384</v>
      </c>
      <c r="F133" s="53" t="n">
        <v>101646.55</v>
      </c>
      <c r="G133" s="55" t="n">
        <v>3360</v>
      </c>
      <c r="H133" s="57" t="n">
        <v>796</v>
      </c>
      <c r="I133" s="55" t="n">
        <v>180</v>
      </c>
      <c r="J133" s="56" t="n">
        <v>3.8</v>
      </c>
      <c r="K133" s="56" t="inlineStr">
        <is>
          <t>https://amazon.com/dp/B0FH794MQC</t>
        </is>
      </c>
      <c r="L133" s="34">
        <f>HYPERLINK(OBDeleven_1[[#This Row],[Column1]])</f>
        <v/>
      </c>
    </row>
    <row r="134" ht="45" customHeight="1" s="290">
      <c r="A134" s="30" t="inlineStr">
        <is>
          <t>OBDeleven 3 Pro Pack OBD2 Diagnostic Tool Scanner for Audi Seat Cupra Skoda Volkswagen BMW Mini Toyota Ford Mercedes-Benz (OBDeleven 3 PRO)</t>
        </is>
      </c>
      <c r="B134" s="30" t="inlineStr">
        <is>
          <t>B0FH574J2P</t>
        </is>
      </c>
      <c r="C134" s="30" t="inlineStr">
        <is>
          <t>Dongle</t>
        </is>
      </c>
      <c r="D134" s="324" t="n">
        <v>185.175</v>
      </c>
      <c r="E134" s="53" t="n">
        <v>790297.336923077</v>
      </c>
      <c r="F134" s="53" t="n">
        <v>88884</v>
      </c>
      <c r="G134" s="55" t="n">
        <v>2531</v>
      </c>
      <c r="H134" s="57" t="n">
        <v>480</v>
      </c>
      <c r="I134" s="55" t="n">
        <v>224</v>
      </c>
      <c r="J134" s="56" t="n">
        <v>3.8</v>
      </c>
      <c r="K134" s="56" t="inlineStr">
        <is>
          <t>https://amazon.com/dp/B0FH574J2P</t>
        </is>
      </c>
      <c r="L134" s="34">
        <f>HYPERLINK(OBDeleven_1[[#This Row],[Column1]])</f>
        <v/>
      </c>
    </row>
    <row r="135" ht="45" customHeight="1" s="290">
      <c r="A135" s="30" t="inlineStr">
        <is>
          <t>OBDeleven 3 Ultimate Professional Code Reader OBD2 Bluetooth Diagnostic Scan Tool Fault Reader (Android and iOS)</t>
        </is>
      </c>
      <c r="B135" s="30" t="inlineStr">
        <is>
          <t>B0FH7DP71C</t>
        </is>
      </c>
      <c r="C135" s="30" t="inlineStr">
        <is>
          <t>Dongle</t>
        </is>
      </c>
      <c r="D135" s="324" t="n">
        <v>334.73671875</v>
      </c>
      <c r="E135" s="53" t="n">
        <v>219692.6415384615</v>
      </c>
      <c r="F135" s="53" t="n">
        <v>21423.15</v>
      </c>
      <c r="G135" s="55" t="n">
        <v>422</v>
      </c>
      <c r="H135" s="57" t="n">
        <v>64</v>
      </c>
      <c r="I135" s="55" t="n">
        <v>42</v>
      </c>
      <c r="J135" s="56" t="n">
        <v>3.6</v>
      </c>
      <c r="K135" s="56" t="inlineStr">
        <is>
          <t>https://amazon.com/dp/B0FH7DP71C</t>
        </is>
      </c>
      <c r="L135" s="34">
        <f>HYPERLINK(OBDeleven_1[[#This Row],[Column1]])</f>
        <v/>
      </c>
    </row>
    <row r="136" ht="45" customHeight="1" s="290">
      <c r="A136" s="30" t="inlineStr">
        <is>
          <t>OBDeleven OBD2 Diagnostic Tool Scanner for Audi Seat Cupra Skoda Volkswagen BMW Mini Toyota (Android &amp; iOS, Next Gen Device) (Ultimate Pack)</t>
        </is>
      </c>
      <c r="B136" s="30" t="inlineStr">
        <is>
          <t>B07L75WTTT</t>
        </is>
      </c>
      <c r="C136" s="30" t="inlineStr">
        <is>
          <t>Dongle</t>
        </is>
      </c>
      <c r="D136" s="324" t="n">
        <v>262.3908333333333</v>
      </c>
      <c r="E136" s="53" t="n">
        <v>184752.11</v>
      </c>
      <c r="F136" s="53" t="n">
        <v>3148.69</v>
      </c>
      <c r="G136" s="55" t="n">
        <v>699</v>
      </c>
      <c r="H136" s="57" t="n">
        <v>12</v>
      </c>
      <c r="I136" s="55" t="n">
        <v>8502</v>
      </c>
      <c r="J136" s="56" t="n">
        <v>4</v>
      </c>
      <c r="K136" s="56" t="inlineStr">
        <is>
          <t>https://amazon.com/dp/B07L75WTTT</t>
        </is>
      </c>
      <c r="L136" s="34">
        <f>HYPERLINK(OBDeleven_1[[#This Row],[Column1]])</f>
        <v/>
      </c>
    </row>
    <row r="137" ht="45" customHeight="1" s="290">
      <c r="A137" s="30" t="inlineStr">
        <is>
          <t>OBDeleven OBD2 Diagnostic Tool Scanner for Audi Seat Cupra Skoda Volkswagen BMW Mini Toyota (Android &amp; iOS, Next Gen Device) (Pro Pack)</t>
        </is>
      </c>
      <c r="B137" s="30" t="inlineStr">
        <is>
          <t>B00OTG9KGG</t>
        </is>
      </c>
      <c r="C137" s="30" t="inlineStr">
        <is>
          <t>Dongle</t>
        </is>
      </c>
      <c r="D137" s="324" t="n">
        <v>155.1797826086957</v>
      </c>
      <c r="E137" s="53" t="n">
        <v>577552.8700000001</v>
      </c>
      <c r="F137" s="53" t="n">
        <v>0</v>
      </c>
      <c r="G137" s="55" t="n">
        <v>3785</v>
      </c>
      <c r="H137" s="57" t="n">
        <v>0</v>
      </c>
      <c r="I137" s="55" t="n">
        <v>8448</v>
      </c>
      <c r="J137" s="56" t="n">
        <v>3.9</v>
      </c>
      <c r="K137" s="56" t="inlineStr">
        <is>
          <t>https://amazon.com/dp/B00OTG9KGG</t>
        </is>
      </c>
      <c r="L137" s="34">
        <f>HYPERLINK(OBDeleven_1[[#This Row],[Column1]])</f>
        <v/>
      </c>
    </row>
    <row r="138" ht="45" customHeight="1" s="290">
      <c r="A138" s="30" t="n"/>
      <c r="B138" s="30" t="n"/>
      <c r="C138" s="30" t="n"/>
      <c r="D138" s="324" t="n"/>
      <c r="E138" s="53" t="n"/>
      <c r="F138" s="53" t="n"/>
      <c r="G138" s="55" t="n"/>
      <c r="H138" s="57" t="n"/>
      <c r="I138" s="55" t="n"/>
      <c r="J138" s="56" t="n"/>
      <c r="K138" s="56" t="n"/>
      <c r="L138" s="34">
        <f>HYPERLINK(Table65[[#This Row],[Column1]])</f>
        <v/>
      </c>
    </row>
    <row r="139" ht="45" customHeight="1" s="290">
      <c r="A139" s="30" t="n"/>
      <c r="B139" s="30" t="n"/>
      <c r="C139" s="30" t="n"/>
      <c r="D139" s="324" t="n"/>
      <c r="E139" s="53" t="n"/>
      <c r="F139" s="53" t="n"/>
      <c r="G139" s="55" t="n"/>
      <c r="H139" s="57" t="n"/>
      <c r="I139" s="55" t="n"/>
      <c r="J139" s="56" t="n"/>
      <c r="K139" s="56" t="n"/>
      <c r="L139" s="34">
        <f>HYPERLINK(Table65[[#This Row],[Column1]])</f>
        <v/>
      </c>
    </row>
    <row r="140" ht="45" customHeight="1" s="290">
      <c r="A140" s="30" t="n"/>
      <c r="B140" s="30" t="n"/>
      <c r="C140" s="30" t="n"/>
      <c r="D140" s="324" t="n"/>
      <c r="E140" s="53" t="n"/>
      <c r="F140" s="53" t="n"/>
      <c r="G140" s="55" t="n"/>
      <c r="H140" s="57" t="n"/>
      <c r="I140" s="55" t="n"/>
      <c r="J140" s="56" t="n"/>
      <c r="K140" s="56" t="n"/>
      <c r="L140" s="34">
        <f>HYPERLINK(Table65[[#This Row],[Column1]])</f>
        <v/>
      </c>
    </row>
    <row r="141" ht="30" customHeight="1" s="290">
      <c r="A141" s="30" t="n"/>
      <c r="B141" s="30" t="n"/>
      <c r="C141" s="30" t="n"/>
      <c r="D141" s="324" t="n"/>
      <c r="E141" s="53" t="n"/>
      <c r="F141" s="53" t="n"/>
      <c r="G141" s="55" t="n"/>
      <c r="H141" s="57" t="n"/>
      <c r="I141" s="55" t="n"/>
      <c r="J141" s="56" t="n"/>
      <c r="K141" s="56" t="n"/>
      <c r="L141" s="34">
        <f>HYPERLINK(Table65[[#This Row],[Column1]])</f>
        <v/>
      </c>
    </row>
    <row r="142" ht="45" customHeight="1" s="290">
      <c r="A142" s="30" t="n"/>
      <c r="B142" s="30" t="n"/>
      <c r="C142" s="30" t="n"/>
      <c r="D142" s="324" t="n"/>
      <c r="E142" s="53" t="n"/>
      <c r="F142" s="53" t="n"/>
      <c r="G142" s="55" t="n"/>
      <c r="H142" s="57" t="n"/>
      <c r="I142" s="55" t="n"/>
      <c r="J142" s="56" t="n"/>
      <c r="K142" s="56" t="n"/>
      <c r="L142" s="34">
        <f>HYPERLINK(Table65[[#This Row],[Column1]])</f>
        <v/>
      </c>
    </row>
    <row r="143" ht="45" customHeight="1" s="290">
      <c r="A143" s="30" t="n"/>
      <c r="B143" s="30" t="n"/>
      <c r="C143" s="30" t="n"/>
      <c r="D143" s="324" t="n"/>
      <c r="E143" s="53" t="n"/>
      <c r="F143" s="53" t="n"/>
      <c r="G143" s="55" t="n"/>
      <c r="H143" s="57" t="n"/>
      <c r="I143" s="55" t="n"/>
      <c r="J143" s="56" t="n"/>
      <c r="K143" s="56" t="n"/>
      <c r="L143" s="34">
        <f>HYPERLINK(Table65[[#This Row],[Column1]])</f>
        <v/>
      </c>
    </row>
    <row r="144" ht="45" customHeight="1" s="290">
      <c r="A144" s="30" t="n"/>
      <c r="B144" s="30" t="n"/>
      <c r="C144" s="30" t="n"/>
      <c r="D144" s="324" t="n"/>
      <c r="E144" s="53" t="n"/>
      <c r="F144" s="53" t="n"/>
      <c r="G144" s="55" t="n"/>
      <c r="H144" s="57" t="n"/>
      <c r="I144" s="55" t="n"/>
      <c r="J144" s="56" t="n"/>
      <c r="K144" s="56" t="n"/>
      <c r="L144" s="34">
        <f>HYPERLINK(Table65[[#This Row],[Column1]])</f>
        <v/>
      </c>
    </row>
    <row r="145" ht="45" customHeight="1" s="290">
      <c r="A145" s="30" t="n"/>
      <c r="B145" s="30" t="n"/>
      <c r="C145" s="30" t="n"/>
      <c r="D145" s="324" t="n"/>
      <c r="E145" s="53" t="n"/>
      <c r="F145" s="53" t="n"/>
      <c r="G145" s="55" t="n"/>
      <c r="H145" s="57" t="n"/>
      <c r="I145" s="55" t="n"/>
      <c r="J145" s="56" t="n"/>
      <c r="K145" s="56" t="n"/>
      <c r="L145" s="34">
        <f>HYPERLINK(Table65[[#This Row],[Column1]])</f>
        <v/>
      </c>
    </row>
    <row r="146" ht="60" customHeight="1" s="290">
      <c r="A146" s="30" t="n"/>
      <c r="B146" s="30" t="n"/>
      <c r="C146" s="30" t="n"/>
      <c r="D146" s="324" t="n"/>
      <c r="E146" s="53" t="n"/>
      <c r="F146" s="53" t="n"/>
      <c r="G146" s="55" t="n"/>
      <c r="H146" s="57" t="n"/>
      <c r="I146" s="55" t="n"/>
      <c r="J146" s="56" t="n"/>
      <c r="K146" s="56" t="n"/>
      <c r="L146" s="34">
        <f>HYPERLINK(Table65[[#This Row],[Column1]])</f>
        <v/>
      </c>
    </row>
    <row r="147" ht="45" customHeight="1" s="290">
      <c r="A147" s="30" t="n"/>
      <c r="B147" s="30" t="n"/>
      <c r="C147" s="30" t="n"/>
      <c r="D147" s="324" t="n"/>
      <c r="E147" s="53" t="n"/>
      <c r="F147" s="53" t="n"/>
      <c r="G147" s="55" t="n"/>
      <c r="H147" s="57" t="n"/>
      <c r="I147" s="55" t="n"/>
      <c r="J147" s="56" t="n"/>
      <c r="K147" s="56" t="n"/>
      <c r="L147" s="34">
        <f>HYPERLINK(Table65[[#This Row],[Column1]])</f>
        <v/>
      </c>
    </row>
    <row r="148" ht="45" customHeight="1" s="290">
      <c r="A148" s="30" t="n"/>
      <c r="B148" s="30" t="n"/>
      <c r="C148" s="30" t="n"/>
      <c r="D148" s="324" t="n"/>
      <c r="E148" s="53" t="n"/>
      <c r="F148" s="53" t="n"/>
      <c r="G148" s="55" t="n"/>
      <c r="H148" s="57" t="n"/>
      <c r="I148" s="55" t="n"/>
      <c r="J148" s="56" t="n"/>
      <c r="K148" s="56" t="n"/>
      <c r="L148" s="34">
        <f>HYPERLINK(Table65[[#This Row],[Column1]])</f>
        <v/>
      </c>
    </row>
    <row r="149" ht="45" customHeight="1" s="290">
      <c r="A149" s="30" t="n"/>
      <c r="B149" s="30" t="n"/>
      <c r="C149" s="30" t="n"/>
      <c r="D149" s="324" t="n"/>
      <c r="E149" s="53" t="n"/>
      <c r="F149" s="53" t="n"/>
      <c r="G149" s="55" t="n"/>
      <c r="H149" s="57" t="n"/>
      <c r="I149" s="55" t="n"/>
      <c r="J149" s="56" t="n"/>
      <c r="K149" s="56" t="n"/>
      <c r="L149" s="34">
        <f>HYPERLINK(Table65[[#This Row],[Column1]])</f>
        <v/>
      </c>
    </row>
    <row r="150" ht="45" customHeight="1" s="290">
      <c r="A150" s="30" t="n"/>
      <c r="B150" s="30" t="n"/>
      <c r="C150" s="30" t="n"/>
      <c r="D150" s="324" t="n"/>
      <c r="E150" s="53" t="n"/>
      <c r="F150" s="53" t="n"/>
      <c r="G150" s="55" t="n"/>
      <c r="H150" s="57" t="n"/>
      <c r="I150" s="55" t="n"/>
      <c r="J150" s="56" t="n"/>
      <c r="K150" s="56" t="n"/>
      <c r="L150" s="34">
        <f>HYPERLINK(Table65[[#This Row],[Column1]])</f>
        <v/>
      </c>
    </row>
    <row r="151" ht="45" customHeight="1" s="290">
      <c r="A151" s="30" t="n"/>
      <c r="B151" s="30" t="n"/>
      <c r="C151" s="30" t="n"/>
      <c r="D151" s="324" t="n"/>
      <c r="E151" s="53" t="n"/>
      <c r="F151" s="53" t="n"/>
      <c r="G151" s="55" t="n"/>
      <c r="H151" s="57" t="n"/>
      <c r="I151" s="55" t="n"/>
      <c r="J151" s="56" t="n"/>
      <c r="K151" s="56" t="n"/>
      <c r="L151" s="34">
        <f>HYPERLINK(Table65[[#This Row],[Column1]])</f>
        <v/>
      </c>
    </row>
    <row r="152" ht="45" customHeight="1" s="290">
      <c r="A152" s="30" t="n"/>
      <c r="B152" s="30" t="n"/>
      <c r="C152" s="30" t="n"/>
      <c r="D152" s="324" t="n"/>
      <c r="E152" s="53" t="n"/>
      <c r="F152" s="53" t="n"/>
      <c r="G152" s="55" t="n"/>
      <c r="H152" s="57" t="n"/>
      <c r="I152" s="55" t="n"/>
      <c r="J152" s="56" t="n"/>
      <c r="K152" s="56" t="n"/>
      <c r="L152" s="34">
        <f>HYPERLINK(Table65[[#This Row],[Column1]])</f>
        <v/>
      </c>
    </row>
    <row r="153" ht="60" customHeight="1" s="290">
      <c r="A153" s="30" t="n"/>
      <c r="B153" s="30" t="n"/>
      <c r="C153" s="30" t="n"/>
      <c r="D153" s="324" t="n"/>
      <c r="E153" s="53" t="n"/>
      <c r="F153" s="53" t="n"/>
      <c r="G153" s="55" t="n"/>
      <c r="H153" s="57" t="n"/>
      <c r="I153" s="55" t="n"/>
      <c r="J153" s="56" t="n"/>
      <c r="K153" s="56" t="n"/>
      <c r="L153" s="34">
        <f>HYPERLINK(Table65[[#This Row],[Column1]])</f>
        <v/>
      </c>
    </row>
    <row r="154" ht="45" customHeight="1" s="290">
      <c r="A154" s="30" t="n"/>
      <c r="B154" s="30" t="n"/>
      <c r="C154" s="30" t="n"/>
      <c r="D154" s="324" t="n"/>
      <c r="E154" s="53" t="n"/>
      <c r="F154" s="53" t="n"/>
      <c r="G154" s="55" t="n"/>
      <c r="H154" s="57" t="n"/>
      <c r="I154" s="55" t="n"/>
      <c r="J154" s="56" t="n"/>
      <c r="K154" s="56" t="n"/>
      <c r="L154" s="34">
        <f>HYPERLINK(Table65[[#This Row],[Column1]])</f>
        <v/>
      </c>
    </row>
    <row r="155" ht="45" customHeight="1" s="290">
      <c r="A155" s="30" t="n"/>
      <c r="B155" s="30" t="n"/>
      <c r="C155" s="30" t="n"/>
      <c r="D155" s="324" t="n"/>
      <c r="E155" s="53" t="n"/>
      <c r="F155" s="53" t="n"/>
      <c r="G155" s="55" t="n"/>
      <c r="H155" s="57" t="n"/>
      <c r="I155" s="55" t="n"/>
      <c r="J155" s="56" t="n"/>
      <c r="K155" s="56" t="n"/>
      <c r="L155" s="34">
        <f>HYPERLINK(Table65[[#This Row],[Column1]])</f>
        <v/>
      </c>
    </row>
    <row r="156" ht="45" customHeight="1" s="290">
      <c r="A156" s="30" t="n"/>
      <c r="B156" s="30" t="n"/>
      <c r="C156" s="30" t="n"/>
      <c r="D156" s="324" t="n"/>
      <c r="E156" s="53" t="n"/>
      <c r="F156" s="53" t="n"/>
      <c r="G156" s="55" t="n"/>
      <c r="H156" s="57" t="n"/>
      <c r="I156" s="55" t="n"/>
      <c r="J156" s="56" t="n"/>
      <c r="K156" s="56" t="n"/>
      <c r="L156" s="34">
        <f>HYPERLINK(Table65[[#This Row],[Column1]])</f>
        <v/>
      </c>
    </row>
    <row r="157" ht="45" customHeight="1" s="290">
      <c r="A157" s="30" t="n"/>
      <c r="B157" s="30" t="n"/>
      <c r="C157" s="30" t="n"/>
      <c r="D157" s="324" t="n"/>
      <c r="E157" s="53" t="n"/>
      <c r="F157" s="53" t="n"/>
      <c r="G157" s="55" t="n"/>
      <c r="H157" s="57" t="n"/>
      <c r="I157" s="55" t="n"/>
      <c r="J157" s="56" t="n"/>
      <c r="K157" s="56" t="n"/>
      <c r="L157" s="34">
        <f>HYPERLINK(Table65[[#This Row],[Column1]])</f>
        <v/>
      </c>
    </row>
    <row r="158" ht="45" customHeight="1" s="290">
      <c r="A158" s="30" t="n"/>
      <c r="B158" s="30" t="n"/>
      <c r="C158" s="30" t="n"/>
      <c r="D158" s="324" t="n"/>
      <c r="E158" s="53" t="n"/>
      <c r="F158" s="53" t="n"/>
      <c r="G158" s="55" t="n"/>
      <c r="H158" s="57" t="n"/>
      <c r="I158" s="55" t="n"/>
      <c r="J158" s="56" t="n"/>
      <c r="K158" s="56" t="n"/>
      <c r="L158" s="34">
        <f>HYPERLINK(Table65[[#This Row],[Column1]])</f>
        <v/>
      </c>
    </row>
    <row r="159" ht="45" customHeight="1" s="290">
      <c r="A159" s="30" t="n"/>
      <c r="B159" s="30" t="n"/>
      <c r="C159" s="30" t="n"/>
      <c r="D159" s="324" t="n"/>
      <c r="E159" s="53" t="n"/>
      <c r="F159" s="53" t="n"/>
      <c r="G159" s="55" t="n"/>
      <c r="H159" s="57" t="n"/>
      <c r="I159" s="55" t="n"/>
      <c r="J159" s="56" t="n"/>
      <c r="K159" s="56" t="n"/>
      <c r="L159" s="34">
        <f>HYPERLINK(Table65[[#This Row],[Column1]])</f>
        <v/>
      </c>
    </row>
    <row r="160" ht="45" customHeight="1" s="290">
      <c r="A160" s="30" t="n"/>
      <c r="B160" s="30" t="n"/>
      <c r="C160" s="30" t="n"/>
      <c r="D160" s="324" t="n"/>
      <c r="E160" s="53" t="n"/>
      <c r="F160" s="53" t="n"/>
      <c r="G160" s="55" t="n"/>
      <c r="H160" s="57" t="n"/>
      <c r="I160" s="55" t="n"/>
      <c r="J160" s="56" t="n"/>
      <c r="K160" s="56" t="n"/>
      <c r="L160" s="34">
        <f>HYPERLINK(Table65[[#This Row],[Column1]])</f>
        <v/>
      </c>
    </row>
    <row r="161" ht="60" customHeight="1" s="290">
      <c r="A161" s="30" t="n"/>
      <c r="B161" s="30" t="n"/>
      <c r="C161" s="30" t="n"/>
      <c r="D161" s="324" t="n"/>
      <c r="E161" s="53" t="n"/>
      <c r="F161" s="53" t="n"/>
      <c r="G161" s="55" t="n"/>
      <c r="H161" s="57" t="n"/>
      <c r="I161" s="55" t="n"/>
      <c r="J161" s="56" t="n"/>
      <c r="K161" s="56" t="n"/>
      <c r="L161" s="34">
        <f>HYPERLINK(Table65[[#This Row],[Column1]])</f>
        <v/>
      </c>
    </row>
    <row r="162" ht="45" customHeight="1" s="290">
      <c r="A162" s="30" t="n"/>
      <c r="B162" s="30" t="n"/>
      <c r="C162" s="30" t="n"/>
      <c r="D162" s="324" t="n"/>
      <c r="E162" s="53" t="n"/>
      <c r="F162" s="53" t="n"/>
      <c r="G162" s="55" t="n"/>
      <c r="H162" s="57" t="n"/>
      <c r="I162" s="55" t="n"/>
      <c r="J162" s="56" t="n"/>
      <c r="K162" s="56" t="n"/>
      <c r="L162" s="34">
        <f>HYPERLINK(Table65[[#This Row],[Column1]])</f>
        <v/>
      </c>
    </row>
    <row r="163" ht="45" customHeight="1" s="290">
      <c r="A163" s="30" t="n"/>
      <c r="B163" s="30" t="n"/>
      <c r="C163" s="30" t="n"/>
      <c r="D163" s="324" t="n"/>
      <c r="E163" s="53" t="n"/>
      <c r="F163" s="53" t="n"/>
      <c r="G163" s="55" t="n"/>
      <c r="H163" s="57" t="n"/>
      <c r="I163" s="55" t="n"/>
      <c r="J163" s="56" t="n"/>
      <c r="K163" s="56" t="n"/>
      <c r="L163" s="34">
        <f>HYPERLINK(Table65[[#This Row],[Column1]])</f>
        <v/>
      </c>
    </row>
    <row r="164" ht="45" customHeight="1" s="290">
      <c r="A164" s="30" t="n"/>
      <c r="B164" s="30" t="n"/>
      <c r="C164" s="30" t="n"/>
      <c r="D164" s="324" t="n"/>
      <c r="E164" s="53" t="n"/>
      <c r="F164" s="53" t="n"/>
      <c r="G164" s="55" t="n"/>
      <c r="H164" s="57" t="n"/>
      <c r="I164" s="55" t="n"/>
      <c r="J164" s="56" t="n"/>
      <c r="K164" s="56" t="n"/>
      <c r="L164" s="34">
        <f>HYPERLINK(Table65[[#This Row],[Column1]])</f>
        <v/>
      </c>
    </row>
    <row r="165" ht="45" customHeight="1" s="290">
      <c r="A165" s="30" t="n"/>
      <c r="B165" s="30" t="n"/>
      <c r="C165" s="30" t="n"/>
      <c r="D165" s="324" t="n"/>
      <c r="E165" s="53" t="n"/>
      <c r="F165" s="53" t="n"/>
      <c r="G165" s="55" t="n"/>
      <c r="H165" s="57" t="n"/>
      <c r="I165" s="55" t="n"/>
      <c r="J165" s="56" t="n"/>
      <c r="K165" s="56" t="n"/>
      <c r="L165" s="34">
        <f>HYPERLINK(Table65[[#This Row],[Column1]])</f>
        <v/>
      </c>
    </row>
    <row r="166" ht="45" customHeight="1" s="290">
      <c r="A166" s="30" t="n"/>
      <c r="B166" s="30" t="n"/>
      <c r="C166" s="30" t="n"/>
      <c r="D166" s="324" t="n"/>
      <c r="E166" s="53" t="n"/>
      <c r="F166" s="53" t="n"/>
      <c r="G166" s="55" t="n"/>
      <c r="H166" s="57" t="n"/>
      <c r="I166" s="55" t="n"/>
      <c r="J166" s="56" t="n"/>
      <c r="K166" s="56" t="n"/>
      <c r="L166" s="34">
        <f>HYPERLINK(Table65[[#This Row],[Column1]])</f>
        <v/>
      </c>
    </row>
    <row r="167" ht="45" customHeight="1" s="290">
      <c r="A167" s="30" t="n"/>
      <c r="B167" s="30" t="n"/>
      <c r="C167" s="30" t="n"/>
      <c r="D167" s="324" t="n"/>
      <c r="E167" s="53" t="n"/>
      <c r="F167" s="53" t="n"/>
      <c r="G167" s="55" t="n"/>
      <c r="H167" s="57" t="n"/>
      <c r="I167" s="55" t="n"/>
      <c r="J167" s="56" t="n"/>
      <c r="K167" s="56" t="n"/>
      <c r="L167" s="34">
        <f>HYPERLINK(Table65[[#This Row],[Column1]])</f>
        <v/>
      </c>
    </row>
    <row r="168" ht="45" customHeight="1" s="290">
      <c r="A168" s="30" t="n"/>
      <c r="B168" s="30" t="n"/>
      <c r="C168" s="30" t="n"/>
      <c r="D168" s="324" t="n"/>
      <c r="E168" s="53" t="n"/>
      <c r="F168" s="53" t="n"/>
      <c r="G168" s="55" t="n"/>
      <c r="H168" s="57" t="n"/>
      <c r="I168" s="55" t="n"/>
      <c r="J168" s="56" t="n"/>
      <c r="K168" s="56" t="n"/>
      <c r="L168" s="34">
        <f>HYPERLINK(Table65[[#This Row],[Column1]])</f>
        <v/>
      </c>
    </row>
    <row r="169" ht="45" customHeight="1" s="290">
      <c r="A169" s="30" t="n"/>
      <c r="B169" s="30" t="n"/>
      <c r="C169" s="30" t="n"/>
      <c r="D169" s="324" t="n"/>
      <c r="E169" s="53" t="n"/>
      <c r="F169" s="53" t="n"/>
      <c r="G169" s="55" t="n"/>
      <c r="H169" s="57" t="n"/>
      <c r="I169" s="55" t="n"/>
      <c r="J169" s="56" t="n"/>
      <c r="K169" s="56" t="n"/>
      <c r="L169" s="34">
        <f>HYPERLINK(Table65[[#This Row],[Column1]])</f>
        <v/>
      </c>
    </row>
    <row r="170" ht="30" customHeight="1" s="290">
      <c r="A170" s="30" t="n"/>
      <c r="B170" s="30" t="n"/>
      <c r="C170" s="30" t="n"/>
      <c r="D170" s="324" t="n"/>
      <c r="E170" s="53" t="n"/>
      <c r="F170" s="53" t="n"/>
      <c r="G170" s="55" t="n"/>
      <c r="H170" s="57" t="n"/>
      <c r="I170" s="55" t="n"/>
      <c r="J170" s="56" t="n"/>
      <c r="K170" s="56" t="n"/>
      <c r="L170" s="34">
        <f>HYPERLINK(Table65[[#This Row],[Column1]])</f>
        <v/>
      </c>
    </row>
    <row r="171" ht="45" customHeight="1" s="290">
      <c r="A171" s="30" t="n"/>
      <c r="B171" s="30" t="n"/>
      <c r="C171" s="30" t="n"/>
      <c r="D171" s="324" t="n"/>
      <c r="E171" s="53" t="n"/>
      <c r="F171" s="53" t="n"/>
      <c r="G171" s="55" t="n"/>
      <c r="H171" s="57" t="n"/>
      <c r="I171" s="55" t="n"/>
      <c r="J171" s="56" t="n"/>
      <c r="K171" s="56" t="n"/>
      <c r="L171" s="34">
        <f>HYPERLINK(Table65[[#This Row],[Column1]])</f>
        <v/>
      </c>
    </row>
    <row r="172" ht="45" customHeight="1" s="290">
      <c r="A172" s="30" t="n"/>
      <c r="B172" s="30" t="n"/>
      <c r="C172" s="30" t="n"/>
      <c r="D172" s="324" t="n"/>
      <c r="E172" s="53" t="n"/>
      <c r="F172" s="53" t="n"/>
      <c r="G172" s="55" t="n"/>
      <c r="H172" s="57" t="n"/>
      <c r="I172" s="55" t="n"/>
      <c r="J172" s="56" t="n"/>
      <c r="K172" s="56" t="n"/>
      <c r="L172" s="34">
        <f>HYPERLINK(Table65[[#This Row],[Column1]])</f>
        <v/>
      </c>
    </row>
    <row r="173" ht="45" customHeight="1" s="290">
      <c r="A173" s="30" t="n"/>
      <c r="B173" s="30" t="n"/>
      <c r="C173" s="30" t="n"/>
      <c r="D173" s="324" t="n"/>
      <c r="E173" s="53" t="n"/>
      <c r="F173" s="53" t="n"/>
      <c r="G173" s="55" t="n"/>
      <c r="H173" s="57" t="n"/>
      <c r="I173" s="55" t="n"/>
      <c r="J173" s="56" t="n"/>
      <c r="K173" s="56" t="n"/>
      <c r="L173" s="34">
        <f>HYPERLINK(Table65[[#This Row],[Column1]])</f>
        <v/>
      </c>
    </row>
    <row r="174" ht="45" customHeight="1" s="290">
      <c r="A174" s="30" t="n"/>
      <c r="B174" s="30" t="n"/>
      <c r="C174" s="30" t="n"/>
      <c r="D174" s="324" t="n"/>
      <c r="E174" s="53" t="n"/>
      <c r="F174" s="53" t="n"/>
      <c r="G174" s="55" t="n"/>
      <c r="H174" s="57" t="n"/>
      <c r="I174" s="55" t="n"/>
      <c r="J174" s="56" t="n"/>
      <c r="K174" s="56" t="n"/>
      <c r="L174" s="34">
        <f>HYPERLINK(Table65[[#This Row],[Column1]])</f>
        <v/>
      </c>
    </row>
    <row r="175" ht="45" customHeight="1" s="290">
      <c r="A175" s="30" t="n"/>
      <c r="B175" s="30" t="n"/>
      <c r="C175" s="30" t="n"/>
      <c r="D175" s="324" t="n"/>
      <c r="E175" s="53" t="n"/>
      <c r="F175" s="53" t="n"/>
      <c r="G175" s="55" t="n"/>
      <c r="H175" s="57" t="n"/>
      <c r="I175" s="55" t="n"/>
      <c r="J175" s="56" t="n"/>
      <c r="K175" s="56" t="n"/>
      <c r="L175" s="34">
        <f>HYPERLINK(Table65[[#This Row],[Column1]])</f>
        <v/>
      </c>
    </row>
    <row r="176" ht="60" customHeight="1" s="290">
      <c r="A176" s="30" t="n"/>
      <c r="B176" s="30" t="n"/>
      <c r="C176" s="30" t="n"/>
      <c r="D176" s="324" t="n"/>
      <c r="E176" s="53" t="n"/>
      <c r="F176" s="53" t="n"/>
      <c r="G176" s="55" t="n"/>
      <c r="H176" s="57" t="n"/>
      <c r="I176" s="55" t="n"/>
      <c r="J176" s="56" t="n"/>
      <c r="K176" s="56" t="n"/>
      <c r="L176" s="34">
        <f>HYPERLINK(Table65[[#This Row],[Column1]])</f>
        <v/>
      </c>
    </row>
    <row r="177" ht="45" customHeight="1" s="290">
      <c r="A177" s="30" t="n"/>
      <c r="B177" s="30" t="n"/>
      <c r="C177" s="30" t="n"/>
      <c r="D177" s="324" t="n"/>
      <c r="E177" s="53" t="n"/>
      <c r="F177" s="53" t="n"/>
      <c r="G177" s="55" t="n"/>
      <c r="H177" s="57" t="n"/>
      <c r="I177" s="55" t="n"/>
      <c r="J177" s="56" t="n"/>
      <c r="K177" s="56" t="n"/>
      <c r="L177" s="34">
        <f>HYPERLINK(Table65[[#This Row],[Column1]])</f>
        <v/>
      </c>
    </row>
    <row r="178" ht="45" customHeight="1" s="290">
      <c r="A178" s="30" t="n"/>
      <c r="B178" s="30" t="n"/>
      <c r="C178" s="30" t="n"/>
      <c r="D178" s="324" t="n"/>
      <c r="E178" s="53" t="n"/>
      <c r="F178" s="53" t="n"/>
      <c r="G178" s="55" t="n"/>
      <c r="H178" s="57" t="n"/>
      <c r="I178" s="55" t="n"/>
      <c r="J178" s="56" t="n"/>
      <c r="K178" s="56" t="n"/>
      <c r="L178" s="34">
        <f>HYPERLINK(Table65[[#This Row],[Column1]])</f>
        <v/>
      </c>
    </row>
    <row r="179" ht="30" customHeight="1" s="290">
      <c r="A179" s="30" t="n"/>
      <c r="B179" s="30" t="n"/>
      <c r="C179" s="30" t="n"/>
      <c r="D179" s="324" t="n"/>
      <c r="E179" s="53" t="n"/>
      <c r="F179" s="53" t="n"/>
      <c r="G179" s="55" t="n"/>
      <c r="H179" s="57" t="n"/>
      <c r="I179" s="55" t="n"/>
      <c r="J179" s="56" t="n"/>
      <c r="K179" s="56" t="n"/>
      <c r="L179" s="34">
        <f>HYPERLINK(Table65[[#This Row],[Column1]])</f>
        <v/>
      </c>
    </row>
    <row r="180" ht="45" customHeight="1" s="290">
      <c r="A180" s="30" t="n"/>
      <c r="B180" s="30" t="n"/>
      <c r="C180" s="30" t="n"/>
      <c r="D180" s="324" t="n"/>
      <c r="E180" s="53" t="n"/>
      <c r="F180" s="53" t="n"/>
      <c r="G180" s="55" t="n"/>
      <c r="H180" s="57" t="n"/>
      <c r="I180" s="55" t="n"/>
      <c r="J180" s="56" t="n"/>
      <c r="K180" s="56" t="n"/>
      <c r="L180" s="34">
        <f>HYPERLINK(Table65[[#This Row],[Column1]])</f>
        <v/>
      </c>
    </row>
    <row r="181" ht="45" customHeight="1" s="290">
      <c r="A181" s="30" t="n"/>
      <c r="B181" s="30" t="n"/>
      <c r="C181" s="30" t="n"/>
      <c r="D181" s="324" t="n"/>
      <c r="E181" s="53" t="n"/>
      <c r="F181" s="53" t="n"/>
      <c r="G181" s="55" t="n"/>
      <c r="H181" s="57" t="n"/>
      <c r="I181" s="55" t="n"/>
      <c r="J181" s="56" t="n"/>
      <c r="K181" s="56" t="n"/>
      <c r="L181" s="34">
        <f>HYPERLINK(Table65[[#This Row],[Column1]])</f>
        <v/>
      </c>
    </row>
    <row r="182" ht="45" customHeight="1" s="290">
      <c r="A182" s="30" t="n"/>
      <c r="B182" s="30" t="n"/>
      <c r="C182" s="30" t="n"/>
      <c r="D182" s="324" t="n"/>
      <c r="E182" s="53" t="n"/>
      <c r="F182" s="53" t="n"/>
      <c r="G182" s="55" t="n"/>
      <c r="H182" s="57" t="n"/>
      <c r="I182" s="55" t="n"/>
      <c r="J182" s="56" t="n"/>
      <c r="K182" s="56" t="n"/>
      <c r="L182" s="34">
        <f>HYPERLINK(Table65[[#This Row],[Column1]])</f>
        <v/>
      </c>
    </row>
    <row r="183" ht="45" customHeight="1" s="290">
      <c r="A183" s="30" t="n"/>
      <c r="B183" s="30" t="n"/>
      <c r="C183" s="30" t="n"/>
      <c r="D183" s="324" t="n"/>
      <c r="E183" s="53" t="n"/>
      <c r="F183" s="53" t="n"/>
      <c r="G183" s="55" t="n"/>
      <c r="H183" s="57" t="n"/>
      <c r="I183" s="55" t="n"/>
      <c r="J183" s="56" t="n"/>
      <c r="K183" s="56" t="n"/>
      <c r="L183" s="34">
        <f>HYPERLINK(Table65[[#This Row],[Column1]])</f>
        <v/>
      </c>
    </row>
    <row r="184" ht="45" customHeight="1" s="290">
      <c r="A184" s="30" t="n"/>
      <c r="B184" s="30" t="n"/>
      <c r="C184" s="30" t="n"/>
      <c r="D184" s="324" t="n"/>
      <c r="E184" s="53" t="n"/>
      <c r="F184" s="53" t="n"/>
      <c r="G184" s="55" t="n"/>
      <c r="H184" s="57" t="n"/>
      <c r="I184" s="55" t="n"/>
      <c r="J184" s="56" t="n"/>
      <c r="K184" s="56" t="n"/>
      <c r="L184" s="34">
        <f>HYPERLINK(Table65[[#This Row],[Column1]])</f>
        <v/>
      </c>
    </row>
    <row r="185" ht="45" customHeight="1" s="290">
      <c r="A185" s="30" t="n"/>
      <c r="B185" s="30" t="n"/>
      <c r="C185" s="30" t="n"/>
      <c r="D185" s="324" t="n"/>
      <c r="E185" s="53" t="n"/>
      <c r="F185" s="53" t="n"/>
      <c r="G185" s="55" t="n"/>
      <c r="H185" s="57" t="n"/>
      <c r="I185" s="55" t="n"/>
      <c r="J185" s="56" t="n"/>
      <c r="K185" s="56" t="n"/>
      <c r="L185" s="34">
        <f>HYPERLINK(Table65[[#This Row],[Column1]])</f>
        <v/>
      </c>
    </row>
    <row r="186" ht="60" customHeight="1" s="290">
      <c r="A186" s="30" t="n"/>
      <c r="B186" s="30" t="n"/>
      <c r="C186" s="30" t="n"/>
      <c r="D186" s="324" t="n"/>
      <c r="E186" s="53" t="n"/>
      <c r="F186" s="53" t="n"/>
      <c r="G186" s="55" t="n"/>
      <c r="H186" s="57" t="n"/>
      <c r="I186" s="55" t="n"/>
      <c r="J186" s="56" t="n"/>
      <c r="K186" s="56" t="n"/>
      <c r="L186" s="34">
        <f>HYPERLINK(Table65[[#This Row],[Column1]])</f>
        <v/>
      </c>
    </row>
    <row r="187" ht="45" customHeight="1" s="290">
      <c r="A187" s="30" t="n"/>
      <c r="B187" s="30" t="n"/>
      <c r="C187" s="30" t="n"/>
      <c r="D187" s="324" t="n"/>
      <c r="E187" s="53" t="n"/>
      <c r="F187" s="53" t="n"/>
      <c r="G187" s="55" t="n"/>
      <c r="H187" s="57" t="n"/>
      <c r="I187" s="55" t="n"/>
      <c r="J187" s="56" t="n"/>
      <c r="K187" s="56" t="n"/>
      <c r="L187" s="34">
        <f>HYPERLINK(Table65[[#This Row],[Column1]])</f>
        <v/>
      </c>
    </row>
    <row r="188" ht="45" customHeight="1" s="290">
      <c r="A188" s="30" t="n"/>
      <c r="B188" s="30" t="n"/>
      <c r="C188" s="30" t="n"/>
      <c r="D188" s="324" t="n"/>
      <c r="E188" s="53" t="n"/>
      <c r="F188" s="53" t="n"/>
      <c r="G188" s="55" t="n"/>
      <c r="H188" s="57" t="n"/>
      <c r="I188" s="55" t="n"/>
      <c r="J188" s="56" t="n"/>
      <c r="K188" s="56" t="n"/>
      <c r="L188" s="34">
        <f>HYPERLINK(Table65[[#This Row],[Column1]])</f>
        <v/>
      </c>
    </row>
    <row r="189" ht="45" customHeight="1" s="290">
      <c r="A189" s="30" t="n"/>
      <c r="B189" s="30" t="n"/>
      <c r="C189" s="30" t="n"/>
      <c r="D189" s="324" t="n"/>
      <c r="E189" s="53" t="n"/>
      <c r="F189" s="53" t="n"/>
      <c r="G189" s="55" t="n"/>
      <c r="H189" s="57" t="n"/>
      <c r="I189" s="55" t="n"/>
      <c r="J189" s="56" t="n"/>
      <c r="K189" s="56" t="n"/>
      <c r="L189" s="34">
        <f>HYPERLINK(Table65[[#This Row],[Column1]])</f>
        <v/>
      </c>
    </row>
    <row r="190" ht="60" customHeight="1" s="290">
      <c r="A190" s="30" t="n"/>
      <c r="B190" s="30" t="n"/>
      <c r="C190" s="30" t="n"/>
      <c r="D190" s="324" t="n"/>
      <c r="E190" s="53" t="n"/>
      <c r="F190" s="53" t="n"/>
      <c r="G190" s="55" t="n"/>
      <c r="H190" s="57" t="n"/>
      <c r="I190" s="55" t="n"/>
      <c r="J190" s="56" t="n"/>
      <c r="K190" s="56" t="n"/>
      <c r="L190" s="34">
        <f>HYPERLINK(Table65[[#This Row],[Column1]])</f>
        <v/>
      </c>
    </row>
    <row r="191" ht="45" customHeight="1" s="290">
      <c r="A191" s="30" t="n"/>
      <c r="B191" s="30" t="n"/>
      <c r="C191" s="30" t="n"/>
      <c r="D191" s="324" t="n"/>
      <c r="E191" s="53" t="n"/>
      <c r="F191" s="53" t="n"/>
      <c r="G191" s="55" t="n"/>
      <c r="H191" s="57" t="n"/>
      <c r="I191" s="55" t="n"/>
      <c r="J191" s="56" t="n"/>
      <c r="K191" s="56" t="n"/>
      <c r="L191" s="34">
        <f>HYPERLINK(Table65[[#This Row],[Column1]])</f>
        <v/>
      </c>
    </row>
    <row r="192" ht="45" customHeight="1" s="290">
      <c r="A192" s="30" t="n"/>
      <c r="B192" s="30" t="n"/>
      <c r="C192" s="30" t="n"/>
      <c r="D192" s="324" t="n"/>
      <c r="E192" s="53" t="n"/>
      <c r="F192" s="53" t="n"/>
      <c r="G192" s="55" t="n"/>
      <c r="H192" s="57" t="n"/>
      <c r="I192" s="55" t="n"/>
      <c r="J192" s="56" t="n"/>
      <c r="K192" s="56" t="n"/>
      <c r="L192" s="34">
        <f>HYPERLINK(Table65[[#This Row],[Column1]])</f>
        <v/>
      </c>
    </row>
    <row r="193" ht="60" customHeight="1" s="290">
      <c r="A193" s="30" t="n"/>
      <c r="B193" s="30" t="n"/>
      <c r="C193" s="30" t="n"/>
      <c r="D193" s="324" t="n"/>
      <c r="E193" s="53" t="n"/>
      <c r="F193" s="53" t="n"/>
      <c r="G193" s="55" t="n"/>
      <c r="H193" s="57" t="n"/>
      <c r="I193" s="55" t="n"/>
      <c r="J193" s="56" t="n"/>
      <c r="K193" s="56" t="n"/>
      <c r="L193" s="34">
        <f>HYPERLINK(Table65[[#This Row],[Column1]])</f>
        <v/>
      </c>
    </row>
    <row r="194" ht="45" customHeight="1" s="290">
      <c r="A194" s="30" t="n"/>
      <c r="B194" s="30" t="n"/>
      <c r="C194" s="30" t="n"/>
      <c r="D194" s="324" t="n"/>
      <c r="E194" s="53" t="n"/>
      <c r="F194" s="53" t="n"/>
      <c r="G194" s="55" t="n"/>
      <c r="H194" s="57" t="n"/>
      <c r="I194" s="55" t="n"/>
      <c r="J194" s="56" t="n"/>
      <c r="K194" s="56" t="n"/>
      <c r="L194" s="34">
        <f>HYPERLINK(Table65[[#This Row],[Column1]])</f>
        <v/>
      </c>
    </row>
    <row r="195" ht="45" customHeight="1" s="290">
      <c r="A195" s="30" t="n"/>
      <c r="B195" s="30" t="n"/>
      <c r="C195" s="30" t="n"/>
      <c r="D195" s="324" t="n"/>
      <c r="E195" s="53" t="n"/>
      <c r="F195" s="53" t="n"/>
      <c r="G195" s="55" t="n"/>
      <c r="H195" s="57" t="n"/>
      <c r="I195" s="55" t="n"/>
      <c r="J195" s="56" t="n"/>
      <c r="K195" s="56" t="n"/>
      <c r="L195" s="34">
        <f>HYPERLINK(Table65[[#This Row],[Column1]])</f>
        <v/>
      </c>
    </row>
    <row r="196" ht="45" customHeight="1" s="290">
      <c r="A196" s="30" t="n"/>
      <c r="B196" s="30" t="n"/>
      <c r="C196" s="30" t="n"/>
      <c r="D196" s="324" t="n"/>
      <c r="E196" s="53" t="n"/>
      <c r="F196" s="53" t="n"/>
      <c r="G196" s="55" t="n"/>
      <c r="H196" s="57" t="n"/>
      <c r="I196" s="55" t="n"/>
      <c r="J196" s="56" t="n"/>
      <c r="K196" s="56" t="n"/>
      <c r="L196" s="34">
        <f>HYPERLINK(Table65[[#This Row],[Column1]])</f>
        <v/>
      </c>
    </row>
    <row r="197" ht="45" customHeight="1" s="290">
      <c r="A197" s="30" t="n"/>
      <c r="B197" s="30" t="n"/>
      <c r="C197" s="30" t="n"/>
      <c r="D197" s="324" t="n"/>
      <c r="E197" s="53" t="n"/>
      <c r="F197" s="53" t="n"/>
      <c r="G197" s="55" t="n"/>
      <c r="H197" s="57" t="n"/>
      <c r="I197" s="55" t="n"/>
      <c r="J197" s="56" t="n"/>
      <c r="K197" s="56" t="n"/>
      <c r="L197" s="34">
        <f>HYPERLINK(Table65[[#This Row],[Column1]])</f>
        <v/>
      </c>
    </row>
    <row r="198" ht="45" customHeight="1" s="290">
      <c r="A198" s="30" t="n"/>
      <c r="B198" s="30" t="n"/>
      <c r="C198" s="30" t="n"/>
      <c r="D198" s="324" t="n"/>
      <c r="E198" s="53" t="n"/>
      <c r="F198" s="53" t="n"/>
      <c r="G198" s="55" t="n"/>
      <c r="H198" s="57" t="n"/>
      <c r="I198" s="55" t="n"/>
      <c r="J198" s="56" t="n"/>
      <c r="K198" s="56" t="n"/>
      <c r="L198" s="34">
        <f>HYPERLINK(Table65[[#This Row],[Column1]])</f>
        <v/>
      </c>
    </row>
    <row r="199" ht="45" customHeight="1" s="290">
      <c r="A199" s="30" t="n"/>
      <c r="B199" s="30" t="n"/>
      <c r="C199" s="30" t="n"/>
      <c r="D199" s="324" t="n"/>
      <c r="E199" s="53" t="n"/>
      <c r="F199" s="53" t="n"/>
      <c r="G199" s="55" t="n"/>
      <c r="H199" s="57" t="n"/>
      <c r="I199" s="55" t="n"/>
      <c r="J199" s="56" t="n"/>
      <c r="K199" s="56" t="n"/>
      <c r="L199" s="34">
        <f>HYPERLINK(Table65[[#This Row],[Column1]])</f>
        <v/>
      </c>
    </row>
    <row r="200" ht="45" customHeight="1" s="290">
      <c r="A200" s="30" t="n"/>
      <c r="B200" s="30" t="n"/>
      <c r="C200" s="30" t="n"/>
      <c r="D200" s="324" t="n"/>
      <c r="E200" s="53" t="n"/>
      <c r="F200" s="53" t="n"/>
      <c r="G200" s="55" t="n"/>
      <c r="H200" s="57" t="n"/>
      <c r="I200" s="55" t="n"/>
      <c r="J200" s="56" t="n"/>
      <c r="K200" s="56" t="n"/>
      <c r="L200" s="34">
        <f>HYPERLINK(Table65[[#This Row],[Column1]])</f>
        <v/>
      </c>
    </row>
    <row r="201" ht="45" customHeight="1" s="290">
      <c r="A201" s="30" t="n"/>
      <c r="B201" s="30" t="n"/>
      <c r="C201" s="30" t="n"/>
      <c r="D201" s="324" t="n"/>
      <c r="E201" s="53" t="n"/>
      <c r="F201" s="53" t="n"/>
      <c r="G201" s="55" t="n"/>
      <c r="H201" s="57" t="n"/>
      <c r="I201" s="55" t="n"/>
      <c r="J201" s="56" t="n"/>
      <c r="K201" s="56" t="n"/>
      <c r="L201" s="34">
        <f>HYPERLINK(Table65[[#This Row],[Column1]])</f>
        <v/>
      </c>
    </row>
    <row r="202" ht="45" customHeight="1" s="290">
      <c r="A202" s="30" t="n"/>
      <c r="B202" s="30" t="n"/>
      <c r="C202" s="30" t="n"/>
      <c r="D202" s="324" t="n"/>
      <c r="E202" s="53" t="n"/>
      <c r="F202" s="53" t="n"/>
      <c r="G202" s="55" t="n"/>
      <c r="H202" s="57" t="n"/>
      <c r="I202" s="55" t="n"/>
      <c r="J202" s="56" t="n"/>
      <c r="K202" s="56" t="n"/>
      <c r="L202" s="34">
        <f>HYPERLINK(Table65[[#This Row],[Column1]])</f>
        <v/>
      </c>
    </row>
    <row r="203" ht="45" customHeight="1" s="290">
      <c r="A203" s="30" t="n"/>
      <c r="B203" s="30" t="n"/>
      <c r="C203" s="30" t="n"/>
      <c r="D203" s="324" t="n"/>
      <c r="E203" s="53" t="n"/>
      <c r="F203" s="53" t="n"/>
      <c r="G203" s="55" t="n"/>
      <c r="H203" s="57" t="n"/>
      <c r="I203" s="55" t="n"/>
      <c r="J203" s="56" t="n"/>
      <c r="K203" s="56" t="n"/>
      <c r="L203" s="34">
        <f>HYPERLINK(Table65[[#This Row],[Column1]])</f>
        <v/>
      </c>
    </row>
    <row r="204" ht="17" customHeight="1" s="290">
      <c r="A204" s="30" t="n"/>
      <c r="B204" s="30" t="n"/>
      <c r="C204" s="30" t="n"/>
      <c r="D204" s="324" t="n"/>
      <c r="E204" s="53" t="n"/>
      <c r="F204" s="53" t="n"/>
      <c r="G204" s="55" t="n"/>
      <c r="H204" s="57" t="n"/>
      <c r="I204" s="55" t="n"/>
      <c r="J204" s="56" t="n"/>
      <c r="K204" s="56" t="n"/>
      <c r="L204" s="34">
        <f>HYPERLINK(Table65[[#This Row],[Column1]])</f>
        <v/>
      </c>
    </row>
    <row r="205" ht="30" customHeight="1" s="290">
      <c r="A205" s="30" t="n"/>
      <c r="B205" s="30" t="n"/>
      <c r="C205" s="30" t="n"/>
      <c r="D205" s="324" t="n"/>
      <c r="E205" s="53" t="n"/>
      <c r="F205" s="53" t="n"/>
      <c r="G205" s="55" t="n"/>
      <c r="H205" s="57" t="n"/>
      <c r="I205" s="55" t="n"/>
      <c r="J205" s="56" t="n"/>
      <c r="K205" s="56" t="n"/>
      <c r="L205" s="34">
        <f>HYPERLINK(Table65[[#This Row],[Column1]])</f>
        <v/>
      </c>
    </row>
    <row r="206" ht="45" customHeight="1" s="290">
      <c r="A206" s="30" t="n"/>
      <c r="B206" s="30" t="n"/>
      <c r="C206" s="30" t="n"/>
      <c r="D206" s="324" t="n"/>
      <c r="E206" s="53" t="n"/>
      <c r="F206" s="53" t="n"/>
      <c r="G206" s="55" t="n"/>
      <c r="H206" s="57" t="n"/>
      <c r="I206" s="55" t="n"/>
      <c r="J206" s="56" t="n"/>
      <c r="K206" s="56" t="n"/>
      <c r="L206" s="34">
        <f>HYPERLINK(Table65[[#This Row],[Column1]])</f>
        <v/>
      </c>
    </row>
    <row r="207" ht="45" customHeight="1" s="290">
      <c r="A207" s="30" t="n"/>
      <c r="B207" s="30" t="n"/>
      <c r="C207" s="30" t="n"/>
      <c r="D207" s="324" t="n"/>
      <c r="E207" s="53" t="n"/>
      <c r="F207" s="53" t="n"/>
      <c r="G207" s="55" t="n"/>
      <c r="H207" s="57" t="n"/>
      <c r="I207" s="55" t="n"/>
      <c r="J207" s="56" t="n"/>
      <c r="K207" s="56" t="n"/>
      <c r="L207" s="34">
        <f>HYPERLINK(Table65[[#This Row],[Column1]])</f>
        <v/>
      </c>
    </row>
    <row r="208" ht="17" customHeight="1" s="290">
      <c r="A208" s="33" t="inlineStr">
        <is>
          <t>Total</t>
        </is>
      </c>
      <c r="B208" s="32" t="n"/>
      <c r="C208" s="325" t="n"/>
      <c r="D208" s="59" t="n"/>
      <c r="E208" s="32" t="n"/>
      <c r="F208" s="32" t="n"/>
      <c r="G208" s="36">
        <f>SUM(G133:G207)</f>
        <v/>
      </c>
      <c r="H208" s="36">
        <f>SUM(H133:H207)</f>
        <v/>
      </c>
      <c r="I208" s="36" t="n"/>
      <c r="J208" s="167" t="n"/>
      <c r="K208" s="168" t="n"/>
      <c r="L208" s="32" t="n"/>
    </row>
  </sheetData>
  <mergeCells count="3">
    <mergeCell ref="A1:M5"/>
    <mergeCell ref="A131:L131"/>
    <mergeCell ref="A51:L51"/>
  </mergeCells>
  <pageMargins left="0.7" right="0.7" top="0.75" bottom="0.75" header="0.3" footer="0.3"/>
  <drawing xmlns:r="http://schemas.openxmlformats.org/officeDocument/2006/relationships" r:id="rId1"/>
  <tableParts count="2">
    <tablePart xmlns:r="http://schemas.openxmlformats.org/officeDocument/2006/relationships" r:id="rId2"/>
    <tablePart xmlns:r="http://schemas.openxmlformats.org/officeDocument/2006/relationships" r:id="rId3"/>
  </tableParts>
</worksheet>
</file>

<file path=xl/worksheets/sheet34.xml><?xml version="1.0" encoding="utf-8"?>
<worksheet xmlns="http://schemas.openxmlformats.org/spreadsheetml/2006/main">
  <sheetPr codeName="Sheet6">
    <outlinePr summaryBelow="1" summaryRight="1"/>
    <pageSetUpPr/>
  </sheetPr>
  <dimension ref="A1:Q208"/>
  <sheetViews>
    <sheetView workbookViewId="0">
      <selection activeCell="A1" sqref="A1"/>
    </sheetView>
  </sheetViews>
  <sheetFormatPr baseColWidth="10" defaultColWidth="10.83203125" defaultRowHeight="16"/>
  <cols>
    <col width="50.6640625" customWidth="1" style="284" min="1" max="1"/>
    <col width="12.6640625" customWidth="1" style="284" min="2" max="2"/>
    <col width="12.6640625" customWidth="1" style="320" min="3" max="3"/>
    <col width="11.1640625" customWidth="1" style="296" min="4" max="4"/>
    <col width="24.83203125" bestFit="1" customWidth="1" style="284" min="5" max="5"/>
    <col width="17.6640625" bestFit="1" customWidth="1" style="286" min="6" max="6"/>
    <col width="21.6640625" bestFit="1" customWidth="1" style="286" min="7" max="7"/>
    <col width="19.1640625" bestFit="1" customWidth="1" style="286" min="8" max="8"/>
    <col width="13.5" bestFit="1" customWidth="1" style="287" min="9" max="9"/>
    <col width="13" bestFit="1" customWidth="1" style="284" min="10" max="10"/>
    <col hidden="1" width="29" customWidth="1" style="284" min="11" max="11"/>
    <col width="35.6640625" customWidth="1" style="284" min="12" max="12"/>
    <col width="15.6640625" customWidth="1" style="284" min="13" max="13"/>
    <col width="10.83203125" customWidth="1" style="284" min="14" max="16384"/>
  </cols>
  <sheetData>
    <row r="1">
      <c r="A1" s="282" t="inlineStr">
        <is>
          <t>OBDLink Monthly Summary</t>
        </is>
      </c>
    </row>
    <row r="2"/>
    <row r="3"/>
    <row r="4"/>
    <row r="5"/>
    <row r="6">
      <c r="A6" s="29" t="n"/>
      <c r="B6" s="29" t="n"/>
      <c r="C6" s="321" t="n"/>
      <c r="D6" s="47" t="n"/>
      <c r="E6" s="48" t="n"/>
      <c r="F6" s="48" t="n"/>
      <c r="G6" s="48" t="n"/>
      <c r="H6" s="48" t="n"/>
      <c r="I6" s="49" t="n"/>
      <c r="J6" s="50" t="n"/>
    </row>
    <row r="7" ht="32" customHeight="1" s="290">
      <c r="A7" s="80" t="n"/>
      <c r="B7" s="81" t="inlineStr">
        <is>
          <t>Avg Price</t>
        </is>
      </c>
      <c r="C7" s="81" t="inlineStr">
        <is>
          <t>Avg Price MoM</t>
        </is>
      </c>
      <c r="D7" s="82" t="inlineStr">
        <is>
          <t>Avg Price YoY</t>
        </is>
      </c>
      <c r="E7" s="81" t="inlineStr">
        <is>
          <t>Quantity/Mo</t>
        </is>
      </c>
      <c r="F7" s="84" t="inlineStr">
        <is>
          <t>Qty by %</t>
        </is>
      </c>
      <c r="G7" s="84" t="inlineStr">
        <is>
          <t>Qty MoM</t>
        </is>
      </c>
      <c r="H7" s="82" t="inlineStr">
        <is>
          <t>Qty YoY</t>
        </is>
      </c>
      <c r="I7" s="309" t="inlineStr">
        <is>
          <t>Revenue/Mo</t>
        </is>
      </c>
      <c r="J7" s="126" t="inlineStr">
        <is>
          <t>Revenue by %</t>
        </is>
      </c>
      <c r="K7" s="173" t="n"/>
      <c r="L7" s="126" t="inlineStr">
        <is>
          <t>Revenue MoM</t>
        </is>
      </c>
      <c r="M7" s="310" t="inlineStr">
        <is>
          <t>Revenue YoY</t>
        </is>
      </c>
      <c r="N7" s="286" t="n"/>
      <c r="O7" s="286" t="n"/>
      <c r="P7" s="49" t="n"/>
      <c r="Q7" s="50" t="n"/>
    </row>
    <row r="8">
      <c r="A8" s="93" t="inlineStr">
        <is>
          <t>Tablet $800+</t>
        </is>
      </c>
      <c r="B8" s="298" t="n"/>
      <c r="C8" s="270" t="n"/>
      <c r="D8" s="271" t="n"/>
      <c r="E8" s="269" t="n">
        <v>0</v>
      </c>
      <c r="F8" s="270" t="n">
        <v>0</v>
      </c>
      <c r="G8" s="270" t="n"/>
      <c r="H8" s="271" t="n"/>
      <c r="I8" s="95" t="n">
        <v>0</v>
      </c>
      <c r="J8" s="128" t="n">
        <v>0</v>
      </c>
      <c r="L8" s="169" t="n"/>
      <c r="M8" s="169" t="n"/>
      <c r="N8" s="286" t="n"/>
      <c r="O8" s="286" t="n"/>
      <c r="P8" s="49" t="n"/>
      <c r="Q8" s="50" t="n"/>
    </row>
    <row r="9">
      <c r="A9" s="93" t="inlineStr">
        <is>
          <t>Tablet $400-$800</t>
        </is>
      </c>
      <c r="B9" s="298" t="n"/>
      <c r="C9" s="270" t="n"/>
      <c r="D9" s="271" t="n"/>
      <c r="E9" s="269" t="n">
        <v>0</v>
      </c>
      <c r="F9" s="270" t="n">
        <v>0</v>
      </c>
      <c r="G9" s="270" t="n"/>
      <c r="H9" s="271" t="n"/>
      <c r="I9" s="95" t="n">
        <v>0</v>
      </c>
      <c r="J9" s="128" t="n">
        <v>0</v>
      </c>
      <c r="L9" s="169" t="n"/>
      <c r="M9" s="169" t="n"/>
      <c r="N9" s="286" t="n"/>
      <c r="O9" s="286" t="n"/>
      <c r="P9" s="49" t="n"/>
      <c r="Q9" s="50" t="n"/>
    </row>
    <row r="10">
      <c r="A10" s="96" t="inlineStr">
        <is>
          <t>Tablet $400-</t>
        </is>
      </c>
      <c r="B10" s="299" t="n"/>
      <c r="C10" s="274" t="n"/>
      <c r="D10" s="275" t="n"/>
      <c r="E10" s="273" t="n">
        <v>0</v>
      </c>
      <c r="F10" s="274" t="n">
        <v>0</v>
      </c>
      <c r="G10" s="274" t="n"/>
      <c r="H10" s="275" t="n"/>
      <c r="I10" s="98" t="n">
        <v>0</v>
      </c>
      <c r="J10" s="127" t="n">
        <v>0</v>
      </c>
      <c r="L10" s="171" t="n"/>
      <c r="M10" s="171" t="n"/>
      <c r="N10" s="286" t="n"/>
      <c r="O10" s="286" t="n"/>
      <c r="P10" s="49" t="n"/>
      <c r="Q10" s="50" t="n"/>
    </row>
    <row r="11">
      <c r="A11" s="101" t="inlineStr">
        <is>
          <t>Total Tablet</t>
        </is>
      </c>
      <c r="B11" s="300" t="n"/>
      <c r="C11" s="112" t="n"/>
      <c r="D11" s="104" t="n"/>
      <c r="E11" s="116" t="n">
        <v>0</v>
      </c>
      <c r="F11" s="112" t="n">
        <v>0</v>
      </c>
      <c r="G11" s="112" t="n"/>
      <c r="H11" s="104" t="n"/>
      <c r="I11" s="103" t="n">
        <v>0</v>
      </c>
      <c r="J11" s="129" t="n">
        <v>0</v>
      </c>
      <c r="L11" s="170" t="n"/>
      <c r="M11" s="170" t="n"/>
      <c r="N11" s="286" t="n"/>
      <c r="O11" s="286" t="n"/>
      <c r="P11" s="49" t="n"/>
      <c r="Q11" s="50" t="n"/>
    </row>
    <row r="12">
      <c r="A12" s="93" t="inlineStr">
        <is>
          <t>Handheld $75+</t>
        </is>
      </c>
      <c r="B12" s="298" t="n"/>
      <c r="C12" s="270" t="n"/>
      <c r="D12" s="271" t="n"/>
      <c r="E12" s="269" t="n">
        <v>0</v>
      </c>
      <c r="F12" s="270" t="n">
        <v>0</v>
      </c>
      <c r="G12" s="270" t="n"/>
      <c r="H12" s="271" t="n"/>
      <c r="I12" s="95" t="n">
        <v>0</v>
      </c>
      <c r="J12" s="128" t="n">
        <v>0</v>
      </c>
      <c r="L12" s="169" t="n"/>
      <c r="M12" s="169" t="n"/>
      <c r="N12" s="286" t="n"/>
      <c r="O12" s="286" t="n"/>
      <c r="P12" s="49" t="n"/>
      <c r="Q12" s="50" t="n"/>
    </row>
    <row r="13">
      <c r="A13" s="96" t="inlineStr">
        <is>
          <t>Handheld $75-</t>
        </is>
      </c>
      <c r="B13" s="299" t="n"/>
      <c r="C13" s="274" t="n"/>
      <c r="D13" s="275" t="n"/>
      <c r="E13" s="273" t="n">
        <v>0</v>
      </c>
      <c r="F13" s="274" t="n">
        <v>0</v>
      </c>
      <c r="G13" s="274" t="n"/>
      <c r="H13" s="275" t="n"/>
      <c r="I13" s="98" t="n">
        <v>0</v>
      </c>
      <c r="J13" s="127" t="n">
        <v>0</v>
      </c>
      <c r="L13" s="171" t="n"/>
      <c r="M13" s="171" t="n"/>
      <c r="N13" s="286" t="n"/>
      <c r="O13" s="286" t="n"/>
      <c r="P13" s="49" t="n"/>
      <c r="Q13" s="50" t="n"/>
    </row>
    <row r="14">
      <c r="A14" s="101" t="inlineStr">
        <is>
          <t>Total Handheld</t>
        </is>
      </c>
      <c r="B14" s="300" t="n"/>
      <c r="C14" s="112" t="n"/>
      <c r="D14" s="104" t="n"/>
      <c r="E14" s="116" t="n">
        <v>0</v>
      </c>
      <c r="F14" s="112" t="n">
        <v>0</v>
      </c>
      <c r="G14" s="112" t="n"/>
      <c r="H14" s="104" t="n"/>
      <c r="I14" s="103" t="n">
        <v>0</v>
      </c>
      <c r="J14" s="129" t="n">
        <v>0</v>
      </c>
      <c r="L14" s="170" t="n"/>
      <c r="M14" s="170" t="n"/>
      <c r="N14" s="286" t="n"/>
      <c r="O14" s="286" t="n"/>
      <c r="P14" s="49" t="n"/>
      <c r="Q14" s="50" t="n"/>
    </row>
    <row r="15">
      <c r="A15" s="78" t="inlineStr">
        <is>
          <t>Total Dongle</t>
        </is>
      </c>
      <c r="B15" s="301" t="n">
        <v>116.1380829572319</v>
      </c>
      <c r="C15" s="113" t="n">
        <v>0.002358116204124627</v>
      </c>
      <c r="D15" s="107" t="n">
        <v>-0.01277981693167618</v>
      </c>
      <c r="E15" s="99" t="n">
        <v>9306</v>
      </c>
      <c r="F15" s="113" t="n">
        <v>0.6104296490652673</v>
      </c>
      <c r="G15" s="113" t="n">
        <v>0.1671892637652075</v>
      </c>
      <c r="H15" s="107" t="n">
        <v>0.3667205169628434</v>
      </c>
      <c r="I15" s="76" t="n">
        <v>1080781</v>
      </c>
      <c r="J15" s="130" t="n">
        <v>0.7223847757646288</v>
      </c>
      <c r="L15" s="174" t="n">
        <v>0.1699416316813727</v>
      </c>
      <c r="M15" s="174" t="n">
        <v>0.3492540789592924</v>
      </c>
      <c r="N15" s="286" t="n"/>
      <c r="O15" s="286" t="n"/>
      <c r="P15" s="49" t="n"/>
      <c r="Q15" s="50" t="n"/>
    </row>
    <row r="16">
      <c r="A16" s="78" t="inlineStr">
        <is>
          <t>Total Other Tools</t>
        </is>
      </c>
      <c r="B16" s="301" t="n">
        <v>69.9357231857215</v>
      </c>
      <c r="C16" s="113" t="n">
        <v>-0.0001040523107874725</v>
      </c>
      <c r="D16" s="107" t="n">
        <v>0.2062792903486914</v>
      </c>
      <c r="E16" s="99" t="n">
        <v>5939</v>
      </c>
      <c r="F16" s="113" t="n">
        <v>0.3895703509347327</v>
      </c>
      <c r="G16" s="113" t="n">
        <v>0.08872593950504126</v>
      </c>
      <c r="H16" s="107" t="n">
        <v>0.0321515467500868</v>
      </c>
      <c r="I16" s="76" t="n">
        <v>415348.26</v>
      </c>
      <c r="J16" s="130" t="n">
        <v>0.2776152242353712</v>
      </c>
      <c r="L16" s="174" t="n">
        <v>0.08861265505522153</v>
      </c>
      <c r="M16" s="174" t="n">
        <v>0.2450630353459993</v>
      </c>
      <c r="N16" s="286" t="n"/>
      <c r="O16" s="286" t="n"/>
      <c r="P16" s="49" t="n"/>
      <c r="Q16" s="50" t="n"/>
    </row>
    <row r="17">
      <c r="A17" s="86" t="inlineStr">
        <is>
          <t>Total</t>
        </is>
      </c>
      <c r="B17" s="302" t="n">
        <v>98.13901344703181</v>
      </c>
      <c r="C17" s="109" t="n">
        <v>0.009561625329528312</v>
      </c>
      <c r="D17" s="108" t="n">
        <v>0.0701104493832585</v>
      </c>
      <c r="E17" s="100" t="n">
        <v>15245</v>
      </c>
      <c r="F17" s="109" t="n">
        <v>1</v>
      </c>
      <c r="G17" s="109" t="n">
        <v>0.1353142686922848</v>
      </c>
      <c r="H17" s="108" t="n">
        <v>0.25112843660238</v>
      </c>
      <c r="I17" s="85" t="n">
        <v>1496129.26</v>
      </c>
      <c r="J17" s="109" t="n">
        <v>1</v>
      </c>
      <c r="L17" s="172" t="n">
        <v>0.146169718360788</v>
      </c>
      <c r="M17" s="172" t="n">
        <v>0.3388456135287465</v>
      </c>
      <c r="N17" s="286" t="n"/>
      <c r="O17" s="286" t="n"/>
      <c r="P17" s="49" t="n"/>
      <c r="Q17" s="50" t="n"/>
    </row>
    <row r="18">
      <c r="A18" s="29" t="n"/>
      <c r="B18" s="29" t="n"/>
      <c r="C18" s="321" t="n"/>
      <c r="D18" s="47" t="n"/>
      <c r="E18" s="48" t="n"/>
      <c r="F18" s="48" t="n"/>
      <c r="G18" s="48" t="n"/>
      <c r="H18" s="48" t="n"/>
      <c r="I18" s="49" t="n"/>
      <c r="J18" s="50" t="n"/>
    </row>
    <row r="19">
      <c r="A19" s="29" t="n"/>
      <c r="B19" s="29" t="n"/>
      <c r="C19" s="321" t="n"/>
      <c r="D19" s="47" t="n"/>
      <c r="E19" s="48" t="n"/>
      <c r="F19" s="48" t="n"/>
      <c r="G19" s="48" t="n"/>
      <c r="H19" s="48" t="n"/>
      <c r="I19" s="49" t="n"/>
      <c r="J19" s="50" t="n"/>
    </row>
    <row r="20">
      <c r="A20" s="29" t="n"/>
      <c r="B20" s="29" t="n"/>
      <c r="C20" s="321" t="n"/>
      <c r="D20" s="47" t="n"/>
      <c r="E20" s="48" t="n"/>
      <c r="F20" s="48" t="n"/>
      <c r="G20" s="48" t="n"/>
      <c r="H20" s="48" t="n"/>
      <c r="I20" s="49" t="n"/>
      <c r="J20" s="50" t="n"/>
    </row>
    <row r="21">
      <c r="A21" s="29" t="n"/>
      <c r="B21" s="29" t="n"/>
      <c r="C21" s="321" t="n"/>
      <c r="D21" s="47" t="n"/>
      <c r="E21" s="48" t="n"/>
      <c r="F21" s="48" t="n"/>
      <c r="G21" s="48" t="n"/>
      <c r="H21" s="48" t="n"/>
      <c r="I21" s="49" t="n"/>
      <c r="J21" s="50" t="n"/>
    </row>
    <row r="22">
      <c r="A22" s="29" t="n"/>
      <c r="B22" s="29" t="n"/>
      <c r="C22" s="321" t="n"/>
      <c r="D22" s="47" t="n"/>
      <c r="E22" s="48" t="n"/>
      <c r="F22" s="48" t="n"/>
      <c r="G22" s="48" t="n"/>
      <c r="H22" s="48" t="n"/>
      <c r="I22" s="49" t="n"/>
      <c r="J22" s="50" t="n"/>
    </row>
    <row r="23">
      <c r="A23" s="29" t="n"/>
      <c r="B23" s="29" t="n"/>
      <c r="C23" s="321" t="n"/>
      <c r="D23" s="47" t="n"/>
      <c r="E23" s="48" t="n"/>
      <c r="F23" s="48" t="n"/>
      <c r="G23" s="48" t="n"/>
      <c r="H23" s="48" t="n"/>
      <c r="I23" s="49" t="n"/>
      <c r="J23" s="50" t="n"/>
    </row>
    <row r="24">
      <c r="A24" s="29" t="n"/>
      <c r="B24" s="29" t="n"/>
      <c r="C24" s="321" t="n"/>
      <c r="D24" s="47" t="n"/>
      <c r="E24" s="48" t="n"/>
      <c r="F24" s="48" t="n"/>
      <c r="G24" s="48" t="n"/>
      <c r="H24" s="48" t="n"/>
      <c r="I24" s="49" t="n"/>
      <c r="J24" s="50" t="n"/>
    </row>
    <row r="25">
      <c r="A25" s="29" t="n"/>
      <c r="B25" s="29" t="n"/>
      <c r="C25" s="321" t="n"/>
      <c r="D25" s="47" t="n"/>
      <c r="E25" s="48" t="n"/>
      <c r="F25" s="48" t="n"/>
      <c r="G25" s="48" t="n"/>
      <c r="H25" s="48" t="n"/>
      <c r="I25" s="49" t="n"/>
      <c r="J25" s="50" t="n"/>
    </row>
    <row r="26">
      <c r="A26" s="29" t="n"/>
      <c r="B26" s="29" t="n"/>
      <c r="C26" s="321" t="n"/>
      <c r="D26" s="47" t="n"/>
      <c r="E26" s="48" t="n"/>
      <c r="F26" s="48" t="n"/>
      <c r="G26" s="48" t="n"/>
      <c r="H26" s="48" t="n"/>
      <c r="I26" s="49" t="n"/>
      <c r="J26" s="50" t="n"/>
    </row>
    <row r="27">
      <c r="A27" s="29" t="n"/>
      <c r="B27" s="29" t="n"/>
      <c r="C27" s="321" t="n"/>
      <c r="D27" s="47" t="n"/>
      <c r="E27" s="48" t="n"/>
      <c r="F27" s="48" t="n"/>
      <c r="G27" s="48" t="n"/>
      <c r="H27" s="48" t="n"/>
      <c r="I27" s="49" t="n"/>
      <c r="J27" s="50" t="n"/>
    </row>
    <row r="28">
      <c r="A28" s="29" t="n"/>
      <c r="B28" s="29" t="n"/>
      <c r="C28" s="321" t="n"/>
      <c r="D28" s="47" t="n"/>
      <c r="E28" s="48" t="n"/>
      <c r="F28" s="48" t="n"/>
      <c r="G28" s="48" t="n"/>
      <c r="H28" s="48" t="n"/>
      <c r="I28" s="49" t="n"/>
      <c r="J28" s="50" t="n"/>
    </row>
    <row r="29">
      <c r="A29" s="29" t="n"/>
      <c r="B29" s="29" t="n"/>
      <c r="C29" s="321" t="n"/>
      <c r="D29" s="47" t="n"/>
      <c r="E29" s="48" t="n"/>
      <c r="F29" s="48" t="n"/>
      <c r="G29" s="48" t="n"/>
      <c r="H29" s="48" t="n"/>
      <c r="I29" s="49" t="n"/>
      <c r="J29" s="50" t="n"/>
    </row>
    <row r="30">
      <c r="A30" s="29" t="n"/>
      <c r="B30" s="29" t="n"/>
      <c r="C30" s="321" t="n"/>
      <c r="D30" s="47" t="n"/>
      <c r="E30" s="48" t="n"/>
      <c r="F30" s="48" t="n"/>
      <c r="G30" s="48" t="n"/>
      <c r="H30" s="48" t="n"/>
      <c r="I30" s="49" t="n"/>
      <c r="J30" s="50" t="n"/>
    </row>
    <row r="31">
      <c r="A31" s="29" t="n"/>
      <c r="B31" s="29" t="n"/>
      <c r="C31" s="321" t="n"/>
      <c r="D31" s="47" t="n"/>
      <c r="E31" s="48" t="n"/>
      <c r="F31" s="48" t="n"/>
      <c r="G31" s="48" t="n"/>
      <c r="H31" s="48" t="n"/>
      <c r="I31" s="49" t="n"/>
      <c r="J31" s="50" t="n"/>
    </row>
    <row r="32">
      <c r="A32" s="29" t="n"/>
      <c r="B32" s="29" t="n"/>
      <c r="C32" s="321" t="n"/>
      <c r="D32" s="47" t="n"/>
      <c r="E32" s="48" t="n"/>
      <c r="F32" s="48" t="n"/>
      <c r="G32" s="48" t="n"/>
      <c r="H32" s="48" t="n"/>
      <c r="I32" s="49" t="n"/>
      <c r="J32" s="50" t="n"/>
    </row>
    <row r="33">
      <c r="A33" s="29" t="n"/>
      <c r="B33" s="29" t="n"/>
      <c r="C33" s="321" t="n"/>
      <c r="D33" s="47" t="n"/>
      <c r="E33" s="48" t="n"/>
      <c r="F33" s="48" t="n"/>
      <c r="G33" s="48" t="n"/>
      <c r="H33" s="48" t="n"/>
      <c r="I33" s="49" t="n"/>
      <c r="J33" s="50" t="n"/>
    </row>
    <row r="49" ht="16" customHeight="1" s="290">
      <c r="C49" s="284" t="n"/>
      <c r="D49" s="284" t="n"/>
      <c r="F49" s="284" t="n"/>
      <c r="G49" s="284" t="n"/>
      <c r="H49" s="284" t="n"/>
      <c r="I49" s="284" t="n"/>
    </row>
    <row r="50">
      <c r="C50" s="284" t="n"/>
      <c r="D50" s="284" t="n"/>
      <c r="F50" s="284" t="n"/>
      <c r="G50" s="284" t="n"/>
      <c r="H50" s="284" t="n"/>
      <c r="I50" s="284" t="n"/>
    </row>
    <row r="51">
      <c r="A51" s="283" t="inlineStr">
        <is>
          <t xml:space="preserve">Rank by Revenue </t>
        </is>
      </c>
    </row>
    <row r="52" ht="17" customHeight="1" s="290">
      <c r="A52" s="38" t="inlineStr">
        <is>
          <t>Product Name</t>
        </is>
      </c>
      <c r="B52" s="39" t="inlineStr">
        <is>
          <t>ASIN</t>
        </is>
      </c>
      <c r="C52" s="39" t="inlineStr">
        <is>
          <t>Type</t>
        </is>
      </c>
      <c r="D52" s="322" t="inlineStr">
        <is>
          <t>Avg Price</t>
        </is>
      </c>
      <c r="E52" s="41" t="inlineStr">
        <is>
          <t>Estimated 12mo Revenue</t>
        </is>
      </c>
      <c r="F52" s="39" t="inlineStr">
        <is>
          <t>Monthly Rev</t>
        </is>
      </c>
      <c r="G52" s="42" t="inlineStr">
        <is>
          <t>Estimated 12mo Units</t>
        </is>
      </c>
      <c r="H52" s="45" t="inlineStr">
        <is>
          <t>Monthly Units</t>
        </is>
      </c>
      <c r="I52" s="42" t="inlineStr">
        <is>
          <t># of Reviews</t>
        </is>
      </c>
      <c r="J52" s="43" t="inlineStr">
        <is>
          <t xml:space="preserve">Tool Rating </t>
        </is>
      </c>
      <c r="K52" s="43" t="inlineStr">
        <is>
          <t>Column1</t>
        </is>
      </c>
      <c r="L52" s="323" t="inlineStr">
        <is>
          <t>Link</t>
        </is>
      </c>
    </row>
    <row r="53" ht="45" customHeight="1" s="290">
      <c r="A53" s="30" t="inlineStr">
        <is>
          <t>OBDLink MX+ OBD2 Bluetooth Scanner for iPhone, Android, and Windows</t>
        </is>
      </c>
      <c r="B53" s="30" t="inlineStr">
        <is>
          <t>B07JFRFJG6</t>
        </is>
      </c>
      <c r="C53" s="30" t="inlineStr">
        <is>
          <t>Dongle</t>
        </is>
      </c>
      <c r="D53" s="324" t="n">
        <v>139.9370678733032</v>
      </c>
      <c r="E53" s="53" t="n">
        <v>8184360.079999999</v>
      </c>
      <c r="F53" s="54" t="n">
        <v>773152.3</v>
      </c>
      <c r="G53" s="55" t="n">
        <v>58485</v>
      </c>
      <c r="H53" s="55" t="n">
        <v>5525</v>
      </c>
      <c r="I53" s="55" t="n">
        <v>15161</v>
      </c>
      <c r="J53" s="56" t="n">
        <v>4.6</v>
      </c>
      <c r="K53" s="56" t="inlineStr">
        <is>
          <t>https://amazon.com/dp/B07JFRFJG6</t>
        </is>
      </c>
      <c r="L53" s="34">
        <f>HYPERLINK(OBDLink_2[[#This Row],[Column1]])</f>
        <v/>
      </c>
    </row>
    <row r="54" ht="45" customHeight="1" s="290">
      <c r="A54" s="30" t="inlineStr">
        <is>
          <t>OBDLink EX FORScan OBD Adapter</t>
        </is>
      </c>
      <c r="B54" s="30" t="inlineStr">
        <is>
          <t>B081VQVD3F</t>
        </is>
      </c>
      <c r="C54" s="30" t="inlineStr">
        <is>
          <t>Cable/Adapter</t>
        </is>
      </c>
      <c r="D54" s="324" t="n">
        <v>69.9357231857215</v>
      </c>
      <c r="E54" s="53" t="n">
        <v>4332347.02</v>
      </c>
      <c r="F54" s="54" t="n">
        <v>415348.26</v>
      </c>
      <c r="G54" s="55" t="n">
        <v>64051</v>
      </c>
      <c r="H54" s="55" t="n">
        <v>5939</v>
      </c>
      <c r="I54" s="55" t="n">
        <v>9945</v>
      </c>
      <c r="J54" s="56" t="n">
        <v>4.8</v>
      </c>
      <c r="K54" s="56" t="inlineStr">
        <is>
          <t>https://amazon.com/dp/B081VQVD3F</t>
        </is>
      </c>
      <c r="L54" s="34">
        <f>HYPERLINK(OBDLink_2[[#This Row],[Column1]])</f>
        <v/>
      </c>
    </row>
    <row r="55" ht="45" customHeight="1" s="290">
      <c r="A55" s="30" t="inlineStr">
        <is>
          <t>OBDLink CX Bimmercode Bluetooth 5.1 OBD2 Adapter for BMW/Mini, Works with iPhone/iOS &amp; Android, Car Coding, OBD II Diagnostic Scanner</t>
        </is>
      </c>
      <c r="B55" s="30" t="inlineStr">
        <is>
          <t>B08NFLL3NT</t>
        </is>
      </c>
      <c r="C55" s="30" t="inlineStr">
        <is>
          <t>Dongle</t>
        </is>
      </c>
      <c r="D55" s="324" t="n">
        <v>79.93206907184705</v>
      </c>
      <c r="E55" s="53" t="n">
        <v>2543869.91</v>
      </c>
      <c r="F55" s="54" t="n">
        <v>259219.7</v>
      </c>
      <c r="G55" s="55" t="n">
        <v>31823</v>
      </c>
      <c r="H55" s="55" t="n">
        <v>3243</v>
      </c>
      <c r="I55" s="55" t="n">
        <v>4326</v>
      </c>
      <c r="J55" s="56" t="n">
        <v>4.6</v>
      </c>
      <c r="K55" s="56" t="inlineStr">
        <is>
          <t>https://amazon.com/dp/B08NFLL3NT</t>
        </is>
      </c>
      <c r="L55" s="34">
        <f>HYPERLINK(OBDLink_2[[#This Row],[Column1]])</f>
        <v/>
      </c>
    </row>
    <row r="56" ht="60" customHeight="1" s="290">
      <c r="A56" s="30" t="inlineStr">
        <is>
          <t>OBDLink LX Bluetooth 3.0 OBD2 Adapter for Motoscan, Torque, Hybrid Assistant (Android Only), OBD II Diagnostic Scanner</t>
        </is>
      </c>
      <c r="B56" s="30" t="inlineStr">
        <is>
          <t>B00H9S71LW</t>
        </is>
      </c>
      <c r="C56" s="30" t="inlineStr">
        <is>
          <t>Dongle</t>
        </is>
      </c>
      <c r="D56" s="324" t="n">
        <v>89.97955390334573</v>
      </c>
      <c r="E56" s="53" t="n">
        <v>654587.6</v>
      </c>
      <c r="F56" s="54" t="n">
        <v>48409</v>
      </c>
      <c r="G56" s="55" t="n">
        <v>7279</v>
      </c>
      <c r="H56" s="55" t="n">
        <v>538</v>
      </c>
      <c r="I56" s="55" t="n">
        <v>7554</v>
      </c>
      <c r="J56" s="56" t="n">
        <v>4.5</v>
      </c>
      <c r="K56" s="56" t="inlineStr">
        <is>
          <t>https://amazon.com/dp/B00H9S71LW</t>
        </is>
      </c>
      <c r="L56" s="34">
        <f>HYPERLINK(OBDLink_2[[#This Row],[Column1]])</f>
        <v/>
      </c>
    </row>
    <row r="57" ht="45" customHeight="1" s="290">
      <c r="A57" s="30" t="n"/>
      <c r="B57" s="30" t="n"/>
      <c r="C57" s="30" t="n"/>
      <c r="D57" s="324" t="n"/>
      <c r="E57" s="53" t="n"/>
      <c r="F57" s="54" t="n"/>
      <c r="G57" s="55" t="n"/>
      <c r="H57" s="55" t="n"/>
      <c r="I57" s="55" t="n"/>
      <c r="J57" s="56" t="n"/>
      <c r="K57" s="56" t="n"/>
      <c r="L57" s="34">
        <f>HYPERLINK(Table544[[#This Row],[Column1]])</f>
        <v/>
      </c>
    </row>
    <row r="58" ht="45" customHeight="1" s="290">
      <c r="A58" s="30" t="n"/>
      <c r="B58" s="30" t="n"/>
      <c r="C58" s="30" t="n"/>
      <c r="D58" s="324" t="n"/>
      <c r="E58" s="53" t="n"/>
      <c r="F58" s="54" t="n"/>
      <c r="G58" s="55" t="n"/>
      <c r="H58" s="55" t="n"/>
      <c r="I58" s="55" t="n"/>
      <c r="J58" s="56" t="n"/>
      <c r="K58" s="56" t="n"/>
      <c r="L58" s="34">
        <f>HYPERLINK(Table544[[#This Row],[Column1]])</f>
        <v/>
      </c>
    </row>
    <row r="59" ht="45" customHeight="1" s="290">
      <c r="A59" s="30" t="n"/>
      <c r="B59" s="30" t="n"/>
      <c r="C59" s="30" t="n"/>
      <c r="D59" s="324" t="n"/>
      <c r="E59" s="53" t="n"/>
      <c r="F59" s="54" t="n"/>
      <c r="G59" s="55" t="n"/>
      <c r="H59" s="55" t="n"/>
      <c r="I59" s="55" t="n"/>
      <c r="J59" s="56" t="n"/>
      <c r="K59" s="56" t="n"/>
      <c r="L59" s="34">
        <f>HYPERLINK(Table544[[#This Row],[Column1]])</f>
        <v/>
      </c>
    </row>
    <row r="60" ht="45" customHeight="1" s="290">
      <c r="A60" s="30" t="n"/>
      <c r="B60" s="30" t="n"/>
      <c r="C60" s="30" t="n"/>
      <c r="D60" s="324" t="n"/>
      <c r="E60" s="53" t="n"/>
      <c r="F60" s="54" t="n"/>
      <c r="G60" s="55" t="n"/>
      <c r="H60" s="55" t="n"/>
      <c r="I60" s="55" t="n"/>
      <c r="J60" s="56" t="n"/>
      <c r="K60" s="56" t="n"/>
      <c r="L60" s="34">
        <f>HYPERLINK(Table544[[#This Row],[Column1]])</f>
        <v/>
      </c>
    </row>
    <row r="61" ht="45" customHeight="1" s="290">
      <c r="A61" s="30" t="n"/>
      <c r="B61" s="30" t="n"/>
      <c r="C61" s="30" t="n"/>
      <c r="D61" s="324" t="n"/>
      <c r="E61" s="53" t="n"/>
      <c r="F61" s="54" t="n"/>
      <c r="G61" s="55" t="n"/>
      <c r="H61" s="55" t="n"/>
      <c r="I61" s="55" t="n"/>
      <c r="J61" s="56" t="n"/>
      <c r="K61" s="56" t="n"/>
      <c r="L61" s="34">
        <f>HYPERLINK(Table544[[#This Row],[Column1]])</f>
        <v/>
      </c>
    </row>
    <row r="62" ht="45" customHeight="1" s="290">
      <c r="A62" s="30" t="n"/>
      <c r="B62" s="30" t="n"/>
      <c r="C62" s="30" t="n"/>
      <c r="D62" s="324" t="n"/>
      <c r="E62" s="53" t="n"/>
      <c r="F62" s="54" t="n"/>
      <c r="G62" s="55" t="n"/>
      <c r="H62" s="55" t="n"/>
      <c r="I62" s="55" t="n"/>
      <c r="J62" s="56" t="n"/>
      <c r="K62" s="56" t="n"/>
      <c r="L62" s="34">
        <f>HYPERLINK(Table544[[#This Row],[Column1]])</f>
        <v/>
      </c>
    </row>
    <row r="63" ht="45" customHeight="1" s="290">
      <c r="A63" s="30" t="n"/>
      <c r="B63" s="30" t="n"/>
      <c r="C63" s="30" t="n"/>
      <c r="D63" s="324" t="n"/>
      <c r="E63" s="53" t="n"/>
      <c r="F63" s="54" t="n"/>
      <c r="G63" s="55" t="n"/>
      <c r="H63" s="55" t="n"/>
      <c r="I63" s="55" t="n"/>
      <c r="J63" s="56" t="n"/>
      <c r="K63" s="56" t="n"/>
      <c r="L63" s="34">
        <f>HYPERLINK(Table544[[#This Row],[Column1]])</f>
        <v/>
      </c>
    </row>
    <row r="64" ht="45" customHeight="1" s="290">
      <c r="A64" s="30" t="n"/>
      <c r="B64" s="30" t="n"/>
      <c r="C64" s="30" t="n"/>
      <c r="D64" s="324" t="n"/>
      <c r="E64" s="53" t="n"/>
      <c r="F64" s="54" t="n"/>
      <c r="G64" s="55" t="n"/>
      <c r="H64" s="55" t="n"/>
      <c r="I64" s="55" t="n"/>
      <c r="J64" s="56" t="n"/>
      <c r="K64" s="56" t="n"/>
      <c r="L64" s="34">
        <f>HYPERLINK(Table544[[#This Row],[Column1]])</f>
        <v/>
      </c>
    </row>
    <row r="65" ht="45" customHeight="1" s="290">
      <c r="A65" s="30" t="n"/>
      <c r="B65" s="30" t="n"/>
      <c r="C65" s="30" t="n"/>
      <c r="D65" s="324" t="n"/>
      <c r="E65" s="53" t="n"/>
      <c r="F65" s="54" t="n"/>
      <c r="G65" s="55" t="n"/>
      <c r="H65" s="55" t="n"/>
      <c r="I65" s="55" t="n"/>
      <c r="J65" s="56" t="n"/>
      <c r="K65" s="56" t="n"/>
      <c r="L65" s="34">
        <f>HYPERLINK(Table544[[#This Row],[Column1]])</f>
        <v/>
      </c>
    </row>
    <row r="66" ht="45" customHeight="1" s="290">
      <c r="A66" s="30" t="n"/>
      <c r="B66" s="30" t="n"/>
      <c r="C66" s="30" t="n"/>
      <c r="D66" s="324" t="n"/>
      <c r="E66" s="53" t="n"/>
      <c r="F66" s="54" t="n"/>
      <c r="G66" s="55" t="n"/>
      <c r="H66" s="55" t="n"/>
      <c r="I66" s="55" t="n"/>
      <c r="J66" s="56" t="n"/>
      <c r="K66" s="56" t="n"/>
      <c r="L66" s="34">
        <f>HYPERLINK(Table544[[#This Row],[Column1]])</f>
        <v/>
      </c>
    </row>
    <row r="67" ht="45" customHeight="1" s="290">
      <c r="A67" s="30" t="n"/>
      <c r="B67" s="30" t="n"/>
      <c r="C67" s="30" t="n"/>
      <c r="D67" s="324" t="n"/>
      <c r="E67" s="53" t="n"/>
      <c r="F67" s="54" t="n"/>
      <c r="G67" s="55" t="n"/>
      <c r="H67" s="55" t="n"/>
      <c r="I67" s="55" t="n"/>
      <c r="J67" s="56" t="n"/>
      <c r="K67" s="56" t="n"/>
      <c r="L67" s="34">
        <f>HYPERLINK(Table544[[#This Row],[Column1]])</f>
        <v/>
      </c>
    </row>
    <row r="68" ht="45" customHeight="1" s="290">
      <c r="A68" s="30" t="n"/>
      <c r="B68" s="30" t="n"/>
      <c r="C68" s="30" t="n"/>
      <c r="D68" s="324" t="n"/>
      <c r="E68" s="53" t="n"/>
      <c r="F68" s="54" t="n"/>
      <c r="G68" s="55" t="n"/>
      <c r="H68" s="55" t="n"/>
      <c r="I68" s="55" t="n"/>
      <c r="J68" s="56" t="n"/>
      <c r="K68" s="56" t="n"/>
      <c r="L68" s="34">
        <f>HYPERLINK(Table544[[#This Row],[Column1]])</f>
        <v/>
      </c>
    </row>
    <row r="69" ht="60" customHeight="1" s="290">
      <c r="A69" s="30" t="n"/>
      <c r="B69" s="30" t="n"/>
      <c r="C69" s="30" t="n"/>
      <c r="D69" s="324" t="n"/>
      <c r="E69" s="53" t="n"/>
      <c r="F69" s="54" t="n"/>
      <c r="G69" s="55" t="n"/>
      <c r="H69" s="55" t="n"/>
      <c r="I69" s="55" t="n"/>
      <c r="J69" s="56" t="n"/>
      <c r="K69" s="56" t="n"/>
      <c r="L69" s="34">
        <f>HYPERLINK(Table544[[#This Row],[Column1]])</f>
        <v/>
      </c>
    </row>
    <row r="70" ht="45" customHeight="1" s="290">
      <c r="A70" s="30" t="n"/>
      <c r="B70" s="30" t="n"/>
      <c r="C70" s="30" t="n"/>
      <c r="D70" s="324" t="n"/>
      <c r="E70" s="53" t="n"/>
      <c r="F70" s="54" t="n"/>
      <c r="G70" s="55" t="n"/>
      <c r="H70" s="55" t="n"/>
      <c r="I70" s="55" t="n"/>
      <c r="J70" s="56" t="n"/>
      <c r="K70" s="56" t="n"/>
      <c r="L70" s="34">
        <f>HYPERLINK(Table544[[#This Row],[Column1]])</f>
        <v/>
      </c>
    </row>
    <row r="71" ht="45" customHeight="1" s="290">
      <c r="A71" s="30" t="n"/>
      <c r="B71" s="30" t="n"/>
      <c r="C71" s="30" t="n"/>
      <c r="D71" s="324" t="n"/>
      <c r="E71" s="53" t="n"/>
      <c r="F71" s="54" t="n"/>
      <c r="G71" s="55" t="n"/>
      <c r="H71" s="55" t="n"/>
      <c r="I71" s="55" t="n"/>
      <c r="J71" s="56" t="n"/>
      <c r="K71" s="56" t="n"/>
      <c r="L71" s="34">
        <f>HYPERLINK(Table544[[#This Row],[Column1]])</f>
        <v/>
      </c>
    </row>
    <row r="72" ht="45" customHeight="1" s="290">
      <c r="A72" s="30" t="n"/>
      <c r="B72" s="30" t="n"/>
      <c r="C72" s="30" t="n"/>
      <c r="D72" s="324" t="n"/>
      <c r="E72" s="53" t="n"/>
      <c r="F72" s="54" t="n"/>
      <c r="G72" s="55" t="n"/>
      <c r="H72" s="55" t="n"/>
      <c r="I72" s="55" t="n"/>
      <c r="J72" s="56" t="n"/>
      <c r="K72" s="56" t="n"/>
      <c r="L72" s="34">
        <f>HYPERLINK(Table544[[#This Row],[Column1]])</f>
        <v/>
      </c>
    </row>
    <row r="73" ht="45" customHeight="1" s="290">
      <c r="A73" s="30" t="n"/>
      <c r="B73" s="30" t="n"/>
      <c r="C73" s="30" t="n"/>
      <c r="D73" s="324" t="n"/>
      <c r="E73" s="53" t="n"/>
      <c r="F73" s="54" t="n"/>
      <c r="G73" s="55" t="n"/>
      <c r="H73" s="55" t="n"/>
      <c r="I73" s="55" t="n"/>
      <c r="J73" s="56" t="n"/>
      <c r="K73" s="56" t="n"/>
      <c r="L73" s="34">
        <f>HYPERLINK(Table544[[#This Row],[Column1]])</f>
        <v/>
      </c>
    </row>
    <row r="74" ht="45" customHeight="1" s="290">
      <c r="A74" s="30" t="n"/>
      <c r="B74" s="30" t="n"/>
      <c r="C74" s="30" t="n"/>
      <c r="D74" s="324" t="n"/>
      <c r="E74" s="53" t="n"/>
      <c r="F74" s="54" t="n"/>
      <c r="G74" s="55" t="n"/>
      <c r="H74" s="55" t="n"/>
      <c r="I74" s="55" t="n"/>
      <c r="J74" s="56" t="n"/>
      <c r="K74" s="56" t="n"/>
      <c r="L74" s="34">
        <f>HYPERLINK(Table544[[#This Row],[Column1]])</f>
        <v/>
      </c>
    </row>
    <row r="75" ht="45" customHeight="1" s="290">
      <c r="A75" s="30" t="n"/>
      <c r="B75" s="30" t="n"/>
      <c r="C75" s="30" t="n"/>
      <c r="D75" s="324" t="n"/>
      <c r="E75" s="53" t="n"/>
      <c r="F75" s="54" t="n"/>
      <c r="G75" s="55" t="n"/>
      <c r="H75" s="55" t="n"/>
      <c r="I75" s="55" t="n"/>
      <c r="J75" s="56" t="n"/>
      <c r="K75" s="56" t="n"/>
      <c r="L75" s="34">
        <f>HYPERLINK(Table544[[#This Row],[Column1]])</f>
        <v/>
      </c>
    </row>
    <row r="76" ht="45" customHeight="1" s="290">
      <c r="A76" s="30" t="n"/>
      <c r="B76" s="30" t="n"/>
      <c r="C76" s="30" t="n"/>
      <c r="D76" s="324" t="n"/>
      <c r="E76" s="53" t="n"/>
      <c r="F76" s="54" t="n"/>
      <c r="G76" s="55" t="n"/>
      <c r="H76" s="55" t="n"/>
      <c r="I76" s="55" t="n"/>
      <c r="J76" s="56" t="n"/>
      <c r="K76" s="56" t="n"/>
      <c r="L76" s="34">
        <f>HYPERLINK(Table544[[#This Row],[Column1]])</f>
        <v/>
      </c>
    </row>
    <row r="77" ht="60" customHeight="1" s="290">
      <c r="A77" s="30" t="n"/>
      <c r="B77" s="30" t="n"/>
      <c r="C77" s="30" t="n"/>
      <c r="D77" s="324" t="n"/>
      <c r="E77" s="53" t="n"/>
      <c r="F77" s="54" t="n"/>
      <c r="G77" s="55" t="n"/>
      <c r="H77" s="55" t="n"/>
      <c r="I77" s="55" t="n"/>
      <c r="J77" s="56" t="n"/>
      <c r="K77" s="56" t="n"/>
      <c r="L77" s="34">
        <f>HYPERLINK(Table544[[#This Row],[Column1]])</f>
        <v/>
      </c>
    </row>
    <row r="78" ht="45" customHeight="1" s="290">
      <c r="A78" s="30" t="n"/>
      <c r="B78" s="30" t="n"/>
      <c r="C78" s="30" t="n"/>
      <c r="D78" s="324" t="n"/>
      <c r="E78" s="53" t="n"/>
      <c r="F78" s="54" t="n"/>
      <c r="G78" s="55" t="n"/>
      <c r="H78" s="55" t="n"/>
      <c r="I78" s="55" t="n"/>
      <c r="J78" s="56" t="n"/>
      <c r="K78" s="56" t="n"/>
      <c r="L78" s="34">
        <f>HYPERLINK(Table544[[#This Row],[Column1]])</f>
        <v/>
      </c>
    </row>
    <row r="79" ht="45" customHeight="1" s="290">
      <c r="A79" s="30" t="n"/>
      <c r="B79" s="30" t="n"/>
      <c r="C79" s="30" t="n"/>
      <c r="D79" s="324" t="n"/>
      <c r="E79" s="53" t="n"/>
      <c r="F79" s="54" t="n"/>
      <c r="G79" s="55" t="n"/>
      <c r="H79" s="55" t="n"/>
      <c r="I79" s="55" t="n"/>
      <c r="J79" s="56" t="n"/>
      <c r="K79" s="56" t="n"/>
      <c r="L79" s="34">
        <f>HYPERLINK(Table544[[#This Row],[Column1]])</f>
        <v/>
      </c>
    </row>
    <row r="80" ht="45" customHeight="1" s="290">
      <c r="A80" s="30" t="n"/>
      <c r="B80" s="30" t="n"/>
      <c r="C80" s="30" t="n"/>
      <c r="D80" s="324" t="n"/>
      <c r="E80" s="53" t="n"/>
      <c r="F80" s="54" t="n"/>
      <c r="G80" s="55" t="n"/>
      <c r="H80" s="55" t="n"/>
      <c r="I80" s="55" t="n"/>
      <c r="J80" s="56" t="n"/>
      <c r="K80" s="56" t="n"/>
      <c r="L80" s="34">
        <f>HYPERLINK(Table544[[#This Row],[Column1]])</f>
        <v/>
      </c>
    </row>
    <row r="81" ht="45" customHeight="1" s="290">
      <c r="A81" s="30" t="n"/>
      <c r="B81" s="30" t="n"/>
      <c r="C81" s="30" t="n"/>
      <c r="D81" s="324" t="n"/>
      <c r="E81" s="53" t="n"/>
      <c r="F81" s="54" t="n"/>
      <c r="G81" s="55" t="n"/>
      <c r="H81" s="55" t="n"/>
      <c r="I81" s="55" t="n"/>
      <c r="J81" s="56" t="n"/>
      <c r="K81" s="56" t="n"/>
      <c r="L81" s="34">
        <f>HYPERLINK(Table544[[#This Row],[Column1]])</f>
        <v/>
      </c>
    </row>
    <row r="82" ht="45" customHeight="1" s="290">
      <c r="A82" s="30" t="n"/>
      <c r="B82" s="30" t="n"/>
      <c r="C82" s="30" t="n"/>
      <c r="D82" s="324" t="n"/>
      <c r="E82" s="53" t="n"/>
      <c r="F82" s="54" t="n"/>
      <c r="G82" s="55" t="n"/>
      <c r="H82" s="55" t="n"/>
      <c r="I82" s="55" t="n"/>
      <c r="J82" s="56" t="n"/>
      <c r="K82" s="56" t="n"/>
      <c r="L82" s="34">
        <f>HYPERLINK(Table544[[#This Row],[Column1]])</f>
        <v/>
      </c>
    </row>
    <row r="83" ht="30" customHeight="1" s="290">
      <c r="A83" s="30" t="n"/>
      <c r="B83" s="30" t="n"/>
      <c r="C83" s="30" t="n"/>
      <c r="D83" s="324" t="n"/>
      <c r="E83" s="53" t="n"/>
      <c r="F83" s="54" t="n"/>
      <c r="G83" s="55" t="n"/>
      <c r="H83" s="55" t="n"/>
      <c r="I83" s="55" t="n"/>
      <c r="J83" s="56" t="n"/>
      <c r="K83" s="56" t="n"/>
      <c r="L83" s="34">
        <f>HYPERLINK(Table544[[#This Row],[Column1]])</f>
        <v/>
      </c>
    </row>
    <row r="84" ht="45" customHeight="1" s="290">
      <c r="A84" s="30" t="n"/>
      <c r="B84" s="30" t="n"/>
      <c r="C84" s="30" t="n"/>
      <c r="D84" s="324" t="n"/>
      <c r="E84" s="53" t="n"/>
      <c r="F84" s="54" t="n"/>
      <c r="G84" s="55" t="n"/>
      <c r="H84" s="55" t="n"/>
      <c r="I84" s="55" t="n"/>
      <c r="J84" s="56" t="n"/>
      <c r="K84" s="56" t="n"/>
      <c r="L84" s="34">
        <f>HYPERLINK(Table544[[#This Row],[Column1]])</f>
        <v/>
      </c>
    </row>
    <row r="85" ht="45" customHeight="1" s="290">
      <c r="A85" s="30" t="n"/>
      <c r="B85" s="30" t="n"/>
      <c r="C85" s="30" t="n"/>
      <c r="D85" s="324" t="n"/>
      <c r="E85" s="53" t="n"/>
      <c r="F85" s="54" t="n"/>
      <c r="G85" s="55" t="n"/>
      <c r="H85" s="55" t="n"/>
      <c r="I85" s="55" t="n"/>
      <c r="J85" s="56" t="n"/>
      <c r="K85" s="56" t="n"/>
      <c r="L85" s="34">
        <f>HYPERLINK(Table544[[#This Row],[Column1]])</f>
        <v/>
      </c>
    </row>
    <row r="86" ht="45" customHeight="1" s="290">
      <c r="A86" s="30" t="n"/>
      <c r="B86" s="30" t="n"/>
      <c r="C86" s="30" t="n"/>
      <c r="D86" s="324" t="n"/>
      <c r="E86" s="53" t="n"/>
      <c r="F86" s="54" t="n"/>
      <c r="G86" s="55" t="n"/>
      <c r="H86" s="55" t="n"/>
      <c r="I86" s="55" t="n"/>
      <c r="J86" s="56" t="n"/>
      <c r="K86" s="56" t="n"/>
      <c r="L86" s="34">
        <f>HYPERLINK(Table544[[#This Row],[Column1]])</f>
        <v/>
      </c>
    </row>
    <row r="87" ht="45" customHeight="1" s="290">
      <c r="A87" s="30" t="n"/>
      <c r="B87" s="30" t="n"/>
      <c r="C87" s="30" t="n"/>
      <c r="D87" s="324" t="n"/>
      <c r="E87" s="53" t="n"/>
      <c r="F87" s="54" t="n"/>
      <c r="G87" s="55" t="n"/>
      <c r="H87" s="55" t="n"/>
      <c r="I87" s="55" t="n"/>
      <c r="J87" s="56" t="n"/>
      <c r="K87" s="56" t="n"/>
      <c r="L87" s="34">
        <f>HYPERLINK(Table544[[#This Row],[Column1]])</f>
        <v/>
      </c>
    </row>
    <row r="88" ht="45" customHeight="1" s="290">
      <c r="A88" s="30" t="n"/>
      <c r="B88" s="30" t="n"/>
      <c r="C88" s="30" t="n"/>
      <c r="D88" s="324" t="n"/>
      <c r="E88" s="53" t="n"/>
      <c r="F88" s="54" t="n"/>
      <c r="G88" s="55" t="n"/>
      <c r="H88" s="55" t="n"/>
      <c r="I88" s="55" t="n"/>
      <c r="J88" s="56" t="n"/>
      <c r="K88" s="56" t="n"/>
      <c r="L88" s="34">
        <f>HYPERLINK(Table544[[#This Row],[Column1]])</f>
        <v/>
      </c>
    </row>
    <row r="89" ht="45" customHeight="1" s="290">
      <c r="A89" s="30" t="n"/>
      <c r="B89" s="30" t="n"/>
      <c r="C89" s="30" t="n"/>
      <c r="D89" s="324" t="n"/>
      <c r="E89" s="53" t="n"/>
      <c r="F89" s="54" t="n"/>
      <c r="G89" s="55" t="n"/>
      <c r="H89" s="55" t="n"/>
      <c r="I89" s="55" t="n"/>
      <c r="J89" s="56" t="n"/>
      <c r="K89" s="56" t="n"/>
      <c r="L89" s="34">
        <f>HYPERLINK(Table544[[#This Row],[Column1]])</f>
        <v/>
      </c>
    </row>
    <row r="90" ht="45" customHeight="1" s="290">
      <c r="A90" s="30" t="n"/>
      <c r="B90" s="30" t="n"/>
      <c r="C90" s="30" t="n"/>
      <c r="D90" s="324" t="n"/>
      <c r="E90" s="53" t="n"/>
      <c r="F90" s="54" t="n"/>
      <c r="G90" s="55" t="n"/>
      <c r="H90" s="55" t="n"/>
      <c r="I90" s="55" t="n"/>
      <c r="J90" s="56" t="n"/>
      <c r="K90" s="56" t="n"/>
      <c r="L90" s="34">
        <f>HYPERLINK(Table544[[#This Row],[Column1]])</f>
        <v/>
      </c>
    </row>
    <row r="91" ht="45" customHeight="1" s="290">
      <c r="A91" s="30" t="n"/>
      <c r="B91" s="30" t="n"/>
      <c r="C91" s="30" t="n"/>
      <c r="D91" s="324" t="n"/>
      <c r="E91" s="53" t="n"/>
      <c r="F91" s="54" t="n"/>
      <c r="G91" s="55" t="n"/>
      <c r="H91" s="55" t="n"/>
      <c r="I91" s="55" t="n"/>
      <c r="J91" s="56" t="n"/>
      <c r="K91" s="56" t="n"/>
      <c r="L91" s="34">
        <f>HYPERLINK(Table544[[#This Row],[Column1]])</f>
        <v/>
      </c>
    </row>
    <row r="92" ht="45" customHeight="1" s="290">
      <c r="A92" s="30" t="n"/>
      <c r="B92" s="30" t="n"/>
      <c r="C92" s="30" t="n"/>
      <c r="D92" s="324" t="n"/>
      <c r="E92" s="53" t="n"/>
      <c r="F92" s="54" t="n"/>
      <c r="G92" s="55" t="n"/>
      <c r="H92" s="55" t="n"/>
      <c r="I92" s="55" t="n"/>
      <c r="J92" s="56" t="n"/>
      <c r="K92" s="56" t="n"/>
      <c r="L92" s="34">
        <f>HYPERLINK(Table544[[#This Row],[Column1]])</f>
        <v/>
      </c>
    </row>
    <row r="93" ht="45" customHeight="1" s="290">
      <c r="A93" s="30" t="n"/>
      <c r="B93" s="30" t="n"/>
      <c r="C93" s="30" t="n"/>
      <c r="D93" s="324" t="n"/>
      <c r="E93" s="53" t="n"/>
      <c r="F93" s="54" t="n"/>
      <c r="G93" s="55" t="n"/>
      <c r="H93" s="55" t="n"/>
      <c r="I93" s="55" t="n"/>
      <c r="J93" s="56" t="n"/>
      <c r="K93" s="56" t="n"/>
      <c r="L93" s="34">
        <f>HYPERLINK(Table544[[#This Row],[Column1]])</f>
        <v/>
      </c>
    </row>
    <row r="94" ht="60" customHeight="1" s="290">
      <c r="A94" s="30" t="n"/>
      <c r="B94" s="30" t="n"/>
      <c r="C94" s="30" t="n"/>
      <c r="D94" s="324" t="n"/>
      <c r="E94" s="53" t="n"/>
      <c r="F94" s="54" t="n"/>
      <c r="G94" s="55" t="n"/>
      <c r="H94" s="55" t="n"/>
      <c r="I94" s="55" t="n"/>
      <c r="J94" s="56" t="n"/>
      <c r="K94" s="56" t="n"/>
      <c r="L94" s="34">
        <f>HYPERLINK(Table544[[#This Row],[Column1]])</f>
        <v/>
      </c>
    </row>
    <row r="95" ht="45" customHeight="1" s="290">
      <c r="A95" s="30" t="n"/>
      <c r="B95" s="30" t="n"/>
      <c r="C95" s="30" t="n"/>
      <c r="D95" s="324" t="n"/>
      <c r="E95" s="53" t="n"/>
      <c r="F95" s="54" t="n"/>
      <c r="G95" s="55" t="n"/>
      <c r="H95" s="55" t="n"/>
      <c r="I95" s="55" t="n"/>
      <c r="J95" s="56" t="n"/>
      <c r="K95" s="56" t="n"/>
      <c r="L95" s="34">
        <f>HYPERLINK(Table544[[#This Row],[Column1]])</f>
        <v/>
      </c>
    </row>
    <row r="96" ht="45" customHeight="1" s="290">
      <c r="A96" s="30" t="n"/>
      <c r="B96" s="30" t="n"/>
      <c r="C96" s="30" t="n"/>
      <c r="D96" s="324" t="n"/>
      <c r="E96" s="53" t="n"/>
      <c r="F96" s="54" t="n"/>
      <c r="G96" s="55" t="n"/>
      <c r="H96" s="55" t="n"/>
      <c r="I96" s="55" t="n"/>
      <c r="J96" s="56" t="n"/>
      <c r="K96" s="56" t="n"/>
      <c r="L96" s="34">
        <f>HYPERLINK(Table544[[#This Row],[Column1]])</f>
        <v/>
      </c>
    </row>
    <row r="97" ht="45" customHeight="1" s="290">
      <c r="A97" s="30" t="n"/>
      <c r="B97" s="30" t="n"/>
      <c r="C97" s="30" t="n"/>
      <c r="D97" s="324" t="n"/>
      <c r="E97" s="53" t="n"/>
      <c r="F97" s="54" t="n"/>
      <c r="G97" s="55" t="n"/>
      <c r="H97" s="55" t="n"/>
      <c r="I97" s="55" t="n"/>
      <c r="J97" s="56" t="n"/>
      <c r="K97" s="56" t="n"/>
      <c r="L97" s="34">
        <f>HYPERLINK(Table544[[#This Row],[Column1]])</f>
        <v/>
      </c>
    </row>
    <row r="98" ht="60" customHeight="1" s="290">
      <c r="A98" s="30" t="n"/>
      <c r="B98" s="30" t="n"/>
      <c r="C98" s="30" t="n"/>
      <c r="D98" s="324" t="n"/>
      <c r="E98" s="53" t="n"/>
      <c r="F98" s="54" t="n"/>
      <c r="G98" s="55" t="n"/>
      <c r="H98" s="55" t="n"/>
      <c r="I98" s="55" t="n"/>
      <c r="J98" s="56" t="n"/>
      <c r="K98" s="56" t="n"/>
      <c r="L98" s="34">
        <f>HYPERLINK(Table544[[#This Row],[Column1]])</f>
        <v/>
      </c>
    </row>
    <row r="99" ht="45" customHeight="1" s="290">
      <c r="A99" s="30" t="n"/>
      <c r="B99" s="30" t="n"/>
      <c r="C99" s="30" t="n"/>
      <c r="D99" s="324" t="n"/>
      <c r="E99" s="53" t="n"/>
      <c r="F99" s="54" t="n"/>
      <c r="G99" s="55" t="n"/>
      <c r="H99" s="55" t="n"/>
      <c r="I99" s="55" t="n"/>
      <c r="J99" s="56" t="n"/>
      <c r="K99" s="56" t="n"/>
      <c r="L99" s="34">
        <f>HYPERLINK(Table544[[#This Row],[Column1]])</f>
        <v/>
      </c>
    </row>
    <row r="100" ht="45" customHeight="1" s="290">
      <c r="A100" s="30" t="n"/>
      <c r="B100" s="30" t="n"/>
      <c r="C100" s="30" t="n"/>
      <c r="D100" s="324" t="n"/>
      <c r="E100" s="53" t="n"/>
      <c r="F100" s="54" t="n"/>
      <c r="G100" s="55" t="n"/>
      <c r="H100" s="55" t="n"/>
      <c r="I100" s="55" t="n"/>
      <c r="J100" s="56" t="n"/>
      <c r="K100" s="56" t="n"/>
      <c r="L100" s="34">
        <f>HYPERLINK(Table544[[#This Row],[Column1]])</f>
        <v/>
      </c>
    </row>
    <row r="101" ht="45" customHeight="1" s="290">
      <c r="A101" s="30" t="n"/>
      <c r="B101" s="30" t="n"/>
      <c r="C101" s="30" t="n"/>
      <c r="D101" s="324" t="n"/>
      <c r="E101" s="53" t="n"/>
      <c r="F101" s="54" t="n"/>
      <c r="G101" s="55" t="n"/>
      <c r="H101" s="55" t="n"/>
      <c r="I101" s="55" t="n"/>
      <c r="J101" s="56" t="n"/>
      <c r="K101" s="56" t="n"/>
      <c r="L101" s="34">
        <f>HYPERLINK(Table544[[#This Row],[Column1]])</f>
        <v/>
      </c>
    </row>
    <row r="102" ht="45" customHeight="1" s="290">
      <c r="A102" s="30" t="n"/>
      <c r="B102" s="30" t="n"/>
      <c r="C102" s="30" t="n"/>
      <c r="D102" s="324" t="n"/>
      <c r="E102" s="53" t="n"/>
      <c r="F102" s="54" t="n"/>
      <c r="G102" s="55" t="n"/>
      <c r="H102" s="55" t="n"/>
      <c r="I102" s="55" t="n"/>
      <c r="J102" s="56" t="n"/>
      <c r="K102" s="56" t="n"/>
      <c r="L102" s="34">
        <f>HYPERLINK(Table544[[#This Row],[Column1]])</f>
        <v/>
      </c>
    </row>
    <row r="103" ht="45" customHeight="1" s="290">
      <c r="A103" s="30" t="n"/>
      <c r="B103" s="30" t="n"/>
      <c r="C103" s="30" t="n"/>
      <c r="D103" s="324" t="n"/>
      <c r="E103" s="53" t="n"/>
      <c r="F103" s="54" t="n"/>
      <c r="G103" s="55" t="n"/>
      <c r="H103" s="55" t="n"/>
      <c r="I103" s="55" t="n"/>
      <c r="J103" s="56" t="n"/>
      <c r="K103" s="56" t="n"/>
      <c r="L103" s="34">
        <f>HYPERLINK(Table544[[#This Row],[Column1]])</f>
        <v/>
      </c>
    </row>
    <row r="104" ht="45" customHeight="1" s="290">
      <c r="A104" s="30" t="n"/>
      <c r="B104" s="30" t="n"/>
      <c r="C104" s="30" t="n"/>
      <c r="D104" s="324" t="n"/>
      <c r="E104" s="53" t="n"/>
      <c r="F104" s="54" t="n"/>
      <c r="G104" s="55" t="n"/>
      <c r="H104" s="55" t="n"/>
      <c r="I104" s="55" t="n"/>
      <c r="J104" s="56" t="n"/>
      <c r="K104" s="56" t="n"/>
      <c r="L104" s="34">
        <f>HYPERLINK(Table544[[#This Row],[Column1]])</f>
        <v/>
      </c>
    </row>
    <row r="105" ht="45" customHeight="1" s="290">
      <c r="A105" s="30" t="n"/>
      <c r="B105" s="30" t="n"/>
      <c r="C105" s="30" t="n"/>
      <c r="D105" s="324" t="n"/>
      <c r="E105" s="53" t="n"/>
      <c r="F105" s="54" t="n"/>
      <c r="G105" s="55" t="n"/>
      <c r="H105" s="55" t="n"/>
      <c r="I105" s="55" t="n"/>
      <c r="J105" s="56" t="n"/>
      <c r="K105" s="56" t="n"/>
      <c r="L105" s="34">
        <f>HYPERLINK(Table544[[#This Row],[Column1]])</f>
        <v/>
      </c>
    </row>
    <row r="106" ht="45" customHeight="1" s="290">
      <c r="A106" s="30" t="n"/>
      <c r="B106" s="30" t="n"/>
      <c r="C106" s="30" t="n"/>
      <c r="D106" s="324" t="n"/>
      <c r="E106" s="53" t="n"/>
      <c r="F106" s="54" t="n"/>
      <c r="G106" s="55" t="n"/>
      <c r="H106" s="55" t="n"/>
      <c r="I106" s="55" t="n"/>
      <c r="J106" s="56" t="n"/>
      <c r="K106" s="56" t="n"/>
      <c r="L106" s="34">
        <f>HYPERLINK(Table544[[#This Row],[Column1]])</f>
        <v/>
      </c>
    </row>
    <row r="107" ht="60" customHeight="1" s="290">
      <c r="A107" s="30" t="n"/>
      <c r="B107" s="30" t="n"/>
      <c r="C107" s="30" t="n"/>
      <c r="D107" s="324" t="n"/>
      <c r="E107" s="53" t="n"/>
      <c r="F107" s="54" t="n"/>
      <c r="G107" s="55" t="n"/>
      <c r="H107" s="55" t="n"/>
      <c r="I107" s="55" t="n"/>
      <c r="J107" s="56" t="n"/>
      <c r="K107" s="56" t="n"/>
      <c r="L107" s="34">
        <f>HYPERLINK(Table544[[#This Row],[Column1]])</f>
        <v/>
      </c>
    </row>
    <row r="108" ht="45" customHeight="1" s="290">
      <c r="A108" s="30" t="n"/>
      <c r="B108" s="30" t="n"/>
      <c r="C108" s="30" t="n"/>
      <c r="D108" s="324" t="n"/>
      <c r="E108" s="53" t="n"/>
      <c r="F108" s="54" t="n"/>
      <c r="G108" s="55" t="n"/>
      <c r="H108" s="55" t="n"/>
      <c r="I108" s="55" t="n"/>
      <c r="J108" s="56" t="n"/>
      <c r="K108" s="56" t="n"/>
      <c r="L108" s="34">
        <f>HYPERLINK(Table544[[#This Row],[Column1]])</f>
        <v/>
      </c>
    </row>
    <row r="109" ht="45" customHeight="1" s="290">
      <c r="A109" s="30" t="n"/>
      <c r="B109" s="30" t="n"/>
      <c r="C109" s="30" t="n"/>
      <c r="D109" s="324" t="n"/>
      <c r="E109" s="53" t="n"/>
      <c r="F109" s="54" t="n"/>
      <c r="G109" s="55" t="n"/>
      <c r="H109" s="55" t="n"/>
      <c r="I109" s="55" t="n"/>
      <c r="J109" s="56" t="n"/>
      <c r="K109" s="56" t="n"/>
      <c r="L109" s="34">
        <f>HYPERLINK(Table544[[#This Row],[Column1]])</f>
        <v/>
      </c>
    </row>
    <row r="110" ht="45" customHeight="1" s="290">
      <c r="A110" s="30" t="n"/>
      <c r="B110" s="30" t="n"/>
      <c r="C110" s="30" t="n"/>
      <c r="D110" s="324" t="n"/>
      <c r="E110" s="53" t="n"/>
      <c r="F110" s="54" t="n"/>
      <c r="G110" s="55" t="n"/>
      <c r="H110" s="55" t="n"/>
      <c r="I110" s="55" t="n"/>
      <c r="J110" s="56" t="n"/>
      <c r="K110" s="56" t="n"/>
      <c r="L110" s="34">
        <f>HYPERLINK(Table544[[#This Row],[Column1]])</f>
        <v/>
      </c>
    </row>
    <row r="111" ht="45" customHeight="1" s="290">
      <c r="A111" s="30" t="n"/>
      <c r="B111" s="30" t="n"/>
      <c r="C111" s="30" t="n"/>
      <c r="D111" s="324" t="n"/>
      <c r="E111" s="53" t="n"/>
      <c r="F111" s="54" t="n"/>
      <c r="G111" s="55" t="n"/>
      <c r="H111" s="55" t="n"/>
      <c r="I111" s="55" t="n"/>
      <c r="J111" s="56" t="n"/>
      <c r="K111" s="56" t="n"/>
      <c r="L111" s="34">
        <f>HYPERLINK(Table544[[#This Row],[Column1]])</f>
        <v/>
      </c>
    </row>
    <row r="112" ht="45" customHeight="1" s="290">
      <c r="A112" s="30" t="n"/>
      <c r="B112" s="30" t="n"/>
      <c r="C112" s="30" t="n"/>
      <c r="D112" s="324" t="n"/>
      <c r="E112" s="53" t="n"/>
      <c r="F112" s="54" t="n"/>
      <c r="G112" s="55" t="n"/>
      <c r="H112" s="55" t="n"/>
      <c r="I112" s="55" t="n"/>
      <c r="J112" s="56" t="n"/>
      <c r="K112" s="56" t="n"/>
      <c r="L112" s="34">
        <f>HYPERLINK(Table544[[#This Row],[Column1]])</f>
        <v/>
      </c>
    </row>
    <row r="113" ht="45" customHeight="1" s="290">
      <c r="A113" s="30" t="n"/>
      <c r="B113" s="30" t="n"/>
      <c r="C113" s="30" t="n"/>
      <c r="D113" s="324" t="n"/>
      <c r="E113" s="53" t="n"/>
      <c r="F113" s="54" t="n"/>
      <c r="G113" s="55" t="n"/>
      <c r="H113" s="55" t="n"/>
      <c r="I113" s="55" t="n"/>
      <c r="J113" s="56" t="n"/>
      <c r="K113" s="56" t="n"/>
      <c r="L113" s="34">
        <f>HYPERLINK(Table544[[#This Row],[Column1]])</f>
        <v/>
      </c>
    </row>
    <row r="114" ht="45" customHeight="1" s="290">
      <c r="A114" s="30" t="n"/>
      <c r="B114" s="30" t="n"/>
      <c r="C114" s="30" t="n"/>
      <c r="D114" s="324" t="n"/>
      <c r="E114" s="53" t="n"/>
      <c r="F114" s="54" t="n"/>
      <c r="G114" s="55" t="n"/>
      <c r="H114" s="55" t="n"/>
      <c r="I114" s="55" t="n"/>
      <c r="J114" s="56" t="n"/>
      <c r="K114" s="56" t="n"/>
      <c r="L114" s="34">
        <f>HYPERLINK(Table544[[#This Row],[Column1]])</f>
        <v/>
      </c>
    </row>
    <row r="115" ht="45" customHeight="1" s="290">
      <c r="A115" s="30" t="n"/>
      <c r="B115" s="30" t="n"/>
      <c r="C115" s="30" t="n"/>
      <c r="D115" s="324" t="n"/>
      <c r="E115" s="53" t="n"/>
      <c r="F115" s="54" t="n"/>
      <c r="G115" s="55" t="n"/>
      <c r="H115" s="55" t="n"/>
      <c r="I115" s="55" t="n"/>
      <c r="J115" s="56" t="n"/>
      <c r="K115" s="56" t="n"/>
      <c r="L115" s="34">
        <f>HYPERLINK(Table544[[#This Row],[Column1]])</f>
        <v/>
      </c>
    </row>
    <row r="116" ht="30" customHeight="1" s="290">
      <c r="A116" s="30" t="n"/>
      <c r="B116" s="30" t="n"/>
      <c r="C116" s="30" t="n"/>
      <c r="D116" s="324" t="n"/>
      <c r="E116" s="53" t="n"/>
      <c r="F116" s="54" t="n"/>
      <c r="G116" s="55" t="n"/>
      <c r="H116" s="55" t="n"/>
      <c r="I116" s="55" t="n"/>
      <c r="J116" s="56" t="n"/>
      <c r="K116" s="56" t="n"/>
      <c r="L116" s="34">
        <f>HYPERLINK(Table544[[#This Row],[Column1]])</f>
        <v/>
      </c>
    </row>
    <row r="117" ht="30" customHeight="1" s="290">
      <c r="A117" s="30" t="n"/>
      <c r="B117" s="30" t="n"/>
      <c r="C117" s="30" t="n"/>
      <c r="D117" s="324" t="n"/>
      <c r="E117" s="53" t="n"/>
      <c r="F117" s="54" t="n"/>
      <c r="G117" s="55" t="n"/>
      <c r="H117" s="55" t="n"/>
      <c r="I117" s="55" t="n"/>
      <c r="J117" s="56" t="n"/>
      <c r="K117" s="56" t="n"/>
      <c r="L117" s="34">
        <f>HYPERLINK(Table544[[#This Row],[Column1]])</f>
        <v/>
      </c>
    </row>
    <row r="118" ht="45" customHeight="1" s="290">
      <c r="A118" s="30" t="n"/>
      <c r="B118" s="30" t="n"/>
      <c r="C118" s="30" t="n"/>
      <c r="D118" s="324" t="n"/>
      <c r="E118" s="53" t="n"/>
      <c r="F118" s="54" t="n"/>
      <c r="G118" s="55" t="n"/>
      <c r="H118" s="55" t="n"/>
      <c r="I118" s="55" t="n"/>
      <c r="J118" s="56" t="n"/>
      <c r="K118" s="56" t="n"/>
      <c r="L118" s="34">
        <f>HYPERLINK(Table544[[#This Row],[Column1]])</f>
        <v/>
      </c>
    </row>
    <row r="119" ht="45" customHeight="1" s="290">
      <c r="A119" s="30" t="n"/>
      <c r="B119" s="30" t="n"/>
      <c r="C119" s="30" t="n"/>
      <c r="D119" s="324" t="n"/>
      <c r="E119" s="53" t="n"/>
      <c r="F119" s="54" t="n"/>
      <c r="G119" s="55" t="n"/>
      <c r="H119" s="55" t="n"/>
      <c r="I119" s="55" t="n"/>
      <c r="J119" s="56" t="n"/>
      <c r="K119" s="56" t="n"/>
      <c r="L119" s="34">
        <f>HYPERLINK(Table544[[#This Row],[Column1]])</f>
        <v/>
      </c>
    </row>
    <row r="120" ht="60" customHeight="1" s="290">
      <c r="A120" s="30" t="n"/>
      <c r="B120" s="30" t="n"/>
      <c r="C120" s="30" t="n"/>
      <c r="D120" s="324" t="n"/>
      <c r="E120" s="53" t="n"/>
      <c r="F120" s="54" t="n"/>
      <c r="G120" s="55" t="n"/>
      <c r="H120" s="55" t="n"/>
      <c r="I120" s="55" t="n"/>
      <c r="J120" s="56" t="n"/>
      <c r="K120" s="56" t="n"/>
      <c r="L120" s="34">
        <f>HYPERLINK(Table544[[#This Row],[Column1]])</f>
        <v/>
      </c>
    </row>
    <row r="121" ht="45" customHeight="1" s="290">
      <c r="A121" s="30" t="n"/>
      <c r="B121" s="30" t="n"/>
      <c r="C121" s="30" t="n"/>
      <c r="D121" s="324" t="n"/>
      <c r="E121" s="53" t="n"/>
      <c r="F121" s="54" t="n"/>
      <c r="G121" s="55" t="n"/>
      <c r="H121" s="55" t="n"/>
      <c r="I121" s="55" t="n"/>
      <c r="J121" s="56" t="n"/>
      <c r="K121" s="56" t="n"/>
      <c r="L121" s="34">
        <f>HYPERLINK(Table544[[#This Row],[Column1]])</f>
        <v/>
      </c>
    </row>
    <row r="122" ht="45" customHeight="1" s="290">
      <c r="A122" s="30" t="n"/>
      <c r="B122" s="30" t="n"/>
      <c r="C122" s="30" t="n"/>
      <c r="D122" s="324" t="n"/>
      <c r="E122" s="53" t="n"/>
      <c r="F122" s="54" t="n"/>
      <c r="G122" s="55" t="n"/>
      <c r="H122" s="55" t="n"/>
      <c r="I122" s="55" t="n"/>
      <c r="J122" s="56" t="n"/>
      <c r="K122" s="56" t="n"/>
      <c r="L122" s="34">
        <f>HYPERLINK(Table544[[#This Row],[Column1]])</f>
        <v/>
      </c>
    </row>
    <row r="123" ht="45" customHeight="1" s="290">
      <c r="A123" s="30" t="n"/>
      <c r="B123" s="30" t="n"/>
      <c r="C123" s="30" t="n"/>
      <c r="D123" s="324" t="n"/>
      <c r="E123" s="53" t="n"/>
      <c r="F123" s="54" t="n"/>
      <c r="G123" s="55" t="n"/>
      <c r="H123" s="55" t="n"/>
      <c r="I123" s="55" t="n"/>
      <c r="J123" s="56" t="n"/>
      <c r="K123" s="56" t="n"/>
      <c r="L123" s="34">
        <f>HYPERLINK(Table544[[#This Row],[Column1]])</f>
        <v/>
      </c>
    </row>
    <row r="124" ht="17" customHeight="1" s="290">
      <c r="A124" s="30" t="n"/>
      <c r="B124" s="30" t="n"/>
      <c r="C124" s="30" t="n"/>
      <c r="D124" s="324" t="n"/>
      <c r="E124" s="53" t="n"/>
      <c r="F124" s="54" t="n"/>
      <c r="G124" s="55" t="n"/>
      <c r="H124" s="55" t="n"/>
      <c r="I124" s="55" t="n"/>
      <c r="J124" s="56" t="n"/>
      <c r="K124" s="56" t="n"/>
      <c r="L124" s="34">
        <f>HYPERLINK(Table544[[#This Row],[Column1]])</f>
        <v/>
      </c>
    </row>
    <row r="125" ht="30" customHeight="1" s="290">
      <c r="A125" s="30" t="n"/>
      <c r="B125" s="30" t="n"/>
      <c r="C125" s="30" t="n"/>
      <c r="D125" s="324" t="n"/>
      <c r="E125" s="53" t="n"/>
      <c r="F125" s="54" t="n"/>
      <c r="G125" s="55" t="n"/>
      <c r="H125" s="55" t="n"/>
      <c r="I125" s="55" t="n"/>
      <c r="J125" s="56" t="n"/>
      <c r="K125" s="56" t="n"/>
      <c r="L125" s="34">
        <f>HYPERLINK(Table544[[#This Row],[Column1]])</f>
        <v/>
      </c>
    </row>
    <row r="126" ht="45" customHeight="1" s="290">
      <c r="A126" s="30" t="n"/>
      <c r="B126" s="30" t="n"/>
      <c r="C126" s="30" t="n"/>
      <c r="D126" s="324" t="n"/>
      <c r="E126" s="53" t="n"/>
      <c r="F126" s="54" t="n"/>
      <c r="G126" s="55" t="n"/>
      <c r="H126" s="55" t="n"/>
      <c r="I126" s="55" t="n"/>
      <c r="J126" s="56" t="n"/>
      <c r="K126" s="56" t="n"/>
      <c r="L126" s="34">
        <f>HYPERLINK(Table544[[#This Row],[Column1]])</f>
        <v/>
      </c>
    </row>
    <row r="127" ht="45" customHeight="1" s="290">
      <c r="A127" s="30" t="n"/>
      <c r="B127" s="30" t="n"/>
      <c r="C127" s="30" t="n"/>
      <c r="D127" s="324" t="n"/>
      <c r="E127" s="53" t="n"/>
      <c r="F127" s="54" t="n"/>
      <c r="G127" s="55" t="n"/>
      <c r="H127" s="55" t="n"/>
      <c r="I127" s="55" t="n"/>
      <c r="J127" s="56" t="n"/>
      <c r="K127" s="56" t="n"/>
      <c r="L127" s="34">
        <f>HYPERLINK(Table544[[#This Row],[Column1]])</f>
        <v/>
      </c>
    </row>
    <row r="128" ht="17" customHeight="1" s="290">
      <c r="A128" s="33" t="inlineStr">
        <is>
          <t>Total</t>
        </is>
      </c>
      <c r="B128" s="32" t="n"/>
      <c r="C128" s="325" t="n"/>
      <c r="D128" s="325" t="n"/>
      <c r="E128" s="59">
        <f>SUM(Table544[Estimated 12mo Revenue])</f>
        <v/>
      </c>
      <c r="F128" s="59">
        <f>SUM(Table544[Monthly Rev])</f>
        <v/>
      </c>
      <c r="I128" s="286" t="n"/>
      <c r="J128" s="287" t="n"/>
    </row>
    <row r="131">
      <c r="A131" s="283" t="inlineStr">
        <is>
          <t>Rank by Units</t>
        </is>
      </c>
    </row>
    <row r="132" ht="17" customHeight="1" s="290">
      <c r="A132" s="38" t="inlineStr">
        <is>
          <t>Product Name</t>
        </is>
      </c>
      <c r="B132" s="39" t="inlineStr">
        <is>
          <t>ASIN</t>
        </is>
      </c>
      <c r="C132" s="39" t="inlineStr">
        <is>
          <t>Type</t>
        </is>
      </c>
      <c r="D132" s="322" t="inlineStr">
        <is>
          <t>Avg Price</t>
        </is>
      </c>
      <c r="E132" s="41" t="inlineStr">
        <is>
          <t>Estimated 12mo Revenue</t>
        </is>
      </c>
      <c r="F132" s="39" t="inlineStr">
        <is>
          <t>Monthly Rev</t>
        </is>
      </c>
      <c r="G132" s="42" t="inlineStr">
        <is>
          <t>Estimated 12mo Units</t>
        </is>
      </c>
      <c r="H132" s="45" t="inlineStr">
        <is>
          <t>Monthly Units</t>
        </is>
      </c>
      <c r="I132" s="42" t="inlineStr">
        <is>
          <t># of Reviews</t>
        </is>
      </c>
      <c r="J132" s="43" t="inlineStr">
        <is>
          <t xml:space="preserve">Tool Rating </t>
        </is>
      </c>
      <c r="K132" s="43" t="inlineStr">
        <is>
          <t>Column1</t>
        </is>
      </c>
      <c r="L132" s="323" t="inlineStr">
        <is>
          <t>Link</t>
        </is>
      </c>
    </row>
    <row r="133" ht="45" customHeight="1" s="290">
      <c r="A133" s="30" t="inlineStr">
        <is>
          <t>OBDLink EX FORScan OBD Adapter</t>
        </is>
      </c>
      <c r="B133" s="30" t="inlineStr">
        <is>
          <t>B081VQVD3F</t>
        </is>
      </c>
      <c r="C133" s="30" t="inlineStr">
        <is>
          <t>Cable/Adapter</t>
        </is>
      </c>
      <c r="D133" s="324" t="n">
        <v>69.9357231857215</v>
      </c>
      <c r="E133" s="53" t="n">
        <v>4332347.02</v>
      </c>
      <c r="F133" s="53" t="n">
        <v>415348.26</v>
      </c>
      <c r="G133" s="55" t="n">
        <v>64051</v>
      </c>
      <c r="H133" s="57" t="n">
        <v>5939</v>
      </c>
      <c r="I133" s="55" t="n">
        <v>9945</v>
      </c>
      <c r="J133" s="56" t="n">
        <v>4.8</v>
      </c>
      <c r="K133" s="56" t="inlineStr">
        <is>
          <t>https://amazon.com/dp/B081VQVD3F</t>
        </is>
      </c>
      <c r="L133" s="34">
        <f>HYPERLINK(OBDLink_1[[#This Row],[Column1]])</f>
        <v/>
      </c>
    </row>
    <row r="134" ht="45" customHeight="1" s="290">
      <c r="A134" s="30" t="inlineStr">
        <is>
          <t>OBDLink MX+ OBD2 Bluetooth Scanner for iPhone, Android, and Windows</t>
        </is>
      </c>
      <c r="B134" s="30" t="inlineStr">
        <is>
          <t>B07JFRFJG6</t>
        </is>
      </c>
      <c r="C134" s="30" t="inlineStr">
        <is>
          <t>Dongle</t>
        </is>
      </c>
      <c r="D134" s="324" t="n">
        <v>139.9370678733032</v>
      </c>
      <c r="E134" s="53" t="n">
        <v>8184360.079999999</v>
      </c>
      <c r="F134" s="53" t="n">
        <v>773152.3</v>
      </c>
      <c r="G134" s="55" t="n">
        <v>58485</v>
      </c>
      <c r="H134" s="57" t="n">
        <v>5525</v>
      </c>
      <c r="I134" s="55" t="n">
        <v>15161</v>
      </c>
      <c r="J134" s="56" t="n">
        <v>4.6</v>
      </c>
      <c r="K134" s="56" t="inlineStr">
        <is>
          <t>https://amazon.com/dp/B07JFRFJG6</t>
        </is>
      </c>
      <c r="L134" s="34">
        <f>HYPERLINK(OBDLink_1[[#This Row],[Column1]])</f>
        <v/>
      </c>
    </row>
    <row r="135" ht="45" customHeight="1" s="290">
      <c r="A135" s="30" t="inlineStr">
        <is>
          <t>OBDLink CX Bimmercode Bluetooth 5.1 OBD2 Adapter for BMW/Mini, Works with iPhone/iOS &amp; Android, Car Coding, OBD II Diagnostic Scanner</t>
        </is>
      </c>
      <c r="B135" s="30" t="inlineStr">
        <is>
          <t>B08NFLL3NT</t>
        </is>
      </c>
      <c r="C135" s="30" t="inlineStr">
        <is>
          <t>Dongle</t>
        </is>
      </c>
      <c r="D135" s="324" t="n">
        <v>79.93206907184705</v>
      </c>
      <c r="E135" s="53" t="n">
        <v>2543869.91</v>
      </c>
      <c r="F135" s="53" t="n">
        <v>259219.7</v>
      </c>
      <c r="G135" s="55" t="n">
        <v>31823</v>
      </c>
      <c r="H135" s="57" t="n">
        <v>3243</v>
      </c>
      <c r="I135" s="55" t="n">
        <v>4326</v>
      </c>
      <c r="J135" s="56" t="n">
        <v>4.6</v>
      </c>
      <c r="K135" s="56" t="inlineStr">
        <is>
          <t>https://amazon.com/dp/B08NFLL3NT</t>
        </is>
      </c>
      <c r="L135" s="34">
        <f>HYPERLINK(OBDLink_1[[#This Row],[Column1]])</f>
        <v/>
      </c>
    </row>
    <row r="136" ht="45" customHeight="1" s="290">
      <c r="A136" s="30" t="inlineStr">
        <is>
          <t>OBDLink LX Bluetooth 3.0 OBD2 Adapter for Motoscan, Torque, Hybrid Assistant (Android Only), OBD II Diagnostic Scanner</t>
        </is>
      </c>
      <c r="B136" s="30" t="inlineStr">
        <is>
          <t>B00H9S71LW</t>
        </is>
      </c>
      <c r="C136" s="30" t="inlineStr">
        <is>
          <t>Dongle</t>
        </is>
      </c>
      <c r="D136" s="324" t="n">
        <v>89.97955390334573</v>
      </c>
      <c r="E136" s="53" t="n">
        <v>654587.6</v>
      </c>
      <c r="F136" s="53" t="n">
        <v>48409</v>
      </c>
      <c r="G136" s="55" t="n">
        <v>7279</v>
      </c>
      <c r="H136" s="57" t="n">
        <v>538</v>
      </c>
      <c r="I136" s="55" t="n">
        <v>7554</v>
      </c>
      <c r="J136" s="56" t="n">
        <v>4.5</v>
      </c>
      <c r="K136" s="56" t="inlineStr">
        <is>
          <t>https://amazon.com/dp/B00H9S71LW</t>
        </is>
      </c>
      <c r="L136" s="34">
        <f>HYPERLINK(OBDLink_1[[#This Row],[Column1]])</f>
        <v/>
      </c>
    </row>
    <row r="137" ht="45" customHeight="1" s="290">
      <c r="A137" s="30" t="n"/>
      <c r="B137" s="30" t="n"/>
      <c r="C137" s="30" t="n"/>
      <c r="D137" s="324" t="n"/>
      <c r="E137" s="53" t="n"/>
      <c r="F137" s="53" t="n"/>
      <c r="G137" s="55" t="n"/>
      <c r="H137" s="57" t="n"/>
      <c r="I137" s="55" t="n"/>
      <c r="J137" s="56" t="n"/>
      <c r="K137" s="56" t="n"/>
      <c r="L137" s="34">
        <f>HYPERLINK(Table65[[#This Row],[Column1]])</f>
        <v/>
      </c>
    </row>
    <row r="138" ht="45" customHeight="1" s="290">
      <c r="A138" s="30" t="n"/>
      <c r="B138" s="30" t="n"/>
      <c r="C138" s="30" t="n"/>
      <c r="D138" s="324" t="n"/>
      <c r="E138" s="53" t="n"/>
      <c r="F138" s="53" t="n"/>
      <c r="G138" s="55" t="n"/>
      <c r="H138" s="57" t="n"/>
      <c r="I138" s="55" t="n"/>
      <c r="J138" s="56" t="n"/>
      <c r="K138" s="56" t="n"/>
      <c r="L138" s="34">
        <f>HYPERLINK(Table65[[#This Row],[Column1]])</f>
        <v/>
      </c>
    </row>
    <row r="139" ht="45" customHeight="1" s="290">
      <c r="A139" s="30" t="n"/>
      <c r="B139" s="30" t="n"/>
      <c r="C139" s="30" t="n"/>
      <c r="D139" s="324" t="n"/>
      <c r="E139" s="53" t="n"/>
      <c r="F139" s="53" t="n"/>
      <c r="G139" s="55" t="n"/>
      <c r="H139" s="57" t="n"/>
      <c r="I139" s="55" t="n"/>
      <c r="J139" s="56" t="n"/>
      <c r="K139" s="56" t="n"/>
      <c r="L139" s="34">
        <f>HYPERLINK(Table65[[#This Row],[Column1]])</f>
        <v/>
      </c>
    </row>
    <row r="140" ht="45" customHeight="1" s="290">
      <c r="A140" s="30" t="n"/>
      <c r="B140" s="30" t="n"/>
      <c r="C140" s="30" t="n"/>
      <c r="D140" s="324" t="n"/>
      <c r="E140" s="53" t="n"/>
      <c r="F140" s="53" t="n"/>
      <c r="G140" s="55" t="n"/>
      <c r="H140" s="57" t="n"/>
      <c r="I140" s="55" t="n"/>
      <c r="J140" s="56" t="n"/>
      <c r="K140" s="56" t="n"/>
      <c r="L140" s="34">
        <f>HYPERLINK(Table65[[#This Row],[Column1]])</f>
        <v/>
      </c>
    </row>
    <row r="141" ht="30" customHeight="1" s="290">
      <c r="A141" s="30" t="n"/>
      <c r="B141" s="30" t="n"/>
      <c r="C141" s="30" t="n"/>
      <c r="D141" s="324" t="n"/>
      <c r="E141" s="53" t="n"/>
      <c r="F141" s="53" t="n"/>
      <c r="G141" s="55" t="n"/>
      <c r="H141" s="57" t="n"/>
      <c r="I141" s="55" t="n"/>
      <c r="J141" s="56" t="n"/>
      <c r="K141" s="56" t="n"/>
      <c r="L141" s="34">
        <f>HYPERLINK(Table65[[#This Row],[Column1]])</f>
        <v/>
      </c>
    </row>
    <row r="142" ht="45" customHeight="1" s="290">
      <c r="A142" s="30" t="n"/>
      <c r="B142" s="30" t="n"/>
      <c r="C142" s="30" t="n"/>
      <c r="D142" s="324" t="n"/>
      <c r="E142" s="53" t="n"/>
      <c r="F142" s="53" t="n"/>
      <c r="G142" s="55" t="n"/>
      <c r="H142" s="57" t="n"/>
      <c r="I142" s="55" t="n"/>
      <c r="J142" s="56" t="n"/>
      <c r="K142" s="56" t="n"/>
      <c r="L142" s="34">
        <f>HYPERLINK(Table65[[#This Row],[Column1]])</f>
        <v/>
      </c>
    </row>
    <row r="143" ht="45" customHeight="1" s="290">
      <c r="A143" s="30" t="n"/>
      <c r="B143" s="30" t="n"/>
      <c r="C143" s="30" t="n"/>
      <c r="D143" s="324" t="n"/>
      <c r="E143" s="53" t="n"/>
      <c r="F143" s="53" t="n"/>
      <c r="G143" s="55" t="n"/>
      <c r="H143" s="57" t="n"/>
      <c r="I143" s="55" t="n"/>
      <c r="J143" s="56" t="n"/>
      <c r="K143" s="56" t="n"/>
      <c r="L143" s="34">
        <f>HYPERLINK(Table65[[#This Row],[Column1]])</f>
        <v/>
      </c>
    </row>
    <row r="144" ht="45" customHeight="1" s="290">
      <c r="A144" s="30" t="n"/>
      <c r="B144" s="30" t="n"/>
      <c r="C144" s="30" t="n"/>
      <c r="D144" s="324" t="n"/>
      <c r="E144" s="53" t="n"/>
      <c r="F144" s="53" t="n"/>
      <c r="G144" s="55" t="n"/>
      <c r="H144" s="57" t="n"/>
      <c r="I144" s="55" t="n"/>
      <c r="J144" s="56" t="n"/>
      <c r="K144" s="56" t="n"/>
      <c r="L144" s="34">
        <f>HYPERLINK(Table65[[#This Row],[Column1]])</f>
        <v/>
      </c>
    </row>
    <row r="145" ht="45" customHeight="1" s="290">
      <c r="A145" s="30" t="n"/>
      <c r="B145" s="30" t="n"/>
      <c r="C145" s="30" t="n"/>
      <c r="D145" s="324" t="n"/>
      <c r="E145" s="53" t="n"/>
      <c r="F145" s="53" t="n"/>
      <c r="G145" s="55" t="n"/>
      <c r="H145" s="57" t="n"/>
      <c r="I145" s="55" t="n"/>
      <c r="J145" s="56" t="n"/>
      <c r="K145" s="56" t="n"/>
      <c r="L145" s="34">
        <f>HYPERLINK(Table65[[#This Row],[Column1]])</f>
        <v/>
      </c>
    </row>
    <row r="146" ht="60" customHeight="1" s="290">
      <c r="A146" s="30" t="n"/>
      <c r="B146" s="30" t="n"/>
      <c r="C146" s="30" t="n"/>
      <c r="D146" s="324" t="n"/>
      <c r="E146" s="53" t="n"/>
      <c r="F146" s="53" t="n"/>
      <c r="G146" s="55" t="n"/>
      <c r="H146" s="57" t="n"/>
      <c r="I146" s="55" t="n"/>
      <c r="J146" s="56" t="n"/>
      <c r="K146" s="56" t="n"/>
      <c r="L146" s="34">
        <f>HYPERLINK(Table65[[#This Row],[Column1]])</f>
        <v/>
      </c>
    </row>
    <row r="147" ht="45" customHeight="1" s="290">
      <c r="A147" s="30" t="n"/>
      <c r="B147" s="30" t="n"/>
      <c r="C147" s="30" t="n"/>
      <c r="D147" s="324" t="n"/>
      <c r="E147" s="53" t="n"/>
      <c r="F147" s="53" t="n"/>
      <c r="G147" s="55" t="n"/>
      <c r="H147" s="57" t="n"/>
      <c r="I147" s="55" t="n"/>
      <c r="J147" s="56" t="n"/>
      <c r="K147" s="56" t="n"/>
      <c r="L147" s="34">
        <f>HYPERLINK(Table65[[#This Row],[Column1]])</f>
        <v/>
      </c>
    </row>
    <row r="148" ht="45" customHeight="1" s="290">
      <c r="A148" s="30" t="n"/>
      <c r="B148" s="30" t="n"/>
      <c r="C148" s="30" t="n"/>
      <c r="D148" s="324" t="n"/>
      <c r="E148" s="53" t="n"/>
      <c r="F148" s="53" t="n"/>
      <c r="G148" s="55" t="n"/>
      <c r="H148" s="57" t="n"/>
      <c r="I148" s="55" t="n"/>
      <c r="J148" s="56" t="n"/>
      <c r="K148" s="56" t="n"/>
      <c r="L148" s="34">
        <f>HYPERLINK(Table65[[#This Row],[Column1]])</f>
        <v/>
      </c>
    </row>
    <row r="149" ht="45" customHeight="1" s="290">
      <c r="A149" s="30" t="n"/>
      <c r="B149" s="30" t="n"/>
      <c r="C149" s="30" t="n"/>
      <c r="D149" s="324" t="n"/>
      <c r="E149" s="53" t="n"/>
      <c r="F149" s="53" t="n"/>
      <c r="G149" s="55" t="n"/>
      <c r="H149" s="57" t="n"/>
      <c r="I149" s="55" t="n"/>
      <c r="J149" s="56" t="n"/>
      <c r="K149" s="56" t="n"/>
      <c r="L149" s="34">
        <f>HYPERLINK(Table65[[#This Row],[Column1]])</f>
        <v/>
      </c>
    </row>
    <row r="150" ht="45" customHeight="1" s="290">
      <c r="A150" s="30" t="n"/>
      <c r="B150" s="30" t="n"/>
      <c r="C150" s="30" t="n"/>
      <c r="D150" s="324" t="n"/>
      <c r="E150" s="53" t="n"/>
      <c r="F150" s="53" t="n"/>
      <c r="G150" s="55" t="n"/>
      <c r="H150" s="57" t="n"/>
      <c r="I150" s="55" t="n"/>
      <c r="J150" s="56" t="n"/>
      <c r="K150" s="56" t="n"/>
      <c r="L150" s="34">
        <f>HYPERLINK(Table65[[#This Row],[Column1]])</f>
        <v/>
      </c>
    </row>
    <row r="151" ht="45" customHeight="1" s="290">
      <c r="A151" s="30" t="n"/>
      <c r="B151" s="30" t="n"/>
      <c r="C151" s="30" t="n"/>
      <c r="D151" s="324" t="n"/>
      <c r="E151" s="53" t="n"/>
      <c r="F151" s="53" t="n"/>
      <c r="G151" s="55" t="n"/>
      <c r="H151" s="57" t="n"/>
      <c r="I151" s="55" t="n"/>
      <c r="J151" s="56" t="n"/>
      <c r="K151" s="56" t="n"/>
      <c r="L151" s="34">
        <f>HYPERLINK(Table65[[#This Row],[Column1]])</f>
        <v/>
      </c>
    </row>
    <row r="152" ht="45" customHeight="1" s="290">
      <c r="A152" s="30" t="n"/>
      <c r="B152" s="30" t="n"/>
      <c r="C152" s="30" t="n"/>
      <c r="D152" s="324" t="n"/>
      <c r="E152" s="53" t="n"/>
      <c r="F152" s="53" t="n"/>
      <c r="G152" s="55" t="n"/>
      <c r="H152" s="57" t="n"/>
      <c r="I152" s="55" t="n"/>
      <c r="J152" s="56" t="n"/>
      <c r="K152" s="56" t="n"/>
      <c r="L152" s="34">
        <f>HYPERLINK(Table65[[#This Row],[Column1]])</f>
        <v/>
      </c>
    </row>
    <row r="153" ht="60" customHeight="1" s="290">
      <c r="A153" s="30" t="n"/>
      <c r="B153" s="30" t="n"/>
      <c r="C153" s="30" t="n"/>
      <c r="D153" s="324" t="n"/>
      <c r="E153" s="53" t="n"/>
      <c r="F153" s="53" t="n"/>
      <c r="G153" s="55" t="n"/>
      <c r="H153" s="57" t="n"/>
      <c r="I153" s="55" t="n"/>
      <c r="J153" s="56" t="n"/>
      <c r="K153" s="56" t="n"/>
      <c r="L153" s="34">
        <f>HYPERLINK(Table65[[#This Row],[Column1]])</f>
        <v/>
      </c>
    </row>
    <row r="154" ht="45" customHeight="1" s="290">
      <c r="A154" s="30" t="n"/>
      <c r="B154" s="30" t="n"/>
      <c r="C154" s="30" t="n"/>
      <c r="D154" s="324" t="n"/>
      <c r="E154" s="53" t="n"/>
      <c r="F154" s="53" t="n"/>
      <c r="G154" s="55" t="n"/>
      <c r="H154" s="57" t="n"/>
      <c r="I154" s="55" t="n"/>
      <c r="J154" s="56" t="n"/>
      <c r="K154" s="56" t="n"/>
      <c r="L154" s="34">
        <f>HYPERLINK(Table65[[#This Row],[Column1]])</f>
        <v/>
      </c>
    </row>
    <row r="155" ht="45" customHeight="1" s="290">
      <c r="A155" s="30" t="n"/>
      <c r="B155" s="30" t="n"/>
      <c r="C155" s="30" t="n"/>
      <c r="D155" s="324" t="n"/>
      <c r="E155" s="53" t="n"/>
      <c r="F155" s="53" t="n"/>
      <c r="G155" s="55" t="n"/>
      <c r="H155" s="57" t="n"/>
      <c r="I155" s="55" t="n"/>
      <c r="J155" s="56" t="n"/>
      <c r="K155" s="56" t="n"/>
      <c r="L155" s="34">
        <f>HYPERLINK(Table65[[#This Row],[Column1]])</f>
        <v/>
      </c>
    </row>
    <row r="156" ht="45" customHeight="1" s="290">
      <c r="A156" s="30" t="n"/>
      <c r="B156" s="30" t="n"/>
      <c r="C156" s="30" t="n"/>
      <c r="D156" s="324" t="n"/>
      <c r="E156" s="53" t="n"/>
      <c r="F156" s="53" t="n"/>
      <c r="G156" s="55" t="n"/>
      <c r="H156" s="57" t="n"/>
      <c r="I156" s="55" t="n"/>
      <c r="J156" s="56" t="n"/>
      <c r="K156" s="56" t="n"/>
      <c r="L156" s="34">
        <f>HYPERLINK(Table65[[#This Row],[Column1]])</f>
        <v/>
      </c>
    </row>
    <row r="157" ht="45" customHeight="1" s="290">
      <c r="A157" s="30" t="n"/>
      <c r="B157" s="30" t="n"/>
      <c r="C157" s="30" t="n"/>
      <c r="D157" s="324" t="n"/>
      <c r="E157" s="53" t="n"/>
      <c r="F157" s="53" t="n"/>
      <c r="G157" s="55" t="n"/>
      <c r="H157" s="57" t="n"/>
      <c r="I157" s="55" t="n"/>
      <c r="J157" s="56" t="n"/>
      <c r="K157" s="56" t="n"/>
      <c r="L157" s="34">
        <f>HYPERLINK(Table65[[#This Row],[Column1]])</f>
        <v/>
      </c>
    </row>
    <row r="158" ht="45" customHeight="1" s="290">
      <c r="A158" s="30" t="n"/>
      <c r="B158" s="30" t="n"/>
      <c r="C158" s="30" t="n"/>
      <c r="D158" s="324" t="n"/>
      <c r="E158" s="53" t="n"/>
      <c r="F158" s="53" t="n"/>
      <c r="G158" s="55" t="n"/>
      <c r="H158" s="57" t="n"/>
      <c r="I158" s="55" t="n"/>
      <c r="J158" s="56" t="n"/>
      <c r="K158" s="56" t="n"/>
      <c r="L158" s="34">
        <f>HYPERLINK(Table65[[#This Row],[Column1]])</f>
        <v/>
      </c>
    </row>
    <row r="159" ht="45" customHeight="1" s="290">
      <c r="A159" s="30" t="n"/>
      <c r="B159" s="30" t="n"/>
      <c r="C159" s="30" t="n"/>
      <c r="D159" s="324" t="n"/>
      <c r="E159" s="53" t="n"/>
      <c r="F159" s="53" t="n"/>
      <c r="G159" s="55" t="n"/>
      <c r="H159" s="57" t="n"/>
      <c r="I159" s="55" t="n"/>
      <c r="J159" s="56" t="n"/>
      <c r="K159" s="56" t="n"/>
      <c r="L159" s="34">
        <f>HYPERLINK(Table65[[#This Row],[Column1]])</f>
        <v/>
      </c>
    </row>
    <row r="160" ht="45" customHeight="1" s="290">
      <c r="A160" s="30" t="n"/>
      <c r="B160" s="30" t="n"/>
      <c r="C160" s="30" t="n"/>
      <c r="D160" s="324" t="n"/>
      <c r="E160" s="53" t="n"/>
      <c r="F160" s="53" t="n"/>
      <c r="G160" s="55" t="n"/>
      <c r="H160" s="57" t="n"/>
      <c r="I160" s="55" t="n"/>
      <c r="J160" s="56" t="n"/>
      <c r="K160" s="56" t="n"/>
      <c r="L160" s="34">
        <f>HYPERLINK(Table65[[#This Row],[Column1]])</f>
        <v/>
      </c>
    </row>
    <row r="161" ht="60" customHeight="1" s="290">
      <c r="A161" s="30" t="n"/>
      <c r="B161" s="30" t="n"/>
      <c r="C161" s="30" t="n"/>
      <c r="D161" s="324" t="n"/>
      <c r="E161" s="53" t="n"/>
      <c r="F161" s="53" t="n"/>
      <c r="G161" s="55" t="n"/>
      <c r="H161" s="57" t="n"/>
      <c r="I161" s="55" t="n"/>
      <c r="J161" s="56" t="n"/>
      <c r="K161" s="56" t="n"/>
      <c r="L161" s="34">
        <f>HYPERLINK(Table65[[#This Row],[Column1]])</f>
        <v/>
      </c>
    </row>
    <row r="162" ht="45" customHeight="1" s="290">
      <c r="A162" s="30" t="n"/>
      <c r="B162" s="30" t="n"/>
      <c r="C162" s="30" t="n"/>
      <c r="D162" s="324" t="n"/>
      <c r="E162" s="53" t="n"/>
      <c r="F162" s="53" t="n"/>
      <c r="G162" s="55" t="n"/>
      <c r="H162" s="57" t="n"/>
      <c r="I162" s="55" t="n"/>
      <c r="J162" s="56" t="n"/>
      <c r="K162" s="56" t="n"/>
      <c r="L162" s="34">
        <f>HYPERLINK(Table65[[#This Row],[Column1]])</f>
        <v/>
      </c>
    </row>
    <row r="163" ht="45" customHeight="1" s="290">
      <c r="A163" s="30" t="n"/>
      <c r="B163" s="30" t="n"/>
      <c r="C163" s="30" t="n"/>
      <c r="D163" s="324" t="n"/>
      <c r="E163" s="53" t="n"/>
      <c r="F163" s="53" t="n"/>
      <c r="G163" s="55" t="n"/>
      <c r="H163" s="57" t="n"/>
      <c r="I163" s="55" t="n"/>
      <c r="J163" s="56" t="n"/>
      <c r="K163" s="56" t="n"/>
      <c r="L163" s="34">
        <f>HYPERLINK(Table65[[#This Row],[Column1]])</f>
        <v/>
      </c>
    </row>
    <row r="164" ht="45" customHeight="1" s="290">
      <c r="A164" s="30" t="n"/>
      <c r="B164" s="30" t="n"/>
      <c r="C164" s="30" t="n"/>
      <c r="D164" s="324" t="n"/>
      <c r="E164" s="53" t="n"/>
      <c r="F164" s="53" t="n"/>
      <c r="G164" s="55" t="n"/>
      <c r="H164" s="57" t="n"/>
      <c r="I164" s="55" t="n"/>
      <c r="J164" s="56" t="n"/>
      <c r="K164" s="56" t="n"/>
      <c r="L164" s="34">
        <f>HYPERLINK(Table65[[#This Row],[Column1]])</f>
        <v/>
      </c>
    </row>
    <row r="165" ht="45" customHeight="1" s="290">
      <c r="A165" s="30" t="n"/>
      <c r="B165" s="30" t="n"/>
      <c r="C165" s="30" t="n"/>
      <c r="D165" s="324" t="n"/>
      <c r="E165" s="53" t="n"/>
      <c r="F165" s="53" t="n"/>
      <c r="G165" s="55" t="n"/>
      <c r="H165" s="57" t="n"/>
      <c r="I165" s="55" t="n"/>
      <c r="J165" s="56" t="n"/>
      <c r="K165" s="56" t="n"/>
      <c r="L165" s="34">
        <f>HYPERLINK(Table65[[#This Row],[Column1]])</f>
        <v/>
      </c>
    </row>
    <row r="166" ht="45" customHeight="1" s="290">
      <c r="A166" s="30" t="n"/>
      <c r="B166" s="30" t="n"/>
      <c r="C166" s="30" t="n"/>
      <c r="D166" s="324" t="n"/>
      <c r="E166" s="53" t="n"/>
      <c r="F166" s="53" t="n"/>
      <c r="G166" s="55" t="n"/>
      <c r="H166" s="57" t="n"/>
      <c r="I166" s="55" t="n"/>
      <c r="J166" s="56" t="n"/>
      <c r="K166" s="56" t="n"/>
      <c r="L166" s="34">
        <f>HYPERLINK(Table65[[#This Row],[Column1]])</f>
        <v/>
      </c>
    </row>
    <row r="167" ht="45" customHeight="1" s="290">
      <c r="A167" s="30" t="n"/>
      <c r="B167" s="30" t="n"/>
      <c r="C167" s="30" t="n"/>
      <c r="D167" s="324" t="n"/>
      <c r="E167" s="53" t="n"/>
      <c r="F167" s="53" t="n"/>
      <c r="G167" s="55" t="n"/>
      <c r="H167" s="57" t="n"/>
      <c r="I167" s="55" t="n"/>
      <c r="J167" s="56" t="n"/>
      <c r="K167" s="56" t="n"/>
      <c r="L167" s="34">
        <f>HYPERLINK(Table65[[#This Row],[Column1]])</f>
        <v/>
      </c>
    </row>
    <row r="168" ht="45" customHeight="1" s="290">
      <c r="A168" s="30" t="n"/>
      <c r="B168" s="30" t="n"/>
      <c r="C168" s="30" t="n"/>
      <c r="D168" s="324" t="n"/>
      <c r="E168" s="53" t="n"/>
      <c r="F168" s="53" t="n"/>
      <c r="G168" s="55" t="n"/>
      <c r="H168" s="57" t="n"/>
      <c r="I168" s="55" t="n"/>
      <c r="J168" s="56" t="n"/>
      <c r="K168" s="56" t="n"/>
      <c r="L168" s="34">
        <f>HYPERLINK(Table65[[#This Row],[Column1]])</f>
        <v/>
      </c>
    </row>
    <row r="169" ht="45" customHeight="1" s="290">
      <c r="A169" s="30" t="n"/>
      <c r="B169" s="30" t="n"/>
      <c r="C169" s="30" t="n"/>
      <c r="D169" s="324" t="n"/>
      <c r="E169" s="53" t="n"/>
      <c r="F169" s="53" t="n"/>
      <c r="G169" s="55" t="n"/>
      <c r="H169" s="57" t="n"/>
      <c r="I169" s="55" t="n"/>
      <c r="J169" s="56" t="n"/>
      <c r="K169" s="56" t="n"/>
      <c r="L169" s="34">
        <f>HYPERLINK(Table65[[#This Row],[Column1]])</f>
        <v/>
      </c>
    </row>
    <row r="170" ht="30" customHeight="1" s="290">
      <c r="A170" s="30" t="n"/>
      <c r="B170" s="30" t="n"/>
      <c r="C170" s="30" t="n"/>
      <c r="D170" s="324" t="n"/>
      <c r="E170" s="53" t="n"/>
      <c r="F170" s="53" t="n"/>
      <c r="G170" s="55" t="n"/>
      <c r="H170" s="57" t="n"/>
      <c r="I170" s="55" t="n"/>
      <c r="J170" s="56" t="n"/>
      <c r="K170" s="56" t="n"/>
      <c r="L170" s="34">
        <f>HYPERLINK(Table65[[#This Row],[Column1]])</f>
        <v/>
      </c>
    </row>
    <row r="171" ht="45" customHeight="1" s="290">
      <c r="A171" s="30" t="n"/>
      <c r="B171" s="30" t="n"/>
      <c r="C171" s="30" t="n"/>
      <c r="D171" s="324" t="n"/>
      <c r="E171" s="53" t="n"/>
      <c r="F171" s="53" t="n"/>
      <c r="G171" s="55" t="n"/>
      <c r="H171" s="57" t="n"/>
      <c r="I171" s="55" t="n"/>
      <c r="J171" s="56" t="n"/>
      <c r="K171" s="56" t="n"/>
      <c r="L171" s="34">
        <f>HYPERLINK(Table65[[#This Row],[Column1]])</f>
        <v/>
      </c>
    </row>
    <row r="172" ht="45" customHeight="1" s="290">
      <c r="A172" s="30" t="n"/>
      <c r="B172" s="30" t="n"/>
      <c r="C172" s="30" t="n"/>
      <c r="D172" s="324" t="n"/>
      <c r="E172" s="53" t="n"/>
      <c r="F172" s="53" t="n"/>
      <c r="G172" s="55" t="n"/>
      <c r="H172" s="57" t="n"/>
      <c r="I172" s="55" t="n"/>
      <c r="J172" s="56" t="n"/>
      <c r="K172" s="56" t="n"/>
      <c r="L172" s="34">
        <f>HYPERLINK(Table65[[#This Row],[Column1]])</f>
        <v/>
      </c>
    </row>
    <row r="173" ht="45" customHeight="1" s="290">
      <c r="A173" s="30" t="n"/>
      <c r="B173" s="30" t="n"/>
      <c r="C173" s="30" t="n"/>
      <c r="D173" s="324" t="n"/>
      <c r="E173" s="53" t="n"/>
      <c r="F173" s="53" t="n"/>
      <c r="G173" s="55" t="n"/>
      <c r="H173" s="57" t="n"/>
      <c r="I173" s="55" t="n"/>
      <c r="J173" s="56" t="n"/>
      <c r="K173" s="56" t="n"/>
      <c r="L173" s="34">
        <f>HYPERLINK(Table65[[#This Row],[Column1]])</f>
        <v/>
      </c>
    </row>
    <row r="174" ht="45" customHeight="1" s="290">
      <c r="A174" s="30" t="n"/>
      <c r="B174" s="30" t="n"/>
      <c r="C174" s="30" t="n"/>
      <c r="D174" s="324" t="n"/>
      <c r="E174" s="53" t="n"/>
      <c r="F174" s="53" t="n"/>
      <c r="G174" s="55" t="n"/>
      <c r="H174" s="57" t="n"/>
      <c r="I174" s="55" t="n"/>
      <c r="J174" s="56" t="n"/>
      <c r="K174" s="56" t="n"/>
      <c r="L174" s="34">
        <f>HYPERLINK(Table65[[#This Row],[Column1]])</f>
        <v/>
      </c>
    </row>
    <row r="175" ht="45" customHeight="1" s="290">
      <c r="A175" s="30" t="n"/>
      <c r="B175" s="30" t="n"/>
      <c r="C175" s="30" t="n"/>
      <c r="D175" s="324" t="n"/>
      <c r="E175" s="53" t="n"/>
      <c r="F175" s="53" t="n"/>
      <c r="G175" s="55" t="n"/>
      <c r="H175" s="57" t="n"/>
      <c r="I175" s="55" t="n"/>
      <c r="J175" s="56" t="n"/>
      <c r="K175" s="56" t="n"/>
      <c r="L175" s="34">
        <f>HYPERLINK(Table65[[#This Row],[Column1]])</f>
        <v/>
      </c>
    </row>
    <row r="176" ht="60" customHeight="1" s="290">
      <c r="A176" s="30" t="n"/>
      <c r="B176" s="30" t="n"/>
      <c r="C176" s="30" t="n"/>
      <c r="D176" s="324" t="n"/>
      <c r="E176" s="53" t="n"/>
      <c r="F176" s="53" t="n"/>
      <c r="G176" s="55" t="n"/>
      <c r="H176" s="57" t="n"/>
      <c r="I176" s="55" t="n"/>
      <c r="J176" s="56" t="n"/>
      <c r="K176" s="56" t="n"/>
      <c r="L176" s="34">
        <f>HYPERLINK(Table65[[#This Row],[Column1]])</f>
        <v/>
      </c>
    </row>
    <row r="177" ht="45" customHeight="1" s="290">
      <c r="A177" s="30" t="n"/>
      <c r="B177" s="30" t="n"/>
      <c r="C177" s="30" t="n"/>
      <c r="D177" s="324" t="n"/>
      <c r="E177" s="53" t="n"/>
      <c r="F177" s="53" t="n"/>
      <c r="G177" s="55" t="n"/>
      <c r="H177" s="57" t="n"/>
      <c r="I177" s="55" t="n"/>
      <c r="J177" s="56" t="n"/>
      <c r="K177" s="56" t="n"/>
      <c r="L177" s="34">
        <f>HYPERLINK(Table65[[#This Row],[Column1]])</f>
        <v/>
      </c>
    </row>
    <row r="178" ht="45" customHeight="1" s="290">
      <c r="A178" s="30" t="n"/>
      <c r="B178" s="30" t="n"/>
      <c r="C178" s="30" t="n"/>
      <c r="D178" s="324" t="n"/>
      <c r="E178" s="53" t="n"/>
      <c r="F178" s="53" t="n"/>
      <c r="G178" s="55" t="n"/>
      <c r="H178" s="57" t="n"/>
      <c r="I178" s="55" t="n"/>
      <c r="J178" s="56" t="n"/>
      <c r="K178" s="56" t="n"/>
      <c r="L178" s="34">
        <f>HYPERLINK(Table65[[#This Row],[Column1]])</f>
        <v/>
      </c>
    </row>
    <row r="179" ht="30" customHeight="1" s="290">
      <c r="A179" s="30" t="n"/>
      <c r="B179" s="30" t="n"/>
      <c r="C179" s="30" t="n"/>
      <c r="D179" s="324" t="n"/>
      <c r="E179" s="53" t="n"/>
      <c r="F179" s="53" t="n"/>
      <c r="G179" s="55" t="n"/>
      <c r="H179" s="57" t="n"/>
      <c r="I179" s="55" t="n"/>
      <c r="J179" s="56" t="n"/>
      <c r="K179" s="56" t="n"/>
      <c r="L179" s="34">
        <f>HYPERLINK(Table65[[#This Row],[Column1]])</f>
        <v/>
      </c>
    </row>
    <row r="180" ht="45" customHeight="1" s="290">
      <c r="A180" s="30" t="n"/>
      <c r="B180" s="30" t="n"/>
      <c r="C180" s="30" t="n"/>
      <c r="D180" s="324" t="n"/>
      <c r="E180" s="53" t="n"/>
      <c r="F180" s="53" t="n"/>
      <c r="G180" s="55" t="n"/>
      <c r="H180" s="57" t="n"/>
      <c r="I180" s="55" t="n"/>
      <c r="J180" s="56" t="n"/>
      <c r="K180" s="56" t="n"/>
      <c r="L180" s="34">
        <f>HYPERLINK(Table65[[#This Row],[Column1]])</f>
        <v/>
      </c>
    </row>
    <row r="181" ht="45" customHeight="1" s="290">
      <c r="A181" s="30" t="n"/>
      <c r="B181" s="30" t="n"/>
      <c r="C181" s="30" t="n"/>
      <c r="D181" s="324" t="n"/>
      <c r="E181" s="53" t="n"/>
      <c r="F181" s="53" t="n"/>
      <c r="G181" s="55" t="n"/>
      <c r="H181" s="57" t="n"/>
      <c r="I181" s="55" t="n"/>
      <c r="J181" s="56" t="n"/>
      <c r="K181" s="56" t="n"/>
      <c r="L181" s="34">
        <f>HYPERLINK(Table65[[#This Row],[Column1]])</f>
        <v/>
      </c>
    </row>
    <row r="182" ht="45" customHeight="1" s="290">
      <c r="A182" s="30" t="n"/>
      <c r="B182" s="30" t="n"/>
      <c r="C182" s="30" t="n"/>
      <c r="D182" s="324" t="n"/>
      <c r="E182" s="53" t="n"/>
      <c r="F182" s="53" t="n"/>
      <c r="G182" s="55" t="n"/>
      <c r="H182" s="57" t="n"/>
      <c r="I182" s="55" t="n"/>
      <c r="J182" s="56" t="n"/>
      <c r="K182" s="56" t="n"/>
      <c r="L182" s="34">
        <f>HYPERLINK(Table65[[#This Row],[Column1]])</f>
        <v/>
      </c>
    </row>
    <row r="183" ht="45" customHeight="1" s="290">
      <c r="A183" s="30" t="n"/>
      <c r="B183" s="30" t="n"/>
      <c r="C183" s="30" t="n"/>
      <c r="D183" s="324" t="n"/>
      <c r="E183" s="53" t="n"/>
      <c r="F183" s="53" t="n"/>
      <c r="G183" s="55" t="n"/>
      <c r="H183" s="57" t="n"/>
      <c r="I183" s="55" t="n"/>
      <c r="J183" s="56" t="n"/>
      <c r="K183" s="56" t="n"/>
      <c r="L183" s="34">
        <f>HYPERLINK(Table65[[#This Row],[Column1]])</f>
        <v/>
      </c>
    </row>
    <row r="184" ht="45" customHeight="1" s="290">
      <c r="A184" s="30" t="n"/>
      <c r="B184" s="30" t="n"/>
      <c r="C184" s="30" t="n"/>
      <c r="D184" s="324" t="n"/>
      <c r="E184" s="53" t="n"/>
      <c r="F184" s="53" t="n"/>
      <c r="G184" s="55" t="n"/>
      <c r="H184" s="57" t="n"/>
      <c r="I184" s="55" t="n"/>
      <c r="J184" s="56" t="n"/>
      <c r="K184" s="56" t="n"/>
      <c r="L184" s="34">
        <f>HYPERLINK(Table65[[#This Row],[Column1]])</f>
        <v/>
      </c>
    </row>
    <row r="185" ht="45" customHeight="1" s="290">
      <c r="A185" s="30" t="n"/>
      <c r="B185" s="30" t="n"/>
      <c r="C185" s="30" t="n"/>
      <c r="D185" s="324" t="n"/>
      <c r="E185" s="53" t="n"/>
      <c r="F185" s="53" t="n"/>
      <c r="G185" s="55" t="n"/>
      <c r="H185" s="57" t="n"/>
      <c r="I185" s="55" t="n"/>
      <c r="J185" s="56" t="n"/>
      <c r="K185" s="56" t="n"/>
      <c r="L185" s="34">
        <f>HYPERLINK(Table65[[#This Row],[Column1]])</f>
        <v/>
      </c>
    </row>
    <row r="186" ht="60" customHeight="1" s="290">
      <c r="A186" s="30" t="n"/>
      <c r="B186" s="30" t="n"/>
      <c r="C186" s="30" t="n"/>
      <c r="D186" s="324" t="n"/>
      <c r="E186" s="53" t="n"/>
      <c r="F186" s="53" t="n"/>
      <c r="G186" s="55" t="n"/>
      <c r="H186" s="57" t="n"/>
      <c r="I186" s="55" t="n"/>
      <c r="J186" s="56" t="n"/>
      <c r="K186" s="56" t="n"/>
      <c r="L186" s="34">
        <f>HYPERLINK(Table65[[#This Row],[Column1]])</f>
        <v/>
      </c>
    </row>
    <row r="187" ht="45" customHeight="1" s="290">
      <c r="A187" s="30" t="n"/>
      <c r="B187" s="30" t="n"/>
      <c r="C187" s="30" t="n"/>
      <c r="D187" s="324" t="n"/>
      <c r="E187" s="53" t="n"/>
      <c r="F187" s="53" t="n"/>
      <c r="G187" s="55" t="n"/>
      <c r="H187" s="57" t="n"/>
      <c r="I187" s="55" t="n"/>
      <c r="J187" s="56" t="n"/>
      <c r="K187" s="56" t="n"/>
      <c r="L187" s="34">
        <f>HYPERLINK(Table65[[#This Row],[Column1]])</f>
        <v/>
      </c>
    </row>
    <row r="188" ht="45" customHeight="1" s="290">
      <c r="A188" s="30" t="n"/>
      <c r="B188" s="30" t="n"/>
      <c r="C188" s="30" t="n"/>
      <c r="D188" s="324" t="n"/>
      <c r="E188" s="53" t="n"/>
      <c r="F188" s="53" t="n"/>
      <c r="G188" s="55" t="n"/>
      <c r="H188" s="57" t="n"/>
      <c r="I188" s="55" t="n"/>
      <c r="J188" s="56" t="n"/>
      <c r="K188" s="56" t="n"/>
      <c r="L188" s="34">
        <f>HYPERLINK(Table65[[#This Row],[Column1]])</f>
        <v/>
      </c>
    </row>
    <row r="189" ht="45" customHeight="1" s="290">
      <c r="A189" s="30" t="n"/>
      <c r="B189" s="30" t="n"/>
      <c r="C189" s="30" t="n"/>
      <c r="D189" s="324" t="n"/>
      <c r="E189" s="53" t="n"/>
      <c r="F189" s="53" t="n"/>
      <c r="G189" s="55" t="n"/>
      <c r="H189" s="57" t="n"/>
      <c r="I189" s="55" t="n"/>
      <c r="J189" s="56" t="n"/>
      <c r="K189" s="56" t="n"/>
      <c r="L189" s="34">
        <f>HYPERLINK(Table65[[#This Row],[Column1]])</f>
        <v/>
      </c>
    </row>
    <row r="190" ht="60" customHeight="1" s="290">
      <c r="A190" s="30" t="n"/>
      <c r="B190" s="30" t="n"/>
      <c r="C190" s="30" t="n"/>
      <c r="D190" s="324" t="n"/>
      <c r="E190" s="53" t="n"/>
      <c r="F190" s="53" t="n"/>
      <c r="G190" s="55" t="n"/>
      <c r="H190" s="57" t="n"/>
      <c r="I190" s="55" t="n"/>
      <c r="J190" s="56" t="n"/>
      <c r="K190" s="56" t="n"/>
      <c r="L190" s="34">
        <f>HYPERLINK(Table65[[#This Row],[Column1]])</f>
        <v/>
      </c>
    </row>
    <row r="191" ht="45" customHeight="1" s="290">
      <c r="A191" s="30" t="n"/>
      <c r="B191" s="30" t="n"/>
      <c r="C191" s="30" t="n"/>
      <c r="D191" s="324" t="n"/>
      <c r="E191" s="53" t="n"/>
      <c r="F191" s="53" t="n"/>
      <c r="G191" s="55" t="n"/>
      <c r="H191" s="57" t="n"/>
      <c r="I191" s="55" t="n"/>
      <c r="J191" s="56" t="n"/>
      <c r="K191" s="56" t="n"/>
      <c r="L191" s="34">
        <f>HYPERLINK(Table65[[#This Row],[Column1]])</f>
        <v/>
      </c>
    </row>
    <row r="192" ht="45" customHeight="1" s="290">
      <c r="A192" s="30" t="n"/>
      <c r="B192" s="30" t="n"/>
      <c r="C192" s="30" t="n"/>
      <c r="D192" s="324" t="n"/>
      <c r="E192" s="53" t="n"/>
      <c r="F192" s="53" t="n"/>
      <c r="G192" s="55" t="n"/>
      <c r="H192" s="57" t="n"/>
      <c r="I192" s="55" t="n"/>
      <c r="J192" s="56" t="n"/>
      <c r="K192" s="56" t="n"/>
      <c r="L192" s="34">
        <f>HYPERLINK(Table65[[#This Row],[Column1]])</f>
        <v/>
      </c>
    </row>
    <row r="193" ht="60" customHeight="1" s="290">
      <c r="A193" s="30" t="n"/>
      <c r="B193" s="30" t="n"/>
      <c r="C193" s="30" t="n"/>
      <c r="D193" s="324" t="n"/>
      <c r="E193" s="53" t="n"/>
      <c r="F193" s="53" t="n"/>
      <c r="G193" s="55" t="n"/>
      <c r="H193" s="57" t="n"/>
      <c r="I193" s="55" t="n"/>
      <c r="J193" s="56" t="n"/>
      <c r="K193" s="56" t="n"/>
      <c r="L193" s="34">
        <f>HYPERLINK(Table65[[#This Row],[Column1]])</f>
        <v/>
      </c>
    </row>
    <row r="194" ht="45" customHeight="1" s="290">
      <c r="A194" s="30" t="n"/>
      <c r="B194" s="30" t="n"/>
      <c r="C194" s="30" t="n"/>
      <c r="D194" s="324" t="n"/>
      <c r="E194" s="53" t="n"/>
      <c r="F194" s="53" t="n"/>
      <c r="G194" s="55" t="n"/>
      <c r="H194" s="57" t="n"/>
      <c r="I194" s="55" t="n"/>
      <c r="J194" s="56" t="n"/>
      <c r="K194" s="56" t="n"/>
      <c r="L194" s="34">
        <f>HYPERLINK(Table65[[#This Row],[Column1]])</f>
        <v/>
      </c>
    </row>
    <row r="195" ht="45" customHeight="1" s="290">
      <c r="A195" s="30" t="n"/>
      <c r="B195" s="30" t="n"/>
      <c r="C195" s="30" t="n"/>
      <c r="D195" s="324" t="n"/>
      <c r="E195" s="53" t="n"/>
      <c r="F195" s="53" t="n"/>
      <c r="G195" s="55" t="n"/>
      <c r="H195" s="57" t="n"/>
      <c r="I195" s="55" t="n"/>
      <c r="J195" s="56" t="n"/>
      <c r="K195" s="56" t="n"/>
      <c r="L195" s="34">
        <f>HYPERLINK(Table65[[#This Row],[Column1]])</f>
        <v/>
      </c>
    </row>
    <row r="196" ht="45" customHeight="1" s="290">
      <c r="A196" s="30" t="n"/>
      <c r="B196" s="30" t="n"/>
      <c r="C196" s="30" t="n"/>
      <c r="D196" s="324" t="n"/>
      <c r="E196" s="53" t="n"/>
      <c r="F196" s="53" t="n"/>
      <c r="G196" s="55" t="n"/>
      <c r="H196" s="57" t="n"/>
      <c r="I196" s="55" t="n"/>
      <c r="J196" s="56" t="n"/>
      <c r="K196" s="56" t="n"/>
      <c r="L196" s="34">
        <f>HYPERLINK(Table65[[#This Row],[Column1]])</f>
        <v/>
      </c>
    </row>
    <row r="197" ht="45" customHeight="1" s="290">
      <c r="A197" s="30" t="n"/>
      <c r="B197" s="30" t="n"/>
      <c r="C197" s="30" t="n"/>
      <c r="D197" s="324" t="n"/>
      <c r="E197" s="53" t="n"/>
      <c r="F197" s="53" t="n"/>
      <c r="G197" s="55" t="n"/>
      <c r="H197" s="57" t="n"/>
      <c r="I197" s="55" t="n"/>
      <c r="J197" s="56" t="n"/>
      <c r="K197" s="56" t="n"/>
      <c r="L197" s="34">
        <f>HYPERLINK(Table65[[#This Row],[Column1]])</f>
        <v/>
      </c>
    </row>
    <row r="198" ht="45" customHeight="1" s="290">
      <c r="A198" s="30" t="n"/>
      <c r="B198" s="30" t="n"/>
      <c r="C198" s="30" t="n"/>
      <c r="D198" s="324" t="n"/>
      <c r="E198" s="53" t="n"/>
      <c r="F198" s="53" t="n"/>
      <c r="G198" s="55" t="n"/>
      <c r="H198" s="57" t="n"/>
      <c r="I198" s="55" t="n"/>
      <c r="J198" s="56" t="n"/>
      <c r="K198" s="56" t="n"/>
      <c r="L198" s="34">
        <f>HYPERLINK(Table65[[#This Row],[Column1]])</f>
        <v/>
      </c>
    </row>
    <row r="199" ht="45" customHeight="1" s="290">
      <c r="A199" s="30" t="n"/>
      <c r="B199" s="30" t="n"/>
      <c r="C199" s="30" t="n"/>
      <c r="D199" s="324" t="n"/>
      <c r="E199" s="53" t="n"/>
      <c r="F199" s="53" t="n"/>
      <c r="G199" s="55" t="n"/>
      <c r="H199" s="57" t="n"/>
      <c r="I199" s="55" t="n"/>
      <c r="J199" s="56" t="n"/>
      <c r="K199" s="56" t="n"/>
      <c r="L199" s="34">
        <f>HYPERLINK(Table65[[#This Row],[Column1]])</f>
        <v/>
      </c>
    </row>
    <row r="200" ht="45" customHeight="1" s="290">
      <c r="A200" s="30" t="n"/>
      <c r="B200" s="30" t="n"/>
      <c r="C200" s="30" t="n"/>
      <c r="D200" s="324" t="n"/>
      <c r="E200" s="53" t="n"/>
      <c r="F200" s="53" t="n"/>
      <c r="G200" s="55" t="n"/>
      <c r="H200" s="57" t="n"/>
      <c r="I200" s="55" t="n"/>
      <c r="J200" s="56" t="n"/>
      <c r="K200" s="56" t="n"/>
      <c r="L200" s="34">
        <f>HYPERLINK(Table65[[#This Row],[Column1]])</f>
        <v/>
      </c>
    </row>
    <row r="201" ht="45" customHeight="1" s="290">
      <c r="A201" s="30" t="n"/>
      <c r="B201" s="30" t="n"/>
      <c r="C201" s="30" t="n"/>
      <c r="D201" s="324" t="n"/>
      <c r="E201" s="53" t="n"/>
      <c r="F201" s="53" t="n"/>
      <c r="G201" s="55" t="n"/>
      <c r="H201" s="57" t="n"/>
      <c r="I201" s="55" t="n"/>
      <c r="J201" s="56" t="n"/>
      <c r="K201" s="56" t="n"/>
      <c r="L201" s="34">
        <f>HYPERLINK(Table65[[#This Row],[Column1]])</f>
        <v/>
      </c>
    </row>
    <row r="202" ht="45" customHeight="1" s="290">
      <c r="A202" s="30" t="n"/>
      <c r="B202" s="30" t="n"/>
      <c r="C202" s="30" t="n"/>
      <c r="D202" s="324" t="n"/>
      <c r="E202" s="53" t="n"/>
      <c r="F202" s="53" t="n"/>
      <c r="G202" s="55" t="n"/>
      <c r="H202" s="57" t="n"/>
      <c r="I202" s="55" t="n"/>
      <c r="J202" s="56" t="n"/>
      <c r="K202" s="56" t="n"/>
      <c r="L202" s="34">
        <f>HYPERLINK(Table65[[#This Row],[Column1]])</f>
        <v/>
      </c>
    </row>
    <row r="203" ht="45" customHeight="1" s="290">
      <c r="A203" s="30" t="n"/>
      <c r="B203" s="30" t="n"/>
      <c r="C203" s="30" t="n"/>
      <c r="D203" s="324" t="n"/>
      <c r="E203" s="53" t="n"/>
      <c r="F203" s="53" t="n"/>
      <c r="G203" s="55" t="n"/>
      <c r="H203" s="57" t="n"/>
      <c r="I203" s="55" t="n"/>
      <c r="J203" s="56" t="n"/>
      <c r="K203" s="56" t="n"/>
      <c r="L203" s="34">
        <f>HYPERLINK(Table65[[#This Row],[Column1]])</f>
        <v/>
      </c>
    </row>
    <row r="204" ht="17" customHeight="1" s="290">
      <c r="A204" s="30" t="n"/>
      <c r="B204" s="30" t="n"/>
      <c r="C204" s="30" t="n"/>
      <c r="D204" s="324" t="n"/>
      <c r="E204" s="53" t="n"/>
      <c r="F204" s="53" t="n"/>
      <c r="G204" s="55" t="n"/>
      <c r="H204" s="57" t="n"/>
      <c r="I204" s="55" t="n"/>
      <c r="J204" s="56" t="n"/>
      <c r="K204" s="56" t="n"/>
      <c r="L204" s="34">
        <f>HYPERLINK(Table65[[#This Row],[Column1]])</f>
        <v/>
      </c>
    </row>
    <row r="205" ht="30" customHeight="1" s="290">
      <c r="A205" s="30" t="n"/>
      <c r="B205" s="30" t="n"/>
      <c r="C205" s="30" t="n"/>
      <c r="D205" s="324" t="n"/>
      <c r="E205" s="53" t="n"/>
      <c r="F205" s="53" t="n"/>
      <c r="G205" s="55" t="n"/>
      <c r="H205" s="57" t="n"/>
      <c r="I205" s="55" t="n"/>
      <c r="J205" s="56" t="n"/>
      <c r="K205" s="56" t="n"/>
      <c r="L205" s="34">
        <f>HYPERLINK(Table65[[#This Row],[Column1]])</f>
        <v/>
      </c>
    </row>
    <row r="206" ht="45" customHeight="1" s="290">
      <c r="A206" s="30" t="n"/>
      <c r="B206" s="30" t="n"/>
      <c r="C206" s="30" t="n"/>
      <c r="D206" s="324" t="n"/>
      <c r="E206" s="53" t="n"/>
      <c r="F206" s="53" t="n"/>
      <c r="G206" s="55" t="n"/>
      <c r="H206" s="57" t="n"/>
      <c r="I206" s="55" t="n"/>
      <c r="J206" s="56" t="n"/>
      <c r="K206" s="56" t="n"/>
      <c r="L206" s="34">
        <f>HYPERLINK(Table65[[#This Row],[Column1]])</f>
        <v/>
      </c>
    </row>
    <row r="207" ht="45" customHeight="1" s="290">
      <c r="A207" s="30" t="n"/>
      <c r="B207" s="30" t="n"/>
      <c r="C207" s="30" t="n"/>
      <c r="D207" s="324" t="n"/>
      <c r="E207" s="53" t="n"/>
      <c r="F207" s="53" t="n"/>
      <c r="G207" s="55" t="n"/>
      <c r="H207" s="57" t="n"/>
      <c r="I207" s="55" t="n"/>
      <c r="J207" s="56" t="n"/>
      <c r="K207" s="56" t="n"/>
      <c r="L207" s="34">
        <f>HYPERLINK(Table65[[#This Row],[Column1]])</f>
        <v/>
      </c>
    </row>
    <row r="208" ht="17" customHeight="1" s="290">
      <c r="A208" s="33" t="inlineStr">
        <is>
          <t>Total</t>
        </is>
      </c>
      <c r="B208" s="32" t="n"/>
      <c r="C208" s="325" t="n"/>
      <c r="D208" s="59" t="n"/>
      <c r="E208" s="32" t="n"/>
      <c r="F208" s="32" t="n"/>
      <c r="G208" s="36">
        <f>SUM(G133:G207)</f>
        <v/>
      </c>
      <c r="H208" s="36">
        <f>SUM(H133:H207)</f>
        <v/>
      </c>
      <c r="I208" s="36" t="n"/>
      <c r="J208" s="167" t="n"/>
      <c r="K208" s="168" t="n"/>
      <c r="L208" s="32" t="n"/>
    </row>
  </sheetData>
  <mergeCells count="3">
    <mergeCell ref="A1:M5"/>
    <mergeCell ref="A131:L131"/>
    <mergeCell ref="A51:L51"/>
  </mergeCells>
  <pageMargins left="0.7" right="0.7" top="0.75" bottom="0.75" header="0.3" footer="0.3"/>
  <drawing xmlns:r="http://schemas.openxmlformats.org/officeDocument/2006/relationships" r:id="rId1"/>
  <tableParts count="2">
    <tablePart xmlns:r="http://schemas.openxmlformats.org/officeDocument/2006/relationships" r:id="rId2"/>
    <tablePart xmlns:r="http://schemas.openxmlformats.org/officeDocument/2006/relationships" r:id="rId3"/>
  </tableParts>
</worksheet>
</file>

<file path=xl/worksheets/sheet35.xml><?xml version="1.0" encoding="utf-8"?>
<worksheet xmlns="http://schemas.openxmlformats.org/spreadsheetml/2006/main">
  <sheetPr codeName="Sheet6">
    <outlinePr summaryBelow="1" summaryRight="1"/>
    <pageSetUpPr/>
  </sheetPr>
  <dimension ref="A1:Q208"/>
  <sheetViews>
    <sheetView workbookViewId="0">
      <selection activeCell="A1" sqref="A1"/>
    </sheetView>
  </sheetViews>
  <sheetFormatPr baseColWidth="10" defaultColWidth="10.83203125" defaultRowHeight="16"/>
  <cols>
    <col width="50.6640625" customWidth="1" style="284" min="1" max="1"/>
    <col width="12.6640625" customWidth="1" style="284" min="2" max="2"/>
    <col width="12.6640625" customWidth="1" style="320" min="3" max="3"/>
    <col width="11.1640625" customWidth="1" style="296" min="4" max="4"/>
    <col width="24.83203125" bestFit="1" customWidth="1" style="284" min="5" max="5"/>
    <col width="17.6640625" bestFit="1" customWidth="1" style="286" min="6" max="6"/>
    <col width="21.6640625" bestFit="1" customWidth="1" style="286" min="7" max="7"/>
    <col width="19.1640625" bestFit="1" customWidth="1" style="286" min="8" max="8"/>
    <col width="13.5" bestFit="1" customWidth="1" style="287" min="9" max="9"/>
    <col width="13" bestFit="1" customWidth="1" style="284" min="10" max="10"/>
    <col hidden="1" width="29" customWidth="1" style="284" min="11" max="11"/>
    <col width="35.6640625" customWidth="1" style="284" min="12" max="12"/>
    <col width="15.6640625" customWidth="1" style="284" min="13" max="13"/>
    <col width="10.83203125" customWidth="1" style="284" min="14" max="16384"/>
  </cols>
  <sheetData>
    <row r="1">
      <c r="A1" s="282" t="inlineStr">
        <is>
          <t>OPUS | IVS Monthly Summary</t>
        </is>
      </c>
    </row>
    <row r="2"/>
    <row r="3"/>
    <row r="4"/>
    <row r="5"/>
    <row r="6">
      <c r="A6" s="29" t="n"/>
      <c r="B6" s="29" t="n"/>
      <c r="C6" s="321" t="n"/>
      <c r="D6" s="47" t="n"/>
      <c r="E6" s="48" t="n"/>
      <c r="F6" s="48" t="n"/>
      <c r="G6" s="48" t="n"/>
      <c r="H6" s="48" t="n"/>
      <c r="I6" s="49" t="n"/>
      <c r="J6" s="50" t="n"/>
    </row>
    <row r="7" ht="32" customHeight="1" s="290">
      <c r="A7" s="80" t="n"/>
      <c r="B7" s="81" t="inlineStr">
        <is>
          <t>Avg Price</t>
        </is>
      </c>
      <c r="C7" s="81" t="inlineStr">
        <is>
          <t>Avg Price MoM</t>
        </is>
      </c>
      <c r="D7" s="82" t="inlineStr">
        <is>
          <t>Avg Price YoY</t>
        </is>
      </c>
      <c r="E7" s="81" t="inlineStr">
        <is>
          <t>Quantity/Mo</t>
        </is>
      </c>
      <c r="F7" s="84" t="inlineStr">
        <is>
          <t>Qty by %</t>
        </is>
      </c>
      <c r="G7" s="84" t="inlineStr">
        <is>
          <t>Qty MoM</t>
        </is>
      </c>
      <c r="H7" s="82" t="inlineStr">
        <is>
          <t>Qty YoY</t>
        </is>
      </c>
      <c r="I7" s="309" t="inlineStr">
        <is>
          <t>Revenue/Mo</t>
        </is>
      </c>
      <c r="J7" s="126" t="inlineStr">
        <is>
          <t>Revenue by %</t>
        </is>
      </c>
      <c r="K7" s="173" t="n"/>
      <c r="L7" s="126" t="inlineStr">
        <is>
          <t>Revenue MoM</t>
        </is>
      </c>
      <c r="M7" s="310" t="inlineStr">
        <is>
          <t>Revenue YoY</t>
        </is>
      </c>
      <c r="N7" s="286" t="n"/>
      <c r="O7" s="286" t="n"/>
      <c r="P7" s="49" t="n"/>
      <c r="Q7" s="50" t="n"/>
    </row>
    <row r="8">
      <c r="A8" s="93" t="inlineStr">
        <is>
          <t>Tablet $800+</t>
        </is>
      </c>
      <c r="B8" s="298" t="n"/>
      <c r="C8" s="270" t="n"/>
      <c r="D8" s="271" t="n"/>
      <c r="E8" s="269" t="n">
        <v>0</v>
      </c>
      <c r="F8" s="270" t="n">
        <v>0</v>
      </c>
      <c r="G8" s="270" t="n"/>
      <c r="H8" s="271" t="n"/>
      <c r="I8" s="95" t="n">
        <v>0</v>
      </c>
      <c r="J8" s="128" t="n">
        <v>0</v>
      </c>
      <c r="L8" s="169" t="n"/>
      <c r="M8" s="169" t="n"/>
      <c r="N8" s="286" t="n"/>
      <c r="O8" s="286" t="n"/>
      <c r="P8" s="49" t="n"/>
      <c r="Q8" s="50" t="n"/>
    </row>
    <row r="9">
      <c r="A9" s="93" t="inlineStr">
        <is>
          <t>Tablet $400-$800</t>
        </is>
      </c>
      <c r="B9" s="298" t="n"/>
      <c r="C9" s="270" t="n"/>
      <c r="D9" s="271" t="n"/>
      <c r="E9" s="269" t="n">
        <v>0</v>
      </c>
      <c r="F9" s="270" t="n">
        <v>0</v>
      </c>
      <c r="G9" s="270" t="n"/>
      <c r="H9" s="271" t="n"/>
      <c r="I9" s="95" t="n">
        <v>0</v>
      </c>
      <c r="J9" s="128" t="n">
        <v>0</v>
      </c>
      <c r="L9" s="169" t="n"/>
      <c r="M9" s="169" t="n"/>
      <c r="N9" s="286" t="n"/>
      <c r="O9" s="286" t="n"/>
      <c r="P9" s="49" t="n"/>
      <c r="Q9" s="50" t="n"/>
    </row>
    <row r="10">
      <c r="A10" s="96" t="inlineStr">
        <is>
          <t>Tablet $400-</t>
        </is>
      </c>
      <c r="B10" s="299" t="n"/>
      <c r="C10" s="274" t="n"/>
      <c r="D10" s="275" t="n"/>
      <c r="E10" s="273" t="n">
        <v>0</v>
      </c>
      <c r="F10" s="274" t="n">
        <v>0</v>
      </c>
      <c r="G10" s="274" t="n"/>
      <c r="H10" s="275" t="n"/>
      <c r="I10" s="98" t="n">
        <v>0</v>
      </c>
      <c r="J10" s="127" t="n">
        <v>0</v>
      </c>
      <c r="L10" s="171" t="n"/>
      <c r="M10" s="171" t="n"/>
      <c r="N10" s="286" t="n"/>
      <c r="O10" s="286" t="n"/>
      <c r="P10" s="49" t="n"/>
      <c r="Q10" s="50" t="n"/>
    </row>
    <row r="11">
      <c r="A11" s="101" t="inlineStr">
        <is>
          <t>Total Tablet</t>
        </is>
      </c>
      <c r="B11" s="300" t="n"/>
      <c r="C11" s="112" t="n"/>
      <c r="D11" s="104" t="n"/>
      <c r="E11" s="116" t="n">
        <v>0</v>
      </c>
      <c r="F11" s="112" t="n">
        <v>0</v>
      </c>
      <c r="G11" s="112" t="n"/>
      <c r="H11" s="104" t="n"/>
      <c r="I11" s="103" t="n">
        <v>0</v>
      </c>
      <c r="J11" s="129" t="n">
        <v>0</v>
      </c>
      <c r="L11" s="170" t="n"/>
      <c r="M11" s="170" t="n"/>
      <c r="N11" s="286" t="n"/>
      <c r="O11" s="286" t="n"/>
      <c r="P11" s="49" t="n"/>
      <c r="Q11" s="50" t="n"/>
    </row>
    <row r="12">
      <c r="A12" s="93" t="inlineStr">
        <is>
          <t>Handheld $75+</t>
        </is>
      </c>
      <c r="B12" s="298" t="n"/>
      <c r="C12" s="270" t="n"/>
      <c r="D12" s="271" t="n"/>
      <c r="E12" s="269" t="n">
        <v>0</v>
      </c>
      <c r="F12" s="270" t="n">
        <v>0</v>
      </c>
      <c r="G12" s="270" t="n"/>
      <c r="H12" s="271" t="n"/>
      <c r="I12" s="95" t="n">
        <v>0</v>
      </c>
      <c r="J12" s="128" t="n">
        <v>0</v>
      </c>
      <c r="L12" s="169" t="n"/>
      <c r="M12" s="169" t="n"/>
      <c r="N12" s="286" t="n"/>
      <c r="O12" s="286" t="n"/>
      <c r="P12" s="49" t="n"/>
      <c r="Q12" s="50" t="n"/>
    </row>
    <row r="13">
      <c r="A13" s="96" t="inlineStr">
        <is>
          <t>Handheld $75-</t>
        </is>
      </c>
      <c r="B13" s="299" t="n"/>
      <c r="C13" s="274" t="n"/>
      <c r="D13" s="275" t="n"/>
      <c r="E13" s="273" t="n">
        <v>0</v>
      </c>
      <c r="F13" s="274" t="n">
        <v>0</v>
      </c>
      <c r="G13" s="274" t="n"/>
      <c r="H13" s="275" t="n"/>
      <c r="I13" s="98" t="n">
        <v>0</v>
      </c>
      <c r="J13" s="127" t="n">
        <v>0</v>
      </c>
      <c r="L13" s="171" t="n"/>
      <c r="M13" s="171" t="n"/>
      <c r="N13" s="286" t="n"/>
      <c r="O13" s="286" t="n"/>
      <c r="P13" s="49" t="n"/>
      <c r="Q13" s="50" t="n"/>
    </row>
    <row r="14">
      <c r="A14" s="101" t="inlineStr">
        <is>
          <t>Total Handheld</t>
        </is>
      </c>
      <c r="B14" s="300" t="n"/>
      <c r="C14" s="112" t="n"/>
      <c r="D14" s="104" t="n"/>
      <c r="E14" s="116" t="n">
        <v>0</v>
      </c>
      <c r="F14" s="112" t="n">
        <v>0</v>
      </c>
      <c r="G14" s="112" t="n"/>
      <c r="H14" s="104" t="n"/>
      <c r="I14" s="103" t="n">
        <v>0</v>
      </c>
      <c r="J14" s="129" t="n">
        <v>0</v>
      </c>
      <c r="L14" s="170" t="n"/>
      <c r="M14" s="170" t="n"/>
      <c r="N14" s="286" t="n"/>
      <c r="O14" s="286" t="n"/>
      <c r="P14" s="49" t="n"/>
      <c r="Q14" s="50" t="n"/>
    </row>
    <row r="15">
      <c r="A15" s="78" t="inlineStr">
        <is>
          <t>Total Dongle</t>
        </is>
      </c>
      <c r="B15" s="301" t="n">
        <v>699.4824590163935</v>
      </c>
      <c r="C15" s="113" t="n">
        <v>-0.06141405014899448</v>
      </c>
      <c r="D15" s="107" t="n">
        <v>-0.09252219528271266</v>
      </c>
      <c r="E15" s="99" t="n">
        <v>61</v>
      </c>
      <c r="F15" s="113" t="n">
        <v>0.1003289473684211</v>
      </c>
      <c r="G15" s="113" t="n">
        <v>1.772727272727273</v>
      </c>
      <c r="H15" s="107" t="n">
        <v>2.210526315789474</v>
      </c>
      <c r="I15" s="76" t="n">
        <v>42668.43</v>
      </c>
      <c r="J15" s="130" t="n">
        <v>0.09700515185195492</v>
      </c>
      <c r="L15" s="174" t="n">
        <v>1.602442860950515</v>
      </c>
      <c r="M15" s="174" t="n">
        <v>1.913481373039712</v>
      </c>
      <c r="N15" s="286" t="n"/>
      <c r="O15" s="286" t="n"/>
      <c r="P15" s="49" t="n"/>
      <c r="Q15" s="50" t="n"/>
    </row>
    <row r="16">
      <c r="A16" s="78" t="inlineStr">
        <is>
          <t>Total Other Tools</t>
        </is>
      </c>
      <c r="B16" s="301" t="n">
        <v>726.1223583180987</v>
      </c>
      <c r="C16" s="113" t="n">
        <v>-0.04243355076194189</v>
      </c>
      <c r="D16" s="107" t="n">
        <v>-0.1794135692878055</v>
      </c>
      <c r="E16" s="99" t="n">
        <v>547</v>
      </c>
      <c r="F16" s="113" t="n">
        <v>0.899671052631579</v>
      </c>
      <c r="G16" s="113" t="n">
        <v>0.4547872340425532</v>
      </c>
      <c r="H16" s="107" t="n">
        <v>0.6779141104294479</v>
      </c>
      <c r="I16" s="76" t="n">
        <v>397188.93</v>
      </c>
      <c r="J16" s="130" t="n">
        <v>0.9029948481480451</v>
      </c>
      <c r="L16" s="174" t="n">
        <v>0.3930554460989835</v>
      </c>
      <c r="M16" s="174" t="n">
        <v>0.3768735509189276</v>
      </c>
      <c r="N16" s="286" t="n"/>
      <c r="O16" s="286" t="n"/>
      <c r="P16" s="49" t="n"/>
      <c r="Q16" s="50" t="n"/>
    </row>
    <row r="17">
      <c r="A17" s="86" t="inlineStr">
        <is>
          <t>Total</t>
        </is>
      </c>
      <c r="B17" s="302" t="n">
        <v>723.4496052631579</v>
      </c>
      <c r="C17" s="109" t="n">
        <v>-0.04504990512703833</v>
      </c>
      <c r="D17" s="108" t="n">
        <v>-0.1491215757300418</v>
      </c>
      <c r="E17" s="100" t="n">
        <v>608</v>
      </c>
      <c r="F17" s="109" t="n">
        <v>1</v>
      </c>
      <c r="G17" s="109" t="n">
        <v>0.5276381909547738</v>
      </c>
      <c r="H17" s="108" t="n">
        <v>0.8095238095238095</v>
      </c>
      <c r="I17" s="85" t="n">
        <v>439857.36</v>
      </c>
      <c r="J17" s="109" t="n">
        <v>1</v>
      </c>
      <c r="L17" s="172" t="n">
        <v>0.458818235383821</v>
      </c>
      <c r="M17" s="172" t="n">
        <v>0.5396847677265908</v>
      </c>
      <c r="N17" s="286" t="n"/>
      <c r="O17" s="286" t="n"/>
      <c r="P17" s="49" t="n"/>
      <c r="Q17" s="50" t="n"/>
    </row>
    <row r="18">
      <c r="A18" s="29" t="n"/>
      <c r="B18" s="29" t="n"/>
      <c r="C18" s="321" t="n"/>
      <c r="D18" s="47" t="n"/>
      <c r="E18" s="48" t="n"/>
      <c r="F18" s="48" t="n"/>
      <c r="G18" s="48" t="n"/>
      <c r="H18" s="48" t="n"/>
      <c r="I18" s="49" t="n"/>
      <c r="J18" s="50" t="n"/>
    </row>
    <row r="19">
      <c r="A19" s="29" t="n"/>
      <c r="B19" s="29" t="n"/>
      <c r="C19" s="321" t="n"/>
      <c r="D19" s="47" t="n"/>
      <c r="E19" s="48" t="n"/>
      <c r="F19" s="48" t="n"/>
      <c r="G19" s="48" t="n"/>
      <c r="H19" s="48" t="n"/>
      <c r="I19" s="49" t="n"/>
      <c r="J19" s="50" t="n"/>
    </row>
    <row r="20">
      <c r="A20" s="29" t="n"/>
      <c r="B20" s="29" t="n"/>
      <c r="C20" s="321" t="n"/>
      <c r="D20" s="47" t="n"/>
      <c r="E20" s="48" t="n"/>
      <c r="F20" s="48" t="n"/>
      <c r="G20" s="48" t="n"/>
      <c r="H20" s="48" t="n"/>
      <c r="I20" s="49" t="n"/>
      <c r="J20" s="50" t="n"/>
    </row>
    <row r="21">
      <c r="A21" s="29" t="n"/>
      <c r="B21" s="29" t="n"/>
      <c r="C21" s="321" t="n"/>
      <c r="D21" s="47" t="n"/>
      <c r="E21" s="48" t="n"/>
      <c r="F21" s="48" t="n"/>
      <c r="G21" s="48" t="n"/>
      <c r="H21" s="48" t="n"/>
      <c r="I21" s="49" t="n"/>
      <c r="J21" s="50" t="n"/>
    </row>
    <row r="22">
      <c r="A22" s="29" t="n"/>
      <c r="B22" s="29" t="n"/>
      <c r="C22" s="321" t="n"/>
      <c r="D22" s="47" t="n"/>
      <c r="E22" s="48" t="n"/>
      <c r="F22" s="48" t="n"/>
      <c r="G22" s="48" t="n"/>
      <c r="H22" s="48" t="n"/>
      <c r="I22" s="49" t="n"/>
      <c r="J22" s="50" t="n"/>
    </row>
    <row r="23">
      <c r="A23" s="29" t="n"/>
      <c r="B23" s="29" t="n"/>
      <c r="C23" s="321" t="n"/>
      <c r="D23" s="47" t="n"/>
      <c r="E23" s="48" t="n"/>
      <c r="F23" s="48" t="n"/>
      <c r="G23" s="48" t="n"/>
      <c r="H23" s="48" t="n"/>
      <c r="I23" s="49" t="n"/>
      <c r="J23" s="50" t="n"/>
    </row>
    <row r="24">
      <c r="A24" s="29" t="n"/>
      <c r="B24" s="29" t="n"/>
      <c r="C24" s="321" t="n"/>
      <c r="D24" s="47" t="n"/>
      <c r="E24" s="48" t="n"/>
      <c r="F24" s="48" t="n"/>
      <c r="G24" s="48" t="n"/>
      <c r="H24" s="48" t="n"/>
      <c r="I24" s="49" t="n"/>
      <c r="J24" s="50" t="n"/>
    </row>
    <row r="25">
      <c r="A25" s="29" t="n"/>
      <c r="B25" s="29" t="n"/>
      <c r="C25" s="321" t="n"/>
      <c r="D25" s="47" t="n"/>
      <c r="E25" s="48" t="n"/>
      <c r="F25" s="48" t="n"/>
      <c r="G25" s="48" t="n"/>
      <c r="H25" s="48" t="n"/>
      <c r="I25" s="49" t="n"/>
      <c r="J25" s="50" t="n"/>
    </row>
    <row r="26">
      <c r="A26" s="29" t="n"/>
      <c r="B26" s="29" t="n"/>
      <c r="C26" s="321" t="n"/>
      <c r="D26" s="47" t="n"/>
      <c r="E26" s="48" t="n"/>
      <c r="F26" s="48" t="n"/>
      <c r="G26" s="48" t="n"/>
      <c r="H26" s="48" t="n"/>
      <c r="I26" s="49" t="n"/>
      <c r="J26" s="50" t="n"/>
    </row>
    <row r="27">
      <c r="A27" s="29" t="n"/>
      <c r="B27" s="29" t="n"/>
      <c r="C27" s="321" t="n"/>
      <c r="D27" s="47" t="n"/>
      <c r="E27" s="48" t="n"/>
      <c r="F27" s="48" t="n"/>
      <c r="G27" s="48" t="n"/>
      <c r="H27" s="48" t="n"/>
      <c r="I27" s="49" t="n"/>
      <c r="J27" s="50" t="n"/>
    </row>
    <row r="28">
      <c r="A28" s="29" t="n"/>
      <c r="B28" s="29" t="n"/>
      <c r="C28" s="321" t="n"/>
      <c r="D28" s="47" t="n"/>
      <c r="E28" s="48" t="n"/>
      <c r="F28" s="48" t="n"/>
      <c r="G28" s="48" t="n"/>
      <c r="H28" s="48" t="n"/>
      <c r="I28" s="49" t="n"/>
      <c r="J28" s="50" t="n"/>
    </row>
    <row r="29">
      <c r="A29" s="29" t="n"/>
      <c r="B29" s="29" t="n"/>
      <c r="C29" s="321" t="n"/>
      <c r="D29" s="47" t="n"/>
      <c r="E29" s="48" t="n"/>
      <c r="F29" s="48" t="n"/>
      <c r="G29" s="48" t="n"/>
      <c r="H29" s="48" t="n"/>
      <c r="I29" s="49" t="n"/>
      <c r="J29" s="50" t="n"/>
    </row>
    <row r="30">
      <c r="A30" s="29" t="n"/>
      <c r="B30" s="29" t="n"/>
      <c r="C30" s="321" t="n"/>
      <c r="D30" s="47" t="n"/>
      <c r="E30" s="48" t="n"/>
      <c r="F30" s="48" t="n"/>
      <c r="G30" s="48" t="n"/>
      <c r="H30" s="48" t="n"/>
      <c r="I30" s="49" t="n"/>
      <c r="J30" s="50" t="n"/>
    </row>
    <row r="31">
      <c r="A31" s="29" t="n"/>
      <c r="B31" s="29" t="n"/>
      <c r="C31" s="321" t="n"/>
      <c r="D31" s="47" t="n"/>
      <c r="E31" s="48" t="n"/>
      <c r="F31" s="48" t="n"/>
      <c r="G31" s="48" t="n"/>
      <c r="H31" s="48" t="n"/>
      <c r="I31" s="49" t="n"/>
      <c r="J31" s="50" t="n"/>
    </row>
    <row r="32">
      <c r="A32" s="29" t="n"/>
      <c r="B32" s="29" t="n"/>
      <c r="C32" s="321" t="n"/>
      <c r="D32" s="47" t="n"/>
      <c r="E32" s="48" t="n"/>
      <c r="F32" s="48" t="n"/>
      <c r="G32" s="48" t="n"/>
      <c r="H32" s="48" t="n"/>
      <c r="I32" s="49" t="n"/>
      <c r="J32" s="50" t="n"/>
    </row>
    <row r="33">
      <c r="A33" s="29" t="n"/>
      <c r="B33" s="29" t="n"/>
      <c r="C33" s="321" t="n"/>
      <c r="D33" s="47" t="n"/>
      <c r="E33" s="48" t="n"/>
      <c r="F33" s="48" t="n"/>
      <c r="G33" s="48" t="n"/>
      <c r="H33" s="48" t="n"/>
      <c r="I33" s="49" t="n"/>
      <c r="J33" s="50" t="n"/>
    </row>
    <row r="49" ht="16" customHeight="1" s="290">
      <c r="C49" s="284" t="n"/>
      <c r="D49" s="284" t="n"/>
      <c r="F49" s="284" t="n"/>
      <c r="G49" s="284" t="n"/>
      <c r="H49" s="284" t="n"/>
      <c r="I49" s="284" t="n"/>
    </row>
    <row r="50">
      <c r="C50" s="284" t="n"/>
      <c r="D50" s="284" t="n"/>
      <c r="F50" s="284" t="n"/>
      <c r="G50" s="284" t="n"/>
      <c r="H50" s="284" t="n"/>
      <c r="I50" s="284" t="n"/>
    </row>
    <row r="51">
      <c r="A51" s="283" t="inlineStr">
        <is>
          <t xml:space="preserve">Rank by Revenue </t>
        </is>
      </c>
    </row>
    <row r="52" ht="17" customHeight="1" s="290">
      <c r="A52" s="38" t="inlineStr">
        <is>
          <t>Product Name</t>
        </is>
      </c>
      <c r="B52" s="39" t="inlineStr">
        <is>
          <t>ASIN</t>
        </is>
      </c>
      <c r="C52" s="39" t="inlineStr">
        <is>
          <t>Type</t>
        </is>
      </c>
      <c r="D52" s="322" t="inlineStr">
        <is>
          <t>Avg Price</t>
        </is>
      </c>
      <c r="E52" s="41" t="inlineStr">
        <is>
          <t>Estimated 12mo Revenue</t>
        </is>
      </c>
      <c r="F52" s="39" t="inlineStr">
        <is>
          <t>Monthly Rev</t>
        </is>
      </c>
      <c r="G52" s="42" t="inlineStr">
        <is>
          <t>Estimated 12mo Units</t>
        </is>
      </c>
      <c r="H52" s="45" t="inlineStr">
        <is>
          <t>Monthly Units</t>
        </is>
      </c>
      <c r="I52" s="42" t="inlineStr">
        <is>
          <t># of Reviews</t>
        </is>
      </c>
      <c r="J52" s="43" t="inlineStr">
        <is>
          <t xml:space="preserve">Tool Rating </t>
        </is>
      </c>
      <c r="K52" s="43" t="inlineStr">
        <is>
          <t>Column1</t>
        </is>
      </c>
      <c r="L52" s="323" t="inlineStr">
        <is>
          <t>Link</t>
        </is>
      </c>
    </row>
    <row r="53" ht="45" customHeight="1" s="290">
      <c r="A53" s="30" t="inlineStr">
        <is>
          <t>Opus IVS Mongoose-Plus J2534 OEM Vehicle Interface Cable - Toyota/Lexus/Scion OEM Reprogramming and Diagnostics</t>
        </is>
      </c>
      <c r="B53" s="30" t="inlineStr">
        <is>
          <t>B097NFNZBG</t>
        </is>
      </c>
      <c r="C53" s="30" t="inlineStr">
        <is>
          <t>Cable/Adapter</t>
        </is>
      </c>
      <c r="D53" s="324" t="n">
        <v>575.2684816753926</v>
      </c>
      <c r="E53" s="53" t="n">
        <v>1216009.94</v>
      </c>
      <c r="F53" s="54" t="n">
        <v>109876.28</v>
      </c>
      <c r="G53" s="55" t="n">
        <v>2117</v>
      </c>
      <c r="H53" s="55" t="n">
        <v>191</v>
      </c>
      <c r="I53" s="55" t="n">
        <v>335</v>
      </c>
      <c r="J53" s="56" t="n">
        <v>4.4</v>
      </c>
      <c r="K53" s="56" t="inlineStr">
        <is>
          <t>https://amazon.com/dp/B097NFNZBG</t>
        </is>
      </c>
      <c r="L53" s="34">
        <f>HYPERLINK(OPUSIVS_2[[#This Row],[Column1]])</f>
        <v/>
      </c>
    </row>
    <row r="54" ht="45" customHeight="1" s="290">
      <c r="A54" s="30" t="inlineStr">
        <is>
          <t>Opus IVS CarDAQ-Plus 3 All Makes J2534 Reprogramming Tool</t>
        </is>
      </c>
      <c r="B54" s="30" t="inlineStr">
        <is>
          <t>B09SP8F2X6</t>
        </is>
      </c>
      <c r="C54" s="30" t="inlineStr">
        <is>
          <t>Other</t>
        </is>
      </c>
      <c r="D54" s="324" t="n">
        <v>1900.98</v>
      </c>
      <c r="E54" s="53" t="n">
        <v>857580.9700000001</v>
      </c>
      <c r="F54" s="54" t="n">
        <v>74138.22</v>
      </c>
      <c r="G54" s="55" t="n">
        <v>450</v>
      </c>
      <c r="H54" s="55" t="n">
        <v>39</v>
      </c>
      <c r="I54" s="55" t="n">
        <v>84</v>
      </c>
      <c r="J54" s="56" t="n">
        <v>4.4</v>
      </c>
      <c r="K54" s="56" t="inlineStr">
        <is>
          <t>https://amazon.com/dp/B09SP8F2X6</t>
        </is>
      </c>
      <c r="L54" s="34">
        <f>HYPERLINK(OPUSIVS_2[[#This Row],[Column1]])</f>
        <v/>
      </c>
    </row>
    <row r="55" ht="45" customHeight="1" s="290">
      <c r="A55" s="30" t="inlineStr">
        <is>
          <t>Opus IVS CarDAQ-Plus 3 All Makes J2534 Reprogramming Tool - Bluetooth</t>
        </is>
      </c>
      <c r="B55" s="30" t="inlineStr">
        <is>
          <t>B09SNVC9JR</t>
        </is>
      </c>
      <c r="C55" s="30" t="inlineStr">
        <is>
          <t>Other</t>
        </is>
      </c>
      <c r="D55" s="324" t="n">
        <v>2287.939333333333</v>
      </c>
      <c r="E55" s="53" t="n">
        <v>427463.5999999999</v>
      </c>
      <c r="F55" s="54" t="n">
        <v>34319.09</v>
      </c>
      <c r="G55" s="55" t="n">
        <v>192</v>
      </c>
      <c r="H55" s="55" t="n">
        <v>15</v>
      </c>
      <c r="I55" s="55" t="n">
        <v>84</v>
      </c>
      <c r="J55" s="56" t="n">
        <v>4.4</v>
      </c>
      <c r="K55" s="56" t="inlineStr">
        <is>
          <t>https://amazon.com/dp/B09SNVC9JR</t>
        </is>
      </c>
      <c r="L55" s="34">
        <f>HYPERLINK(OPUSIVS_2[[#This Row],[Column1]])</f>
        <v/>
      </c>
    </row>
    <row r="56" ht="60" customHeight="1" s="290">
      <c r="A56" s="30" t="inlineStr">
        <is>
          <t>Opus IVS Mongoose-Plus J2534 OEM Vehicle Interface Cable - Nissan/Infiniti OEM Reprogramming and Diagnostics</t>
        </is>
      </c>
      <c r="B56" s="30" t="inlineStr">
        <is>
          <t>B097NFTXMD</t>
        </is>
      </c>
      <c r="C56" s="30" t="inlineStr">
        <is>
          <t>Cable/Adapter</t>
        </is>
      </c>
      <c r="D56" s="324" t="n">
        <v>579.0662962962963</v>
      </c>
      <c r="E56" s="53" t="n">
        <v>99913.98</v>
      </c>
      <c r="F56" s="54" t="n">
        <v>31269.58</v>
      </c>
      <c r="G56" s="55" t="n">
        <v>173</v>
      </c>
      <c r="H56" s="55" t="n">
        <v>54</v>
      </c>
      <c r="I56" s="55" t="n">
        <v>335</v>
      </c>
      <c r="J56" s="56" t="n">
        <v>4.4</v>
      </c>
      <c r="K56" s="56" t="inlineStr">
        <is>
          <t>https://amazon.com/dp/B097NFTXMD</t>
        </is>
      </c>
      <c r="L56" s="34">
        <f>HYPERLINK(OPUSIVS_2[[#This Row],[Column1]])</f>
        <v/>
      </c>
    </row>
    <row r="57" ht="45" customHeight="1" s="290">
      <c r="A57" s="30" t="inlineStr">
        <is>
          <t>Opus IVS CarDAQ-Pro All Makes J2534 Reprogramming Tool and Remote Assisted Programming Plus IVS360</t>
        </is>
      </c>
      <c r="B57" s="30" t="inlineStr">
        <is>
          <t>B0BJQMTY48</t>
        </is>
      </c>
      <c r="C57" s="30" t="inlineStr">
        <is>
          <t>Other</t>
        </is>
      </c>
      <c r="D57" s="324" t="n">
        <v>2478.37</v>
      </c>
      <c r="E57" s="53" t="n">
        <v>248660.66</v>
      </c>
      <c r="F57" s="54" t="n">
        <v>29740.44</v>
      </c>
      <c r="G57" s="55" t="n">
        <v>97</v>
      </c>
      <c r="H57" s="55" t="n">
        <v>12</v>
      </c>
      <c r="I57" s="55" t="n">
        <v>84</v>
      </c>
      <c r="J57" s="56" t="n">
        <v>4.4</v>
      </c>
      <c r="K57" s="56" t="inlineStr">
        <is>
          <t>https://amazon.com/dp/B0BJQMTY48</t>
        </is>
      </c>
      <c r="L57" s="34">
        <f>HYPERLINK(OPUSIVS_2[[#This Row],[Column1]])</f>
        <v/>
      </c>
    </row>
    <row r="58" ht="45" customHeight="1" s="290">
      <c r="A58" s="30" t="inlineStr">
        <is>
          <t>Mongoose-Plus J2534 OEM Vehicle Interface Cable - VW/Audi OEM Reprogramming and Diagnostics</t>
        </is>
      </c>
      <c r="B58" s="30" t="inlineStr">
        <is>
          <t>B097NGHP7S</t>
        </is>
      </c>
      <c r="C58" s="30" t="inlineStr">
        <is>
          <t>Cable/Adapter</t>
        </is>
      </c>
      <c r="D58" s="324" t="n">
        <v>572.7123255813954</v>
      </c>
      <c r="E58" s="53" t="n">
        <v>89781.14000000001</v>
      </c>
      <c r="F58" s="54" t="n">
        <v>24626.63</v>
      </c>
      <c r="G58" s="55" t="n">
        <v>157</v>
      </c>
      <c r="H58" s="55" t="n">
        <v>43</v>
      </c>
      <c r="I58" s="55" t="n">
        <v>335</v>
      </c>
      <c r="J58" s="56" t="n">
        <v>4.4</v>
      </c>
      <c r="K58" s="56" t="inlineStr">
        <is>
          <t>https://amazon.com/dp/B097NGHP7S</t>
        </is>
      </c>
      <c r="L58" s="34">
        <f>HYPERLINK(OPUSIVS_2[[#This Row],[Column1]])</f>
        <v/>
      </c>
    </row>
    <row r="59" ht="45" customHeight="1" s="290">
      <c r="A59" s="30" t="inlineStr">
        <is>
          <t>Opus IVS Mongoose-Plus J2534 OEM Vehicle Interface Cable - Honda/Acura OEM Reprogramming and Diagnostics</t>
        </is>
      </c>
      <c r="B59" s="30" t="inlineStr">
        <is>
          <t>B097NH743T</t>
        </is>
      </c>
      <c r="C59" s="30" t="inlineStr">
        <is>
          <t>Cable/Adapter</t>
        </is>
      </c>
      <c r="D59" s="324" t="n">
        <v>568.9572093023256</v>
      </c>
      <c r="E59" s="53" t="n">
        <v>93055.99000000001</v>
      </c>
      <c r="F59" s="54" t="n">
        <v>24465.16</v>
      </c>
      <c r="G59" s="55" t="n">
        <v>163</v>
      </c>
      <c r="H59" s="55" t="n">
        <v>43</v>
      </c>
      <c r="I59" s="55" t="n">
        <v>335</v>
      </c>
      <c r="J59" s="56" t="n">
        <v>4.4</v>
      </c>
      <c r="K59" s="56" t="inlineStr">
        <is>
          <t>https://amazon.com/dp/B097NH743T</t>
        </is>
      </c>
      <c r="L59" s="34">
        <f>HYPERLINK(OPUSIVS_2[[#This Row],[Column1]])</f>
        <v/>
      </c>
    </row>
    <row r="60" ht="45" customHeight="1" s="290">
      <c r="A60" s="30" t="inlineStr">
        <is>
          <t>Opus IVS Mongoose-Plus J2534 OEM Vehicle Interface Cable - Designed for Chrysler/Dodge/Jeep OEM Reprogramming and Diagnostics</t>
        </is>
      </c>
      <c r="B60" s="30" t="inlineStr">
        <is>
          <t>B0BJW311DC</t>
        </is>
      </c>
      <c r="C60" s="30" t="inlineStr">
        <is>
          <t>Cable/Adapter</t>
        </is>
      </c>
      <c r="D60" s="324" t="n">
        <v>573.5211904761904</v>
      </c>
      <c r="E60" s="53" t="n">
        <v>92120.20999999999</v>
      </c>
      <c r="F60" s="54" t="n">
        <v>24087.89</v>
      </c>
      <c r="G60" s="55" t="n">
        <v>160</v>
      </c>
      <c r="H60" s="55" t="n">
        <v>42</v>
      </c>
      <c r="I60" s="55" t="n">
        <v>335</v>
      </c>
      <c r="J60" s="56" t="n">
        <v>4.4</v>
      </c>
      <c r="K60" s="56" t="inlineStr">
        <is>
          <t>https://amazon.com/dp/B0BJW311DC</t>
        </is>
      </c>
      <c r="L60" s="34">
        <f>HYPERLINK(OPUSIVS_2[[#This Row],[Column1]])</f>
        <v/>
      </c>
    </row>
    <row r="61" ht="45" customHeight="1" s="290">
      <c r="A61" s="30" t="inlineStr">
        <is>
          <t>Opus IVS Mongoose-Plus J2534 OEM Vehicle Interface Cable - OEM Reprogramming and Diagnostics for Subaru</t>
        </is>
      </c>
      <c r="B61" s="30" t="inlineStr">
        <is>
          <t>B0CP73XSS8</t>
        </is>
      </c>
      <c r="C61" s="30" t="inlineStr">
        <is>
          <t>Cable/Adapter</t>
        </is>
      </c>
      <c r="D61" s="324" t="n">
        <v>580.04425</v>
      </c>
      <c r="E61" s="53" t="n">
        <v>119246.8369230769</v>
      </c>
      <c r="F61" s="54" t="n">
        <v>23201.77</v>
      </c>
      <c r="G61" s="55" t="n">
        <v>130</v>
      </c>
      <c r="H61" s="55" t="n">
        <v>40</v>
      </c>
      <c r="I61" s="55" t="n">
        <v>335</v>
      </c>
      <c r="J61" s="56" t="n">
        <v>4.4</v>
      </c>
      <c r="K61" s="56" t="inlineStr">
        <is>
          <t>https://amazon.com/dp/B0CP73XSS8</t>
        </is>
      </c>
      <c r="L61" s="34">
        <f>HYPERLINK(OPUSIVS_2[[#This Row],[Column1]])</f>
        <v/>
      </c>
    </row>
    <row r="62" ht="45" customHeight="1" s="290">
      <c r="A62" s="30" t="inlineStr">
        <is>
          <t>Opus IVS Mongoose-Plus Toyota/Lexus/Scion J2534 OEM Vehicle Interface Bluetooth Wireless - OEM Reprogramming and Diagnostics</t>
        </is>
      </c>
      <c r="B62" s="30" t="inlineStr">
        <is>
          <t>B097NGSRDK</t>
        </is>
      </c>
      <c r="C62" s="30" t="inlineStr">
        <is>
          <t>Dongle</t>
        </is>
      </c>
      <c r="D62" s="324" t="n">
        <v>697.2820689655173</v>
      </c>
      <c r="E62" s="53" t="n">
        <v>46268.57999999999</v>
      </c>
      <c r="F62" s="54" t="n">
        <v>20221.18</v>
      </c>
      <c r="G62" s="55" t="n">
        <v>66</v>
      </c>
      <c r="H62" s="55" t="n">
        <v>29</v>
      </c>
      <c r="I62" s="55" t="n">
        <v>335</v>
      </c>
      <c r="J62" s="56" t="n">
        <v>4.4</v>
      </c>
      <c r="K62" s="56" t="inlineStr">
        <is>
          <t>https://amazon.com/dp/B097NGSRDK</t>
        </is>
      </c>
      <c r="L62" s="34">
        <f>HYPERLINK(OPUSIVS_2[[#This Row],[Column1]])</f>
        <v/>
      </c>
    </row>
    <row r="63" ht="45" customHeight="1" s="290">
      <c r="A63" s="30" t="inlineStr">
        <is>
          <t>Opus IVS Mongoose-Plus J2534 OEM Vehicle Interface Cable - GM OEM Reprogramming and Diagnostics</t>
        </is>
      </c>
      <c r="B63" s="30" t="inlineStr">
        <is>
          <t>B09D574Q3M</t>
        </is>
      </c>
      <c r="C63" s="30" t="inlineStr">
        <is>
          <t>Cable/Adapter</t>
        </is>
      </c>
      <c r="D63" s="324" t="n">
        <v>559.6605882352941</v>
      </c>
      <c r="E63" s="53" t="n">
        <v>96229.37999999999</v>
      </c>
      <c r="F63" s="54" t="n">
        <v>9514.23</v>
      </c>
      <c r="G63" s="55" t="n">
        <v>167</v>
      </c>
      <c r="H63" s="55" t="n">
        <v>17</v>
      </c>
      <c r="I63" s="55" t="n">
        <v>335</v>
      </c>
      <c r="J63" s="56" t="n">
        <v>4.4</v>
      </c>
      <c r="K63" s="56" t="inlineStr">
        <is>
          <t>https://amazon.com/dp/B09D574Q3M</t>
        </is>
      </c>
      <c r="L63" s="34">
        <f>HYPERLINK(OPUSIVS_2[[#This Row],[Column1]])</f>
        <v/>
      </c>
    </row>
    <row r="64" ht="45" customHeight="1" s="290">
      <c r="A64" s="30" t="inlineStr">
        <is>
          <t>Opus IVS Mongoose-Plus J2534 OEM Vehicle Interface Cable - Ford/Lincoln/Mercury OEM Reprogramming and Diagnostics.</t>
        </is>
      </c>
      <c r="B64" s="30" t="inlineStr">
        <is>
          <t>B097NHQ7ZW</t>
        </is>
      </c>
      <c r="C64" s="30" t="inlineStr">
        <is>
          <t>Cable/Adapter</t>
        </is>
      </c>
      <c r="D64" s="324" t="n">
        <v>581.7871428571428</v>
      </c>
      <c r="E64" s="53" t="n">
        <v>352210.37</v>
      </c>
      <c r="F64" s="54" t="n">
        <v>4072.51</v>
      </c>
      <c r="G64" s="55" t="n">
        <v>606</v>
      </c>
      <c r="H64" s="55" t="n">
        <v>7</v>
      </c>
      <c r="I64" s="55" t="n">
        <v>335</v>
      </c>
      <c r="J64" s="56" t="n">
        <v>4.4</v>
      </c>
      <c r="K64" s="56" t="inlineStr">
        <is>
          <t>https://amazon.com/dp/B097NHQ7ZW</t>
        </is>
      </c>
      <c r="L64" s="34">
        <f>HYPERLINK(OPUSIVS_2[[#This Row],[Column1]])</f>
        <v/>
      </c>
    </row>
    <row r="65" ht="45" customHeight="1" s="290">
      <c r="A65" s="30" t="inlineStr">
        <is>
          <t>Opus IVS Mongoose-Plus J2534 OEM Bluetooth Wireless Vehicle Interface Cable - Ford/Lincoln/Mercury OEM Reprogramming and Diagnostics</t>
        </is>
      </c>
      <c r="B65" s="30" t="inlineStr">
        <is>
          <t>B097NGVRQ7</t>
        </is>
      </c>
      <c r="C65" s="30" t="inlineStr">
        <is>
          <t>Dongle</t>
        </is>
      </c>
      <c r="D65" s="324" t="n">
        <v>670.22</v>
      </c>
      <c r="E65" s="53" t="n">
        <v>31738.2</v>
      </c>
      <c r="F65" s="54" t="n">
        <v>4021.32</v>
      </c>
      <c r="G65" s="55" t="n">
        <v>48</v>
      </c>
      <c r="H65" s="55" t="n">
        <v>6</v>
      </c>
      <c r="I65" s="55" t="n">
        <v>335</v>
      </c>
      <c r="J65" s="56" t="n">
        <v>4.4</v>
      </c>
      <c r="K65" s="56" t="inlineStr">
        <is>
          <t>https://amazon.com/dp/B097NGVRQ7</t>
        </is>
      </c>
      <c r="L65" s="34">
        <f>HYPERLINK(OPUSIVS_2[[#This Row],[Column1]])</f>
        <v/>
      </c>
    </row>
    <row r="66" ht="45" customHeight="1" s="290">
      <c r="A66" s="30" t="inlineStr">
        <is>
          <t>Opus IVS Mongoose-Plus J2534 OEM Bluetooth Vehicle Interface Cable - Designed for Chrysler/Dodge/Jeep OEM Reprogramming and Diagnostics</t>
        </is>
      </c>
      <c r="B66" s="30" t="inlineStr">
        <is>
          <t>B0BJVYSX4Z</t>
        </is>
      </c>
      <c r="C66" s="30" t="inlineStr">
        <is>
          <t>Dongle</t>
        </is>
      </c>
      <c r="D66" s="324" t="n">
        <v>647.91</v>
      </c>
      <c r="E66" s="53" t="n">
        <v>29183</v>
      </c>
      <c r="F66" s="54" t="n">
        <v>3887.46</v>
      </c>
      <c r="G66" s="55" t="n">
        <v>42</v>
      </c>
      <c r="H66" s="55" t="n">
        <v>6</v>
      </c>
      <c r="I66" s="55" t="n">
        <v>335</v>
      </c>
      <c r="J66" s="56" t="n">
        <v>4.4</v>
      </c>
      <c r="K66" s="56" t="inlineStr">
        <is>
          <t>https://amazon.com/dp/B0BJVYSX4Z</t>
        </is>
      </c>
      <c r="L66" s="34">
        <f>HYPERLINK(OPUSIVS_2[[#This Row],[Column1]])</f>
        <v/>
      </c>
    </row>
    <row r="67" ht="45" customHeight="1" s="290">
      <c r="A67" s="30" t="inlineStr">
        <is>
          <t>Opus IVS Mongoose-Plus J2534 OEM Bluetooth Wireless Vehicle Interface Cable - Nissan/Infiniti OEM Reprogramming and Diagnostics</t>
        </is>
      </c>
      <c r="B67" s="30" t="inlineStr">
        <is>
          <t>B097NJ79HD</t>
        </is>
      </c>
      <c r="C67" s="30" t="inlineStr">
        <is>
          <t>Dongle</t>
        </is>
      </c>
      <c r="D67" s="324" t="n">
        <v>761.154</v>
      </c>
      <c r="E67" s="53" t="n">
        <v>29094.52</v>
      </c>
      <c r="F67" s="54" t="n">
        <v>3805.77</v>
      </c>
      <c r="G67" s="55" t="n">
        <v>41</v>
      </c>
      <c r="H67" s="55" t="n">
        <v>5</v>
      </c>
      <c r="I67" s="55" t="n">
        <v>335</v>
      </c>
      <c r="J67" s="56" t="n">
        <v>4.4</v>
      </c>
      <c r="K67" s="56" t="inlineStr">
        <is>
          <t>https://amazon.com/dp/B097NJ79HD</t>
        </is>
      </c>
      <c r="L67" s="34">
        <f>HYPERLINK(OPUSIVS_2[[#This Row],[Column1]])</f>
        <v/>
      </c>
    </row>
    <row r="68" ht="45" customHeight="1" s="290">
      <c r="A68" s="30" t="inlineStr">
        <is>
          <t>Opus IVS Mongoose-Plus J2534 OEM Bluetooth Wireless Vehicle Interface Cable - GM OEM Reprogramming and Diagnostics</t>
        </is>
      </c>
      <c r="B68" s="30" t="inlineStr">
        <is>
          <t>B09D4Z9M8Y</t>
        </is>
      </c>
      <c r="C68" s="30" t="inlineStr">
        <is>
          <t>Dongle</t>
        </is>
      </c>
      <c r="D68" s="324" t="n">
        <v>742.7380000000001</v>
      </c>
      <c r="E68" s="53" t="n">
        <v>30332.29</v>
      </c>
      <c r="F68" s="54" t="n">
        <v>3713.69</v>
      </c>
      <c r="G68" s="55" t="n">
        <v>42</v>
      </c>
      <c r="H68" s="55" t="n">
        <v>5</v>
      </c>
      <c r="I68" s="55" t="n">
        <v>335</v>
      </c>
      <c r="J68" s="56" t="n">
        <v>4.4</v>
      </c>
      <c r="K68" s="56" t="inlineStr">
        <is>
          <t>https://amazon.com/dp/B09D4Z9M8Y</t>
        </is>
      </c>
      <c r="L68" s="34">
        <f>HYPERLINK(OPUSIVS_2[[#This Row],[Column1]])</f>
        <v/>
      </c>
    </row>
    <row r="69" ht="60" customHeight="1" s="290">
      <c r="A69" s="30" t="inlineStr">
        <is>
          <t>Opus IVS Mongoose-Plus J2534 OEM Vehicle Bluetooth Wireless Interface Cable - Honda/Acura OEM Reprogramming and Diagnostics</t>
        </is>
      </c>
      <c r="B69" s="30" t="inlineStr">
        <is>
          <t>B097NGBKNN</t>
        </is>
      </c>
      <c r="C69" s="30" t="inlineStr">
        <is>
          <t>Dongle</t>
        </is>
      </c>
      <c r="D69" s="324" t="n">
        <v>704.162</v>
      </c>
      <c r="E69" s="53" t="n">
        <v>30453.84846153847</v>
      </c>
      <c r="F69" s="54" t="n">
        <v>3520.81</v>
      </c>
      <c r="G69" s="55" t="n">
        <v>39</v>
      </c>
      <c r="H69" s="55" t="n">
        <v>5</v>
      </c>
      <c r="I69" s="55" t="n">
        <v>335</v>
      </c>
      <c r="J69" s="56" t="n">
        <v>4.4</v>
      </c>
      <c r="K69" s="56" t="inlineStr">
        <is>
          <t>https://amazon.com/dp/B097NGBKNN</t>
        </is>
      </c>
      <c r="L69" s="34">
        <f>HYPERLINK(OPUSIVS_2[[#This Row],[Column1]])</f>
        <v/>
      </c>
    </row>
    <row r="70" ht="45" customHeight="1" s="290">
      <c r="A70" s="30" t="inlineStr">
        <is>
          <t>Opus IVS Mongoose-Plus J2534 OEM Bluetooth Wireless Vehicle Interface Cable - VW/Audi OEM Reprogramming and Diagnostics</t>
        </is>
      </c>
      <c r="B70" s="30" t="inlineStr">
        <is>
          <t>B097NJ646V</t>
        </is>
      </c>
      <c r="C70" s="30" t="inlineStr">
        <is>
          <t>Dongle</t>
        </is>
      </c>
      <c r="D70" s="324" t="n">
        <v>699.64</v>
      </c>
      <c r="E70" s="53" t="n">
        <v>29154.27</v>
      </c>
      <c r="F70" s="54" t="n">
        <v>3498.2</v>
      </c>
      <c r="G70" s="55" t="n">
        <v>41</v>
      </c>
      <c r="H70" s="55" t="n">
        <v>5</v>
      </c>
      <c r="I70" s="55" t="n">
        <v>335</v>
      </c>
      <c r="J70" s="56" t="n">
        <v>4.4</v>
      </c>
      <c r="K70" s="56" t="inlineStr">
        <is>
          <t>https://amazon.com/dp/B097NJ646V</t>
        </is>
      </c>
      <c r="L70" s="34">
        <f>HYPERLINK(OPUSIVS_2[[#This Row],[Column1]])</f>
        <v/>
      </c>
    </row>
    <row r="71" ht="45" customHeight="1" s="290">
      <c r="A71" s="30" t="inlineStr">
        <is>
          <t>Opus IVS CarDAQ-Plus 3 OBD2 Vehicle Cable - Also for DrivePro/DriveSafe Products</t>
        </is>
      </c>
      <c r="B71" s="30" t="inlineStr">
        <is>
          <t>B09SP5Z369</t>
        </is>
      </c>
      <c r="C71" s="30" t="inlineStr">
        <is>
          <t>Cable/Adapter</t>
        </is>
      </c>
      <c r="D71" s="324" t="n">
        <v>80.11342857142857</v>
      </c>
      <c r="E71" s="53" t="n">
        <v>20448.08</v>
      </c>
      <c r="F71" s="54" t="n">
        <v>2803.97</v>
      </c>
      <c r="G71" s="55" t="n">
        <v>255</v>
      </c>
      <c r="H71" s="55" t="n">
        <v>35</v>
      </c>
      <c r="I71" s="55" t="n">
        <v>15</v>
      </c>
      <c r="J71" s="56" t="n">
        <v>4.4</v>
      </c>
      <c r="K71" s="56" t="inlineStr">
        <is>
          <t>https://amazon.com/dp/B09SP5Z369</t>
        </is>
      </c>
      <c r="L71" s="34">
        <f>HYPERLINK(OPUSIVS_2[[#This Row],[Column1]])</f>
        <v/>
      </c>
    </row>
    <row r="72" ht="45" customHeight="1" s="290">
      <c r="A72" s="30" t="inlineStr">
        <is>
          <t>Opus IVS SuperGoose-Plus J2534 OEM Vehicle Interface Cable - OEM Reprogramming and Diagnostics for Multiple OEM Makes</t>
        </is>
      </c>
      <c r="B72" s="30" t="inlineStr">
        <is>
          <t>B0CP78488B</t>
        </is>
      </c>
      <c r="C72" s="30" t="inlineStr">
        <is>
          <t>Cable/Adapter</t>
        </is>
      </c>
      <c r="D72" s="324" t="n">
        <v>840.0733333333333</v>
      </c>
      <c r="E72" s="53" t="n">
        <v>18766.56</v>
      </c>
      <c r="F72" s="54" t="n">
        <v>2520.22</v>
      </c>
      <c r="G72" s="55" t="n">
        <v>19</v>
      </c>
      <c r="H72" s="55" t="n">
        <v>3</v>
      </c>
      <c r="I72" s="55" t="n">
        <v>335</v>
      </c>
      <c r="J72" s="56" t="n">
        <v>4.4</v>
      </c>
      <c r="K72" s="56" t="inlineStr">
        <is>
          <t>https://amazon.com/dp/B0CP78488B</t>
        </is>
      </c>
      <c r="L72" s="34">
        <f>HYPERLINK(OPUSIVS_2[[#This Row],[Column1]])</f>
        <v/>
      </c>
    </row>
    <row r="73" ht="45" customHeight="1" s="290">
      <c r="A73" s="30" t="inlineStr">
        <is>
          <t>Opus IVS Giotto Bidirectional Scan Tool with J2534 for Ford</t>
        </is>
      </c>
      <c r="B73" s="30" t="inlineStr">
        <is>
          <t>B0DBJ1YMM3</t>
        </is>
      </c>
      <c r="C73" s="30" t="inlineStr">
        <is>
          <t>Cable/Adapter</t>
        </is>
      </c>
      <c r="D73" s="324" t="n">
        <v>576.25</v>
      </c>
      <c r="E73" s="53" t="n">
        <v>6134.21</v>
      </c>
      <c r="F73" s="54" t="n">
        <v>1152.5</v>
      </c>
      <c r="G73" s="55" t="n">
        <v>11</v>
      </c>
      <c r="H73" s="55" t="n">
        <v>2</v>
      </c>
      <c r="I73" s="55" t="n">
        <v>4</v>
      </c>
      <c r="J73" s="56" t="n">
        <v>3.6</v>
      </c>
      <c r="K73" s="56" t="inlineStr">
        <is>
          <t>https://amazon.com/dp/B0DBJ1YMM3</t>
        </is>
      </c>
      <c r="L73" s="34">
        <f>HYPERLINK(OPUSIVS_2[[#This Row],[Column1]])</f>
        <v/>
      </c>
    </row>
    <row r="74" ht="45" customHeight="1" s="290">
      <c r="A74" s="30" t="inlineStr">
        <is>
          <t>Opus IVS Giotto Bidirectional Scan Tool with J2534 for GM</t>
        </is>
      </c>
      <c r="B74" s="30" t="inlineStr">
        <is>
          <t>B0DBJ2QPK1</t>
        </is>
      </c>
      <c r="C74" s="30" t="inlineStr">
        <is>
          <t>Cable/Adapter</t>
        </is>
      </c>
      <c r="D74" s="324" t="n">
        <v>575.74</v>
      </c>
      <c r="E74" s="53" t="n">
        <v>5541.374615384616</v>
      </c>
      <c r="F74" s="54" t="n">
        <v>1151.48</v>
      </c>
      <c r="G74" s="55" t="n">
        <v>8</v>
      </c>
      <c r="H74" s="55" t="n">
        <v>2</v>
      </c>
      <c r="I74" s="55" t="n">
        <v>4</v>
      </c>
      <c r="J74" s="56" t="n">
        <v>3.6</v>
      </c>
      <c r="K74" s="56" t="inlineStr">
        <is>
          <t>https://amazon.com/dp/B0DBJ2QPK1</t>
        </is>
      </c>
      <c r="L74" s="34">
        <f>HYPERLINK(OPUSIVS_2[[#This Row],[Column1]])</f>
        <v/>
      </c>
    </row>
    <row r="75" ht="45" customHeight="1" s="290">
      <c r="A75" s="30" t="inlineStr">
        <is>
          <t>IMclean-OBD2 Cable 15'</t>
        </is>
      </c>
      <c r="B75" s="30" t="inlineStr">
        <is>
          <t>B09Y6BHFF7</t>
        </is>
      </c>
      <c r="C75" s="30" t="inlineStr">
        <is>
          <t>Cable/Adapter</t>
        </is>
      </c>
      <c r="D75" s="324" t="n">
        <v>132.67</v>
      </c>
      <c r="E75" s="53" t="n">
        <v>832.1992307692308</v>
      </c>
      <c r="F75" s="54" t="n">
        <v>132.67</v>
      </c>
      <c r="G75" s="55" t="n">
        <v>5</v>
      </c>
      <c r="H75" s="55" t="n">
        <v>1</v>
      </c>
      <c r="I75" s="55" t="n">
        <v>1</v>
      </c>
      <c r="J75" s="56" t="n">
        <v>5</v>
      </c>
      <c r="K75" s="56" t="inlineStr">
        <is>
          <t>https://amazon.com/dp/B09Y6BHFF7</t>
        </is>
      </c>
      <c r="L75" s="34">
        <f>HYPERLINK(OPUSIVS_2[[#This Row],[Column1]])</f>
        <v/>
      </c>
    </row>
    <row r="76" ht="45" customHeight="1" s="290">
      <c r="A76" s="30" t="inlineStr">
        <is>
          <t>IMclean-OBD2 Cable 9'</t>
        </is>
      </c>
      <c r="B76" s="30" t="inlineStr">
        <is>
          <t>B09Y6PK2Z7</t>
        </is>
      </c>
      <c r="C76" s="30" t="inlineStr">
        <is>
          <t>Cable/Adapter</t>
        </is>
      </c>
      <c r="D76" s="324" t="n">
        <v>116.29</v>
      </c>
      <c r="E76" s="53" t="n">
        <v>949.9392307692309</v>
      </c>
      <c r="F76" s="54" t="n">
        <v>116.29</v>
      </c>
      <c r="G76" s="55" t="n">
        <v>8</v>
      </c>
      <c r="H76" s="55" t="n">
        <v>1</v>
      </c>
      <c r="I76" s="55" t="n">
        <v>3</v>
      </c>
      <c r="J76" s="56" t="n">
        <v>5</v>
      </c>
      <c r="K76" s="56" t="inlineStr">
        <is>
          <t>https://amazon.com/dp/B09Y6PK2Z7</t>
        </is>
      </c>
      <c r="L76" s="34">
        <f>HYPERLINK(OPUSIVS_2[[#This Row],[Column1]])</f>
        <v/>
      </c>
    </row>
    <row r="77" ht="60" customHeight="1" s="290">
      <c r="A77" s="30" t="inlineStr">
        <is>
          <t>Opus IVS Giotto Bidirectional Scan Tool with J2534 for All Makes</t>
        </is>
      </c>
      <c r="B77" s="30" t="inlineStr">
        <is>
          <t>B0DBJ4BZPJ</t>
        </is>
      </c>
      <c r="C77" s="30" t="inlineStr">
        <is>
          <t>VCI</t>
        </is>
      </c>
      <c r="D77" s="324" t="n">
        <v>1995</v>
      </c>
      <c r="E77" s="53" t="n">
        <v>4446.85</v>
      </c>
      <c r="F77" s="54" t="n">
        <v>0</v>
      </c>
      <c r="G77" s="55" t="n">
        <v>4</v>
      </c>
      <c r="H77" s="55" t="n">
        <v>0</v>
      </c>
      <c r="I77" s="55" t="n">
        <v>4</v>
      </c>
      <c r="J77" s="56" t="n">
        <v>3.6</v>
      </c>
      <c r="K77" s="56" t="inlineStr">
        <is>
          <t>https://amazon.com/dp/B0DBJ4BZPJ</t>
        </is>
      </c>
      <c r="L77" s="34">
        <f>HYPERLINK(OPUSIVS_2[[#This Row],[Column1]])</f>
        <v/>
      </c>
    </row>
    <row r="78" ht="45" customHeight="1" s="290">
      <c r="A78" s="30" t="inlineStr">
        <is>
          <t>LivePro Remote Assisted Diagnostic Tool</t>
        </is>
      </c>
      <c r="B78" s="30" t="inlineStr">
        <is>
          <t>B09MG66WWM</t>
        </is>
      </c>
      <c r="C78" s="30" t="inlineStr">
        <is>
          <t>Tablet</t>
        </is>
      </c>
      <c r="D78" s="324" t="n">
        <v>2495</v>
      </c>
      <c r="E78" s="53" t="n">
        <v>4442.2</v>
      </c>
      <c r="F78" s="54" t="n">
        <v>0</v>
      </c>
      <c r="G78" s="55" t="n">
        <v>2</v>
      </c>
      <c r="H78" s="55" t="n">
        <v>0</v>
      </c>
      <c r="I78" s="55" t="n">
        <v>1</v>
      </c>
      <c r="J78" s="56" t="n">
        <v>5</v>
      </c>
      <c r="K78" s="56" t="inlineStr">
        <is>
          <t>https://amazon.com/dp/B09MG66WWM</t>
        </is>
      </c>
      <c r="L78" s="34">
        <f>HYPERLINK(OPUSIVS_2[[#This Row],[Column1]])</f>
        <v/>
      </c>
    </row>
    <row r="79" ht="45" customHeight="1" s="290">
      <c r="A79" s="30" t="n"/>
      <c r="B79" s="30" t="n"/>
      <c r="C79" s="30" t="n"/>
      <c r="D79" s="324" t="n"/>
      <c r="E79" s="53" t="n"/>
      <c r="F79" s="54" t="n"/>
      <c r="G79" s="55" t="n"/>
      <c r="H79" s="55" t="n"/>
      <c r="I79" s="55" t="n"/>
      <c r="J79" s="56" t="n"/>
      <c r="K79" s="56" t="n"/>
      <c r="L79" s="34">
        <f>HYPERLINK(Table544[[#This Row],[Column1]])</f>
        <v/>
      </c>
    </row>
    <row r="80" ht="45" customHeight="1" s="290">
      <c r="A80" s="30" t="n"/>
      <c r="B80" s="30" t="n"/>
      <c r="C80" s="30" t="n"/>
      <c r="D80" s="324" t="n"/>
      <c r="E80" s="53" t="n"/>
      <c r="F80" s="54" t="n"/>
      <c r="G80" s="55" t="n"/>
      <c r="H80" s="55" t="n"/>
      <c r="I80" s="55" t="n"/>
      <c r="J80" s="56" t="n"/>
      <c r="K80" s="56" t="n"/>
      <c r="L80" s="34">
        <f>HYPERLINK(Table544[[#This Row],[Column1]])</f>
        <v/>
      </c>
    </row>
    <row r="81" ht="45" customHeight="1" s="290">
      <c r="A81" s="30" t="n"/>
      <c r="B81" s="30" t="n"/>
      <c r="C81" s="30" t="n"/>
      <c r="D81" s="324" t="n"/>
      <c r="E81" s="53" t="n"/>
      <c r="F81" s="54" t="n"/>
      <c r="G81" s="55" t="n"/>
      <c r="H81" s="55" t="n"/>
      <c r="I81" s="55" t="n"/>
      <c r="J81" s="56" t="n"/>
      <c r="K81" s="56" t="n"/>
      <c r="L81" s="34">
        <f>HYPERLINK(Table544[[#This Row],[Column1]])</f>
        <v/>
      </c>
    </row>
    <row r="82" ht="45" customHeight="1" s="290">
      <c r="A82" s="30" t="n"/>
      <c r="B82" s="30" t="n"/>
      <c r="C82" s="30" t="n"/>
      <c r="D82" s="324" t="n"/>
      <c r="E82" s="53" t="n"/>
      <c r="F82" s="54" t="n"/>
      <c r="G82" s="55" t="n"/>
      <c r="H82" s="55" t="n"/>
      <c r="I82" s="55" t="n"/>
      <c r="J82" s="56" t="n"/>
      <c r="K82" s="56" t="n"/>
      <c r="L82" s="34">
        <f>HYPERLINK(Table544[[#This Row],[Column1]])</f>
        <v/>
      </c>
    </row>
    <row r="83" ht="30" customHeight="1" s="290">
      <c r="A83" s="30" t="n"/>
      <c r="B83" s="30" t="n"/>
      <c r="C83" s="30" t="n"/>
      <c r="D83" s="324" t="n"/>
      <c r="E83" s="53" t="n"/>
      <c r="F83" s="54" t="n"/>
      <c r="G83" s="55" t="n"/>
      <c r="H83" s="55" t="n"/>
      <c r="I83" s="55" t="n"/>
      <c r="J83" s="56" t="n"/>
      <c r="K83" s="56" t="n"/>
      <c r="L83" s="34">
        <f>HYPERLINK(Table544[[#This Row],[Column1]])</f>
        <v/>
      </c>
    </row>
    <row r="84" ht="45" customHeight="1" s="290">
      <c r="A84" s="30" t="n"/>
      <c r="B84" s="30" t="n"/>
      <c r="C84" s="30" t="n"/>
      <c r="D84" s="324" t="n"/>
      <c r="E84" s="53" t="n"/>
      <c r="F84" s="54" t="n"/>
      <c r="G84" s="55" t="n"/>
      <c r="H84" s="55" t="n"/>
      <c r="I84" s="55" t="n"/>
      <c r="J84" s="56" t="n"/>
      <c r="K84" s="56" t="n"/>
      <c r="L84" s="34">
        <f>HYPERLINK(Table544[[#This Row],[Column1]])</f>
        <v/>
      </c>
    </row>
    <row r="85" ht="45" customHeight="1" s="290">
      <c r="A85" s="30" t="n"/>
      <c r="B85" s="30" t="n"/>
      <c r="C85" s="30" t="n"/>
      <c r="D85" s="324" t="n"/>
      <c r="E85" s="53" t="n"/>
      <c r="F85" s="54" t="n"/>
      <c r="G85" s="55" t="n"/>
      <c r="H85" s="55" t="n"/>
      <c r="I85" s="55" t="n"/>
      <c r="J85" s="56" t="n"/>
      <c r="K85" s="56" t="n"/>
      <c r="L85" s="34">
        <f>HYPERLINK(Table544[[#This Row],[Column1]])</f>
        <v/>
      </c>
    </row>
    <row r="86" ht="45" customHeight="1" s="290">
      <c r="A86" s="30" t="n"/>
      <c r="B86" s="30" t="n"/>
      <c r="C86" s="30" t="n"/>
      <c r="D86" s="324" t="n"/>
      <c r="E86" s="53" t="n"/>
      <c r="F86" s="54" t="n"/>
      <c r="G86" s="55" t="n"/>
      <c r="H86" s="55" t="n"/>
      <c r="I86" s="55" t="n"/>
      <c r="J86" s="56" t="n"/>
      <c r="K86" s="56" t="n"/>
      <c r="L86" s="34">
        <f>HYPERLINK(Table544[[#This Row],[Column1]])</f>
        <v/>
      </c>
    </row>
    <row r="87" ht="45" customHeight="1" s="290">
      <c r="A87" s="30" t="n"/>
      <c r="B87" s="30" t="n"/>
      <c r="C87" s="30" t="n"/>
      <c r="D87" s="324" t="n"/>
      <c r="E87" s="53" t="n"/>
      <c r="F87" s="54" t="n"/>
      <c r="G87" s="55" t="n"/>
      <c r="H87" s="55" t="n"/>
      <c r="I87" s="55" t="n"/>
      <c r="J87" s="56" t="n"/>
      <c r="K87" s="56" t="n"/>
      <c r="L87" s="34">
        <f>HYPERLINK(Table544[[#This Row],[Column1]])</f>
        <v/>
      </c>
    </row>
    <row r="88" ht="45" customHeight="1" s="290">
      <c r="A88" s="30" t="n"/>
      <c r="B88" s="30" t="n"/>
      <c r="C88" s="30" t="n"/>
      <c r="D88" s="324" t="n"/>
      <c r="E88" s="53" t="n"/>
      <c r="F88" s="54" t="n"/>
      <c r="G88" s="55" t="n"/>
      <c r="H88" s="55" t="n"/>
      <c r="I88" s="55" t="n"/>
      <c r="J88" s="56" t="n"/>
      <c r="K88" s="56" t="n"/>
      <c r="L88" s="34">
        <f>HYPERLINK(Table544[[#This Row],[Column1]])</f>
        <v/>
      </c>
    </row>
    <row r="89" ht="45" customHeight="1" s="290">
      <c r="A89" s="30" t="n"/>
      <c r="B89" s="30" t="n"/>
      <c r="C89" s="30" t="n"/>
      <c r="D89" s="324" t="n"/>
      <c r="E89" s="53" t="n"/>
      <c r="F89" s="54" t="n"/>
      <c r="G89" s="55" t="n"/>
      <c r="H89" s="55" t="n"/>
      <c r="I89" s="55" t="n"/>
      <c r="J89" s="56" t="n"/>
      <c r="K89" s="56" t="n"/>
      <c r="L89" s="34">
        <f>HYPERLINK(Table544[[#This Row],[Column1]])</f>
        <v/>
      </c>
    </row>
    <row r="90" ht="45" customHeight="1" s="290">
      <c r="A90" s="30" t="n"/>
      <c r="B90" s="30" t="n"/>
      <c r="C90" s="30" t="n"/>
      <c r="D90" s="324" t="n"/>
      <c r="E90" s="53" t="n"/>
      <c r="F90" s="54" t="n"/>
      <c r="G90" s="55" t="n"/>
      <c r="H90" s="55" t="n"/>
      <c r="I90" s="55" t="n"/>
      <c r="J90" s="56" t="n"/>
      <c r="K90" s="56" t="n"/>
      <c r="L90" s="34">
        <f>HYPERLINK(Table544[[#This Row],[Column1]])</f>
        <v/>
      </c>
    </row>
    <row r="91" ht="45" customHeight="1" s="290">
      <c r="A91" s="30" t="n"/>
      <c r="B91" s="30" t="n"/>
      <c r="C91" s="30" t="n"/>
      <c r="D91" s="324" t="n"/>
      <c r="E91" s="53" t="n"/>
      <c r="F91" s="54" t="n"/>
      <c r="G91" s="55" t="n"/>
      <c r="H91" s="55" t="n"/>
      <c r="I91" s="55" t="n"/>
      <c r="J91" s="56" t="n"/>
      <c r="K91" s="56" t="n"/>
      <c r="L91" s="34">
        <f>HYPERLINK(Table544[[#This Row],[Column1]])</f>
        <v/>
      </c>
    </row>
    <row r="92" ht="45" customHeight="1" s="290">
      <c r="A92" s="30" t="n"/>
      <c r="B92" s="30" t="n"/>
      <c r="C92" s="30" t="n"/>
      <c r="D92" s="324" t="n"/>
      <c r="E92" s="53" t="n"/>
      <c r="F92" s="54" t="n"/>
      <c r="G92" s="55" t="n"/>
      <c r="H92" s="55" t="n"/>
      <c r="I92" s="55" t="n"/>
      <c r="J92" s="56" t="n"/>
      <c r="K92" s="56" t="n"/>
      <c r="L92" s="34">
        <f>HYPERLINK(Table544[[#This Row],[Column1]])</f>
        <v/>
      </c>
    </row>
    <row r="93" ht="45" customHeight="1" s="290">
      <c r="A93" s="30" t="n"/>
      <c r="B93" s="30" t="n"/>
      <c r="C93" s="30" t="n"/>
      <c r="D93" s="324" t="n"/>
      <c r="E93" s="53" t="n"/>
      <c r="F93" s="54" t="n"/>
      <c r="G93" s="55" t="n"/>
      <c r="H93" s="55" t="n"/>
      <c r="I93" s="55" t="n"/>
      <c r="J93" s="56" t="n"/>
      <c r="K93" s="56" t="n"/>
      <c r="L93" s="34">
        <f>HYPERLINK(Table544[[#This Row],[Column1]])</f>
        <v/>
      </c>
    </row>
    <row r="94" ht="60" customHeight="1" s="290">
      <c r="A94" s="30" t="n"/>
      <c r="B94" s="30" t="n"/>
      <c r="C94" s="30" t="n"/>
      <c r="D94" s="324" t="n"/>
      <c r="E94" s="53" t="n"/>
      <c r="F94" s="54" t="n"/>
      <c r="G94" s="55" t="n"/>
      <c r="H94" s="55" t="n"/>
      <c r="I94" s="55" t="n"/>
      <c r="J94" s="56" t="n"/>
      <c r="K94" s="56" t="n"/>
      <c r="L94" s="34">
        <f>HYPERLINK(Table544[[#This Row],[Column1]])</f>
        <v/>
      </c>
    </row>
    <row r="95" ht="45" customHeight="1" s="290">
      <c r="A95" s="30" t="n"/>
      <c r="B95" s="30" t="n"/>
      <c r="C95" s="30" t="n"/>
      <c r="D95" s="324" t="n"/>
      <c r="E95" s="53" t="n"/>
      <c r="F95" s="54" t="n"/>
      <c r="G95" s="55" t="n"/>
      <c r="H95" s="55" t="n"/>
      <c r="I95" s="55" t="n"/>
      <c r="J95" s="56" t="n"/>
      <c r="K95" s="56" t="n"/>
      <c r="L95" s="34">
        <f>HYPERLINK(Table544[[#This Row],[Column1]])</f>
        <v/>
      </c>
    </row>
    <row r="96" ht="45" customHeight="1" s="290">
      <c r="A96" s="30" t="n"/>
      <c r="B96" s="30" t="n"/>
      <c r="C96" s="30" t="n"/>
      <c r="D96" s="324" t="n"/>
      <c r="E96" s="53" t="n"/>
      <c r="F96" s="54" t="n"/>
      <c r="G96" s="55" t="n"/>
      <c r="H96" s="55" t="n"/>
      <c r="I96" s="55" t="n"/>
      <c r="J96" s="56" t="n"/>
      <c r="K96" s="56" t="n"/>
      <c r="L96" s="34">
        <f>HYPERLINK(Table544[[#This Row],[Column1]])</f>
        <v/>
      </c>
    </row>
    <row r="97" ht="45" customHeight="1" s="290">
      <c r="A97" s="30" t="n"/>
      <c r="B97" s="30" t="n"/>
      <c r="C97" s="30" t="n"/>
      <c r="D97" s="324" t="n"/>
      <c r="E97" s="53" t="n"/>
      <c r="F97" s="54" t="n"/>
      <c r="G97" s="55" t="n"/>
      <c r="H97" s="55" t="n"/>
      <c r="I97" s="55" t="n"/>
      <c r="J97" s="56" t="n"/>
      <c r="K97" s="56" t="n"/>
      <c r="L97" s="34">
        <f>HYPERLINK(Table544[[#This Row],[Column1]])</f>
        <v/>
      </c>
    </row>
    <row r="98" ht="60" customHeight="1" s="290">
      <c r="A98" s="30" t="n"/>
      <c r="B98" s="30" t="n"/>
      <c r="C98" s="30" t="n"/>
      <c r="D98" s="324" t="n"/>
      <c r="E98" s="53" t="n"/>
      <c r="F98" s="54" t="n"/>
      <c r="G98" s="55" t="n"/>
      <c r="H98" s="55" t="n"/>
      <c r="I98" s="55" t="n"/>
      <c r="J98" s="56" t="n"/>
      <c r="K98" s="56" t="n"/>
      <c r="L98" s="34">
        <f>HYPERLINK(Table544[[#This Row],[Column1]])</f>
        <v/>
      </c>
    </row>
    <row r="99" ht="45" customHeight="1" s="290">
      <c r="A99" s="30" t="n"/>
      <c r="B99" s="30" t="n"/>
      <c r="C99" s="30" t="n"/>
      <c r="D99" s="324" t="n"/>
      <c r="E99" s="53" t="n"/>
      <c r="F99" s="54" t="n"/>
      <c r="G99" s="55" t="n"/>
      <c r="H99" s="55" t="n"/>
      <c r="I99" s="55" t="n"/>
      <c r="J99" s="56" t="n"/>
      <c r="K99" s="56" t="n"/>
      <c r="L99" s="34">
        <f>HYPERLINK(Table544[[#This Row],[Column1]])</f>
        <v/>
      </c>
    </row>
    <row r="100" ht="45" customHeight="1" s="290">
      <c r="A100" s="30" t="n"/>
      <c r="B100" s="30" t="n"/>
      <c r="C100" s="30" t="n"/>
      <c r="D100" s="324" t="n"/>
      <c r="E100" s="53" t="n"/>
      <c r="F100" s="54" t="n"/>
      <c r="G100" s="55" t="n"/>
      <c r="H100" s="55" t="n"/>
      <c r="I100" s="55" t="n"/>
      <c r="J100" s="56" t="n"/>
      <c r="K100" s="56" t="n"/>
      <c r="L100" s="34">
        <f>HYPERLINK(Table544[[#This Row],[Column1]])</f>
        <v/>
      </c>
    </row>
    <row r="101" ht="45" customHeight="1" s="290">
      <c r="A101" s="30" t="n"/>
      <c r="B101" s="30" t="n"/>
      <c r="C101" s="30" t="n"/>
      <c r="D101" s="324" t="n"/>
      <c r="E101" s="53" t="n"/>
      <c r="F101" s="54" t="n"/>
      <c r="G101" s="55" t="n"/>
      <c r="H101" s="55" t="n"/>
      <c r="I101" s="55" t="n"/>
      <c r="J101" s="56" t="n"/>
      <c r="K101" s="56" t="n"/>
      <c r="L101" s="34">
        <f>HYPERLINK(Table544[[#This Row],[Column1]])</f>
        <v/>
      </c>
    </row>
    <row r="102" ht="45" customHeight="1" s="290">
      <c r="A102" s="30" t="n"/>
      <c r="B102" s="30" t="n"/>
      <c r="C102" s="30" t="n"/>
      <c r="D102" s="324" t="n"/>
      <c r="E102" s="53" t="n"/>
      <c r="F102" s="54" t="n"/>
      <c r="G102" s="55" t="n"/>
      <c r="H102" s="55" t="n"/>
      <c r="I102" s="55" t="n"/>
      <c r="J102" s="56" t="n"/>
      <c r="K102" s="56" t="n"/>
      <c r="L102" s="34">
        <f>HYPERLINK(Table544[[#This Row],[Column1]])</f>
        <v/>
      </c>
    </row>
    <row r="103" ht="45" customHeight="1" s="290">
      <c r="A103" s="30" t="n"/>
      <c r="B103" s="30" t="n"/>
      <c r="C103" s="30" t="n"/>
      <c r="D103" s="324" t="n"/>
      <c r="E103" s="53" t="n"/>
      <c r="F103" s="54" t="n"/>
      <c r="G103" s="55" t="n"/>
      <c r="H103" s="55" t="n"/>
      <c r="I103" s="55" t="n"/>
      <c r="J103" s="56" t="n"/>
      <c r="K103" s="56" t="n"/>
      <c r="L103" s="34">
        <f>HYPERLINK(Table544[[#This Row],[Column1]])</f>
        <v/>
      </c>
    </row>
    <row r="104" ht="45" customHeight="1" s="290">
      <c r="A104" s="30" t="n"/>
      <c r="B104" s="30" t="n"/>
      <c r="C104" s="30" t="n"/>
      <c r="D104" s="324" t="n"/>
      <c r="E104" s="53" t="n"/>
      <c r="F104" s="54" t="n"/>
      <c r="G104" s="55" t="n"/>
      <c r="H104" s="55" t="n"/>
      <c r="I104" s="55" t="n"/>
      <c r="J104" s="56" t="n"/>
      <c r="K104" s="56" t="n"/>
      <c r="L104" s="34">
        <f>HYPERLINK(Table544[[#This Row],[Column1]])</f>
        <v/>
      </c>
    </row>
    <row r="105" ht="45" customHeight="1" s="290">
      <c r="A105" s="30" t="n"/>
      <c r="B105" s="30" t="n"/>
      <c r="C105" s="30" t="n"/>
      <c r="D105" s="324" t="n"/>
      <c r="E105" s="53" t="n"/>
      <c r="F105" s="54" t="n"/>
      <c r="G105" s="55" t="n"/>
      <c r="H105" s="55" t="n"/>
      <c r="I105" s="55" t="n"/>
      <c r="J105" s="56" t="n"/>
      <c r="K105" s="56" t="n"/>
      <c r="L105" s="34">
        <f>HYPERLINK(Table544[[#This Row],[Column1]])</f>
        <v/>
      </c>
    </row>
    <row r="106" ht="45" customHeight="1" s="290">
      <c r="A106" s="30" t="n"/>
      <c r="B106" s="30" t="n"/>
      <c r="C106" s="30" t="n"/>
      <c r="D106" s="324" t="n"/>
      <c r="E106" s="53" t="n"/>
      <c r="F106" s="54" t="n"/>
      <c r="G106" s="55" t="n"/>
      <c r="H106" s="55" t="n"/>
      <c r="I106" s="55" t="n"/>
      <c r="J106" s="56" t="n"/>
      <c r="K106" s="56" t="n"/>
      <c r="L106" s="34">
        <f>HYPERLINK(Table544[[#This Row],[Column1]])</f>
        <v/>
      </c>
    </row>
    <row r="107" ht="60" customHeight="1" s="290">
      <c r="A107" s="30" t="n"/>
      <c r="B107" s="30" t="n"/>
      <c r="C107" s="30" t="n"/>
      <c r="D107" s="324" t="n"/>
      <c r="E107" s="53" t="n"/>
      <c r="F107" s="54" t="n"/>
      <c r="G107" s="55" t="n"/>
      <c r="H107" s="55" t="n"/>
      <c r="I107" s="55" t="n"/>
      <c r="J107" s="56" t="n"/>
      <c r="K107" s="56" t="n"/>
      <c r="L107" s="34">
        <f>HYPERLINK(Table544[[#This Row],[Column1]])</f>
        <v/>
      </c>
    </row>
    <row r="108" ht="45" customHeight="1" s="290">
      <c r="A108" s="30" t="n"/>
      <c r="B108" s="30" t="n"/>
      <c r="C108" s="30" t="n"/>
      <c r="D108" s="324" t="n"/>
      <c r="E108" s="53" t="n"/>
      <c r="F108" s="54" t="n"/>
      <c r="G108" s="55" t="n"/>
      <c r="H108" s="55" t="n"/>
      <c r="I108" s="55" t="n"/>
      <c r="J108" s="56" t="n"/>
      <c r="K108" s="56" t="n"/>
      <c r="L108" s="34">
        <f>HYPERLINK(Table544[[#This Row],[Column1]])</f>
        <v/>
      </c>
    </row>
    <row r="109" ht="45" customHeight="1" s="290">
      <c r="A109" s="30" t="n"/>
      <c r="B109" s="30" t="n"/>
      <c r="C109" s="30" t="n"/>
      <c r="D109" s="324" t="n"/>
      <c r="E109" s="53" t="n"/>
      <c r="F109" s="54" t="n"/>
      <c r="G109" s="55" t="n"/>
      <c r="H109" s="55" t="n"/>
      <c r="I109" s="55" t="n"/>
      <c r="J109" s="56" t="n"/>
      <c r="K109" s="56" t="n"/>
      <c r="L109" s="34">
        <f>HYPERLINK(Table544[[#This Row],[Column1]])</f>
        <v/>
      </c>
    </row>
    <row r="110" ht="45" customHeight="1" s="290">
      <c r="A110" s="30" t="n"/>
      <c r="B110" s="30" t="n"/>
      <c r="C110" s="30" t="n"/>
      <c r="D110" s="324" t="n"/>
      <c r="E110" s="53" t="n"/>
      <c r="F110" s="54" t="n"/>
      <c r="G110" s="55" t="n"/>
      <c r="H110" s="55" t="n"/>
      <c r="I110" s="55" t="n"/>
      <c r="J110" s="56" t="n"/>
      <c r="K110" s="56" t="n"/>
      <c r="L110" s="34">
        <f>HYPERLINK(Table544[[#This Row],[Column1]])</f>
        <v/>
      </c>
    </row>
    <row r="111" ht="45" customHeight="1" s="290">
      <c r="A111" s="30" t="n"/>
      <c r="B111" s="30" t="n"/>
      <c r="C111" s="30" t="n"/>
      <c r="D111" s="324" t="n"/>
      <c r="E111" s="53" t="n"/>
      <c r="F111" s="54" t="n"/>
      <c r="G111" s="55" t="n"/>
      <c r="H111" s="55" t="n"/>
      <c r="I111" s="55" t="n"/>
      <c r="J111" s="56" t="n"/>
      <c r="K111" s="56" t="n"/>
      <c r="L111" s="34">
        <f>HYPERLINK(Table544[[#This Row],[Column1]])</f>
        <v/>
      </c>
    </row>
    <row r="112" ht="45" customHeight="1" s="290">
      <c r="A112" s="30" t="n"/>
      <c r="B112" s="30" t="n"/>
      <c r="C112" s="30" t="n"/>
      <c r="D112" s="324" t="n"/>
      <c r="E112" s="53" t="n"/>
      <c r="F112" s="54" t="n"/>
      <c r="G112" s="55" t="n"/>
      <c r="H112" s="55" t="n"/>
      <c r="I112" s="55" t="n"/>
      <c r="J112" s="56" t="n"/>
      <c r="K112" s="56" t="n"/>
      <c r="L112" s="34">
        <f>HYPERLINK(Table544[[#This Row],[Column1]])</f>
        <v/>
      </c>
    </row>
    <row r="113" ht="45" customHeight="1" s="290">
      <c r="A113" s="30" t="n"/>
      <c r="B113" s="30" t="n"/>
      <c r="C113" s="30" t="n"/>
      <c r="D113" s="324" t="n"/>
      <c r="E113" s="53" t="n"/>
      <c r="F113" s="54" t="n"/>
      <c r="G113" s="55" t="n"/>
      <c r="H113" s="55" t="n"/>
      <c r="I113" s="55" t="n"/>
      <c r="J113" s="56" t="n"/>
      <c r="K113" s="56" t="n"/>
      <c r="L113" s="34">
        <f>HYPERLINK(Table544[[#This Row],[Column1]])</f>
        <v/>
      </c>
    </row>
    <row r="114" ht="45" customHeight="1" s="290">
      <c r="A114" s="30" t="n"/>
      <c r="B114" s="30" t="n"/>
      <c r="C114" s="30" t="n"/>
      <c r="D114" s="324" t="n"/>
      <c r="E114" s="53" t="n"/>
      <c r="F114" s="54" t="n"/>
      <c r="G114" s="55" t="n"/>
      <c r="H114" s="55" t="n"/>
      <c r="I114" s="55" t="n"/>
      <c r="J114" s="56" t="n"/>
      <c r="K114" s="56" t="n"/>
      <c r="L114" s="34">
        <f>HYPERLINK(Table544[[#This Row],[Column1]])</f>
        <v/>
      </c>
    </row>
    <row r="115" ht="45" customHeight="1" s="290">
      <c r="A115" s="30" t="n"/>
      <c r="B115" s="30" t="n"/>
      <c r="C115" s="30" t="n"/>
      <c r="D115" s="324" t="n"/>
      <c r="E115" s="53" t="n"/>
      <c r="F115" s="54" t="n"/>
      <c r="G115" s="55" t="n"/>
      <c r="H115" s="55" t="n"/>
      <c r="I115" s="55" t="n"/>
      <c r="J115" s="56" t="n"/>
      <c r="K115" s="56" t="n"/>
      <c r="L115" s="34">
        <f>HYPERLINK(Table544[[#This Row],[Column1]])</f>
        <v/>
      </c>
    </row>
    <row r="116" ht="30" customHeight="1" s="290">
      <c r="A116" s="30" t="n"/>
      <c r="B116" s="30" t="n"/>
      <c r="C116" s="30" t="n"/>
      <c r="D116" s="324" t="n"/>
      <c r="E116" s="53" t="n"/>
      <c r="F116" s="54" t="n"/>
      <c r="G116" s="55" t="n"/>
      <c r="H116" s="55" t="n"/>
      <c r="I116" s="55" t="n"/>
      <c r="J116" s="56" t="n"/>
      <c r="K116" s="56" t="n"/>
      <c r="L116" s="34">
        <f>HYPERLINK(Table544[[#This Row],[Column1]])</f>
        <v/>
      </c>
    </row>
    <row r="117" ht="30" customHeight="1" s="290">
      <c r="A117" s="30" t="n"/>
      <c r="B117" s="30" t="n"/>
      <c r="C117" s="30" t="n"/>
      <c r="D117" s="324" t="n"/>
      <c r="E117" s="53" t="n"/>
      <c r="F117" s="54" t="n"/>
      <c r="G117" s="55" t="n"/>
      <c r="H117" s="55" t="n"/>
      <c r="I117" s="55" t="n"/>
      <c r="J117" s="56" t="n"/>
      <c r="K117" s="56" t="n"/>
      <c r="L117" s="34">
        <f>HYPERLINK(Table544[[#This Row],[Column1]])</f>
        <v/>
      </c>
    </row>
    <row r="118" ht="45" customHeight="1" s="290">
      <c r="A118" s="30" t="n"/>
      <c r="B118" s="30" t="n"/>
      <c r="C118" s="30" t="n"/>
      <c r="D118" s="324" t="n"/>
      <c r="E118" s="53" t="n"/>
      <c r="F118" s="54" t="n"/>
      <c r="G118" s="55" t="n"/>
      <c r="H118" s="55" t="n"/>
      <c r="I118" s="55" t="n"/>
      <c r="J118" s="56" t="n"/>
      <c r="K118" s="56" t="n"/>
      <c r="L118" s="34">
        <f>HYPERLINK(Table544[[#This Row],[Column1]])</f>
        <v/>
      </c>
    </row>
    <row r="119" ht="45" customHeight="1" s="290">
      <c r="A119" s="30" t="n"/>
      <c r="B119" s="30" t="n"/>
      <c r="C119" s="30" t="n"/>
      <c r="D119" s="324" t="n"/>
      <c r="E119" s="53" t="n"/>
      <c r="F119" s="54" t="n"/>
      <c r="G119" s="55" t="n"/>
      <c r="H119" s="55" t="n"/>
      <c r="I119" s="55" t="n"/>
      <c r="J119" s="56" t="n"/>
      <c r="K119" s="56" t="n"/>
      <c r="L119" s="34">
        <f>HYPERLINK(Table544[[#This Row],[Column1]])</f>
        <v/>
      </c>
    </row>
    <row r="120" ht="60" customHeight="1" s="290">
      <c r="A120" s="30" t="n"/>
      <c r="B120" s="30" t="n"/>
      <c r="C120" s="30" t="n"/>
      <c r="D120" s="324" t="n"/>
      <c r="E120" s="53" t="n"/>
      <c r="F120" s="54" t="n"/>
      <c r="G120" s="55" t="n"/>
      <c r="H120" s="55" t="n"/>
      <c r="I120" s="55" t="n"/>
      <c r="J120" s="56" t="n"/>
      <c r="K120" s="56" t="n"/>
      <c r="L120" s="34">
        <f>HYPERLINK(Table544[[#This Row],[Column1]])</f>
        <v/>
      </c>
    </row>
    <row r="121" ht="45" customHeight="1" s="290">
      <c r="A121" s="30" t="n"/>
      <c r="B121" s="30" t="n"/>
      <c r="C121" s="30" t="n"/>
      <c r="D121" s="324" t="n"/>
      <c r="E121" s="53" t="n"/>
      <c r="F121" s="54" t="n"/>
      <c r="G121" s="55" t="n"/>
      <c r="H121" s="55" t="n"/>
      <c r="I121" s="55" t="n"/>
      <c r="J121" s="56" t="n"/>
      <c r="K121" s="56" t="n"/>
      <c r="L121" s="34">
        <f>HYPERLINK(Table544[[#This Row],[Column1]])</f>
        <v/>
      </c>
    </row>
    <row r="122" ht="45" customHeight="1" s="290">
      <c r="A122" s="30" t="n"/>
      <c r="B122" s="30" t="n"/>
      <c r="C122" s="30" t="n"/>
      <c r="D122" s="324" t="n"/>
      <c r="E122" s="53" t="n"/>
      <c r="F122" s="54" t="n"/>
      <c r="G122" s="55" t="n"/>
      <c r="H122" s="55" t="n"/>
      <c r="I122" s="55" t="n"/>
      <c r="J122" s="56" t="n"/>
      <c r="K122" s="56" t="n"/>
      <c r="L122" s="34">
        <f>HYPERLINK(Table544[[#This Row],[Column1]])</f>
        <v/>
      </c>
    </row>
    <row r="123" ht="45" customHeight="1" s="290">
      <c r="A123" s="30" t="n"/>
      <c r="B123" s="30" t="n"/>
      <c r="C123" s="30" t="n"/>
      <c r="D123" s="324" t="n"/>
      <c r="E123" s="53" t="n"/>
      <c r="F123" s="54" t="n"/>
      <c r="G123" s="55" t="n"/>
      <c r="H123" s="55" t="n"/>
      <c r="I123" s="55" t="n"/>
      <c r="J123" s="56" t="n"/>
      <c r="K123" s="56" t="n"/>
      <c r="L123" s="34">
        <f>HYPERLINK(Table544[[#This Row],[Column1]])</f>
        <v/>
      </c>
    </row>
    <row r="124" ht="17" customHeight="1" s="290">
      <c r="A124" s="30" t="n"/>
      <c r="B124" s="30" t="n"/>
      <c r="C124" s="30" t="n"/>
      <c r="D124" s="324" t="n"/>
      <c r="E124" s="53" t="n"/>
      <c r="F124" s="54" t="n"/>
      <c r="G124" s="55" t="n"/>
      <c r="H124" s="55" t="n"/>
      <c r="I124" s="55" t="n"/>
      <c r="J124" s="56" t="n"/>
      <c r="K124" s="56" t="n"/>
      <c r="L124" s="34">
        <f>HYPERLINK(Table544[[#This Row],[Column1]])</f>
        <v/>
      </c>
    </row>
    <row r="125" ht="30" customHeight="1" s="290">
      <c r="A125" s="30" t="n"/>
      <c r="B125" s="30" t="n"/>
      <c r="C125" s="30" t="n"/>
      <c r="D125" s="324" t="n"/>
      <c r="E125" s="53" t="n"/>
      <c r="F125" s="54" t="n"/>
      <c r="G125" s="55" t="n"/>
      <c r="H125" s="55" t="n"/>
      <c r="I125" s="55" t="n"/>
      <c r="J125" s="56" t="n"/>
      <c r="K125" s="56" t="n"/>
      <c r="L125" s="34">
        <f>HYPERLINK(Table544[[#This Row],[Column1]])</f>
        <v/>
      </c>
    </row>
    <row r="126" ht="45" customHeight="1" s="290">
      <c r="A126" s="30" t="n"/>
      <c r="B126" s="30" t="n"/>
      <c r="C126" s="30" t="n"/>
      <c r="D126" s="324" t="n"/>
      <c r="E126" s="53" t="n"/>
      <c r="F126" s="54" t="n"/>
      <c r="G126" s="55" t="n"/>
      <c r="H126" s="55" t="n"/>
      <c r="I126" s="55" t="n"/>
      <c r="J126" s="56" t="n"/>
      <c r="K126" s="56" t="n"/>
      <c r="L126" s="34">
        <f>HYPERLINK(Table544[[#This Row],[Column1]])</f>
        <v/>
      </c>
    </row>
    <row r="127" ht="45" customHeight="1" s="290">
      <c r="A127" s="30" t="n"/>
      <c r="B127" s="30" t="n"/>
      <c r="C127" s="30" t="n"/>
      <c r="D127" s="324" t="n"/>
      <c r="E127" s="53" t="n"/>
      <c r="F127" s="54" t="n"/>
      <c r="G127" s="55" t="n"/>
      <c r="H127" s="55" t="n"/>
      <c r="I127" s="55" t="n"/>
      <c r="J127" s="56" t="n"/>
      <c r="K127" s="56" t="n"/>
      <c r="L127" s="34">
        <f>HYPERLINK(Table544[[#This Row],[Column1]])</f>
        <v/>
      </c>
    </row>
    <row r="128" ht="17" customHeight="1" s="290">
      <c r="A128" s="33" t="inlineStr">
        <is>
          <t>Total</t>
        </is>
      </c>
      <c r="B128" s="32" t="n"/>
      <c r="C128" s="325" t="n"/>
      <c r="D128" s="325" t="n"/>
      <c r="E128" s="59">
        <f>SUM(Table544[Estimated 12mo Revenue])</f>
        <v/>
      </c>
      <c r="F128" s="59">
        <f>SUM(Table544[Monthly Rev])</f>
        <v/>
      </c>
      <c r="I128" s="286" t="n"/>
      <c r="J128" s="287" t="n"/>
    </row>
    <row r="131">
      <c r="A131" s="283" t="inlineStr">
        <is>
          <t>Rank by Units</t>
        </is>
      </c>
    </row>
    <row r="132" ht="17" customHeight="1" s="290">
      <c r="A132" s="38" t="inlineStr">
        <is>
          <t>Product Name</t>
        </is>
      </c>
      <c r="B132" s="39" t="inlineStr">
        <is>
          <t>ASIN</t>
        </is>
      </c>
      <c r="C132" s="39" t="inlineStr">
        <is>
          <t>Type</t>
        </is>
      </c>
      <c r="D132" s="322" t="inlineStr">
        <is>
          <t>Avg Price</t>
        </is>
      </c>
      <c r="E132" s="41" t="inlineStr">
        <is>
          <t>Estimated 12mo Revenue</t>
        </is>
      </c>
      <c r="F132" s="39" t="inlineStr">
        <is>
          <t>Monthly Rev</t>
        </is>
      </c>
      <c r="G132" s="42" t="inlineStr">
        <is>
          <t>Estimated 12mo Units</t>
        </is>
      </c>
      <c r="H132" s="45" t="inlineStr">
        <is>
          <t>Monthly Units</t>
        </is>
      </c>
      <c r="I132" s="42" t="inlineStr">
        <is>
          <t># of Reviews</t>
        </is>
      </c>
      <c r="J132" s="43" t="inlineStr">
        <is>
          <t xml:space="preserve">Tool Rating </t>
        </is>
      </c>
      <c r="K132" s="43" t="inlineStr">
        <is>
          <t>Column1</t>
        </is>
      </c>
      <c r="L132" s="323" t="inlineStr">
        <is>
          <t>Link</t>
        </is>
      </c>
    </row>
    <row r="133" ht="45" customHeight="1" s="290">
      <c r="A133" s="30" t="inlineStr">
        <is>
          <t>Opus IVS Mongoose-Plus J2534 OEM Vehicle Interface Cable - Toyota/Lexus/Scion OEM Reprogramming and Diagnostics</t>
        </is>
      </c>
      <c r="B133" s="30" t="inlineStr">
        <is>
          <t>B097NFNZBG</t>
        </is>
      </c>
      <c r="C133" s="30" t="inlineStr">
        <is>
          <t>Cable/Adapter</t>
        </is>
      </c>
      <c r="D133" s="324" t="n">
        <v>575.2684816753926</v>
      </c>
      <c r="E133" s="53" t="n">
        <v>1216009.94</v>
      </c>
      <c r="F133" s="53" t="n">
        <v>109876.28</v>
      </c>
      <c r="G133" s="55" t="n">
        <v>2117</v>
      </c>
      <c r="H133" s="57" t="n">
        <v>191</v>
      </c>
      <c r="I133" s="55" t="n">
        <v>335</v>
      </c>
      <c r="J133" s="56" t="n">
        <v>4.4</v>
      </c>
      <c r="K133" s="56" t="inlineStr">
        <is>
          <t>https://amazon.com/dp/B097NFNZBG</t>
        </is>
      </c>
      <c r="L133" s="34">
        <f>HYPERLINK(OPUSIVS_1[[#This Row],[Column1]])</f>
        <v/>
      </c>
    </row>
    <row r="134" ht="45" customHeight="1" s="290">
      <c r="A134" s="30" t="inlineStr">
        <is>
          <t>Opus IVS Mongoose-Plus J2534 OEM Vehicle Interface Cable - Nissan/Infiniti OEM Reprogramming and Diagnostics</t>
        </is>
      </c>
      <c r="B134" s="30" t="inlineStr">
        <is>
          <t>B097NFTXMD</t>
        </is>
      </c>
      <c r="C134" s="30" t="inlineStr">
        <is>
          <t>Cable/Adapter</t>
        </is>
      </c>
      <c r="D134" s="324" t="n">
        <v>579.0662962962963</v>
      </c>
      <c r="E134" s="53" t="n">
        <v>99913.98</v>
      </c>
      <c r="F134" s="53" t="n">
        <v>31269.58</v>
      </c>
      <c r="G134" s="55" t="n">
        <v>173</v>
      </c>
      <c r="H134" s="57" t="n">
        <v>54</v>
      </c>
      <c r="I134" s="55" t="n">
        <v>335</v>
      </c>
      <c r="J134" s="56" t="n">
        <v>4.4</v>
      </c>
      <c r="K134" s="56" t="inlineStr">
        <is>
          <t>https://amazon.com/dp/B097NFTXMD</t>
        </is>
      </c>
      <c r="L134" s="34">
        <f>HYPERLINK(OPUSIVS_1[[#This Row],[Column1]])</f>
        <v/>
      </c>
    </row>
    <row r="135" ht="45" customHeight="1" s="290">
      <c r="A135" s="30" t="inlineStr">
        <is>
          <t>Opus IVS Mongoose-Plus J2534 OEM Vehicle Interface Cable - Honda/Acura OEM Reprogramming and Diagnostics</t>
        </is>
      </c>
      <c r="B135" s="30" t="inlineStr">
        <is>
          <t>B097NH743T</t>
        </is>
      </c>
      <c r="C135" s="30" t="inlineStr">
        <is>
          <t>Cable/Adapter</t>
        </is>
      </c>
      <c r="D135" s="324" t="n">
        <v>568.9572093023256</v>
      </c>
      <c r="E135" s="53" t="n">
        <v>93055.99000000001</v>
      </c>
      <c r="F135" s="53" t="n">
        <v>24465.16</v>
      </c>
      <c r="G135" s="55" t="n">
        <v>163</v>
      </c>
      <c r="H135" s="57" t="n">
        <v>43</v>
      </c>
      <c r="I135" s="55" t="n">
        <v>335</v>
      </c>
      <c r="J135" s="56" t="n">
        <v>4.4</v>
      </c>
      <c r="K135" s="56" t="inlineStr">
        <is>
          <t>https://amazon.com/dp/B097NH743T</t>
        </is>
      </c>
      <c r="L135" s="34">
        <f>HYPERLINK(OPUSIVS_1[[#This Row],[Column1]])</f>
        <v/>
      </c>
    </row>
    <row r="136" ht="45" customHeight="1" s="290">
      <c r="A136" s="30" t="inlineStr">
        <is>
          <t>Mongoose-Plus J2534 OEM Vehicle Interface Cable - VW/Audi OEM Reprogramming and Diagnostics</t>
        </is>
      </c>
      <c r="B136" s="30" t="inlineStr">
        <is>
          <t>B097NGHP7S</t>
        </is>
      </c>
      <c r="C136" s="30" t="inlineStr">
        <is>
          <t>Cable/Adapter</t>
        </is>
      </c>
      <c r="D136" s="324" t="n">
        <v>572.7123255813954</v>
      </c>
      <c r="E136" s="53" t="n">
        <v>89781.14000000001</v>
      </c>
      <c r="F136" s="53" t="n">
        <v>24626.63</v>
      </c>
      <c r="G136" s="55" t="n">
        <v>157</v>
      </c>
      <c r="H136" s="57" t="n">
        <v>43</v>
      </c>
      <c r="I136" s="55" t="n">
        <v>335</v>
      </c>
      <c r="J136" s="56" t="n">
        <v>4.4</v>
      </c>
      <c r="K136" s="56" t="inlineStr">
        <is>
          <t>https://amazon.com/dp/B097NGHP7S</t>
        </is>
      </c>
      <c r="L136" s="34">
        <f>HYPERLINK(OPUSIVS_1[[#This Row],[Column1]])</f>
        <v/>
      </c>
    </row>
    <row r="137" ht="45" customHeight="1" s="290">
      <c r="A137" s="30" t="inlineStr">
        <is>
          <t>Opus IVS Mongoose-Plus J2534 OEM Vehicle Interface Cable - Designed for Chrysler/Dodge/Jeep OEM Reprogramming and Diagnostics</t>
        </is>
      </c>
      <c r="B137" s="30" t="inlineStr">
        <is>
          <t>B0BJW311DC</t>
        </is>
      </c>
      <c r="C137" s="30" t="inlineStr">
        <is>
          <t>Cable/Adapter</t>
        </is>
      </c>
      <c r="D137" s="324" t="n">
        <v>573.5211904761904</v>
      </c>
      <c r="E137" s="53" t="n">
        <v>92120.20999999999</v>
      </c>
      <c r="F137" s="53" t="n">
        <v>24087.89</v>
      </c>
      <c r="G137" s="55" t="n">
        <v>160</v>
      </c>
      <c r="H137" s="57" t="n">
        <v>42</v>
      </c>
      <c r="I137" s="55" t="n">
        <v>335</v>
      </c>
      <c r="J137" s="56" t="n">
        <v>4.4</v>
      </c>
      <c r="K137" s="56" t="inlineStr">
        <is>
          <t>https://amazon.com/dp/B0BJW311DC</t>
        </is>
      </c>
      <c r="L137" s="34">
        <f>HYPERLINK(OPUSIVS_1[[#This Row],[Column1]])</f>
        <v/>
      </c>
    </row>
    <row r="138" ht="45" customHeight="1" s="290">
      <c r="A138" s="30" t="inlineStr">
        <is>
          <t>Opus IVS Mongoose-Plus J2534 OEM Vehicle Interface Cable - OEM Reprogramming and Diagnostics for Subaru</t>
        </is>
      </c>
      <c r="B138" s="30" t="inlineStr">
        <is>
          <t>B0CP73XSS8</t>
        </is>
      </c>
      <c r="C138" s="30" t="inlineStr">
        <is>
          <t>Cable/Adapter</t>
        </is>
      </c>
      <c r="D138" s="324" t="n">
        <v>580.04425</v>
      </c>
      <c r="E138" s="53" t="n">
        <v>119246.8369230769</v>
      </c>
      <c r="F138" s="53" t="n">
        <v>23201.77</v>
      </c>
      <c r="G138" s="55" t="n">
        <v>130</v>
      </c>
      <c r="H138" s="57" t="n">
        <v>40</v>
      </c>
      <c r="I138" s="55" t="n">
        <v>335</v>
      </c>
      <c r="J138" s="56" t="n">
        <v>4.4</v>
      </c>
      <c r="K138" s="56" t="inlineStr">
        <is>
          <t>https://amazon.com/dp/B0CP73XSS8</t>
        </is>
      </c>
      <c r="L138" s="34">
        <f>HYPERLINK(OPUSIVS_1[[#This Row],[Column1]])</f>
        <v/>
      </c>
    </row>
    <row r="139" ht="45" customHeight="1" s="290">
      <c r="A139" s="30" t="inlineStr">
        <is>
          <t>Opus IVS CarDAQ-Plus 3 All Makes J2534 Reprogramming Tool</t>
        </is>
      </c>
      <c r="B139" s="30" t="inlineStr">
        <is>
          <t>B09SP8F2X6</t>
        </is>
      </c>
      <c r="C139" s="30" t="inlineStr">
        <is>
          <t>Other</t>
        </is>
      </c>
      <c r="D139" s="324" t="n">
        <v>1900.98</v>
      </c>
      <c r="E139" s="53" t="n">
        <v>857580.9700000001</v>
      </c>
      <c r="F139" s="53" t="n">
        <v>74138.22</v>
      </c>
      <c r="G139" s="55" t="n">
        <v>450</v>
      </c>
      <c r="H139" s="57" t="n">
        <v>39</v>
      </c>
      <c r="I139" s="55" t="n">
        <v>84</v>
      </c>
      <c r="J139" s="56" t="n">
        <v>4.4</v>
      </c>
      <c r="K139" s="56" t="inlineStr">
        <is>
          <t>https://amazon.com/dp/B09SP8F2X6</t>
        </is>
      </c>
      <c r="L139" s="34">
        <f>HYPERLINK(OPUSIVS_1[[#This Row],[Column1]])</f>
        <v/>
      </c>
    </row>
    <row r="140" ht="45" customHeight="1" s="290">
      <c r="A140" s="30" t="inlineStr">
        <is>
          <t>Opus IVS CarDAQ-Plus 3 OBD2 Vehicle Cable - Also for DrivePro/DriveSafe Products</t>
        </is>
      </c>
      <c r="B140" s="30" t="inlineStr">
        <is>
          <t>B09SP5Z369</t>
        </is>
      </c>
      <c r="C140" s="30" t="inlineStr">
        <is>
          <t>Cable/Adapter</t>
        </is>
      </c>
      <c r="D140" s="324" t="n">
        <v>80.11342857142857</v>
      </c>
      <c r="E140" s="53" t="n">
        <v>20448.08</v>
      </c>
      <c r="F140" s="53" t="n">
        <v>2803.97</v>
      </c>
      <c r="G140" s="55" t="n">
        <v>255</v>
      </c>
      <c r="H140" s="57" t="n">
        <v>35</v>
      </c>
      <c r="I140" s="55" t="n">
        <v>15</v>
      </c>
      <c r="J140" s="56" t="n">
        <v>4.4</v>
      </c>
      <c r="K140" s="56" t="inlineStr">
        <is>
          <t>https://amazon.com/dp/B09SP5Z369</t>
        </is>
      </c>
      <c r="L140" s="34">
        <f>HYPERLINK(OPUSIVS_1[[#This Row],[Column1]])</f>
        <v/>
      </c>
    </row>
    <row r="141" ht="30" customHeight="1" s="290">
      <c r="A141" s="30" t="inlineStr">
        <is>
          <t>Opus IVS Mongoose-Plus Toyota/Lexus/Scion J2534 OEM Vehicle Interface Bluetooth Wireless - OEM Reprogramming and Diagnostics</t>
        </is>
      </c>
      <c r="B141" s="30" t="inlineStr">
        <is>
          <t>B097NGSRDK</t>
        </is>
      </c>
      <c r="C141" s="30" t="inlineStr">
        <is>
          <t>Dongle</t>
        </is>
      </c>
      <c r="D141" s="324" t="n">
        <v>697.2820689655173</v>
      </c>
      <c r="E141" s="53" t="n">
        <v>46268.57999999999</v>
      </c>
      <c r="F141" s="53" t="n">
        <v>20221.18</v>
      </c>
      <c r="G141" s="55" t="n">
        <v>66</v>
      </c>
      <c r="H141" s="57" t="n">
        <v>29</v>
      </c>
      <c r="I141" s="55" t="n">
        <v>335</v>
      </c>
      <c r="J141" s="56" t="n">
        <v>4.4</v>
      </c>
      <c r="K141" s="56" t="inlineStr">
        <is>
          <t>https://amazon.com/dp/B097NGSRDK</t>
        </is>
      </c>
      <c r="L141" s="34">
        <f>HYPERLINK(OPUSIVS_1[[#This Row],[Column1]])</f>
        <v/>
      </c>
    </row>
    <row r="142" ht="45" customHeight="1" s="290">
      <c r="A142" s="30" t="inlineStr">
        <is>
          <t>Opus IVS Mongoose-Plus J2534 OEM Vehicle Interface Cable - GM OEM Reprogramming and Diagnostics</t>
        </is>
      </c>
      <c r="B142" s="30" t="inlineStr">
        <is>
          <t>B09D574Q3M</t>
        </is>
      </c>
      <c r="C142" s="30" t="inlineStr">
        <is>
          <t>Cable/Adapter</t>
        </is>
      </c>
      <c r="D142" s="324" t="n">
        <v>559.6605882352941</v>
      </c>
      <c r="E142" s="53" t="n">
        <v>96229.37999999999</v>
      </c>
      <c r="F142" s="53" t="n">
        <v>9514.23</v>
      </c>
      <c r="G142" s="55" t="n">
        <v>167</v>
      </c>
      <c r="H142" s="57" t="n">
        <v>17</v>
      </c>
      <c r="I142" s="55" t="n">
        <v>335</v>
      </c>
      <c r="J142" s="56" t="n">
        <v>4.4</v>
      </c>
      <c r="K142" s="56" t="inlineStr">
        <is>
          <t>https://amazon.com/dp/B09D574Q3M</t>
        </is>
      </c>
      <c r="L142" s="34">
        <f>HYPERLINK(OPUSIVS_1[[#This Row],[Column1]])</f>
        <v/>
      </c>
    </row>
    <row r="143" ht="45" customHeight="1" s="290">
      <c r="A143" s="30" t="inlineStr">
        <is>
          <t>Opus IVS CarDAQ-Plus 3 All Makes J2534 Reprogramming Tool - Bluetooth</t>
        </is>
      </c>
      <c r="B143" s="30" t="inlineStr">
        <is>
          <t>B09SNVC9JR</t>
        </is>
      </c>
      <c r="C143" s="30" t="inlineStr">
        <is>
          <t>Other</t>
        </is>
      </c>
      <c r="D143" s="324" t="n">
        <v>2287.939333333333</v>
      </c>
      <c r="E143" s="53" t="n">
        <v>427463.5999999999</v>
      </c>
      <c r="F143" s="53" t="n">
        <v>34319.09</v>
      </c>
      <c r="G143" s="55" t="n">
        <v>192</v>
      </c>
      <c r="H143" s="57" t="n">
        <v>15</v>
      </c>
      <c r="I143" s="55" t="n">
        <v>84</v>
      </c>
      <c r="J143" s="56" t="n">
        <v>4.4</v>
      </c>
      <c r="K143" s="56" t="inlineStr">
        <is>
          <t>https://amazon.com/dp/B09SNVC9JR</t>
        </is>
      </c>
      <c r="L143" s="34">
        <f>HYPERLINK(OPUSIVS_1[[#This Row],[Column1]])</f>
        <v/>
      </c>
    </row>
    <row r="144" ht="45" customHeight="1" s="290">
      <c r="A144" s="30" t="inlineStr">
        <is>
          <t>Opus IVS CarDAQ-Pro All Makes J2534 Reprogramming Tool and Remote Assisted Programming Plus IVS360</t>
        </is>
      </c>
      <c r="B144" s="30" t="inlineStr">
        <is>
          <t>B0BJQMTY48</t>
        </is>
      </c>
      <c r="C144" s="30" t="inlineStr">
        <is>
          <t>Other</t>
        </is>
      </c>
      <c r="D144" s="324" t="n">
        <v>2478.37</v>
      </c>
      <c r="E144" s="53" t="n">
        <v>248660.66</v>
      </c>
      <c r="F144" s="53" t="n">
        <v>29740.44</v>
      </c>
      <c r="G144" s="55" t="n">
        <v>97</v>
      </c>
      <c r="H144" s="57" t="n">
        <v>12</v>
      </c>
      <c r="I144" s="55" t="n">
        <v>84</v>
      </c>
      <c r="J144" s="56" t="n">
        <v>4.4</v>
      </c>
      <c r="K144" s="56" t="inlineStr">
        <is>
          <t>https://amazon.com/dp/B0BJQMTY48</t>
        </is>
      </c>
      <c r="L144" s="34">
        <f>HYPERLINK(OPUSIVS_1[[#This Row],[Column1]])</f>
        <v/>
      </c>
    </row>
    <row r="145" ht="45" customHeight="1" s="290">
      <c r="A145" s="30" t="inlineStr">
        <is>
          <t>Opus IVS Mongoose-Plus J2534 OEM Vehicle Interface Cable - Ford/Lincoln/Mercury OEM Reprogramming and Diagnostics.</t>
        </is>
      </c>
      <c r="B145" s="30" t="inlineStr">
        <is>
          <t>B097NHQ7ZW</t>
        </is>
      </c>
      <c r="C145" s="30" t="inlineStr">
        <is>
          <t>Cable/Adapter</t>
        </is>
      </c>
      <c r="D145" s="324" t="n">
        <v>581.7871428571428</v>
      </c>
      <c r="E145" s="53" t="n">
        <v>352210.37</v>
      </c>
      <c r="F145" s="53" t="n">
        <v>4072.51</v>
      </c>
      <c r="G145" s="55" t="n">
        <v>606</v>
      </c>
      <c r="H145" s="57" t="n">
        <v>7</v>
      </c>
      <c r="I145" s="55" t="n">
        <v>335</v>
      </c>
      <c r="J145" s="56" t="n">
        <v>4.4</v>
      </c>
      <c r="K145" s="56" t="inlineStr">
        <is>
          <t>https://amazon.com/dp/B097NHQ7ZW</t>
        </is>
      </c>
      <c r="L145" s="34">
        <f>HYPERLINK(OPUSIVS_1[[#This Row],[Column1]])</f>
        <v/>
      </c>
    </row>
    <row r="146" ht="60" customHeight="1" s="290">
      <c r="A146" s="30" t="inlineStr">
        <is>
          <t>Opus IVS Mongoose-Plus J2534 OEM Bluetooth Vehicle Interface Cable - Designed for Chrysler/Dodge/Jeep OEM Reprogramming and Diagnostics</t>
        </is>
      </c>
      <c r="B146" s="30" t="inlineStr">
        <is>
          <t>B0BJVYSX4Z</t>
        </is>
      </c>
      <c r="C146" s="30" t="inlineStr">
        <is>
          <t>Dongle</t>
        </is>
      </c>
      <c r="D146" s="324" t="n">
        <v>647.91</v>
      </c>
      <c r="E146" s="53" t="n">
        <v>29183</v>
      </c>
      <c r="F146" s="53" t="n">
        <v>3887.46</v>
      </c>
      <c r="G146" s="55" t="n">
        <v>42</v>
      </c>
      <c r="H146" s="57" t="n">
        <v>6</v>
      </c>
      <c r="I146" s="55" t="n">
        <v>335</v>
      </c>
      <c r="J146" s="56" t="n">
        <v>4.4</v>
      </c>
      <c r="K146" s="56" t="inlineStr">
        <is>
          <t>https://amazon.com/dp/B0BJVYSX4Z</t>
        </is>
      </c>
      <c r="L146" s="34">
        <f>HYPERLINK(OPUSIVS_1[[#This Row],[Column1]])</f>
        <v/>
      </c>
    </row>
    <row r="147" ht="45" customHeight="1" s="290">
      <c r="A147" s="30" t="inlineStr">
        <is>
          <t>Opus IVS Mongoose-Plus J2534 OEM Bluetooth Wireless Vehicle Interface Cable - Ford/Lincoln/Mercury OEM Reprogramming and Diagnostics</t>
        </is>
      </c>
      <c r="B147" s="30" t="inlineStr">
        <is>
          <t>B097NGVRQ7</t>
        </is>
      </c>
      <c r="C147" s="30" t="inlineStr">
        <is>
          <t>Dongle</t>
        </is>
      </c>
      <c r="D147" s="324" t="n">
        <v>670.22</v>
      </c>
      <c r="E147" s="53" t="n">
        <v>31738.2</v>
      </c>
      <c r="F147" s="53" t="n">
        <v>4021.32</v>
      </c>
      <c r="G147" s="55" t="n">
        <v>48</v>
      </c>
      <c r="H147" s="57" t="n">
        <v>6</v>
      </c>
      <c r="I147" s="55" t="n">
        <v>335</v>
      </c>
      <c r="J147" s="56" t="n">
        <v>4.4</v>
      </c>
      <c r="K147" s="56" t="inlineStr">
        <is>
          <t>https://amazon.com/dp/B097NGVRQ7</t>
        </is>
      </c>
      <c r="L147" s="34">
        <f>HYPERLINK(OPUSIVS_1[[#This Row],[Column1]])</f>
        <v/>
      </c>
    </row>
    <row r="148" ht="45" customHeight="1" s="290">
      <c r="A148" s="30" t="inlineStr">
        <is>
          <t>Opus IVS Mongoose-Plus J2534 OEM Vehicle Bluetooth Wireless Interface Cable - Honda/Acura OEM Reprogramming and Diagnostics</t>
        </is>
      </c>
      <c r="B148" s="30" t="inlineStr">
        <is>
          <t>B097NGBKNN</t>
        </is>
      </c>
      <c r="C148" s="30" t="inlineStr">
        <is>
          <t>Dongle</t>
        </is>
      </c>
      <c r="D148" s="324" t="n">
        <v>704.162</v>
      </c>
      <c r="E148" s="53" t="n">
        <v>30453.84846153847</v>
      </c>
      <c r="F148" s="53" t="n">
        <v>3520.81</v>
      </c>
      <c r="G148" s="55" t="n">
        <v>39</v>
      </c>
      <c r="H148" s="57" t="n">
        <v>5</v>
      </c>
      <c r="I148" s="55" t="n">
        <v>335</v>
      </c>
      <c r="J148" s="56" t="n">
        <v>4.4</v>
      </c>
      <c r="K148" s="56" t="inlineStr">
        <is>
          <t>https://amazon.com/dp/B097NGBKNN</t>
        </is>
      </c>
      <c r="L148" s="34">
        <f>HYPERLINK(OPUSIVS_1[[#This Row],[Column1]])</f>
        <v/>
      </c>
    </row>
    <row r="149" ht="45" customHeight="1" s="290">
      <c r="A149" s="30" t="inlineStr">
        <is>
          <t>Opus IVS Mongoose-Plus J2534 OEM Bluetooth Wireless Vehicle Interface Cable - GM OEM Reprogramming and Diagnostics</t>
        </is>
      </c>
      <c r="B149" s="30" t="inlineStr">
        <is>
          <t>B09D4Z9M8Y</t>
        </is>
      </c>
      <c r="C149" s="30" t="inlineStr">
        <is>
          <t>Dongle</t>
        </is>
      </c>
      <c r="D149" s="324" t="n">
        <v>742.7380000000001</v>
      </c>
      <c r="E149" s="53" t="n">
        <v>30332.29</v>
      </c>
      <c r="F149" s="53" t="n">
        <v>3713.69</v>
      </c>
      <c r="G149" s="55" t="n">
        <v>42</v>
      </c>
      <c r="H149" s="57" t="n">
        <v>5</v>
      </c>
      <c r="I149" s="55" t="n">
        <v>335</v>
      </c>
      <c r="J149" s="56" t="n">
        <v>4.4</v>
      </c>
      <c r="K149" s="56" t="inlineStr">
        <is>
          <t>https://amazon.com/dp/B09D4Z9M8Y</t>
        </is>
      </c>
      <c r="L149" s="34">
        <f>HYPERLINK(OPUSIVS_1[[#This Row],[Column1]])</f>
        <v/>
      </c>
    </row>
    <row r="150" ht="45" customHeight="1" s="290">
      <c r="A150" s="30" t="inlineStr">
        <is>
          <t>Opus IVS Mongoose-Plus J2534 OEM Bluetooth Wireless Vehicle Interface Cable - VW/Audi OEM Reprogramming and Diagnostics</t>
        </is>
      </c>
      <c r="B150" s="30" t="inlineStr">
        <is>
          <t>B097NJ646V</t>
        </is>
      </c>
      <c r="C150" s="30" t="inlineStr">
        <is>
          <t>Dongle</t>
        </is>
      </c>
      <c r="D150" s="324" t="n">
        <v>699.64</v>
      </c>
      <c r="E150" s="53" t="n">
        <v>29154.27</v>
      </c>
      <c r="F150" s="53" t="n">
        <v>3498.2</v>
      </c>
      <c r="G150" s="55" t="n">
        <v>41</v>
      </c>
      <c r="H150" s="57" t="n">
        <v>5</v>
      </c>
      <c r="I150" s="55" t="n">
        <v>335</v>
      </c>
      <c r="J150" s="56" t="n">
        <v>4.4</v>
      </c>
      <c r="K150" s="56" t="inlineStr">
        <is>
          <t>https://amazon.com/dp/B097NJ646V</t>
        </is>
      </c>
      <c r="L150" s="34">
        <f>HYPERLINK(OPUSIVS_1[[#This Row],[Column1]])</f>
        <v/>
      </c>
    </row>
    <row r="151" ht="45" customHeight="1" s="290">
      <c r="A151" s="30" t="inlineStr">
        <is>
          <t>Opus IVS Mongoose-Plus J2534 OEM Bluetooth Wireless Vehicle Interface Cable - Nissan/Infiniti OEM Reprogramming and Diagnostics</t>
        </is>
      </c>
      <c r="B151" s="30" t="inlineStr">
        <is>
          <t>B097NJ79HD</t>
        </is>
      </c>
      <c r="C151" s="30" t="inlineStr">
        <is>
          <t>Dongle</t>
        </is>
      </c>
      <c r="D151" s="324" t="n">
        <v>761.154</v>
      </c>
      <c r="E151" s="53" t="n">
        <v>29094.52</v>
      </c>
      <c r="F151" s="53" t="n">
        <v>3805.77</v>
      </c>
      <c r="G151" s="55" t="n">
        <v>41</v>
      </c>
      <c r="H151" s="57" t="n">
        <v>5</v>
      </c>
      <c r="I151" s="55" t="n">
        <v>335</v>
      </c>
      <c r="J151" s="56" t="n">
        <v>4.4</v>
      </c>
      <c r="K151" s="56" t="inlineStr">
        <is>
          <t>https://amazon.com/dp/B097NJ79HD</t>
        </is>
      </c>
      <c r="L151" s="34">
        <f>HYPERLINK(OPUSIVS_1[[#This Row],[Column1]])</f>
        <v/>
      </c>
    </row>
    <row r="152" ht="45" customHeight="1" s="290">
      <c r="A152" s="30" t="inlineStr">
        <is>
          <t>Opus IVS SuperGoose-Plus J2534 OEM Vehicle Interface Cable - OEM Reprogramming and Diagnostics for Multiple OEM Makes</t>
        </is>
      </c>
      <c r="B152" s="30" t="inlineStr">
        <is>
          <t>B0CP78488B</t>
        </is>
      </c>
      <c r="C152" s="30" t="inlineStr">
        <is>
          <t>Cable/Adapter</t>
        </is>
      </c>
      <c r="D152" s="324" t="n">
        <v>840.0733333333333</v>
      </c>
      <c r="E152" s="53" t="n">
        <v>18766.56</v>
      </c>
      <c r="F152" s="53" t="n">
        <v>2520.22</v>
      </c>
      <c r="G152" s="55" t="n">
        <v>19</v>
      </c>
      <c r="H152" s="57" t="n">
        <v>3</v>
      </c>
      <c r="I152" s="55" t="n">
        <v>335</v>
      </c>
      <c r="J152" s="56" t="n">
        <v>4.4</v>
      </c>
      <c r="K152" s="56" t="inlineStr">
        <is>
          <t>https://amazon.com/dp/B0CP78488B</t>
        </is>
      </c>
      <c r="L152" s="34">
        <f>HYPERLINK(OPUSIVS_1[[#This Row],[Column1]])</f>
        <v/>
      </c>
    </row>
    <row r="153" ht="60" customHeight="1" s="290">
      <c r="A153" s="30" t="inlineStr">
        <is>
          <t>Opus IVS Giotto Bidirectional Scan Tool with J2534 for GM</t>
        </is>
      </c>
      <c r="B153" s="30" t="inlineStr">
        <is>
          <t>B0DBJ2QPK1</t>
        </is>
      </c>
      <c r="C153" s="30" t="inlineStr">
        <is>
          <t>Cable/Adapter</t>
        </is>
      </c>
      <c r="D153" s="324" t="n">
        <v>575.74</v>
      </c>
      <c r="E153" s="53" t="n">
        <v>5541.374615384616</v>
      </c>
      <c r="F153" s="53" t="n">
        <v>1151.48</v>
      </c>
      <c r="G153" s="55" t="n">
        <v>8</v>
      </c>
      <c r="H153" s="57" t="n">
        <v>2</v>
      </c>
      <c r="I153" s="55" t="n">
        <v>4</v>
      </c>
      <c r="J153" s="56" t="n">
        <v>3.6</v>
      </c>
      <c r="K153" s="56" t="inlineStr">
        <is>
          <t>https://amazon.com/dp/B0DBJ2QPK1</t>
        </is>
      </c>
      <c r="L153" s="34">
        <f>HYPERLINK(OPUSIVS_1[[#This Row],[Column1]])</f>
        <v/>
      </c>
    </row>
    <row r="154" ht="45" customHeight="1" s="290">
      <c r="A154" s="30" t="inlineStr">
        <is>
          <t>Opus IVS Giotto Bidirectional Scan Tool with J2534 for Ford</t>
        </is>
      </c>
      <c r="B154" s="30" t="inlineStr">
        <is>
          <t>B0DBJ1YMM3</t>
        </is>
      </c>
      <c r="C154" s="30" t="inlineStr">
        <is>
          <t>Cable/Adapter</t>
        </is>
      </c>
      <c r="D154" s="324" t="n">
        <v>576.25</v>
      </c>
      <c r="E154" s="53" t="n">
        <v>6134.21</v>
      </c>
      <c r="F154" s="53" t="n">
        <v>1152.5</v>
      </c>
      <c r="G154" s="55" t="n">
        <v>11</v>
      </c>
      <c r="H154" s="57" t="n">
        <v>2</v>
      </c>
      <c r="I154" s="55" t="n">
        <v>4</v>
      </c>
      <c r="J154" s="56" t="n">
        <v>3.6</v>
      </c>
      <c r="K154" s="56" t="inlineStr">
        <is>
          <t>https://amazon.com/dp/B0DBJ1YMM3</t>
        </is>
      </c>
      <c r="L154" s="34">
        <f>HYPERLINK(OPUSIVS_1[[#This Row],[Column1]])</f>
        <v/>
      </c>
    </row>
    <row r="155" ht="45" customHeight="1" s="290">
      <c r="A155" s="30" t="inlineStr">
        <is>
          <t>IMclean-OBD2 Cable 15'</t>
        </is>
      </c>
      <c r="B155" s="30" t="inlineStr">
        <is>
          <t>B09Y6BHFF7</t>
        </is>
      </c>
      <c r="C155" s="30" t="inlineStr">
        <is>
          <t>Cable/Adapter</t>
        </is>
      </c>
      <c r="D155" s="324" t="n">
        <v>132.67</v>
      </c>
      <c r="E155" s="53" t="n">
        <v>832.1992307692308</v>
      </c>
      <c r="F155" s="53" t="n">
        <v>132.67</v>
      </c>
      <c r="G155" s="55" t="n">
        <v>5</v>
      </c>
      <c r="H155" s="57" t="n">
        <v>1</v>
      </c>
      <c r="I155" s="55" t="n">
        <v>1</v>
      </c>
      <c r="J155" s="56" t="n">
        <v>5</v>
      </c>
      <c r="K155" s="56" t="inlineStr">
        <is>
          <t>https://amazon.com/dp/B09Y6BHFF7</t>
        </is>
      </c>
      <c r="L155" s="34">
        <f>HYPERLINK(OPUSIVS_1[[#This Row],[Column1]])</f>
        <v/>
      </c>
    </row>
    <row r="156" ht="45" customHeight="1" s="290">
      <c r="A156" s="30" t="inlineStr">
        <is>
          <t>IMclean-OBD2 Cable 9'</t>
        </is>
      </c>
      <c r="B156" s="30" t="inlineStr">
        <is>
          <t>B09Y6PK2Z7</t>
        </is>
      </c>
      <c r="C156" s="30" t="inlineStr">
        <is>
          <t>Cable/Adapter</t>
        </is>
      </c>
      <c r="D156" s="324" t="n">
        <v>116.29</v>
      </c>
      <c r="E156" s="53" t="n">
        <v>949.9392307692309</v>
      </c>
      <c r="F156" s="53" t="n">
        <v>116.29</v>
      </c>
      <c r="G156" s="55" t="n">
        <v>8</v>
      </c>
      <c r="H156" s="57" t="n">
        <v>1</v>
      </c>
      <c r="I156" s="55" t="n">
        <v>3</v>
      </c>
      <c r="J156" s="56" t="n">
        <v>5</v>
      </c>
      <c r="K156" s="56" t="inlineStr">
        <is>
          <t>https://amazon.com/dp/B09Y6PK2Z7</t>
        </is>
      </c>
      <c r="L156" s="34">
        <f>HYPERLINK(OPUSIVS_1[[#This Row],[Column1]])</f>
        <v/>
      </c>
    </row>
    <row r="157" ht="45" customHeight="1" s="290">
      <c r="A157" s="30" t="inlineStr">
        <is>
          <t>Opus IVS Giotto Bidirectional Scan Tool with J2534 for All Makes</t>
        </is>
      </c>
      <c r="B157" s="30" t="inlineStr">
        <is>
          <t>B0DBJ4BZPJ</t>
        </is>
      </c>
      <c r="C157" s="30" t="inlineStr">
        <is>
          <t>VCI</t>
        </is>
      </c>
      <c r="D157" s="324" t="n">
        <v>1995</v>
      </c>
      <c r="E157" s="53" t="n">
        <v>4446.85</v>
      </c>
      <c r="F157" s="53" t="n">
        <v>0</v>
      </c>
      <c r="G157" s="55" t="n">
        <v>4</v>
      </c>
      <c r="H157" s="57" t="n">
        <v>0</v>
      </c>
      <c r="I157" s="55" t="n">
        <v>4</v>
      </c>
      <c r="J157" s="56" t="n">
        <v>3.6</v>
      </c>
      <c r="K157" s="56" t="inlineStr">
        <is>
          <t>https://amazon.com/dp/B0DBJ4BZPJ</t>
        </is>
      </c>
      <c r="L157" s="34">
        <f>HYPERLINK(OPUSIVS_1[[#This Row],[Column1]])</f>
        <v/>
      </c>
    </row>
    <row r="158" ht="45" customHeight="1" s="290">
      <c r="A158" s="30" t="inlineStr">
        <is>
          <t>LivePro Remote Assisted Diagnostic Tool</t>
        </is>
      </c>
      <c r="B158" s="30" t="inlineStr">
        <is>
          <t>B09MG66WWM</t>
        </is>
      </c>
      <c r="C158" s="30" t="inlineStr">
        <is>
          <t>Tablet</t>
        </is>
      </c>
      <c r="D158" s="324" t="n">
        <v>2495</v>
      </c>
      <c r="E158" s="53" t="n">
        <v>4442.2</v>
      </c>
      <c r="F158" s="53" t="n">
        <v>0</v>
      </c>
      <c r="G158" s="55" t="n">
        <v>2</v>
      </c>
      <c r="H158" s="57" t="n">
        <v>0</v>
      </c>
      <c r="I158" s="55" t="n">
        <v>1</v>
      </c>
      <c r="J158" s="56" t="n">
        <v>5</v>
      </c>
      <c r="K158" s="56" t="inlineStr">
        <is>
          <t>https://amazon.com/dp/B09MG66WWM</t>
        </is>
      </c>
      <c r="L158" s="34">
        <f>HYPERLINK(OPUSIVS_1[[#This Row],[Column1]])</f>
        <v/>
      </c>
    </row>
    <row r="159" ht="45" customHeight="1" s="290">
      <c r="A159" s="30" t="n"/>
      <c r="B159" s="30" t="n"/>
      <c r="C159" s="30" t="n"/>
      <c r="D159" s="324" t="n"/>
      <c r="E159" s="53" t="n"/>
      <c r="F159" s="53" t="n"/>
      <c r="G159" s="55" t="n"/>
      <c r="H159" s="57" t="n"/>
      <c r="I159" s="55" t="n"/>
      <c r="J159" s="56" t="n"/>
      <c r="K159" s="56" t="n"/>
      <c r="L159" s="34">
        <f>HYPERLINK(Table65[[#This Row],[Column1]])</f>
        <v/>
      </c>
    </row>
    <row r="160" ht="45" customHeight="1" s="290">
      <c r="A160" s="30" t="n"/>
      <c r="B160" s="30" t="n"/>
      <c r="C160" s="30" t="n"/>
      <c r="D160" s="324" t="n"/>
      <c r="E160" s="53" t="n"/>
      <c r="F160" s="53" t="n"/>
      <c r="G160" s="55" t="n"/>
      <c r="H160" s="57" t="n"/>
      <c r="I160" s="55" t="n"/>
      <c r="J160" s="56" t="n"/>
      <c r="K160" s="56" t="n"/>
      <c r="L160" s="34">
        <f>HYPERLINK(Table65[[#This Row],[Column1]])</f>
        <v/>
      </c>
    </row>
    <row r="161" ht="60" customHeight="1" s="290">
      <c r="A161" s="30" t="n"/>
      <c r="B161" s="30" t="n"/>
      <c r="C161" s="30" t="n"/>
      <c r="D161" s="324" t="n"/>
      <c r="E161" s="53" t="n"/>
      <c r="F161" s="53" t="n"/>
      <c r="G161" s="55" t="n"/>
      <c r="H161" s="57" t="n"/>
      <c r="I161" s="55" t="n"/>
      <c r="J161" s="56" t="n"/>
      <c r="K161" s="56" t="n"/>
      <c r="L161" s="34">
        <f>HYPERLINK(Table65[[#This Row],[Column1]])</f>
        <v/>
      </c>
    </row>
    <row r="162" ht="45" customHeight="1" s="290">
      <c r="A162" s="30" t="n"/>
      <c r="B162" s="30" t="n"/>
      <c r="C162" s="30" t="n"/>
      <c r="D162" s="324" t="n"/>
      <c r="E162" s="53" t="n"/>
      <c r="F162" s="53" t="n"/>
      <c r="G162" s="55" t="n"/>
      <c r="H162" s="57" t="n"/>
      <c r="I162" s="55" t="n"/>
      <c r="J162" s="56" t="n"/>
      <c r="K162" s="56" t="n"/>
      <c r="L162" s="34">
        <f>HYPERLINK(Table65[[#This Row],[Column1]])</f>
        <v/>
      </c>
    </row>
    <row r="163" ht="45" customHeight="1" s="290">
      <c r="A163" s="30" t="n"/>
      <c r="B163" s="30" t="n"/>
      <c r="C163" s="30" t="n"/>
      <c r="D163" s="324" t="n"/>
      <c r="E163" s="53" t="n"/>
      <c r="F163" s="53" t="n"/>
      <c r="G163" s="55" t="n"/>
      <c r="H163" s="57" t="n"/>
      <c r="I163" s="55" t="n"/>
      <c r="J163" s="56" t="n"/>
      <c r="K163" s="56" t="n"/>
      <c r="L163" s="34">
        <f>HYPERLINK(Table65[[#This Row],[Column1]])</f>
        <v/>
      </c>
    </row>
    <row r="164" ht="45" customHeight="1" s="290">
      <c r="A164" s="30" t="n"/>
      <c r="B164" s="30" t="n"/>
      <c r="C164" s="30" t="n"/>
      <c r="D164" s="324" t="n"/>
      <c r="E164" s="53" t="n"/>
      <c r="F164" s="53" t="n"/>
      <c r="G164" s="55" t="n"/>
      <c r="H164" s="57" t="n"/>
      <c r="I164" s="55" t="n"/>
      <c r="J164" s="56" t="n"/>
      <c r="K164" s="56" t="n"/>
      <c r="L164" s="34">
        <f>HYPERLINK(Table65[[#This Row],[Column1]])</f>
        <v/>
      </c>
    </row>
    <row r="165" ht="45" customHeight="1" s="290">
      <c r="A165" s="30" t="n"/>
      <c r="B165" s="30" t="n"/>
      <c r="C165" s="30" t="n"/>
      <c r="D165" s="324" t="n"/>
      <c r="E165" s="53" t="n"/>
      <c r="F165" s="53" t="n"/>
      <c r="G165" s="55" t="n"/>
      <c r="H165" s="57" t="n"/>
      <c r="I165" s="55" t="n"/>
      <c r="J165" s="56" t="n"/>
      <c r="K165" s="56" t="n"/>
      <c r="L165" s="34">
        <f>HYPERLINK(Table65[[#This Row],[Column1]])</f>
        <v/>
      </c>
    </row>
    <row r="166" ht="45" customHeight="1" s="290">
      <c r="A166" s="30" t="n"/>
      <c r="B166" s="30" t="n"/>
      <c r="C166" s="30" t="n"/>
      <c r="D166" s="324" t="n"/>
      <c r="E166" s="53" t="n"/>
      <c r="F166" s="53" t="n"/>
      <c r="G166" s="55" t="n"/>
      <c r="H166" s="57" t="n"/>
      <c r="I166" s="55" t="n"/>
      <c r="J166" s="56" t="n"/>
      <c r="K166" s="56" t="n"/>
      <c r="L166" s="34">
        <f>HYPERLINK(Table65[[#This Row],[Column1]])</f>
        <v/>
      </c>
    </row>
    <row r="167" ht="45" customHeight="1" s="290">
      <c r="A167" s="30" t="n"/>
      <c r="B167" s="30" t="n"/>
      <c r="C167" s="30" t="n"/>
      <c r="D167" s="324" t="n"/>
      <c r="E167" s="53" t="n"/>
      <c r="F167" s="53" t="n"/>
      <c r="G167" s="55" t="n"/>
      <c r="H167" s="57" t="n"/>
      <c r="I167" s="55" t="n"/>
      <c r="J167" s="56" t="n"/>
      <c r="K167" s="56" t="n"/>
      <c r="L167" s="34">
        <f>HYPERLINK(Table65[[#This Row],[Column1]])</f>
        <v/>
      </c>
    </row>
    <row r="168" ht="45" customHeight="1" s="290">
      <c r="A168" s="30" t="n"/>
      <c r="B168" s="30" t="n"/>
      <c r="C168" s="30" t="n"/>
      <c r="D168" s="324" t="n"/>
      <c r="E168" s="53" t="n"/>
      <c r="F168" s="53" t="n"/>
      <c r="G168" s="55" t="n"/>
      <c r="H168" s="57" t="n"/>
      <c r="I168" s="55" t="n"/>
      <c r="J168" s="56" t="n"/>
      <c r="K168" s="56" t="n"/>
      <c r="L168" s="34">
        <f>HYPERLINK(Table65[[#This Row],[Column1]])</f>
        <v/>
      </c>
    </row>
    <row r="169" ht="45" customHeight="1" s="290">
      <c r="A169" s="30" t="n"/>
      <c r="B169" s="30" t="n"/>
      <c r="C169" s="30" t="n"/>
      <c r="D169" s="324" t="n"/>
      <c r="E169" s="53" t="n"/>
      <c r="F169" s="53" t="n"/>
      <c r="G169" s="55" t="n"/>
      <c r="H169" s="57" t="n"/>
      <c r="I169" s="55" t="n"/>
      <c r="J169" s="56" t="n"/>
      <c r="K169" s="56" t="n"/>
      <c r="L169" s="34">
        <f>HYPERLINK(Table65[[#This Row],[Column1]])</f>
        <v/>
      </c>
    </row>
    <row r="170" ht="30" customHeight="1" s="290">
      <c r="A170" s="30" t="n"/>
      <c r="B170" s="30" t="n"/>
      <c r="C170" s="30" t="n"/>
      <c r="D170" s="324" t="n"/>
      <c r="E170" s="53" t="n"/>
      <c r="F170" s="53" t="n"/>
      <c r="G170" s="55" t="n"/>
      <c r="H170" s="57" t="n"/>
      <c r="I170" s="55" t="n"/>
      <c r="J170" s="56" t="n"/>
      <c r="K170" s="56" t="n"/>
      <c r="L170" s="34">
        <f>HYPERLINK(Table65[[#This Row],[Column1]])</f>
        <v/>
      </c>
    </row>
    <row r="171" ht="45" customHeight="1" s="290">
      <c r="A171" s="30" t="n"/>
      <c r="B171" s="30" t="n"/>
      <c r="C171" s="30" t="n"/>
      <c r="D171" s="324" t="n"/>
      <c r="E171" s="53" t="n"/>
      <c r="F171" s="53" t="n"/>
      <c r="G171" s="55" t="n"/>
      <c r="H171" s="57" t="n"/>
      <c r="I171" s="55" t="n"/>
      <c r="J171" s="56" t="n"/>
      <c r="K171" s="56" t="n"/>
      <c r="L171" s="34">
        <f>HYPERLINK(Table65[[#This Row],[Column1]])</f>
        <v/>
      </c>
    </row>
    <row r="172" ht="45" customHeight="1" s="290">
      <c r="A172" s="30" t="n"/>
      <c r="B172" s="30" t="n"/>
      <c r="C172" s="30" t="n"/>
      <c r="D172" s="324" t="n"/>
      <c r="E172" s="53" t="n"/>
      <c r="F172" s="53" t="n"/>
      <c r="G172" s="55" t="n"/>
      <c r="H172" s="57" t="n"/>
      <c r="I172" s="55" t="n"/>
      <c r="J172" s="56" t="n"/>
      <c r="K172" s="56" t="n"/>
      <c r="L172" s="34">
        <f>HYPERLINK(Table65[[#This Row],[Column1]])</f>
        <v/>
      </c>
    </row>
    <row r="173" ht="45" customHeight="1" s="290">
      <c r="A173" s="30" t="n"/>
      <c r="B173" s="30" t="n"/>
      <c r="C173" s="30" t="n"/>
      <c r="D173" s="324" t="n"/>
      <c r="E173" s="53" t="n"/>
      <c r="F173" s="53" t="n"/>
      <c r="G173" s="55" t="n"/>
      <c r="H173" s="57" t="n"/>
      <c r="I173" s="55" t="n"/>
      <c r="J173" s="56" t="n"/>
      <c r="K173" s="56" t="n"/>
      <c r="L173" s="34">
        <f>HYPERLINK(Table65[[#This Row],[Column1]])</f>
        <v/>
      </c>
    </row>
    <row r="174" ht="45" customHeight="1" s="290">
      <c r="A174" s="30" t="n"/>
      <c r="B174" s="30" t="n"/>
      <c r="C174" s="30" t="n"/>
      <c r="D174" s="324" t="n"/>
      <c r="E174" s="53" t="n"/>
      <c r="F174" s="53" t="n"/>
      <c r="G174" s="55" t="n"/>
      <c r="H174" s="57" t="n"/>
      <c r="I174" s="55" t="n"/>
      <c r="J174" s="56" t="n"/>
      <c r="K174" s="56" t="n"/>
      <c r="L174" s="34">
        <f>HYPERLINK(Table65[[#This Row],[Column1]])</f>
        <v/>
      </c>
    </row>
    <row r="175" ht="45" customHeight="1" s="290">
      <c r="A175" s="30" t="n"/>
      <c r="B175" s="30" t="n"/>
      <c r="C175" s="30" t="n"/>
      <c r="D175" s="324" t="n"/>
      <c r="E175" s="53" t="n"/>
      <c r="F175" s="53" t="n"/>
      <c r="G175" s="55" t="n"/>
      <c r="H175" s="57" t="n"/>
      <c r="I175" s="55" t="n"/>
      <c r="J175" s="56" t="n"/>
      <c r="K175" s="56" t="n"/>
      <c r="L175" s="34">
        <f>HYPERLINK(Table65[[#This Row],[Column1]])</f>
        <v/>
      </c>
    </row>
    <row r="176" ht="60" customHeight="1" s="290">
      <c r="A176" s="30" t="n"/>
      <c r="B176" s="30" t="n"/>
      <c r="C176" s="30" t="n"/>
      <c r="D176" s="324" t="n"/>
      <c r="E176" s="53" t="n"/>
      <c r="F176" s="53" t="n"/>
      <c r="G176" s="55" t="n"/>
      <c r="H176" s="57" t="n"/>
      <c r="I176" s="55" t="n"/>
      <c r="J176" s="56" t="n"/>
      <c r="K176" s="56" t="n"/>
      <c r="L176" s="34">
        <f>HYPERLINK(Table65[[#This Row],[Column1]])</f>
        <v/>
      </c>
    </row>
    <row r="177" ht="45" customHeight="1" s="290">
      <c r="A177" s="30" t="n"/>
      <c r="B177" s="30" t="n"/>
      <c r="C177" s="30" t="n"/>
      <c r="D177" s="324" t="n"/>
      <c r="E177" s="53" t="n"/>
      <c r="F177" s="53" t="n"/>
      <c r="G177" s="55" t="n"/>
      <c r="H177" s="57" t="n"/>
      <c r="I177" s="55" t="n"/>
      <c r="J177" s="56" t="n"/>
      <c r="K177" s="56" t="n"/>
      <c r="L177" s="34">
        <f>HYPERLINK(Table65[[#This Row],[Column1]])</f>
        <v/>
      </c>
    </row>
    <row r="178" ht="45" customHeight="1" s="290">
      <c r="A178" s="30" t="n"/>
      <c r="B178" s="30" t="n"/>
      <c r="C178" s="30" t="n"/>
      <c r="D178" s="324" t="n"/>
      <c r="E178" s="53" t="n"/>
      <c r="F178" s="53" t="n"/>
      <c r="G178" s="55" t="n"/>
      <c r="H178" s="57" t="n"/>
      <c r="I178" s="55" t="n"/>
      <c r="J178" s="56" t="n"/>
      <c r="K178" s="56" t="n"/>
      <c r="L178" s="34">
        <f>HYPERLINK(Table65[[#This Row],[Column1]])</f>
        <v/>
      </c>
    </row>
    <row r="179" ht="30" customHeight="1" s="290">
      <c r="A179" s="30" t="n"/>
      <c r="B179" s="30" t="n"/>
      <c r="C179" s="30" t="n"/>
      <c r="D179" s="324" t="n"/>
      <c r="E179" s="53" t="n"/>
      <c r="F179" s="53" t="n"/>
      <c r="G179" s="55" t="n"/>
      <c r="H179" s="57" t="n"/>
      <c r="I179" s="55" t="n"/>
      <c r="J179" s="56" t="n"/>
      <c r="K179" s="56" t="n"/>
      <c r="L179" s="34">
        <f>HYPERLINK(Table65[[#This Row],[Column1]])</f>
        <v/>
      </c>
    </row>
    <row r="180" ht="45" customHeight="1" s="290">
      <c r="A180" s="30" t="n"/>
      <c r="B180" s="30" t="n"/>
      <c r="C180" s="30" t="n"/>
      <c r="D180" s="324" t="n"/>
      <c r="E180" s="53" t="n"/>
      <c r="F180" s="53" t="n"/>
      <c r="G180" s="55" t="n"/>
      <c r="H180" s="57" t="n"/>
      <c r="I180" s="55" t="n"/>
      <c r="J180" s="56" t="n"/>
      <c r="K180" s="56" t="n"/>
      <c r="L180" s="34">
        <f>HYPERLINK(Table65[[#This Row],[Column1]])</f>
        <v/>
      </c>
    </row>
    <row r="181" ht="45" customHeight="1" s="290">
      <c r="A181" s="30" t="n"/>
      <c r="B181" s="30" t="n"/>
      <c r="C181" s="30" t="n"/>
      <c r="D181" s="324" t="n"/>
      <c r="E181" s="53" t="n"/>
      <c r="F181" s="53" t="n"/>
      <c r="G181" s="55" t="n"/>
      <c r="H181" s="57" t="n"/>
      <c r="I181" s="55" t="n"/>
      <c r="J181" s="56" t="n"/>
      <c r="K181" s="56" t="n"/>
      <c r="L181" s="34">
        <f>HYPERLINK(Table65[[#This Row],[Column1]])</f>
        <v/>
      </c>
    </row>
    <row r="182" ht="45" customHeight="1" s="290">
      <c r="A182" s="30" t="n"/>
      <c r="B182" s="30" t="n"/>
      <c r="C182" s="30" t="n"/>
      <c r="D182" s="324" t="n"/>
      <c r="E182" s="53" t="n"/>
      <c r="F182" s="53" t="n"/>
      <c r="G182" s="55" t="n"/>
      <c r="H182" s="57" t="n"/>
      <c r="I182" s="55" t="n"/>
      <c r="J182" s="56" t="n"/>
      <c r="K182" s="56" t="n"/>
      <c r="L182" s="34">
        <f>HYPERLINK(Table65[[#This Row],[Column1]])</f>
        <v/>
      </c>
    </row>
    <row r="183" ht="45" customHeight="1" s="290">
      <c r="A183" s="30" t="n"/>
      <c r="B183" s="30" t="n"/>
      <c r="C183" s="30" t="n"/>
      <c r="D183" s="324" t="n"/>
      <c r="E183" s="53" t="n"/>
      <c r="F183" s="53" t="n"/>
      <c r="G183" s="55" t="n"/>
      <c r="H183" s="57" t="n"/>
      <c r="I183" s="55" t="n"/>
      <c r="J183" s="56" t="n"/>
      <c r="K183" s="56" t="n"/>
      <c r="L183" s="34">
        <f>HYPERLINK(Table65[[#This Row],[Column1]])</f>
        <v/>
      </c>
    </row>
    <row r="184" ht="45" customHeight="1" s="290">
      <c r="A184" s="30" t="n"/>
      <c r="B184" s="30" t="n"/>
      <c r="C184" s="30" t="n"/>
      <c r="D184" s="324" t="n"/>
      <c r="E184" s="53" t="n"/>
      <c r="F184" s="53" t="n"/>
      <c r="G184" s="55" t="n"/>
      <c r="H184" s="57" t="n"/>
      <c r="I184" s="55" t="n"/>
      <c r="J184" s="56" t="n"/>
      <c r="K184" s="56" t="n"/>
      <c r="L184" s="34">
        <f>HYPERLINK(Table65[[#This Row],[Column1]])</f>
        <v/>
      </c>
    </row>
    <row r="185" ht="45" customHeight="1" s="290">
      <c r="A185" s="30" t="n"/>
      <c r="B185" s="30" t="n"/>
      <c r="C185" s="30" t="n"/>
      <c r="D185" s="324" t="n"/>
      <c r="E185" s="53" t="n"/>
      <c r="F185" s="53" t="n"/>
      <c r="G185" s="55" t="n"/>
      <c r="H185" s="57" t="n"/>
      <c r="I185" s="55" t="n"/>
      <c r="J185" s="56" t="n"/>
      <c r="K185" s="56" t="n"/>
      <c r="L185" s="34">
        <f>HYPERLINK(Table65[[#This Row],[Column1]])</f>
        <v/>
      </c>
    </row>
    <row r="186" ht="60" customHeight="1" s="290">
      <c r="A186" s="30" t="n"/>
      <c r="B186" s="30" t="n"/>
      <c r="C186" s="30" t="n"/>
      <c r="D186" s="324" t="n"/>
      <c r="E186" s="53" t="n"/>
      <c r="F186" s="53" t="n"/>
      <c r="G186" s="55" t="n"/>
      <c r="H186" s="57" t="n"/>
      <c r="I186" s="55" t="n"/>
      <c r="J186" s="56" t="n"/>
      <c r="K186" s="56" t="n"/>
      <c r="L186" s="34">
        <f>HYPERLINK(Table65[[#This Row],[Column1]])</f>
        <v/>
      </c>
    </row>
    <row r="187" ht="45" customHeight="1" s="290">
      <c r="A187" s="30" t="n"/>
      <c r="B187" s="30" t="n"/>
      <c r="C187" s="30" t="n"/>
      <c r="D187" s="324" t="n"/>
      <c r="E187" s="53" t="n"/>
      <c r="F187" s="53" t="n"/>
      <c r="G187" s="55" t="n"/>
      <c r="H187" s="57" t="n"/>
      <c r="I187" s="55" t="n"/>
      <c r="J187" s="56" t="n"/>
      <c r="K187" s="56" t="n"/>
      <c r="L187" s="34">
        <f>HYPERLINK(Table65[[#This Row],[Column1]])</f>
        <v/>
      </c>
    </row>
    <row r="188" ht="45" customHeight="1" s="290">
      <c r="A188" s="30" t="n"/>
      <c r="B188" s="30" t="n"/>
      <c r="C188" s="30" t="n"/>
      <c r="D188" s="324" t="n"/>
      <c r="E188" s="53" t="n"/>
      <c r="F188" s="53" t="n"/>
      <c r="G188" s="55" t="n"/>
      <c r="H188" s="57" t="n"/>
      <c r="I188" s="55" t="n"/>
      <c r="J188" s="56" t="n"/>
      <c r="K188" s="56" t="n"/>
      <c r="L188" s="34">
        <f>HYPERLINK(Table65[[#This Row],[Column1]])</f>
        <v/>
      </c>
    </row>
    <row r="189" ht="45" customHeight="1" s="290">
      <c r="A189" s="30" t="n"/>
      <c r="B189" s="30" t="n"/>
      <c r="C189" s="30" t="n"/>
      <c r="D189" s="324" t="n"/>
      <c r="E189" s="53" t="n"/>
      <c r="F189" s="53" t="n"/>
      <c r="G189" s="55" t="n"/>
      <c r="H189" s="57" t="n"/>
      <c r="I189" s="55" t="n"/>
      <c r="J189" s="56" t="n"/>
      <c r="K189" s="56" t="n"/>
      <c r="L189" s="34">
        <f>HYPERLINK(Table65[[#This Row],[Column1]])</f>
        <v/>
      </c>
    </row>
    <row r="190" ht="60" customHeight="1" s="290">
      <c r="A190" s="30" t="n"/>
      <c r="B190" s="30" t="n"/>
      <c r="C190" s="30" t="n"/>
      <c r="D190" s="324" t="n"/>
      <c r="E190" s="53" t="n"/>
      <c r="F190" s="53" t="n"/>
      <c r="G190" s="55" t="n"/>
      <c r="H190" s="57" t="n"/>
      <c r="I190" s="55" t="n"/>
      <c r="J190" s="56" t="n"/>
      <c r="K190" s="56" t="n"/>
      <c r="L190" s="34">
        <f>HYPERLINK(Table65[[#This Row],[Column1]])</f>
        <v/>
      </c>
    </row>
    <row r="191" ht="45" customHeight="1" s="290">
      <c r="A191" s="30" t="n"/>
      <c r="B191" s="30" t="n"/>
      <c r="C191" s="30" t="n"/>
      <c r="D191" s="324" t="n"/>
      <c r="E191" s="53" t="n"/>
      <c r="F191" s="53" t="n"/>
      <c r="G191" s="55" t="n"/>
      <c r="H191" s="57" t="n"/>
      <c r="I191" s="55" t="n"/>
      <c r="J191" s="56" t="n"/>
      <c r="K191" s="56" t="n"/>
      <c r="L191" s="34">
        <f>HYPERLINK(Table65[[#This Row],[Column1]])</f>
        <v/>
      </c>
    </row>
    <row r="192" ht="45" customHeight="1" s="290">
      <c r="A192" s="30" t="n"/>
      <c r="B192" s="30" t="n"/>
      <c r="C192" s="30" t="n"/>
      <c r="D192" s="324" t="n"/>
      <c r="E192" s="53" t="n"/>
      <c r="F192" s="53" t="n"/>
      <c r="G192" s="55" t="n"/>
      <c r="H192" s="57" t="n"/>
      <c r="I192" s="55" t="n"/>
      <c r="J192" s="56" t="n"/>
      <c r="K192" s="56" t="n"/>
      <c r="L192" s="34">
        <f>HYPERLINK(Table65[[#This Row],[Column1]])</f>
        <v/>
      </c>
    </row>
    <row r="193" ht="60" customHeight="1" s="290">
      <c r="A193" s="30" t="n"/>
      <c r="B193" s="30" t="n"/>
      <c r="C193" s="30" t="n"/>
      <c r="D193" s="324" t="n"/>
      <c r="E193" s="53" t="n"/>
      <c r="F193" s="53" t="n"/>
      <c r="G193" s="55" t="n"/>
      <c r="H193" s="57" t="n"/>
      <c r="I193" s="55" t="n"/>
      <c r="J193" s="56" t="n"/>
      <c r="K193" s="56" t="n"/>
      <c r="L193" s="34">
        <f>HYPERLINK(Table65[[#This Row],[Column1]])</f>
        <v/>
      </c>
    </row>
    <row r="194" ht="45" customHeight="1" s="290">
      <c r="A194" s="30" t="n"/>
      <c r="B194" s="30" t="n"/>
      <c r="C194" s="30" t="n"/>
      <c r="D194" s="324" t="n"/>
      <c r="E194" s="53" t="n"/>
      <c r="F194" s="53" t="n"/>
      <c r="G194" s="55" t="n"/>
      <c r="H194" s="57" t="n"/>
      <c r="I194" s="55" t="n"/>
      <c r="J194" s="56" t="n"/>
      <c r="K194" s="56" t="n"/>
      <c r="L194" s="34">
        <f>HYPERLINK(Table65[[#This Row],[Column1]])</f>
        <v/>
      </c>
    </row>
    <row r="195" ht="45" customHeight="1" s="290">
      <c r="A195" s="30" t="n"/>
      <c r="B195" s="30" t="n"/>
      <c r="C195" s="30" t="n"/>
      <c r="D195" s="324" t="n"/>
      <c r="E195" s="53" t="n"/>
      <c r="F195" s="53" t="n"/>
      <c r="G195" s="55" t="n"/>
      <c r="H195" s="57" t="n"/>
      <c r="I195" s="55" t="n"/>
      <c r="J195" s="56" t="n"/>
      <c r="K195" s="56" t="n"/>
      <c r="L195" s="34">
        <f>HYPERLINK(Table65[[#This Row],[Column1]])</f>
        <v/>
      </c>
    </row>
    <row r="196" ht="45" customHeight="1" s="290">
      <c r="A196" s="30" t="n"/>
      <c r="B196" s="30" t="n"/>
      <c r="C196" s="30" t="n"/>
      <c r="D196" s="324" t="n"/>
      <c r="E196" s="53" t="n"/>
      <c r="F196" s="53" t="n"/>
      <c r="G196" s="55" t="n"/>
      <c r="H196" s="57" t="n"/>
      <c r="I196" s="55" t="n"/>
      <c r="J196" s="56" t="n"/>
      <c r="K196" s="56" t="n"/>
      <c r="L196" s="34">
        <f>HYPERLINK(Table65[[#This Row],[Column1]])</f>
        <v/>
      </c>
    </row>
    <row r="197" ht="45" customHeight="1" s="290">
      <c r="A197" s="30" t="n"/>
      <c r="B197" s="30" t="n"/>
      <c r="C197" s="30" t="n"/>
      <c r="D197" s="324" t="n"/>
      <c r="E197" s="53" t="n"/>
      <c r="F197" s="53" t="n"/>
      <c r="G197" s="55" t="n"/>
      <c r="H197" s="57" t="n"/>
      <c r="I197" s="55" t="n"/>
      <c r="J197" s="56" t="n"/>
      <c r="K197" s="56" t="n"/>
      <c r="L197" s="34">
        <f>HYPERLINK(Table65[[#This Row],[Column1]])</f>
        <v/>
      </c>
    </row>
    <row r="198" ht="45" customHeight="1" s="290">
      <c r="A198" s="30" t="n"/>
      <c r="B198" s="30" t="n"/>
      <c r="C198" s="30" t="n"/>
      <c r="D198" s="324" t="n"/>
      <c r="E198" s="53" t="n"/>
      <c r="F198" s="53" t="n"/>
      <c r="G198" s="55" t="n"/>
      <c r="H198" s="57" t="n"/>
      <c r="I198" s="55" t="n"/>
      <c r="J198" s="56" t="n"/>
      <c r="K198" s="56" t="n"/>
      <c r="L198" s="34">
        <f>HYPERLINK(Table65[[#This Row],[Column1]])</f>
        <v/>
      </c>
    </row>
    <row r="199" ht="45" customHeight="1" s="290">
      <c r="A199" s="30" t="n"/>
      <c r="B199" s="30" t="n"/>
      <c r="C199" s="30" t="n"/>
      <c r="D199" s="324" t="n"/>
      <c r="E199" s="53" t="n"/>
      <c r="F199" s="53" t="n"/>
      <c r="G199" s="55" t="n"/>
      <c r="H199" s="57" t="n"/>
      <c r="I199" s="55" t="n"/>
      <c r="J199" s="56" t="n"/>
      <c r="K199" s="56" t="n"/>
      <c r="L199" s="34">
        <f>HYPERLINK(Table65[[#This Row],[Column1]])</f>
        <v/>
      </c>
    </row>
    <row r="200" ht="45" customHeight="1" s="290">
      <c r="A200" s="30" t="n"/>
      <c r="B200" s="30" t="n"/>
      <c r="C200" s="30" t="n"/>
      <c r="D200" s="324" t="n"/>
      <c r="E200" s="53" t="n"/>
      <c r="F200" s="53" t="n"/>
      <c r="G200" s="55" t="n"/>
      <c r="H200" s="57" t="n"/>
      <c r="I200" s="55" t="n"/>
      <c r="J200" s="56" t="n"/>
      <c r="K200" s="56" t="n"/>
      <c r="L200" s="34">
        <f>HYPERLINK(Table65[[#This Row],[Column1]])</f>
        <v/>
      </c>
    </row>
    <row r="201" ht="45" customHeight="1" s="290">
      <c r="A201" s="30" t="n"/>
      <c r="B201" s="30" t="n"/>
      <c r="C201" s="30" t="n"/>
      <c r="D201" s="324" t="n"/>
      <c r="E201" s="53" t="n"/>
      <c r="F201" s="53" t="n"/>
      <c r="G201" s="55" t="n"/>
      <c r="H201" s="57" t="n"/>
      <c r="I201" s="55" t="n"/>
      <c r="J201" s="56" t="n"/>
      <c r="K201" s="56" t="n"/>
      <c r="L201" s="34">
        <f>HYPERLINK(Table65[[#This Row],[Column1]])</f>
        <v/>
      </c>
    </row>
    <row r="202" ht="45" customHeight="1" s="290">
      <c r="A202" s="30" t="n"/>
      <c r="B202" s="30" t="n"/>
      <c r="C202" s="30" t="n"/>
      <c r="D202" s="324" t="n"/>
      <c r="E202" s="53" t="n"/>
      <c r="F202" s="53" t="n"/>
      <c r="G202" s="55" t="n"/>
      <c r="H202" s="57" t="n"/>
      <c r="I202" s="55" t="n"/>
      <c r="J202" s="56" t="n"/>
      <c r="K202" s="56" t="n"/>
      <c r="L202" s="34">
        <f>HYPERLINK(Table65[[#This Row],[Column1]])</f>
        <v/>
      </c>
    </row>
    <row r="203" ht="45" customHeight="1" s="290">
      <c r="A203" s="30" t="n"/>
      <c r="B203" s="30" t="n"/>
      <c r="C203" s="30" t="n"/>
      <c r="D203" s="324" t="n"/>
      <c r="E203" s="53" t="n"/>
      <c r="F203" s="53" t="n"/>
      <c r="G203" s="55" t="n"/>
      <c r="H203" s="57" t="n"/>
      <c r="I203" s="55" t="n"/>
      <c r="J203" s="56" t="n"/>
      <c r="K203" s="56" t="n"/>
      <c r="L203" s="34">
        <f>HYPERLINK(Table65[[#This Row],[Column1]])</f>
        <v/>
      </c>
    </row>
    <row r="204" ht="17" customHeight="1" s="290">
      <c r="A204" s="30" t="n"/>
      <c r="B204" s="30" t="n"/>
      <c r="C204" s="30" t="n"/>
      <c r="D204" s="324" t="n"/>
      <c r="E204" s="53" t="n"/>
      <c r="F204" s="53" t="n"/>
      <c r="G204" s="55" t="n"/>
      <c r="H204" s="57" t="n"/>
      <c r="I204" s="55" t="n"/>
      <c r="J204" s="56" t="n"/>
      <c r="K204" s="56" t="n"/>
      <c r="L204" s="34">
        <f>HYPERLINK(Table65[[#This Row],[Column1]])</f>
        <v/>
      </c>
    </row>
    <row r="205" ht="30" customHeight="1" s="290">
      <c r="A205" s="30" t="n"/>
      <c r="B205" s="30" t="n"/>
      <c r="C205" s="30" t="n"/>
      <c r="D205" s="324" t="n"/>
      <c r="E205" s="53" t="n"/>
      <c r="F205" s="53" t="n"/>
      <c r="G205" s="55" t="n"/>
      <c r="H205" s="57" t="n"/>
      <c r="I205" s="55" t="n"/>
      <c r="J205" s="56" t="n"/>
      <c r="K205" s="56" t="n"/>
      <c r="L205" s="34">
        <f>HYPERLINK(Table65[[#This Row],[Column1]])</f>
        <v/>
      </c>
    </row>
    <row r="206" ht="45" customHeight="1" s="290">
      <c r="A206" s="30" t="n"/>
      <c r="B206" s="30" t="n"/>
      <c r="C206" s="30" t="n"/>
      <c r="D206" s="324" t="n"/>
      <c r="E206" s="53" t="n"/>
      <c r="F206" s="53" t="n"/>
      <c r="G206" s="55" t="n"/>
      <c r="H206" s="57" t="n"/>
      <c r="I206" s="55" t="n"/>
      <c r="J206" s="56" t="n"/>
      <c r="K206" s="56" t="n"/>
      <c r="L206" s="34">
        <f>HYPERLINK(Table65[[#This Row],[Column1]])</f>
        <v/>
      </c>
    </row>
    <row r="207" ht="45" customHeight="1" s="290">
      <c r="A207" s="30" t="n"/>
      <c r="B207" s="30" t="n"/>
      <c r="C207" s="30" t="n"/>
      <c r="D207" s="324" t="n"/>
      <c r="E207" s="53" t="n"/>
      <c r="F207" s="53" t="n"/>
      <c r="G207" s="55" t="n"/>
      <c r="H207" s="57" t="n"/>
      <c r="I207" s="55" t="n"/>
      <c r="J207" s="56" t="n"/>
      <c r="K207" s="56" t="n"/>
      <c r="L207" s="34">
        <f>HYPERLINK(Table65[[#This Row],[Column1]])</f>
        <v/>
      </c>
    </row>
    <row r="208" ht="17" customHeight="1" s="290">
      <c r="A208" s="33" t="inlineStr">
        <is>
          <t>Total</t>
        </is>
      </c>
      <c r="B208" s="32" t="n"/>
      <c r="C208" s="325" t="n"/>
      <c r="D208" s="59" t="n"/>
      <c r="E208" s="32" t="n"/>
      <c r="F208" s="32" t="n"/>
      <c r="G208" s="36">
        <f>SUM(G133:G207)</f>
        <v/>
      </c>
      <c r="H208" s="36">
        <f>SUM(H133:H207)</f>
        <v/>
      </c>
      <c r="I208" s="36" t="n"/>
      <c r="J208" s="167" t="n"/>
      <c r="K208" s="168" t="n"/>
      <c r="L208" s="32" t="n"/>
    </row>
  </sheetData>
  <mergeCells count="3">
    <mergeCell ref="A1:M5"/>
    <mergeCell ref="A131:L131"/>
    <mergeCell ref="A51:L51"/>
  </mergeCells>
  <pageMargins left="0.7" right="0.7" top="0.75" bottom="0.75" header="0.3" footer="0.3"/>
  <drawing xmlns:r="http://schemas.openxmlformats.org/officeDocument/2006/relationships" r:id="rId1"/>
  <tableParts count="2">
    <tablePart xmlns:r="http://schemas.openxmlformats.org/officeDocument/2006/relationships" r:id="rId2"/>
    <tablePart xmlns:r="http://schemas.openxmlformats.org/officeDocument/2006/relationships" r:id="rId3"/>
  </tableParts>
</worksheet>
</file>

<file path=xl/worksheets/sheet36.xml><?xml version="1.0" encoding="utf-8"?>
<worksheet xmlns="http://schemas.openxmlformats.org/spreadsheetml/2006/main">
  <sheetPr codeName="Sheet6">
    <outlinePr summaryBelow="1" summaryRight="1"/>
    <pageSetUpPr/>
  </sheetPr>
  <dimension ref="A1:Q208"/>
  <sheetViews>
    <sheetView workbookViewId="0">
      <selection activeCell="A1" sqref="A1"/>
    </sheetView>
  </sheetViews>
  <sheetFormatPr baseColWidth="10" defaultColWidth="10.83203125" defaultRowHeight="16"/>
  <cols>
    <col width="50.6640625" customWidth="1" style="284" min="1" max="1"/>
    <col width="12.6640625" customWidth="1" style="284" min="2" max="2"/>
    <col width="12.6640625" customWidth="1" style="320" min="3" max="3"/>
    <col width="11.1640625" customWidth="1" style="296" min="4" max="4"/>
    <col width="24.83203125" bestFit="1" customWidth="1" style="284" min="5" max="5"/>
    <col width="17.6640625" bestFit="1" customWidth="1" style="286" min="6" max="6"/>
    <col width="21.6640625" bestFit="1" customWidth="1" style="286" min="7" max="7"/>
    <col width="19.1640625" bestFit="1" customWidth="1" style="286" min="8" max="8"/>
    <col width="13.5" bestFit="1" customWidth="1" style="287" min="9" max="9"/>
    <col width="13" bestFit="1" customWidth="1" style="284" min="10" max="10"/>
    <col hidden="1" width="29" customWidth="1" style="284" min="11" max="11"/>
    <col width="35.6640625" customWidth="1" style="284" min="12" max="12"/>
    <col width="15.6640625" customWidth="1" style="284" min="13" max="13"/>
    <col width="10.83203125" customWidth="1" style="284" min="14" max="16384"/>
  </cols>
  <sheetData>
    <row r="1">
      <c r="A1" s="282" t="inlineStr">
        <is>
          <t>Veepeak Monthly Summary</t>
        </is>
      </c>
    </row>
    <row r="2"/>
    <row r="3"/>
    <row r="4"/>
    <row r="5"/>
    <row r="6">
      <c r="A6" s="29" t="n"/>
      <c r="B6" s="29" t="n"/>
      <c r="C6" s="321" t="n"/>
      <c r="D6" s="47" t="n"/>
      <c r="E6" s="48" t="n"/>
      <c r="F6" s="48" t="n"/>
      <c r="G6" s="48" t="n"/>
      <c r="H6" s="48" t="n"/>
      <c r="I6" s="49" t="n"/>
      <c r="J6" s="50" t="n"/>
    </row>
    <row r="7" ht="32" customHeight="1" s="290">
      <c r="A7" s="80" t="n"/>
      <c r="B7" s="81" t="inlineStr">
        <is>
          <t>Avg Price</t>
        </is>
      </c>
      <c r="C7" s="81" t="inlineStr">
        <is>
          <t>Avg Price MoM</t>
        </is>
      </c>
      <c r="D7" s="82" t="inlineStr">
        <is>
          <t>Avg Price YoY</t>
        </is>
      </c>
      <c r="E7" s="81" t="inlineStr">
        <is>
          <t>Quantity/Mo</t>
        </is>
      </c>
      <c r="F7" s="84" t="inlineStr">
        <is>
          <t>Qty by %</t>
        </is>
      </c>
      <c r="G7" s="84" t="inlineStr">
        <is>
          <t>Qty MoM</t>
        </is>
      </c>
      <c r="H7" s="82" t="inlineStr">
        <is>
          <t>Qty YoY</t>
        </is>
      </c>
      <c r="I7" s="309" t="inlineStr">
        <is>
          <t>Revenue/Mo</t>
        </is>
      </c>
      <c r="J7" s="126" t="inlineStr">
        <is>
          <t>Revenue by %</t>
        </is>
      </c>
      <c r="K7" s="173" t="n"/>
      <c r="L7" s="126" t="inlineStr">
        <is>
          <t>Revenue MoM</t>
        </is>
      </c>
      <c r="M7" s="310" t="inlineStr">
        <is>
          <t>Revenue YoY</t>
        </is>
      </c>
      <c r="N7" s="286" t="n"/>
      <c r="O7" s="286" t="n"/>
      <c r="P7" s="49" t="n"/>
      <c r="Q7" s="50" t="n"/>
    </row>
    <row r="8">
      <c r="A8" s="93" t="inlineStr">
        <is>
          <t>Tablet $800+</t>
        </is>
      </c>
      <c r="B8" s="298" t="n"/>
      <c r="C8" s="270" t="n"/>
      <c r="D8" s="271" t="n"/>
      <c r="E8" s="269" t="n">
        <v>0</v>
      </c>
      <c r="F8" s="270" t="n">
        <v>0</v>
      </c>
      <c r="G8" s="270" t="n"/>
      <c r="H8" s="271" t="n"/>
      <c r="I8" s="95" t="n">
        <v>0</v>
      </c>
      <c r="J8" s="128" t="n">
        <v>0</v>
      </c>
      <c r="L8" s="169" t="n"/>
      <c r="M8" s="169" t="n"/>
      <c r="N8" s="286" t="n"/>
      <c r="O8" s="286" t="n"/>
      <c r="P8" s="49" t="n"/>
      <c r="Q8" s="50" t="n"/>
    </row>
    <row r="9">
      <c r="A9" s="93" t="inlineStr">
        <is>
          <t>Tablet $400-$800</t>
        </is>
      </c>
      <c r="B9" s="298" t="n"/>
      <c r="C9" s="270" t="n"/>
      <c r="D9" s="271" t="n"/>
      <c r="E9" s="269" t="n">
        <v>0</v>
      </c>
      <c r="F9" s="270" t="n">
        <v>0</v>
      </c>
      <c r="G9" s="270" t="n"/>
      <c r="H9" s="271" t="n"/>
      <c r="I9" s="95" t="n">
        <v>0</v>
      </c>
      <c r="J9" s="128" t="n">
        <v>0</v>
      </c>
      <c r="L9" s="169" t="n"/>
      <c r="M9" s="169" t="n"/>
      <c r="N9" s="286" t="n"/>
      <c r="O9" s="286" t="n"/>
      <c r="P9" s="49" t="n"/>
      <c r="Q9" s="50" t="n"/>
    </row>
    <row r="10">
      <c r="A10" s="96" t="inlineStr">
        <is>
          <t>Tablet $400-</t>
        </is>
      </c>
      <c r="B10" s="299" t="n"/>
      <c r="C10" s="274" t="n"/>
      <c r="D10" s="275" t="n"/>
      <c r="E10" s="273" t="n">
        <v>0</v>
      </c>
      <c r="F10" s="274" t="n">
        <v>0</v>
      </c>
      <c r="G10" s="274" t="n"/>
      <c r="H10" s="275" t="n"/>
      <c r="I10" s="98" t="n">
        <v>0</v>
      </c>
      <c r="J10" s="127" t="n">
        <v>0</v>
      </c>
      <c r="L10" s="171" t="n"/>
      <c r="M10" s="171" t="n"/>
      <c r="N10" s="286" t="n"/>
      <c r="O10" s="286" t="n"/>
      <c r="P10" s="49" t="n"/>
      <c r="Q10" s="50" t="n"/>
    </row>
    <row r="11">
      <c r="A11" s="101" t="inlineStr">
        <is>
          <t>Total Tablet</t>
        </is>
      </c>
      <c r="B11" s="300" t="n"/>
      <c r="C11" s="112" t="n"/>
      <c r="D11" s="104" t="n"/>
      <c r="E11" s="116" t="n">
        <v>0</v>
      </c>
      <c r="F11" s="112" t="n">
        <v>0</v>
      </c>
      <c r="G11" s="112" t="n"/>
      <c r="H11" s="104" t="n"/>
      <c r="I11" s="103" t="n">
        <v>0</v>
      </c>
      <c r="J11" s="129" t="n">
        <v>0</v>
      </c>
      <c r="L11" s="170" t="n"/>
      <c r="M11" s="170" t="n"/>
      <c r="N11" s="286" t="n"/>
      <c r="O11" s="286" t="n"/>
      <c r="P11" s="49" t="n"/>
      <c r="Q11" s="50" t="n"/>
    </row>
    <row r="12">
      <c r="A12" s="93" t="inlineStr">
        <is>
          <t>Handheld $75+</t>
        </is>
      </c>
      <c r="B12" s="298" t="n"/>
      <c r="C12" s="270" t="n"/>
      <c r="D12" s="271" t="n"/>
      <c r="E12" s="269" t="n">
        <v>0</v>
      </c>
      <c r="F12" s="270" t="n">
        <v>0</v>
      </c>
      <c r="G12" s="270" t="n"/>
      <c r="H12" s="271" t="n"/>
      <c r="I12" s="95" t="n">
        <v>0</v>
      </c>
      <c r="J12" s="128" t="n">
        <v>0</v>
      </c>
      <c r="L12" s="169" t="n"/>
      <c r="M12" s="169" t="n"/>
      <c r="N12" s="286" t="n"/>
      <c r="O12" s="286" t="n"/>
      <c r="P12" s="49" t="n"/>
      <c r="Q12" s="50" t="n"/>
    </row>
    <row r="13">
      <c r="A13" s="96" t="inlineStr">
        <is>
          <t>Handheld $75-</t>
        </is>
      </c>
      <c r="B13" s="299" t="n">
        <v>25.70851851851852</v>
      </c>
      <c r="C13" s="274" t="n">
        <v>0.02151700713309168</v>
      </c>
      <c r="D13" s="275" t="n"/>
      <c r="E13" s="273" t="n">
        <v>27</v>
      </c>
      <c r="F13" s="274" t="n">
        <v>0.003042939253916375</v>
      </c>
      <c r="G13" s="274" t="n">
        <v>0.3500000000000001</v>
      </c>
      <c r="H13" s="275" t="n"/>
      <c r="I13" s="98" t="n">
        <v>694.13</v>
      </c>
      <c r="J13" s="127" t="n">
        <v>0.002434864404329557</v>
      </c>
      <c r="L13" s="171" t="n">
        <v>0.3790479596296739</v>
      </c>
      <c r="M13" s="171" t="n"/>
      <c r="N13" s="286" t="n"/>
      <c r="O13" s="286" t="n"/>
      <c r="P13" s="49" t="n"/>
      <c r="Q13" s="50" t="n"/>
    </row>
    <row r="14">
      <c r="A14" s="101" t="inlineStr">
        <is>
          <t>Total Handheld</t>
        </is>
      </c>
      <c r="B14" s="300" t="n">
        <v>25.70851851851852</v>
      </c>
      <c r="C14" s="112" t="n">
        <v>0.02151700713309168</v>
      </c>
      <c r="D14" s="104" t="n"/>
      <c r="E14" s="116" t="n">
        <v>27</v>
      </c>
      <c r="F14" s="112" t="n">
        <v>0.003042939253916375</v>
      </c>
      <c r="G14" s="112" t="n">
        <v>0.3500000000000001</v>
      </c>
      <c r="H14" s="104" t="n"/>
      <c r="I14" s="103" t="n">
        <v>694.13</v>
      </c>
      <c r="J14" s="129" t="n">
        <v>0.002434864404329557</v>
      </c>
      <c r="L14" s="170" t="n">
        <v>0.3790479596296739</v>
      </c>
      <c r="M14" s="170" t="n"/>
      <c r="N14" s="286" t="n"/>
      <c r="O14" s="286" t="n"/>
      <c r="P14" s="49" t="n"/>
      <c r="Q14" s="50" t="n"/>
    </row>
    <row r="15">
      <c r="A15" s="78" t="inlineStr">
        <is>
          <t>Total Dongle</t>
        </is>
      </c>
      <c r="B15" s="301" t="n">
        <v>32.14847388650238</v>
      </c>
      <c r="C15" s="113" t="n">
        <v>0.04864292341731735</v>
      </c>
      <c r="D15" s="107" t="n">
        <v>0.08772081094327788</v>
      </c>
      <c r="E15" s="99" t="n">
        <v>8846</v>
      </c>
      <c r="F15" s="113" t="n">
        <v>0.9969570607460836</v>
      </c>
      <c r="G15" s="113" t="n">
        <v>0.1068568568568569</v>
      </c>
      <c r="H15" s="107" t="n">
        <v>0.2265668330560178</v>
      </c>
      <c r="I15" s="76" t="n">
        <v>284385.4</v>
      </c>
      <c r="J15" s="130" t="n">
        <v>0.9975651355956704</v>
      </c>
      <c r="L15" s="174" t="n">
        <v>0.1606976101788775</v>
      </c>
      <c r="M15" s="174" t="n">
        <v>0.3341622703278195</v>
      </c>
      <c r="N15" s="286" t="n"/>
      <c r="O15" s="286" t="n"/>
      <c r="P15" s="49" t="n"/>
      <c r="Q15" s="50" t="n"/>
    </row>
    <row r="16">
      <c r="A16" s="78" t="inlineStr">
        <is>
          <t>Total Other Tools</t>
        </is>
      </c>
      <c r="B16" s="301" t="n"/>
      <c r="C16" s="113" t="n"/>
      <c r="D16" s="107" t="n"/>
      <c r="E16" s="99" t="n">
        <v>0</v>
      </c>
      <c r="F16" s="113" t="n">
        <v>0</v>
      </c>
      <c r="G16" s="113" t="n"/>
      <c r="H16" s="107" t="n"/>
      <c r="I16" s="76" t="n">
        <v>0</v>
      </c>
      <c r="J16" s="130" t="n">
        <v>0</v>
      </c>
      <c r="L16" s="174" t="n"/>
      <c r="M16" s="174" t="n"/>
      <c r="N16" s="286" t="n"/>
      <c r="O16" s="286" t="n"/>
      <c r="P16" s="49" t="n"/>
      <c r="Q16" s="50" t="n"/>
    </row>
    <row r="17">
      <c r="A17" s="86" t="inlineStr">
        <is>
          <t>Total</t>
        </is>
      </c>
      <c r="B17" s="302" t="n">
        <v>32.12887749351967</v>
      </c>
      <c r="C17" s="109" t="n">
        <v>0.04847242217662218</v>
      </c>
      <c r="D17" s="108" t="n">
        <v>0.08705778088648652</v>
      </c>
      <c r="E17" s="100" t="n">
        <v>8873</v>
      </c>
      <c r="F17" s="109" t="n">
        <v>1</v>
      </c>
      <c r="G17" s="109" t="n">
        <v>0.1074638042935596</v>
      </c>
      <c r="H17" s="108" t="n">
        <v>0.2303105934553522</v>
      </c>
      <c r="I17" s="85" t="n">
        <v>285079.53</v>
      </c>
      <c r="J17" s="109" t="n">
        <v>1</v>
      </c>
      <c r="L17" s="172" t="n">
        <v>0.1611452573606051</v>
      </c>
      <c r="M17" s="172" t="n">
        <v>0.3374187035227116</v>
      </c>
      <c r="N17" s="286" t="n"/>
      <c r="O17" s="286" t="n"/>
      <c r="P17" s="49" t="n"/>
      <c r="Q17" s="50" t="n"/>
    </row>
    <row r="18">
      <c r="A18" s="29" t="n"/>
      <c r="B18" s="29" t="n"/>
      <c r="C18" s="321" t="n"/>
      <c r="D18" s="47" t="n"/>
      <c r="E18" s="48" t="n"/>
      <c r="F18" s="48" t="n"/>
      <c r="G18" s="48" t="n"/>
      <c r="H18" s="48" t="n"/>
      <c r="I18" s="49" t="n"/>
      <c r="J18" s="50" t="n"/>
    </row>
    <row r="19">
      <c r="A19" s="29" t="n"/>
      <c r="B19" s="29" t="n"/>
      <c r="C19" s="321" t="n"/>
      <c r="D19" s="47" t="n"/>
      <c r="E19" s="48" t="n"/>
      <c r="F19" s="48" t="n"/>
      <c r="G19" s="48" t="n"/>
      <c r="H19" s="48" t="n"/>
      <c r="I19" s="49" t="n"/>
      <c r="J19" s="50" t="n"/>
    </row>
    <row r="20">
      <c r="A20" s="29" t="n"/>
      <c r="B20" s="29" t="n"/>
      <c r="C20" s="321" t="n"/>
      <c r="D20" s="47" t="n"/>
      <c r="E20" s="48" t="n"/>
      <c r="F20" s="48" t="n"/>
      <c r="G20" s="48" t="n"/>
      <c r="H20" s="48" t="n"/>
      <c r="I20" s="49" t="n"/>
      <c r="J20" s="50" t="n"/>
    </row>
    <row r="21">
      <c r="A21" s="29" t="n"/>
      <c r="B21" s="29" t="n"/>
      <c r="C21" s="321" t="n"/>
      <c r="D21" s="47" t="n"/>
      <c r="E21" s="48" t="n"/>
      <c r="F21" s="48" t="n"/>
      <c r="G21" s="48" t="n"/>
      <c r="H21" s="48" t="n"/>
      <c r="I21" s="49" t="n"/>
      <c r="J21" s="50" t="n"/>
    </row>
    <row r="22">
      <c r="A22" s="29" t="n"/>
      <c r="B22" s="29" t="n"/>
      <c r="C22" s="321" t="n"/>
      <c r="D22" s="47" t="n"/>
      <c r="E22" s="48" t="n"/>
      <c r="F22" s="48" t="n"/>
      <c r="G22" s="48" t="n"/>
      <c r="H22" s="48" t="n"/>
      <c r="I22" s="49" t="n"/>
      <c r="J22" s="50" t="n"/>
    </row>
    <row r="23">
      <c r="A23" s="29" t="n"/>
      <c r="B23" s="29" t="n"/>
      <c r="C23" s="321" t="n"/>
      <c r="D23" s="47" t="n"/>
      <c r="E23" s="48" t="n"/>
      <c r="F23" s="48" t="n"/>
      <c r="G23" s="48" t="n"/>
      <c r="H23" s="48" t="n"/>
      <c r="I23" s="49" t="n"/>
      <c r="J23" s="50" t="n"/>
    </row>
    <row r="24">
      <c r="A24" s="29" t="n"/>
      <c r="B24" s="29" t="n"/>
      <c r="C24" s="321" t="n"/>
      <c r="D24" s="47" t="n"/>
      <c r="E24" s="48" t="n"/>
      <c r="F24" s="48" t="n"/>
      <c r="G24" s="48" t="n"/>
      <c r="H24" s="48" t="n"/>
      <c r="I24" s="49" t="n"/>
      <c r="J24" s="50" t="n"/>
    </row>
    <row r="25">
      <c r="A25" s="29" t="n"/>
      <c r="B25" s="29" t="n"/>
      <c r="C25" s="321" t="n"/>
      <c r="D25" s="47" t="n"/>
      <c r="E25" s="48" t="n"/>
      <c r="F25" s="48" t="n"/>
      <c r="G25" s="48" t="n"/>
      <c r="H25" s="48" t="n"/>
      <c r="I25" s="49" t="n"/>
      <c r="J25" s="50" t="n"/>
    </row>
    <row r="26">
      <c r="A26" s="29" t="n"/>
      <c r="B26" s="29" t="n"/>
      <c r="C26" s="321" t="n"/>
      <c r="D26" s="47" t="n"/>
      <c r="E26" s="48" t="n"/>
      <c r="F26" s="48" t="n"/>
      <c r="G26" s="48" t="n"/>
      <c r="H26" s="48" t="n"/>
      <c r="I26" s="49" t="n"/>
      <c r="J26" s="50" t="n"/>
    </row>
    <row r="27">
      <c r="A27" s="29" t="n"/>
      <c r="B27" s="29" t="n"/>
      <c r="C27" s="321" t="n"/>
      <c r="D27" s="47" t="n"/>
      <c r="E27" s="48" t="n"/>
      <c r="F27" s="48" t="n"/>
      <c r="G27" s="48" t="n"/>
      <c r="H27" s="48" t="n"/>
      <c r="I27" s="49" t="n"/>
      <c r="J27" s="50" t="n"/>
    </row>
    <row r="28">
      <c r="A28" s="29" t="n"/>
      <c r="B28" s="29" t="n"/>
      <c r="C28" s="321" t="n"/>
      <c r="D28" s="47" t="n"/>
      <c r="E28" s="48" t="n"/>
      <c r="F28" s="48" t="n"/>
      <c r="G28" s="48" t="n"/>
      <c r="H28" s="48" t="n"/>
      <c r="I28" s="49" t="n"/>
      <c r="J28" s="50" t="n"/>
    </row>
    <row r="29">
      <c r="A29" s="29" t="n"/>
      <c r="B29" s="29" t="n"/>
      <c r="C29" s="321" t="n"/>
      <c r="D29" s="47" t="n"/>
      <c r="E29" s="48" t="n"/>
      <c r="F29" s="48" t="n"/>
      <c r="G29" s="48" t="n"/>
      <c r="H29" s="48" t="n"/>
      <c r="I29" s="49" t="n"/>
      <c r="J29" s="50" t="n"/>
    </row>
    <row r="30">
      <c r="A30" s="29" t="n"/>
      <c r="B30" s="29" t="n"/>
      <c r="C30" s="321" t="n"/>
      <c r="D30" s="47" t="n"/>
      <c r="E30" s="48" t="n"/>
      <c r="F30" s="48" t="n"/>
      <c r="G30" s="48" t="n"/>
      <c r="H30" s="48" t="n"/>
      <c r="I30" s="49" t="n"/>
      <c r="J30" s="50" t="n"/>
    </row>
    <row r="31">
      <c r="A31" s="29" t="n"/>
      <c r="B31" s="29" t="n"/>
      <c r="C31" s="321" t="n"/>
      <c r="D31" s="47" t="n"/>
      <c r="E31" s="48" t="n"/>
      <c r="F31" s="48" t="n"/>
      <c r="G31" s="48" t="n"/>
      <c r="H31" s="48" t="n"/>
      <c r="I31" s="49" t="n"/>
      <c r="J31" s="50" t="n"/>
    </row>
    <row r="32">
      <c r="A32" s="29" t="n"/>
      <c r="B32" s="29" t="n"/>
      <c r="C32" s="321" t="n"/>
      <c r="D32" s="47" t="n"/>
      <c r="E32" s="48" t="n"/>
      <c r="F32" s="48" t="n"/>
      <c r="G32" s="48" t="n"/>
      <c r="H32" s="48" t="n"/>
      <c r="I32" s="49" t="n"/>
      <c r="J32" s="50" t="n"/>
    </row>
    <row r="33">
      <c r="A33" s="29" t="n"/>
      <c r="B33" s="29" t="n"/>
      <c r="C33" s="321" t="n"/>
      <c r="D33" s="47" t="n"/>
      <c r="E33" s="48" t="n"/>
      <c r="F33" s="48" t="n"/>
      <c r="G33" s="48" t="n"/>
      <c r="H33" s="48" t="n"/>
      <c r="I33" s="49" t="n"/>
      <c r="J33" s="50" t="n"/>
    </row>
    <row r="49" ht="16" customHeight="1" s="290">
      <c r="C49" s="284" t="n"/>
      <c r="D49" s="284" t="n"/>
      <c r="F49" s="284" t="n"/>
      <c r="G49" s="284" t="n"/>
      <c r="H49" s="284" t="n"/>
      <c r="I49" s="284" t="n"/>
    </row>
    <row r="50">
      <c r="C50" s="284" t="n"/>
      <c r="D50" s="284" t="n"/>
      <c r="F50" s="284" t="n"/>
      <c r="G50" s="284" t="n"/>
      <c r="H50" s="284" t="n"/>
      <c r="I50" s="284" t="n"/>
    </row>
    <row r="51">
      <c r="A51" s="283" t="inlineStr">
        <is>
          <t xml:space="preserve">Rank by Revenue </t>
        </is>
      </c>
    </row>
    <row r="52" ht="17" customHeight="1" s="290">
      <c r="A52" s="38" t="inlineStr">
        <is>
          <t>Product Name</t>
        </is>
      </c>
      <c r="B52" s="39" t="inlineStr">
        <is>
          <t>ASIN</t>
        </is>
      </c>
      <c r="C52" s="39" t="inlineStr">
        <is>
          <t>Type</t>
        </is>
      </c>
      <c r="D52" s="322" t="inlineStr">
        <is>
          <t>Avg Price</t>
        </is>
      </c>
      <c r="E52" s="41" t="inlineStr">
        <is>
          <t>Estimated 12mo Revenue</t>
        </is>
      </c>
      <c r="F52" s="39" t="inlineStr">
        <is>
          <t>Monthly Rev</t>
        </is>
      </c>
      <c r="G52" s="42" t="inlineStr">
        <is>
          <t>Estimated 12mo Units</t>
        </is>
      </c>
      <c r="H52" s="45" t="inlineStr">
        <is>
          <t>Monthly Units</t>
        </is>
      </c>
      <c r="I52" s="42" t="inlineStr">
        <is>
          <t># of Reviews</t>
        </is>
      </c>
      <c r="J52" s="43" t="inlineStr">
        <is>
          <t xml:space="preserve">Tool Rating </t>
        </is>
      </c>
      <c r="K52" s="43" t="inlineStr">
        <is>
          <t>Column1</t>
        </is>
      </c>
      <c r="L52" s="323" t="inlineStr">
        <is>
          <t>Link</t>
        </is>
      </c>
    </row>
    <row r="53" ht="45" customHeight="1" s="290">
      <c r="A53" s="30" t="inlineStr">
        <is>
          <t>Veepeak OBDCheck BLE Bluetooth OBD II Scanner for iOS &amp; Android, Car Wireless Check Engine Light Code Reader Diagnostic Tool</t>
        </is>
      </c>
      <c r="B53" s="30" t="inlineStr">
        <is>
          <t>B073XKQQQW</t>
        </is>
      </c>
      <c r="C53" s="30" t="inlineStr">
        <is>
          <t>Dongle</t>
        </is>
      </c>
      <c r="D53" s="324" t="n">
        <v>31.51586355616546</v>
      </c>
      <c r="E53" s="53" t="n">
        <v>1765906.42</v>
      </c>
      <c r="F53" s="54" t="n">
        <v>160762.42</v>
      </c>
      <c r="G53" s="55" t="n">
        <v>56473</v>
      </c>
      <c r="H53" s="55" t="n">
        <v>5101</v>
      </c>
      <c r="I53" s="55" t="n">
        <v>23468</v>
      </c>
      <c r="J53" s="56" t="n">
        <v>4.5</v>
      </c>
      <c r="K53" s="56" t="inlineStr">
        <is>
          <t>https://amazon.com/dp/B073XKQQQW</t>
        </is>
      </c>
      <c r="L53" s="34">
        <f>HYPERLINK(Veepeak_2[[#This Row],[Column1]])</f>
        <v/>
      </c>
    </row>
    <row r="54" ht="45" customHeight="1" s="290">
      <c r="A54" s="30" t="inlineStr">
        <is>
          <t>Veepeak OBDCheck BLE+ Bluetooth OBD II Scanner for iOS &amp; Android, Car Check Engine Code Reader Wireless OBD Diagnostic Scan Tool</t>
        </is>
      </c>
      <c r="B54" s="30" t="inlineStr">
        <is>
          <t>B076XVQMVS</t>
        </is>
      </c>
      <c r="C54" s="30" t="inlineStr">
        <is>
          <t>Dongle</t>
        </is>
      </c>
      <c r="D54" s="324" t="n">
        <v>41.43043495145631</v>
      </c>
      <c r="E54" s="53" t="n">
        <v>806092.9799999999</v>
      </c>
      <c r="F54" s="54" t="n">
        <v>106683.37</v>
      </c>
      <c r="G54" s="55" t="n">
        <v>19331</v>
      </c>
      <c r="H54" s="55" t="n">
        <v>2575</v>
      </c>
      <c r="I54" s="55" t="n">
        <v>10842</v>
      </c>
      <c r="J54" s="56" t="n">
        <v>4.6</v>
      </c>
      <c r="K54" s="56" t="inlineStr">
        <is>
          <t>https://amazon.com/dp/B076XVQMVS</t>
        </is>
      </c>
      <c r="L54" s="34">
        <f>HYPERLINK(Veepeak_2[[#This Row],[Column1]])</f>
        <v/>
      </c>
    </row>
    <row r="55" ht="45" customHeight="1" s="290">
      <c r="A55" s="30" t="inlineStr">
        <is>
          <t>Veepeak Mini Bluetooth OBD2 Scanner for Android ONLY (NOT for iOS) – Car Wireless Check Engine Light Code Reader &amp; Diagnostic Tool</t>
        </is>
      </c>
      <c r="B55" s="30" t="inlineStr">
        <is>
          <t>B011NSX27A</t>
        </is>
      </c>
      <c r="C55" s="30" t="inlineStr">
        <is>
          <t>Dongle</t>
        </is>
      </c>
      <c r="D55" s="324" t="n">
        <v>14.47829914529914</v>
      </c>
      <c r="E55" s="53" t="n">
        <v>237383.92</v>
      </c>
      <c r="F55" s="54" t="n">
        <v>16939.61</v>
      </c>
      <c r="G55" s="55" t="n">
        <v>15902</v>
      </c>
      <c r="H55" s="55" t="n">
        <v>1170</v>
      </c>
      <c r="I55" s="55" t="n">
        <v>18622</v>
      </c>
      <c r="J55" s="56" t="n">
        <v>4.4</v>
      </c>
      <c r="K55" s="56" t="inlineStr">
        <is>
          <t>https://amazon.com/dp/B011NSX27A</t>
        </is>
      </c>
      <c r="L55" s="34">
        <f>HYPERLINK(Veepeak_2[[#This Row],[Column1]])</f>
        <v/>
      </c>
    </row>
    <row r="56" ht="60" customHeight="1" s="290">
      <c r="A56" s="30" t="inlineStr">
        <is>
          <t>Veepeak Car OBD2 Scanner Diagnostic Tool, Auto Check Engine Light Code Reader Reset Tool for 1996+ OBD-II Compliant Vehicles, Carrying Case Included</t>
        </is>
      </c>
      <c r="B56" s="30" t="inlineStr">
        <is>
          <t>B0DYDS78Q2</t>
        </is>
      </c>
      <c r="C56" s="30" t="inlineStr">
        <is>
          <t>Handheld</t>
        </is>
      </c>
      <c r="D56" s="324" t="n">
        <v>25.70851851851852</v>
      </c>
      <c r="E56" s="53" t="n">
        <v>15649.57</v>
      </c>
      <c r="F56" s="54" t="n">
        <v>694.13</v>
      </c>
      <c r="G56" s="55" t="n">
        <v>534</v>
      </c>
      <c r="H56" s="55" t="n">
        <v>27</v>
      </c>
      <c r="I56" s="55" t="n">
        <v>141</v>
      </c>
      <c r="J56" s="56" t="n">
        <v>4.4</v>
      </c>
      <c r="K56" s="56" t="inlineStr">
        <is>
          <t>https://amazon.com/dp/B0DYDS78Q2</t>
        </is>
      </c>
      <c r="L56" s="34">
        <f>HYPERLINK(Veepeak_2[[#This Row],[Column1]])</f>
        <v/>
      </c>
    </row>
    <row r="57" ht="45" customHeight="1" s="290">
      <c r="A57" s="30" t="n"/>
      <c r="B57" s="30" t="n"/>
      <c r="C57" s="30" t="n"/>
      <c r="D57" s="324" t="n"/>
      <c r="E57" s="53" t="n"/>
      <c r="F57" s="54" t="n"/>
      <c r="G57" s="55" t="n"/>
      <c r="H57" s="55" t="n"/>
      <c r="I57" s="55" t="n"/>
      <c r="J57" s="56" t="n"/>
      <c r="K57" s="56" t="n"/>
      <c r="L57" s="34">
        <f>HYPERLINK(Table544[[#This Row],[Column1]])</f>
        <v/>
      </c>
    </row>
    <row r="58" ht="45" customHeight="1" s="290">
      <c r="A58" s="30" t="n"/>
      <c r="B58" s="30" t="n"/>
      <c r="C58" s="30" t="n"/>
      <c r="D58" s="324" t="n"/>
      <c r="E58" s="53" t="n"/>
      <c r="F58" s="54" t="n"/>
      <c r="G58" s="55" t="n"/>
      <c r="H58" s="55" t="n"/>
      <c r="I58" s="55" t="n"/>
      <c r="J58" s="56" t="n"/>
      <c r="K58" s="56" t="n"/>
      <c r="L58" s="34">
        <f>HYPERLINK(Table544[[#This Row],[Column1]])</f>
        <v/>
      </c>
    </row>
    <row r="59" ht="45" customHeight="1" s="290">
      <c r="A59" s="30" t="n"/>
      <c r="B59" s="30" t="n"/>
      <c r="C59" s="30" t="n"/>
      <c r="D59" s="324" t="n"/>
      <c r="E59" s="53" t="n"/>
      <c r="F59" s="54" t="n"/>
      <c r="G59" s="55" t="n"/>
      <c r="H59" s="55" t="n"/>
      <c r="I59" s="55" t="n"/>
      <c r="J59" s="56" t="n"/>
      <c r="K59" s="56" t="n"/>
      <c r="L59" s="34">
        <f>HYPERLINK(Table544[[#This Row],[Column1]])</f>
        <v/>
      </c>
    </row>
    <row r="60" ht="45" customHeight="1" s="290">
      <c r="A60" s="30" t="n"/>
      <c r="B60" s="30" t="n"/>
      <c r="C60" s="30" t="n"/>
      <c r="D60" s="324" t="n"/>
      <c r="E60" s="53" t="n"/>
      <c r="F60" s="54" t="n"/>
      <c r="G60" s="55" t="n"/>
      <c r="H60" s="55" t="n"/>
      <c r="I60" s="55" t="n"/>
      <c r="J60" s="56" t="n"/>
      <c r="K60" s="56" t="n"/>
      <c r="L60" s="34">
        <f>HYPERLINK(Table544[[#This Row],[Column1]])</f>
        <v/>
      </c>
    </row>
    <row r="61" ht="45" customHeight="1" s="290">
      <c r="A61" s="30" t="n"/>
      <c r="B61" s="30" t="n"/>
      <c r="C61" s="30" t="n"/>
      <c r="D61" s="324" t="n"/>
      <c r="E61" s="53" t="n"/>
      <c r="F61" s="54" t="n"/>
      <c r="G61" s="55" t="n"/>
      <c r="H61" s="55" t="n"/>
      <c r="I61" s="55" t="n"/>
      <c r="J61" s="56" t="n"/>
      <c r="K61" s="56" t="n"/>
      <c r="L61" s="34">
        <f>HYPERLINK(Table544[[#This Row],[Column1]])</f>
        <v/>
      </c>
    </row>
    <row r="62" ht="45" customHeight="1" s="290">
      <c r="A62" s="30" t="n"/>
      <c r="B62" s="30" t="n"/>
      <c r="C62" s="30" t="n"/>
      <c r="D62" s="324" t="n"/>
      <c r="E62" s="53" t="n"/>
      <c r="F62" s="54" t="n"/>
      <c r="G62" s="55" t="n"/>
      <c r="H62" s="55" t="n"/>
      <c r="I62" s="55" t="n"/>
      <c r="J62" s="56" t="n"/>
      <c r="K62" s="56" t="n"/>
      <c r="L62" s="34">
        <f>HYPERLINK(Table544[[#This Row],[Column1]])</f>
        <v/>
      </c>
    </row>
    <row r="63" ht="45" customHeight="1" s="290">
      <c r="A63" s="30" t="n"/>
      <c r="B63" s="30" t="n"/>
      <c r="C63" s="30" t="n"/>
      <c r="D63" s="324" t="n"/>
      <c r="E63" s="53" t="n"/>
      <c r="F63" s="54" t="n"/>
      <c r="G63" s="55" t="n"/>
      <c r="H63" s="55" t="n"/>
      <c r="I63" s="55" t="n"/>
      <c r="J63" s="56" t="n"/>
      <c r="K63" s="56" t="n"/>
      <c r="L63" s="34">
        <f>HYPERLINK(Table544[[#This Row],[Column1]])</f>
        <v/>
      </c>
    </row>
    <row r="64" ht="45" customHeight="1" s="290">
      <c r="A64" s="30" t="n"/>
      <c r="B64" s="30" t="n"/>
      <c r="C64" s="30" t="n"/>
      <c r="D64" s="324" t="n"/>
      <c r="E64" s="53" t="n"/>
      <c r="F64" s="54" t="n"/>
      <c r="G64" s="55" t="n"/>
      <c r="H64" s="55" t="n"/>
      <c r="I64" s="55" t="n"/>
      <c r="J64" s="56" t="n"/>
      <c r="K64" s="56" t="n"/>
      <c r="L64" s="34">
        <f>HYPERLINK(Table544[[#This Row],[Column1]])</f>
        <v/>
      </c>
    </row>
    <row r="65" ht="45" customHeight="1" s="290">
      <c r="A65" s="30" t="n"/>
      <c r="B65" s="30" t="n"/>
      <c r="C65" s="30" t="n"/>
      <c r="D65" s="324" t="n"/>
      <c r="E65" s="53" t="n"/>
      <c r="F65" s="54" t="n"/>
      <c r="G65" s="55" t="n"/>
      <c r="H65" s="55" t="n"/>
      <c r="I65" s="55" t="n"/>
      <c r="J65" s="56" t="n"/>
      <c r="K65" s="56" t="n"/>
      <c r="L65" s="34">
        <f>HYPERLINK(Table544[[#This Row],[Column1]])</f>
        <v/>
      </c>
    </row>
    <row r="66" ht="45" customHeight="1" s="290">
      <c r="A66" s="30" t="n"/>
      <c r="B66" s="30" t="n"/>
      <c r="C66" s="30" t="n"/>
      <c r="D66" s="324" t="n"/>
      <c r="E66" s="53" t="n"/>
      <c r="F66" s="54" t="n"/>
      <c r="G66" s="55" t="n"/>
      <c r="H66" s="55" t="n"/>
      <c r="I66" s="55" t="n"/>
      <c r="J66" s="56" t="n"/>
      <c r="K66" s="56" t="n"/>
      <c r="L66" s="34">
        <f>HYPERLINK(Table544[[#This Row],[Column1]])</f>
        <v/>
      </c>
    </row>
    <row r="67" ht="45" customHeight="1" s="290">
      <c r="A67" s="30" t="n"/>
      <c r="B67" s="30" t="n"/>
      <c r="C67" s="30" t="n"/>
      <c r="D67" s="324" t="n"/>
      <c r="E67" s="53" t="n"/>
      <c r="F67" s="54" t="n"/>
      <c r="G67" s="55" t="n"/>
      <c r="H67" s="55" t="n"/>
      <c r="I67" s="55" t="n"/>
      <c r="J67" s="56" t="n"/>
      <c r="K67" s="56" t="n"/>
      <c r="L67" s="34">
        <f>HYPERLINK(Table544[[#This Row],[Column1]])</f>
        <v/>
      </c>
    </row>
    <row r="68" ht="45" customHeight="1" s="290">
      <c r="A68" s="30" t="n"/>
      <c r="B68" s="30" t="n"/>
      <c r="C68" s="30" t="n"/>
      <c r="D68" s="324" t="n"/>
      <c r="E68" s="53" t="n"/>
      <c r="F68" s="54" t="n"/>
      <c r="G68" s="55" t="n"/>
      <c r="H68" s="55" t="n"/>
      <c r="I68" s="55" t="n"/>
      <c r="J68" s="56" t="n"/>
      <c r="K68" s="56" t="n"/>
      <c r="L68" s="34">
        <f>HYPERLINK(Table544[[#This Row],[Column1]])</f>
        <v/>
      </c>
    </row>
    <row r="69" ht="60" customHeight="1" s="290">
      <c r="A69" s="30" t="n"/>
      <c r="B69" s="30" t="n"/>
      <c r="C69" s="30" t="n"/>
      <c r="D69" s="324" t="n"/>
      <c r="E69" s="53" t="n"/>
      <c r="F69" s="54" t="n"/>
      <c r="G69" s="55" t="n"/>
      <c r="H69" s="55" t="n"/>
      <c r="I69" s="55" t="n"/>
      <c r="J69" s="56" t="n"/>
      <c r="K69" s="56" t="n"/>
      <c r="L69" s="34">
        <f>HYPERLINK(Table544[[#This Row],[Column1]])</f>
        <v/>
      </c>
    </row>
    <row r="70" ht="45" customHeight="1" s="290">
      <c r="A70" s="30" t="n"/>
      <c r="B70" s="30" t="n"/>
      <c r="C70" s="30" t="n"/>
      <c r="D70" s="324" t="n"/>
      <c r="E70" s="53" t="n"/>
      <c r="F70" s="54" t="n"/>
      <c r="G70" s="55" t="n"/>
      <c r="H70" s="55" t="n"/>
      <c r="I70" s="55" t="n"/>
      <c r="J70" s="56" t="n"/>
      <c r="K70" s="56" t="n"/>
      <c r="L70" s="34">
        <f>HYPERLINK(Table544[[#This Row],[Column1]])</f>
        <v/>
      </c>
    </row>
    <row r="71" ht="45" customHeight="1" s="290">
      <c r="A71" s="30" t="n"/>
      <c r="B71" s="30" t="n"/>
      <c r="C71" s="30" t="n"/>
      <c r="D71" s="324" t="n"/>
      <c r="E71" s="53" t="n"/>
      <c r="F71" s="54" t="n"/>
      <c r="G71" s="55" t="n"/>
      <c r="H71" s="55" t="n"/>
      <c r="I71" s="55" t="n"/>
      <c r="J71" s="56" t="n"/>
      <c r="K71" s="56" t="n"/>
      <c r="L71" s="34">
        <f>HYPERLINK(Table544[[#This Row],[Column1]])</f>
        <v/>
      </c>
    </row>
    <row r="72" ht="45" customHeight="1" s="290">
      <c r="A72" s="30" t="n"/>
      <c r="B72" s="30" t="n"/>
      <c r="C72" s="30" t="n"/>
      <c r="D72" s="324" t="n"/>
      <c r="E72" s="53" t="n"/>
      <c r="F72" s="54" t="n"/>
      <c r="G72" s="55" t="n"/>
      <c r="H72" s="55" t="n"/>
      <c r="I72" s="55" t="n"/>
      <c r="J72" s="56" t="n"/>
      <c r="K72" s="56" t="n"/>
      <c r="L72" s="34">
        <f>HYPERLINK(Table544[[#This Row],[Column1]])</f>
        <v/>
      </c>
    </row>
    <row r="73" ht="45" customHeight="1" s="290">
      <c r="A73" s="30" t="n"/>
      <c r="B73" s="30" t="n"/>
      <c r="C73" s="30" t="n"/>
      <c r="D73" s="324" t="n"/>
      <c r="E73" s="53" t="n"/>
      <c r="F73" s="54" t="n"/>
      <c r="G73" s="55" t="n"/>
      <c r="H73" s="55" t="n"/>
      <c r="I73" s="55" t="n"/>
      <c r="J73" s="56" t="n"/>
      <c r="K73" s="56" t="n"/>
      <c r="L73" s="34">
        <f>HYPERLINK(Table544[[#This Row],[Column1]])</f>
        <v/>
      </c>
    </row>
    <row r="74" ht="45" customHeight="1" s="290">
      <c r="A74" s="30" t="n"/>
      <c r="B74" s="30" t="n"/>
      <c r="C74" s="30" t="n"/>
      <c r="D74" s="324" t="n"/>
      <c r="E74" s="53" t="n"/>
      <c r="F74" s="54" t="n"/>
      <c r="G74" s="55" t="n"/>
      <c r="H74" s="55" t="n"/>
      <c r="I74" s="55" t="n"/>
      <c r="J74" s="56" t="n"/>
      <c r="K74" s="56" t="n"/>
      <c r="L74" s="34">
        <f>HYPERLINK(Table544[[#This Row],[Column1]])</f>
        <v/>
      </c>
    </row>
    <row r="75" ht="45" customHeight="1" s="290">
      <c r="A75" s="30" t="n"/>
      <c r="B75" s="30" t="n"/>
      <c r="C75" s="30" t="n"/>
      <c r="D75" s="324" t="n"/>
      <c r="E75" s="53" t="n"/>
      <c r="F75" s="54" t="n"/>
      <c r="G75" s="55" t="n"/>
      <c r="H75" s="55" t="n"/>
      <c r="I75" s="55" t="n"/>
      <c r="J75" s="56" t="n"/>
      <c r="K75" s="56" t="n"/>
      <c r="L75" s="34">
        <f>HYPERLINK(Table544[[#This Row],[Column1]])</f>
        <v/>
      </c>
    </row>
    <row r="76" ht="45" customHeight="1" s="290">
      <c r="A76" s="30" t="n"/>
      <c r="B76" s="30" t="n"/>
      <c r="C76" s="30" t="n"/>
      <c r="D76" s="324" t="n"/>
      <c r="E76" s="53" t="n"/>
      <c r="F76" s="54" t="n"/>
      <c r="G76" s="55" t="n"/>
      <c r="H76" s="55" t="n"/>
      <c r="I76" s="55" t="n"/>
      <c r="J76" s="56" t="n"/>
      <c r="K76" s="56" t="n"/>
      <c r="L76" s="34">
        <f>HYPERLINK(Table544[[#This Row],[Column1]])</f>
        <v/>
      </c>
    </row>
    <row r="77" ht="60" customHeight="1" s="290">
      <c r="A77" s="30" t="n"/>
      <c r="B77" s="30" t="n"/>
      <c r="C77" s="30" t="n"/>
      <c r="D77" s="324" t="n"/>
      <c r="E77" s="53" t="n"/>
      <c r="F77" s="54" t="n"/>
      <c r="G77" s="55" t="n"/>
      <c r="H77" s="55" t="n"/>
      <c r="I77" s="55" t="n"/>
      <c r="J77" s="56" t="n"/>
      <c r="K77" s="56" t="n"/>
      <c r="L77" s="34">
        <f>HYPERLINK(Table544[[#This Row],[Column1]])</f>
        <v/>
      </c>
    </row>
    <row r="78" ht="45" customHeight="1" s="290">
      <c r="A78" s="30" t="n"/>
      <c r="B78" s="30" t="n"/>
      <c r="C78" s="30" t="n"/>
      <c r="D78" s="324" t="n"/>
      <c r="E78" s="53" t="n"/>
      <c r="F78" s="54" t="n"/>
      <c r="G78" s="55" t="n"/>
      <c r="H78" s="55" t="n"/>
      <c r="I78" s="55" t="n"/>
      <c r="J78" s="56" t="n"/>
      <c r="K78" s="56" t="n"/>
      <c r="L78" s="34">
        <f>HYPERLINK(Table544[[#This Row],[Column1]])</f>
        <v/>
      </c>
    </row>
    <row r="79" ht="45" customHeight="1" s="290">
      <c r="A79" s="30" t="n"/>
      <c r="B79" s="30" t="n"/>
      <c r="C79" s="30" t="n"/>
      <c r="D79" s="324" t="n"/>
      <c r="E79" s="53" t="n"/>
      <c r="F79" s="54" t="n"/>
      <c r="G79" s="55" t="n"/>
      <c r="H79" s="55" t="n"/>
      <c r="I79" s="55" t="n"/>
      <c r="J79" s="56" t="n"/>
      <c r="K79" s="56" t="n"/>
      <c r="L79" s="34">
        <f>HYPERLINK(Table544[[#This Row],[Column1]])</f>
        <v/>
      </c>
    </row>
    <row r="80" ht="45" customHeight="1" s="290">
      <c r="A80" s="30" t="n"/>
      <c r="B80" s="30" t="n"/>
      <c r="C80" s="30" t="n"/>
      <c r="D80" s="324" t="n"/>
      <c r="E80" s="53" t="n"/>
      <c r="F80" s="54" t="n"/>
      <c r="G80" s="55" t="n"/>
      <c r="H80" s="55" t="n"/>
      <c r="I80" s="55" t="n"/>
      <c r="J80" s="56" t="n"/>
      <c r="K80" s="56" t="n"/>
      <c r="L80" s="34">
        <f>HYPERLINK(Table544[[#This Row],[Column1]])</f>
        <v/>
      </c>
    </row>
    <row r="81" ht="45" customHeight="1" s="290">
      <c r="A81" s="30" t="n"/>
      <c r="B81" s="30" t="n"/>
      <c r="C81" s="30" t="n"/>
      <c r="D81" s="324" t="n"/>
      <c r="E81" s="53" t="n"/>
      <c r="F81" s="54" t="n"/>
      <c r="G81" s="55" t="n"/>
      <c r="H81" s="55" t="n"/>
      <c r="I81" s="55" t="n"/>
      <c r="J81" s="56" t="n"/>
      <c r="K81" s="56" t="n"/>
      <c r="L81" s="34">
        <f>HYPERLINK(Table544[[#This Row],[Column1]])</f>
        <v/>
      </c>
    </row>
    <row r="82" ht="45" customHeight="1" s="290">
      <c r="A82" s="30" t="n"/>
      <c r="B82" s="30" t="n"/>
      <c r="C82" s="30" t="n"/>
      <c r="D82" s="324" t="n"/>
      <c r="E82" s="53" t="n"/>
      <c r="F82" s="54" t="n"/>
      <c r="G82" s="55" t="n"/>
      <c r="H82" s="55" t="n"/>
      <c r="I82" s="55" t="n"/>
      <c r="J82" s="56" t="n"/>
      <c r="K82" s="56" t="n"/>
      <c r="L82" s="34">
        <f>HYPERLINK(Table544[[#This Row],[Column1]])</f>
        <v/>
      </c>
    </row>
    <row r="83" ht="30" customHeight="1" s="290">
      <c r="A83" s="30" t="n"/>
      <c r="B83" s="30" t="n"/>
      <c r="C83" s="30" t="n"/>
      <c r="D83" s="324" t="n"/>
      <c r="E83" s="53" t="n"/>
      <c r="F83" s="54" t="n"/>
      <c r="G83" s="55" t="n"/>
      <c r="H83" s="55" t="n"/>
      <c r="I83" s="55" t="n"/>
      <c r="J83" s="56" t="n"/>
      <c r="K83" s="56" t="n"/>
      <c r="L83" s="34">
        <f>HYPERLINK(Table544[[#This Row],[Column1]])</f>
        <v/>
      </c>
    </row>
    <row r="84" ht="45" customHeight="1" s="290">
      <c r="A84" s="30" t="n"/>
      <c r="B84" s="30" t="n"/>
      <c r="C84" s="30" t="n"/>
      <c r="D84" s="324" t="n"/>
      <c r="E84" s="53" t="n"/>
      <c r="F84" s="54" t="n"/>
      <c r="G84" s="55" t="n"/>
      <c r="H84" s="55" t="n"/>
      <c r="I84" s="55" t="n"/>
      <c r="J84" s="56" t="n"/>
      <c r="K84" s="56" t="n"/>
      <c r="L84" s="34">
        <f>HYPERLINK(Table544[[#This Row],[Column1]])</f>
        <v/>
      </c>
    </row>
    <row r="85" ht="45" customHeight="1" s="290">
      <c r="A85" s="30" t="n"/>
      <c r="B85" s="30" t="n"/>
      <c r="C85" s="30" t="n"/>
      <c r="D85" s="324" t="n"/>
      <c r="E85" s="53" t="n"/>
      <c r="F85" s="54" t="n"/>
      <c r="G85" s="55" t="n"/>
      <c r="H85" s="55" t="n"/>
      <c r="I85" s="55" t="n"/>
      <c r="J85" s="56" t="n"/>
      <c r="K85" s="56" t="n"/>
      <c r="L85" s="34">
        <f>HYPERLINK(Table544[[#This Row],[Column1]])</f>
        <v/>
      </c>
    </row>
    <row r="86" ht="45" customHeight="1" s="290">
      <c r="A86" s="30" t="n"/>
      <c r="B86" s="30" t="n"/>
      <c r="C86" s="30" t="n"/>
      <c r="D86" s="324" t="n"/>
      <c r="E86" s="53" t="n"/>
      <c r="F86" s="54" t="n"/>
      <c r="G86" s="55" t="n"/>
      <c r="H86" s="55" t="n"/>
      <c r="I86" s="55" t="n"/>
      <c r="J86" s="56" t="n"/>
      <c r="K86" s="56" t="n"/>
      <c r="L86" s="34">
        <f>HYPERLINK(Table544[[#This Row],[Column1]])</f>
        <v/>
      </c>
    </row>
    <row r="87" ht="45" customHeight="1" s="290">
      <c r="A87" s="30" t="n"/>
      <c r="B87" s="30" t="n"/>
      <c r="C87" s="30" t="n"/>
      <c r="D87" s="324" t="n"/>
      <c r="E87" s="53" t="n"/>
      <c r="F87" s="54" t="n"/>
      <c r="G87" s="55" t="n"/>
      <c r="H87" s="55" t="n"/>
      <c r="I87" s="55" t="n"/>
      <c r="J87" s="56" t="n"/>
      <c r="K87" s="56" t="n"/>
      <c r="L87" s="34">
        <f>HYPERLINK(Table544[[#This Row],[Column1]])</f>
        <v/>
      </c>
    </row>
    <row r="88" ht="45" customHeight="1" s="290">
      <c r="A88" s="30" t="n"/>
      <c r="B88" s="30" t="n"/>
      <c r="C88" s="30" t="n"/>
      <c r="D88" s="324" t="n"/>
      <c r="E88" s="53" t="n"/>
      <c r="F88" s="54" t="n"/>
      <c r="G88" s="55" t="n"/>
      <c r="H88" s="55" t="n"/>
      <c r="I88" s="55" t="n"/>
      <c r="J88" s="56" t="n"/>
      <c r="K88" s="56" t="n"/>
      <c r="L88" s="34">
        <f>HYPERLINK(Table544[[#This Row],[Column1]])</f>
        <v/>
      </c>
    </row>
    <row r="89" ht="45" customHeight="1" s="290">
      <c r="A89" s="30" t="n"/>
      <c r="B89" s="30" t="n"/>
      <c r="C89" s="30" t="n"/>
      <c r="D89" s="324" t="n"/>
      <c r="E89" s="53" t="n"/>
      <c r="F89" s="54" t="n"/>
      <c r="G89" s="55" t="n"/>
      <c r="H89" s="55" t="n"/>
      <c r="I89" s="55" t="n"/>
      <c r="J89" s="56" t="n"/>
      <c r="K89" s="56" t="n"/>
      <c r="L89" s="34">
        <f>HYPERLINK(Table544[[#This Row],[Column1]])</f>
        <v/>
      </c>
    </row>
    <row r="90" ht="45" customHeight="1" s="290">
      <c r="A90" s="30" t="n"/>
      <c r="B90" s="30" t="n"/>
      <c r="C90" s="30" t="n"/>
      <c r="D90" s="324" t="n"/>
      <c r="E90" s="53" t="n"/>
      <c r="F90" s="54" t="n"/>
      <c r="G90" s="55" t="n"/>
      <c r="H90" s="55" t="n"/>
      <c r="I90" s="55" t="n"/>
      <c r="J90" s="56" t="n"/>
      <c r="K90" s="56" t="n"/>
      <c r="L90" s="34">
        <f>HYPERLINK(Table544[[#This Row],[Column1]])</f>
        <v/>
      </c>
    </row>
    <row r="91" ht="45" customHeight="1" s="290">
      <c r="A91" s="30" t="n"/>
      <c r="B91" s="30" t="n"/>
      <c r="C91" s="30" t="n"/>
      <c r="D91" s="324" t="n"/>
      <c r="E91" s="53" t="n"/>
      <c r="F91" s="54" t="n"/>
      <c r="G91" s="55" t="n"/>
      <c r="H91" s="55" t="n"/>
      <c r="I91" s="55" t="n"/>
      <c r="J91" s="56" t="n"/>
      <c r="K91" s="56" t="n"/>
      <c r="L91" s="34">
        <f>HYPERLINK(Table544[[#This Row],[Column1]])</f>
        <v/>
      </c>
    </row>
    <row r="92" ht="45" customHeight="1" s="290">
      <c r="A92" s="30" t="n"/>
      <c r="B92" s="30" t="n"/>
      <c r="C92" s="30" t="n"/>
      <c r="D92" s="324" t="n"/>
      <c r="E92" s="53" t="n"/>
      <c r="F92" s="54" t="n"/>
      <c r="G92" s="55" t="n"/>
      <c r="H92" s="55" t="n"/>
      <c r="I92" s="55" t="n"/>
      <c r="J92" s="56" t="n"/>
      <c r="K92" s="56" t="n"/>
      <c r="L92" s="34">
        <f>HYPERLINK(Table544[[#This Row],[Column1]])</f>
        <v/>
      </c>
    </row>
    <row r="93" ht="45" customHeight="1" s="290">
      <c r="A93" s="30" t="n"/>
      <c r="B93" s="30" t="n"/>
      <c r="C93" s="30" t="n"/>
      <c r="D93" s="324" t="n"/>
      <c r="E93" s="53" t="n"/>
      <c r="F93" s="54" t="n"/>
      <c r="G93" s="55" t="n"/>
      <c r="H93" s="55" t="n"/>
      <c r="I93" s="55" t="n"/>
      <c r="J93" s="56" t="n"/>
      <c r="K93" s="56" t="n"/>
      <c r="L93" s="34">
        <f>HYPERLINK(Table544[[#This Row],[Column1]])</f>
        <v/>
      </c>
    </row>
    <row r="94" ht="60" customHeight="1" s="290">
      <c r="A94" s="30" t="n"/>
      <c r="B94" s="30" t="n"/>
      <c r="C94" s="30" t="n"/>
      <c r="D94" s="324" t="n"/>
      <c r="E94" s="53" t="n"/>
      <c r="F94" s="54" t="n"/>
      <c r="G94" s="55" t="n"/>
      <c r="H94" s="55" t="n"/>
      <c r="I94" s="55" t="n"/>
      <c r="J94" s="56" t="n"/>
      <c r="K94" s="56" t="n"/>
      <c r="L94" s="34">
        <f>HYPERLINK(Table544[[#This Row],[Column1]])</f>
        <v/>
      </c>
    </row>
    <row r="95" ht="45" customHeight="1" s="290">
      <c r="A95" s="30" t="n"/>
      <c r="B95" s="30" t="n"/>
      <c r="C95" s="30" t="n"/>
      <c r="D95" s="324" t="n"/>
      <c r="E95" s="53" t="n"/>
      <c r="F95" s="54" t="n"/>
      <c r="G95" s="55" t="n"/>
      <c r="H95" s="55" t="n"/>
      <c r="I95" s="55" t="n"/>
      <c r="J95" s="56" t="n"/>
      <c r="K95" s="56" t="n"/>
      <c r="L95" s="34">
        <f>HYPERLINK(Table544[[#This Row],[Column1]])</f>
        <v/>
      </c>
    </row>
    <row r="96" ht="45" customHeight="1" s="290">
      <c r="A96" s="30" t="n"/>
      <c r="B96" s="30" t="n"/>
      <c r="C96" s="30" t="n"/>
      <c r="D96" s="324" t="n"/>
      <c r="E96" s="53" t="n"/>
      <c r="F96" s="54" t="n"/>
      <c r="G96" s="55" t="n"/>
      <c r="H96" s="55" t="n"/>
      <c r="I96" s="55" t="n"/>
      <c r="J96" s="56" t="n"/>
      <c r="K96" s="56" t="n"/>
      <c r="L96" s="34">
        <f>HYPERLINK(Table544[[#This Row],[Column1]])</f>
        <v/>
      </c>
    </row>
    <row r="97" ht="45" customHeight="1" s="290">
      <c r="A97" s="30" t="n"/>
      <c r="B97" s="30" t="n"/>
      <c r="C97" s="30" t="n"/>
      <c r="D97" s="324" t="n"/>
      <c r="E97" s="53" t="n"/>
      <c r="F97" s="54" t="n"/>
      <c r="G97" s="55" t="n"/>
      <c r="H97" s="55" t="n"/>
      <c r="I97" s="55" t="n"/>
      <c r="J97" s="56" t="n"/>
      <c r="K97" s="56" t="n"/>
      <c r="L97" s="34">
        <f>HYPERLINK(Table544[[#This Row],[Column1]])</f>
        <v/>
      </c>
    </row>
    <row r="98" ht="60" customHeight="1" s="290">
      <c r="A98" s="30" t="n"/>
      <c r="B98" s="30" t="n"/>
      <c r="C98" s="30" t="n"/>
      <c r="D98" s="324" t="n"/>
      <c r="E98" s="53" t="n"/>
      <c r="F98" s="54" t="n"/>
      <c r="G98" s="55" t="n"/>
      <c r="H98" s="55" t="n"/>
      <c r="I98" s="55" t="n"/>
      <c r="J98" s="56" t="n"/>
      <c r="K98" s="56" t="n"/>
      <c r="L98" s="34">
        <f>HYPERLINK(Table544[[#This Row],[Column1]])</f>
        <v/>
      </c>
    </row>
    <row r="99" ht="45" customHeight="1" s="290">
      <c r="A99" s="30" t="n"/>
      <c r="B99" s="30" t="n"/>
      <c r="C99" s="30" t="n"/>
      <c r="D99" s="324" t="n"/>
      <c r="E99" s="53" t="n"/>
      <c r="F99" s="54" t="n"/>
      <c r="G99" s="55" t="n"/>
      <c r="H99" s="55" t="n"/>
      <c r="I99" s="55" t="n"/>
      <c r="J99" s="56" t="n"/>
      <c r="K99" s="56" t="n"/>
      <c r="L99" s="34">
        <f>HYPERLINK(Table544[[#This Row],[Column1]])</f>
        <v/>
      </c>
    </row>
    <row r="100" ht="45" customHeight="1" s="290">
      <c r="A100" s="30" t="n"/>
      <c r="B100" s="30" t="n"/>
      <c r="C100" s="30" t="n"/>
      <c r="D100" s="324" t="n"/>
      <c r="E100" s="53" t="n"/>
      <c r="F100" s="54" t="n"/>
      <c r="G100" s="55" t="n"/>
      <c r="H100" s="55" t="n"/>
      <c r="I100" s="55" t="n"/>
      <c r="J100" s="56" t="n"/>
      <c r="K100" s="56" t="n"/>
      <c r="L100" s="34">
        <f>HYPERLINK(Table544[[#This Row],[Column1]])</f>
        <v/>
      </c>
    </row>
    <row r="101" ht="45" customHeight="1" s="290">
      <c r="A101" s="30" t="n"/>
      <c r="B101" s="30" t="n"/>
      <c r="C101" s="30" t="n"/>
      <c r="D101" s="324" t="n"/>
      <c r="E101" s="53" t="n"/>
      <c r="F101" s="54" t="n"/>
      <c r="G101" s="55" t="n"/>
      <c r="H101" s="55" t="n"/>
      <c r="I101" s="55" t="n"/>
      <c r="J101" s="56" t="n"/>
      <c r="K101" s="56" t="n"/>
      <c r="L101" s="34">
        <f>HYPERLINK(Table544[[#This Row],[Column1]])</f>
        <v/>
      </c>
    </row>
    <row r="102" ht="45" customHeight="1" s="290">
      <c r="A102" s="30" t="n"/>
      <c r="B102" s="30" t="n"/>
      <c r="C102" s="30" t="n"/>
      <c r="D102" s="324" t="n"/>
      <c r="E102" s="53" t="n"/>
      <c r="F102" s="54" t="n"/>
      <c r="G102" s="55" t="n"/>
      <c r="H102" s="55" t="n"/>
      <c r="I102" s="55" t="n"/>
      <c r="J102" s="56" t="n"/>
      <c r="K102" s="56" t="n"/>
      <c r="L102" s="34">
        <f>HYPERLINK(Table544[[#This Row],[Column1]])</f>
        <v/>
      </c>
    </row>
    <row r="103" ht="45" customHeight="1" s="290">
      <c r="A103" s="30" t="n"/>
      <c r="B103" s="30" t="n"/>
      <c r="C103" s="30" t="n"/>
      <c r="D103" s="324" t="n"/>
      <c r="E103" s="53" t="n"/>
      <c r="F103" s="54" t="n"/>
      <c r="G103" s="55" t="n"/>
      <c r="H103" s="55" t="n"/>
      <c r="I103" s="55" t="n"/>
      <c r="J103" s="56" t="n"/>
      <c r="K103" s="56" t="n"/>
      <c r="L103" s="34">
        <f>HYPERLINK(Table544[[#This Row],[Column1]])</f>
        <v/>
      </c>
    </row>
    <row r="104" ht="45" customHeight="1" s="290">
      <c r="A104" s="30" t="n"/>
      <c r="B104" s="30" t="n"/>
      <c r="C104" s="30" t="n"/>
      <c r="D104" s="324" t="n"/>
      <c r="E104" s="53" t="n"/>
      <c r="F104" s="54" t="n"/>
      <c r="G104" s="55" t="n"/>
      <c r="H104" s="55" t="n"/>
      <c r="I104" s="55" t="n"/>
      <c r="J104" s="56" t="n"/>
      <c r="K104" s="56" t="n"/>
      <c r="L104" s="34">
        <f>HYPERLINK(Table544[[#This Row],[Column1]])</f>
        <v/>
      </c>
    </row>
    <row r="105" ht="45" customHeight="1" s="290">
      <c r="A105" s="30" t="n"/>
      <c r="B105" s="30" t="n"/>
      <c r="C105" s="30" t="n"/>
      <c r="D105" s="324" t="n"/>
      <c r="E105" s="53" t="n"/>
      <c r="F105" s="54" t="n"/>
      <c r="G105" s="55" t="n"/>
      <c r="H105" s="55" t="n"/>
      <c r="I105" s="55" t="n"/>
      <c r="J105" s="56" t="n"/>
      <c r="K105" s="56" t="n"/>
      <c r="L105" s="34">
        <f>HYPERLINK(Table544[[#This Row],[Column1]])</f>
        <v/>
      </c>
    </row>
    <row r="106" ht="45" customHeight="1" s="290">
      <c r="A106" s="30" t="n"/>
      <c r="B106" s="30" t="n"/>
      <c r="C106" s="30" t="n"/>
      <c r="D106" s="324" t="n"/>
      <c r="E106" s="53" t="n"/>
      <c r="F106" s="54" t="n"/>
      <c r="G106" s="55" t="n"/>
      <c r="H106" s="55" t="n"/>
      <c r="I106" s="55" t="n"/>
      <c r="J106" s="56" t="n"/>
      <c r="K106" s="56" t="n"/>
      <c r="L106" s="34">
        <f>HYPERLINK(Table544[[#This Row],[Column1]])</f>
        <v/>
      </c>
    </row>
    <row r="107" ht="60" customHeight="1" s="290">
      <c r="A107" s="30" t="n"/>
      <c r="B107" s="30" t="n"/>
      <c r="C107" s="30" t="n"/>
      <c r="D107" s="324" t="n"/>
      <c r="E107" s="53" t="n"/>
      <c r="F107" s="54" t="n"/>
      <c r="G107" s="55" t="n"/>
      <c r="H107" s="55" t="n"/>
      <c r="I107" s="55" t="n"/>
      <c r="J107" s="56" t="n"/>
      <c r="K107" s="56" t="n"/>
      <c r="L107" s="34">
        <f>HYPERLINK(Table544[[#This Row],[Column1]])</f>
        <v/>
      </c>
    </row>
    <row r="108" ht="45" customHeight="1" s="290">
      <c r="A108" s="30" t="n"/>
      <c r="B108" s="30" t="n"/>
      <c r="C108" s="30" t="n"/>
      <c r="D108" s="324" t="n"/>
      <c r="E108" s="53" t="n"/>
      <c r="F108" s="54" t="n"/>
      <c r="G108" s="55" t="n"/>
      <c r="H108" s="55" t="n"/>
      <c r="I108" s="55" t="n"/>
      <c r="J108" s="56" t="n"/>
      <c r="K108" s="56" t="n"/>
      <c r="L108" s="34">
        <f>HYPERLINK(Table544[[#This Row],[Column1]])</f>
        <v/>
      </c>
    </row>
    <row r="109" ht="45" customHeight="1" s="290">
      <c r="A109" s="30" t="n"/>
      <c r="B109" s="30" t="n"/>
      <c r="C109" s="30" t="n"/>
      <c r="D109" s="324" t="n"/>
      <c r="E109" s="53" t="n"/>
      <c r="F109" s="54" t="n"/>
      <c r="G109" s="55" t="n"/>
      <c r="H109" s="55" t="n"/>
      <c r="I109" s="55" t="n"/>
      <c r="J109" s="56" t="n"/>
      <c r="K109" s="56" t="n"/>
      <c r="L109" s="34">
        <f>HYPERLINK(Table544[[#This Row],[Column1]])</f>
        <v/>
      </c>
    </row>
    <row r="110" ht="45" customHeight="1" s="290">
      <c r="A110" s="30" t="n"/>
      <c r="B110" s="30" t="n"/>
      <c r="C110" s="30" t="n"/>
      <c r="D110" s="324" t="n"/>
      <c r="E110" s="53" t="n"/>
      <c r="F110" s="54" t="n"/>
      <c r="G110" s="55" t="n"/>
      <c r="H110" s="55" t="n"/>
      <c r="I110" s="55" t="n"/>
      <c r="J110" s="56" t="n"/>
      <c r="K110" s="56" t="n"/>
      <c r="L110" s="34">
        <f>HYPERLINK(Table544[[#This Row],[Column1]])</f>
        <v/>
      </c>
    </row>
    <row r="111" ht="45" customHeight="1" s="290">
      <c r="A111" s="30" t="n"/>
      <c r="B111" s="30" t="n"/>
      <c r="C111" s="30" t="n"/>
      <c r="D111" s="324" t="n"/>
      <c r="E111" s="53" t="n"/>
      <c r="F111" s="54" t="n"/>
      <c r="G111" s="55" t="n"/>
      <c r="H111" s="55" t="n"/>
      <c r="I111" s="55" t="n"/>
      <c r="J111" s="56" t="n"/>
      <c r="K111" s="56" t="n"/>
      <c r="L111" s="34">
        <f>HYPERLINK(Table544[[#This Row],[Column1]])</f>
        <v/>
      </c>
    </row>
    <row r="112" ht="45" customHeight="1" s="290">
      <c r="A112" s="30" t="n"/>
      <c r="B112" s="30" t="n"/>
      <c r="C112" s="30" t="n"/>
      <c r="D112" s="324" t="n"/>
      <c r="E112" s="53" t="n"/>
      <c r="F112" s="54" t="n"/>
      <c r="G112" s="55" t="n"/>
      <c r="H112" s="55" t="n"/>
      <c r="I112" s="55" t="n"/>
      <c r="J112" s="56" t="n"/>
      <c r="K112" s="56" t="n"/>
      <c r="L112" s="34">
        <f>HYPERLINK(Table544[[#This Row],[Column1]])</f>
        <v/>
      </c>
    </row>
    <row r="113" ht="45" customHeight="1" s="290">
      <c r="A113" s="30" t="n"/>
      <c r="B113" s="30" t="n"/>
      <c r="C113" s="30" t="n"/>
      <c r="D113" s="324" t="n"/>
      <c r="E113" s="53" t="n"/>
      <c r="F113" s="54" t="n"/>
      <c r="G113" s="55" t="n"/>
      <c r="H113" s="55" t="n"/>
      <c r="I113" s="55" t="n"/>
      <c r="J113" s="56" t="n"/>
      <c r="K113" s="56" t="n"/>
      <c r="L113" s="34">
        <f>HYPERLINK(Table544[[#This Row],[Column1]])</f>
        <v/>
      </c>
    </row>
    <row r="114" ht="45" customHeight="1" s="290">
      <c r="A114" s="30" t="n"/>
      <c r="B114" s="30" t="n"/>
      <c r="C114" s="30" t="n"/>
      <c r="D114" s="324" t="n"/>
      <c r="E114" s="53" t="n"/>
      <c r="F114" s="54" t="n"/>
      <c r="G114" s="55" t="n"/>
      <c r="H114" s="55" t="n"/>
      <c r="I114" s="55" t="n"/>
      <c r="J114" s="56" t="n"/>
      <c r="K114" s="56" t="n"/>
      <c r="L114" s="34">
        <f>HYPERLINK(Table544[[#This Row],[Column1]])</f>
        <v/>
      </c>
    </row>
    <row r="115" ht="45" customHeight="1" s="290">
      <c r="A115" s="30" t="n"/>
      <c r="B115" s="30" t="n"/>
      <c r="C115" s="30" t="n"/>
      <c r="D115" s="324" t="n"/>
      <c r="E115" s="53" t="n"/>
      <c r="F115" s="54" t="n"/>
      <c r="G115" s="55" t="n"/>
      <c r="H115" s="55" t="n"/>
      <c r="I115" s="55" t="n"/>
      <c r="J115" s="56" t="n"/>
      <c r="K115" s="56" t="n"/>
      <c r="L115" s="34">
        <f>HYPERLINK(Table544[[#This Row],[Column1]])</f>
        <v/>
      </c>
    </row>
    <row r="116" ht="30" customHeight="1" s="290">
      <c r="A116" s="30" t="n"/>
      <c r="B116" s="30" t="n"/>
      <c r="C116" s="30" t="n"/>
      <c r="D116" s="324" t="n"/>
      <c r="E116" s="53" t="n"/>
      <c r="F116" s="54" t="n"/>
      <c r="G116" s="55" t="n"/>
      <c r="H116" s="55" t="n"/>
      <c r="I116" s="55" t="n"/>
      <c r="J116" s="56" t="n"/>
      <c r="K116" s="56" t="n"/>
      <c r="L116" s="34">
        <f>HYPERLINK(Table544[[#This Row],[Column1]])</f>
        <v/>
      </c>
    </row>
    <row r="117" ht="30" customHeight="1" s="290">
      <c r="A117" s="30" t="n"/>
      <c r="B117" s="30" t="n"/>
      <c r="C117" s="30" t="n"/>
      <c r="D117" s="324" t="n"/>
      <c r="E117" s="53" t="n"/>
      <c r="F117" s="54" t="n"/>
      <c r="G117" s="55" t="n"/>
      <c r="H117" s="55" t="n"/>
      <c r="I117" s="55" t="n"/>
      <c r="J117" s="56" t="n"/>
      <c r="K117" s="56" t="n"/>
      <c r="L117" s="34">
        <f>HYPERLINK(Table544[[#This Row],[Column1]])</f>
        <v/>
      </c>
    </row>
    <row r="118" ht="45" customHeight="1" s="290">
      <c r="A118" s="30" t="n"/>
      <c r="B118" s="30" t="n"/>
      <c r="C118" s="30" t="n"/>
      <c r="D118" s="324" t="n"/>
      <c r="E118" s="53" t="n"/>
      <c r="F118" s="54" t="n"/>
      <c r="G118" s="55" t="n"/>
      <c r="H118" s="55" t="n"/>
      <c r="I118" s="55" t="n"/>
      <c r="J118" s="56" t="n"/>
      <c r="K118" s="56" t="n"/>
      <c r="L118" s="34">
        <f>HYPERLINK(Table544[[#This Row],[Column1]])</f>
        <v/>
      </c>
    </row>
    <row r="119" ht="45" customHeight="1" s="290">
      <c r="A119" s="30" t="n"/>
      <c r="B119" s="30" t="n"/>
      <c r="C119" s="30" t="n"/>
      <c r="D119" s="324" t="n"/>
      <c r="E119" s="53" t="n"/>
      <c r="F119" s="54" t="n"/>
      <c r="G119" s="55" t="n"/>
      <c r="H119" s="55" t="n"/>
      <c r="I119" s="55" t="n"/>
      <c r="J119" s="56" t="n"/>
      <c r="K119" s="56" t="n"/>
      <c r="L119" s="34">
        <f>HYPERLINK(Table544[[#This Row],[Column1]])</f>
        <v/>
      </c>
    </row>
    <row r="120" ht="60" customHeight="1" s="290">
      <c r="A120" s="30" t="n"/>
      <c r="B120" s="30" t="n"/>
      <c r="C120" s="30" t="n"/>
      <c r="D120" s="324" t="n"/>
      <c r="E120" s="53" t="n"/>
      <c r="F120" s="54" t="n"/>
      <c r="G120" s="55" t="n"/>
      <c r="H120" s="55" t="n"/>
      <c r="I120" s="55" t="n"/>
      <c r="J120" s="56" t="n"/>
      <c r="K120" s="56" t="n"/>
      <c r="L120" s="34">
        <f>HYPERLINK(Table544[[#This Row],[Column1]])</f>
        <v/>
      </c>
    </row>
    <row r="121" ht="45" customHeight="1" s="290">
      <c r="A121" s="30" t="n"/>
      <c r="B121" s="30" t="n"/>
      <c r="C121" s="30" t="n"/>
      <c r="D121" s="324" t="n"/>
      <c r="E121" s="53" t="n"/>
      <c r="F121" s="54" t="n"/>
      <c r="G121" s="55" t="n"/>
      <c r="H121" s="55" t="n"/>
      <c r="I121" s="55" t="n"/>
      <c r="J121" s="56" t="n"/>
      <c r="K121" s="56" t="n"/>
      <c r="L121" s="34">
        <f>HYPERLINK(Table544[[#This Row],[Column1]])</f>
        <v/>
      </c>
    </row>
    <row r="122" ht="45" customHeight="1" s="290">
      <c r="A122" s="30" t="n"/>
      <c r="B122" s="30" t="n"/>
      <c r="C122" s="30" t="n"/>
      <c r="D122" s="324" t="n"/>
      <c r="E122" s="53" t="n"/>
      <c r="F122" s="54" t="n"/>
      <c r="G122" s="55" t="n"/>
      <c r="H122" s="55" t="n"/>
      <c r="I122" s="55" t="n"/>
      <c r="J122" s="56" t="n"/>
      <c r="K122" s="56" t="n"/>
      <c r="L122" s="34">
        <f>HYPERLINK(Table544[[#This Row],[Column1]])</f>
        <v/>
      </c>
    </row>
    <row r="123" ht="45" customHeight="1" s="290">
      <c r="A123" s="30" t="n"/>
      <c r="B123" s="30" t="n"/>
      <c r="C123" s="30" t="n"/>
      <c r="D123" s="324" t="n"/>
      <c r="E123" s="53" t="n"/>
      <c r="F123" s="54" t="n"/>
      <c r="G123" s="55" t="n"/>
      <c r="H123" s="55" t="n"/>
      <c r="I123" s="55" t="n"/>
      <c r="J123" s="56" t="n"/>
      <c r="K123" s="56" t="n"/>
      <c r="L123" s="34">
        <f>HYPERLINK(Table544[[#This Row],[Column1]])</f>
        <v/>
      </c>
    </row>
    <row r="124" ht="17" customHeight="1" s="290">
      <c r="A124" s="30" t="n"/>
      <c r="B124" s="30" t="n"/>
      <c r="C124" s="30" t="n"/>
      <c r="D124" s="324" t="n"/>
      <c r="E124" s="53" t="n"/>
      <c r="F124" s="54" t="n"/>
      <c r="G124" s="55" t="n"/>
      <c r="H124" s="55" t="n"/>
      <c r="I124" s="55" t="n"/>
      <c r="J124" s="56" t="n"/>
      <c r="K124" s="56" t="n"/>
      <c r="L124" s="34">
        <f>HYPERLINK(Table544[[#This Row],[Column1]])</f>
        <v/>
      </c>
    </row>
    <row r="125" ht="30" customHeight="1" s="290">
      <c r="A125" s="30" t="n"/>
      <c r="B125" s="30" t="n"/>
      <c r="C125" s="30" t="n"/>
      <c r="D125" s="324" t="n"/>
      <c r="E125" s="53" t="n"/>
      <c r="F125" s="54" t="n"/>
      <c r="G125" s="55" t="n"/>
      <c r="H125" s="55" t="n"/>
      <c r="I125" s="55" t="n"/>
      <c r="J125" s="56" t="n"/>
      <c r="K125" s="56" t="n"/>
      <c r="L125" s="34">
        <f>HYPERLINK(Table544[[#This Row],[Column1]])</f>
        <v/>
      </c>
    </row>
    <row r="126" ht="45" customHeight="1" s="290">
      <c r="A126" s="30" t="n"/>
      <c r="B126" s="30" t="n"/>
      <c r="C126" s="30" t="n"/>
      <c r="D126" s="324" t="n"/>
      <c r="E126" s="53" t="n"/>
      <c r="F126" s="54" t="n"/>
      <c r="G126" s="55" t="n"/>
      <c r="H126" s="55" t="n"/>
      <c r="I126" s="55" t="n"/>
      <c r="J126" s="56" t="n"/>
      <c r="K126" s="56" t="n"/>
      <c r="L126" s="34">
        <f>HYPERLINK(Table544[[#This Row],[Column1]])</f>
        <v/>
      </c>
    </row>
    <row r="127" ht="45" customHeight="1" s="290">
      <c r="A127" s="30" t="n"/>
      <c r="B127" s="30" t="n"/>
      <c r="C127" s="30" t="n"/>
      <c r="D127" s="324" t="n"/>
      <c r="E127" s="53" t="n"/>
      <c r="F127" s="54" t="n"/>
      <c r="G127" s="55" t="n"/>
      <c r="H127" s="55" t="n"/>
      <c r="I127" s="55" t="n"/>
      <c r="J127" s="56" t="n"/>
      <c r="K127" s="56" t="n"/>
      <c r="L127" s="34">
        <f>HYPERLINK(Table544[[#This Row],[Column1]])</f>
        <v/>
      </c>
    </row>
    <row r="128" ht="17" customHeight="1" s="290">
      <c r="A128" s="33" t="inlineStr">
        <is>
          <t>Total</t>
        </is>
      </c>
      <c r="B128" s="32" t="n"/>
      <c r="C128" s="325" t="n"/>
      <c r="D128" s="325" t="n"/>
      <c r="E128" s="59">
        <f>SUM(Table544[Estimated 12mo Revenue])</f>
        <v/>
      </c>
      <c r="F128" s="59">
        <f>SUM(Table544[Monthly Rev])</f>
        <v/>
      </c>
      <c r="I128" s="286" t="n"/>
      <c r="J128" s="287" t="n"/>
    </row>
    <row r="131">
      <c r="A131" s="283" t="inlineStr">
        <is>
          <t>Rank by Units</t>
        </is>
      </c>
    </row>
    <row r="132" ht="17" customHeight="1" s="290">
      <c r="A132" s="38" t="inlineStr">
        <is>
          <t>Product Name</t>
        </is>
      </c>
      <c r="B132" s="39" t="inlineStr">
        <is>
          <t>ASIN</t>
        </is>
      </c>
      <c r="C132" s="39" t="inlineStr">
        <is>
          <t>Type</t>
        </is>
      </c>
      <c r="D132" s="322" t="inlineStr">
        <is>
          <t>Avg Price</t>
        </is>
      </c>
      <c r="E132" s="41" t="inlineStr">
        <is>
          <t>Estimated 12mo Revenue</t>
        </is>
      </c>
      <c r="F132" s="39" t="inlineStr">
        <is>
          <t>Monthly Rev</t>
        </is>
      </c>
      <c r="G132" s="42" t="inlineStr">
        <is>
          <t>Estimated 12mo Units</t>
        </is>
      </c>
      <c r="H132" s="45" t="inlineStr">
        <is>
          <t>Monthly Units</t>
        </is>
      </c>
      <c r="I132" s="42" t="inlineStr">
        <is>
          <t># of Reviews</t>
        </is>
      </c>
      <c r="J132" s="43" t="inlineStr">
        <is>
          <t xml:space="preserve">Tool Rating </t>
        </is>
      </c>
      <c r="K132" s="43" t="inlineStr">
        <is>
          <t>Column1</t>
        </is>
      </c>
      <c r="L132" s="323" t="inlineStr">
        <is>
          <t>Link</t>
        </is>
      </c>
    </row>
    <row r="133" ht="45" customHeight="1" s="290">
      <c r="A133" s="30" t="inlineStr">
        <is>
          <t>Veepeak OBDCheck BLE Bluetooth OBD II Scanner for iOS &amp; Android, Car Wireless Check Engine Light Code Reader Diagnostic Tool</t>
        </is>
      </c>
      <c r="B133" s="30" t="inlineStr">
        <is>
          <t>B073XKQQQW</t>
        </is>
      </c>
      <c r="C133" s="30" t="inlineStr">
        <is>
          <t>Dongle</t>
        </is>
      </c>
      <c r="D133" s="324" t="n">
        <v>31.51586355616546</v>
      </c>
      <c r="E133" s="53" t="n">
        <v>1765906.42</v>
      </c>
      <c r="F133" s="53" t="n">
        <v>160762.42</v>
      </c>
      <c r="G133" s="55" t="n">
        <v>56473</v>
      </c>
      <c r="H133" s="57" t="n">
        <v>5101</v>
      </c>
      <c r="I133" s="55" t="n">
        <v>23468</v>
      </c>
      <c r="J133" s="56" t="n">
        <v>4.5</v>
      </c>
      <c r="K133" s="56" t="inlineStr">
        <is>
          <t>https://amazon.com/dp/B073XKQQQW</t>
        </is>
      </c>
      <c r="L133" s="34">
        <f>HYPERLINK(Veepeak_1[[#This Row],[Column1]])</f>
        <v/>
      </c>
    </row>
    <row r="134" ht="45" customHeight="1" s="290">
      <c r="A134" s="30" t="inlineStr">
        <is>
          <t>Veepeak OBDCheck BLE+ Bluetooth OBD II Scanner for iOS &amp; Android, Car Check Engine Code Reader Wireless OBD Diagnostic Scan Tool</t>
        </is>
      </c>
      <c r="B134" s="30" t="inlineStr">
        <is>
          <t>B076XVQMVS</t>
        </is>
      </c>
      <c r="C134" s="30" t="inlineStr">
        <is>
          <t>Dongle</t>
        </is>
      </c>
      <c r="D134" s="324" t="n">
        <v>41.43043495145631</v>
      </c>
      <c r="E134" s="53" t="n">
        <v>806092.9799999999</v>
      </c>
      <c r="F134" s="53" t="n">
        <v>106683.37</v>
      </c>
      <c r="G134" s="55" t="n">
        <v>19331</v>
      </c>
      <c r="H134" s="57" t="n">
        <v>2575</v>
      </c>
      <c r="I134" s="55" t="n">
        <v>10842</v>
      </c>
      <c r="J134" s="56" t="n">
        <v>4.6</v>
      </c>
      <c r="K134" s="56" t="inlineStr">
        <is>
          <t>https://amazon.com/dp/B076XVQMVS</t>
        </is>
      </c>
      <c r="L134" s="34">
        <f>HYPERLINK(Veepeak_1[[#This Row],[Column1]])</f>
        <v/>
      </c>
    </row>
    <row r="135" ht="45" customHeight="1" s="290">
      <c r="A135" s="30" t="inlineStr">
        <is>
          <t>Veepeak Mini Bluetooth OBD2 Scanner for Android ONLY (NOT for iOS) – Car Wireless Check Engine Light Code Reader &amp; Diagnostic Tool</t>
        </is>
      </c>
      <c r="B135" s="30" t="inlineStr">
        <is>
          <t>B011NSX27A</t>
        </is>
      </c>
      <c r="C135" s="30" t="inlineStr">
        <is>
          <t>Dongle</t>
        </is>
      </c>
      <c r="D135" s="324" t="n">
        <v>14.47829914529914</v>
      </c>
      <c r="E135" s="53" t="n">
        <v>237383.92</v>
      </c>
      <c r="F135" s="53" t="n">
        <v>16939.61</v>
      </c>
      <c r="G135" s="55" t="n">
        <v>15902</v>
      </c>
      <c r="H135" s="57" t="n">
        <v>1170</v>
      </c>
      <c r="I135" s="55" t="n">
        <v>18622</v>
      </c>
      <c r="J135" s="56" t="n">
        <v>4.4</v>
      </c>
      <c r="K135" s="56" t="inlineStr">
        <is>
          <t>https://amazon.com/dp/B011NSX27A</t>
        </is>
      </c>
      <c r="L135" s="34">
        <f>HYPERLINK(Veepeak_1[[#This Row],[Column1]])</f>
        <v/>
      </c>
    </row>
    <row r="136" ht="45" customHeight="1" s="290">
      <c r="A136" s="30" t="inlineStr">
        <is>
          <t>Veepeak Car OBD2 Scanner Diagnostic Tool, Auto Check Engine Light Code Reader Reset Tool for 1996+ OBD-II Compliant Vehicles, Carrying Case Included</t>
        </is>
      </c>
      <c r="B136" s="30" t="inlineStr">
        <is>
          <t>B0DYDS78Q2</t>
        </is>
      </c>
      <c r="C136" s="30" t="inlineStr">
        <is>
          <t>Handheld</t>
        </is>
      </c>
      <c r="D136" s="324" t="n">
        <v>25.70851851851852</v>
      </c>
      <c r="E136" s="53" t="n">
        <v>15649.57</v>
      </c>
      <c r="F136" s="53" t="n">
        <v>694.13</v>
      </c>
      <c r="G136" s="55" t="n">
        <v>534</v>
      </c>
      <c r="H136" s="57" t="n">
        <v>27</v>
      </c>
      <c r="I136" s="55" t="n">
        <v>141</v>
      </c>
      <c r="J136" s="56" t="n">
        <v>4.4</v>
      </c>
      <c r="K136" s="56" t="inlineStr">
        <is>
          <t>https://amazon.com/dp/B0DYDS78Q2</t>
        </is>
      </c>
      <c r="L136" s="34">
        <f>HYPERLINK(Veepeak_1[[#This Row],[Column1]])</f>
        <v/>
      </c>
    </row>
    <row r="137" ht="45" customHeight="1" s="290">
      <c r="A137" s="30" t="n"/>
      <c r="B137" s="30" t="n"/>
      <c r="C137" s="30" t="n"/>
      <c r="D137" s="324" t="n"/>
      <c r="E137" s="53" t="n"/>
      <c r="F137" s="53" t="n"/>
      <c r="G137" s="55" t="n"/>
      <c r="H137" s="57" t="n"/>
      <c r="I137" s="55" t="n"/>
      <c r="J137" s="56" t="n"/>
      <c r="K137" s="56" t="n"/>
      <c r="L137" s="34">
        <f>HYPERLINK(Table65[[#This Row],[Column1]])</f>
        <v/>
      </c>
    </row>
    <row r="138" ht="45" customHeight="1" s="290">
      <c r="A138" s="30" t="n"/>
      <c r="B138" s="30" t="n"/>
      <c r="C138" s="30" t="n"/>
      <c r="D138" s="324" t="n"/>
      <c r="E138" s="53" t="n"/>
      <c r="F138" s="53" t="n"/>
      <c r="G138" s="55" t="n"/>
      <c r="H138" s="57" t="n"/>
      <c r="I138" s="55" t="n"/>
      <c r="J138" s="56" t="n"/>
      <c r="K138" s="56" t="n"/>
      <c r="L138" s="34">
        <f>HYPERLINK(Table65[[#This Row],[Column1]])</f>
        <v/>
      </c>
    </row>
    <row r="139" ht="45" customHeight="1" s="290">
      <c r="A139" s="30" t="n"/>
      <c r="B139" s="30" t="n"/>
      <c r="C139" s="30" t="n"/>
      <c r="D139" s="324" t="n"/>
      <c r="E139" s="53" t="n"/>
      <c r="F139" s="53" t="n"/>
      <c r="G139" s="55" t="n"/>
      <c r="H139" s="57" t="n"/>
      <c r="I139" s="55" t="n"/>
      <c r="J139" s="56" t="n"/>
      <c r="K139" s="56" t="n"/>
      <c r="L139" s="34">
        <f>HYPERLINK(Table65[[#This Row],[Column1]])</f>
        <v/>
      </c>
    </row>
    <row r="140" ht="45" customHeight="1" s="290">
      <c r="A140" s="30" t="n"/>
      <c r="B140" s="30" t="n"/>
      <c r="C140" s="30" t="n"/>
      <c r="D140" s="324" t="n"/>
      <c r="E140" s="53" t="n"/>
      <c r="F140" s="53" t="n"/>
      <c r="G140" s="55" t="n"/>
      <c r="H140" s="57" t="n"/>
      <c r="I140" s="55" t="n"/>
      <c r="J140" s="56" t="n"/>
      <c r="K140" s="56" t="n"/>
      <c r="L140" s="34">
        <f>HYPERLINK(Table65[[#This Row],[Column1]])</f>
        <v/>
      </c>
    </row>
    <row r="141" ht="30" customHeight="1" s="290">
      <c r="A141" s="30" t="n"/>
      <c r="B141" s="30" t="n"/>
      <c r="C141" s="30" t="n"/>
      <c r="D141" s="324" t="n"/>
      <c r="E141" s="53" t="n"/>
      <c r="F141" s="53" t="n"/>
      <c r="G141" s="55" t="n"/>
      <c r="H141" s="57" t="n"/>
      <c r="I141" s="55" t="n"/>
      <c r="J141" s="56" t="n"/>
      <c r="K141" s="56" t="n"/>
      <c r="L141" s="34">
        <f>HYPERLINK(Table65[[#This Row],[Column1]])</f>
        <v/>
      </c>
    </row>
    <row r="142" ht="45" customHeight="1" s="290">
      <c r="A142" s="30" t="n"/>
      <c r="B142" s="30" t="n"/>
      <c r="C142" s="30" t="n"/>
      <c r="D142" s="324" t="n"/>
      <c r="E142" s="53" t="n"/>
      <c r="F142" s="53" t="n"/>
      <c r="G142" s="55" t="n"/>
      <c r="H142" s="57" t="n"/>
      <c r="I142" s="55" t="n"/>
      <c r="J142" s="56" t="n"/>
      <c r="K142" s="56" t="n"/>
      <c r="L142" s="34">
        <f>HYPERLINK(Table65[[#This Row],[Column1]])</f>
        <v/>
      </c>
    </row>
    <row r="143" ht="45" customHeight="1" s="290">
      <c r="A143" s="30" t="n"/>
      <c r="B143" s="30" t="n"/>
      <c r="C143" s="30" t="n"/>
      <c r="D143" s="324" t="n"/>
      <c r="E143" s="53" t="n"/>
      <c r="F143" s="53" t="n"/>
      <c r="G143" s="55" t="n"/>
      <c r="H143" s="57" t="n"/>
      <c r="I143" s="55" t="n"/>
      <c r="J143" s="56" t="n"/>
      <c r="K143" s="56" t="n"/>
      <c r="L143" s="34">
        <f>HYPERLINK(Table65[[#This Row],[Column1]])</f>
        <v/>
      </c>
    </row>
    <row r="144" ht="45" customHeight="1" s="290">
      <c r="A144" s="30" t="n"/>
      <c r="B144" s="30" t="n"/>
      <c r="C144" s="30" t="n"/>
      <c r="D144" s="324" t="n"/>
      <c r="E144" s="53" t="n"/>
      <c r="F144" s="53" t="n"/>
      <c r="G144" s="55" t="n"/>
      <c r="H144" s="57" t="n"/>
      <c r="I144" s="55" t="n"/>
      <c r="J144" s="56" t="n"/>
      <c r="K144" s="56" t="n"/>
      <c r="L144" s="34">
        <f>HYPERLINK(Table65[[#This Row],[Column1]])</f>
        <v/>
      </c>
    </row>
    <row r="145" ht="45" customHeight="1" s="290">
      <c r="A145" s="30" t="n"/>
      <c r="B145" s="30" t="n"/>
      <c r="C145" s="30" t="n"/>
      <c r="D145" s="324" t="n"/>
      <c r="E145" s="53" t="n"/>
      <c r="F145" s="53" t="n"/>
      <c r="G145" s="55" t="n"/>
      <c r="H145" s="57" t="n"/>
      <c r="I145" s="55" t="n"/>
      <c r="J145" s="56" t="n"/>
      <c r="K145" s="56" t="n"/>
      <c r="L145" s="34">
        <f>HYPERLINK(Table65[[#This Row],[Column1]])</f>
        <v/>
      </c>
    </row>
    <row r="146" ht="60" customHeight="1" s="290">
      <c r="A146" s="30" t="n"/>
      <c r="B146" s="30" t="n"/>
      <c r="C146" s="30" t="n"/>
      <c r="D146" s="324" t="n"/>
      <c r="E146" s="53" t="n"/>
      <c r="F146" s="53" t="n"/>
      <c r="G146" s="55" t="n"/>
      <c r="H146" s="57" t="n"/>
      <c r="I146" s="55" t="n"/>
      <c r="J146" s="56" t="n"/>
      <c r="K146" s="56" t="n"/>
      <c r="L146" s="34">
        <f>HYPERLINK(Table65[[#This Row],[Column1]])</f>
        <v/>
      </c>
    </row>
    <row r="147" ht="45" customHeight="1" s="290">
      <c r="A147" s="30" t="n"/>
      <c r="B147" s="30" t="n"/>
      <c r="C147" s="30" t="n"/>
      <c r="D147" s="324" t="n"/>
      <c r="E147" s="53" t="n"/>
      <c r="F147" s="53" t="n"/>
      <c r="G147" s="55" t="n"/>
      <c r="H147" s="57" t="n"/>
      <c r="I147" s="55" t="n"/>
      <c r="J147" s="56" t="n"/>
      <c r="K147" s="56" t="n"/>
      <c r="L147" s="34">
        <f>HYPERLINK(Table65[[#This Row],[Column1]])</f>
        <v/>
      </c>
    </row>
    <row r="148" ht="45" customHeight="1" s="290">
      <c r="A148" s="30" t="n"/>
      <c r="B148" s="30" t="n"/>
      <c r="C148" s="30" t="n"/>
      <c r="D148" s="324" t="n"/>
      <c r="E148" s="53" t="n"/>
      <c r="F148" s="53" t="n"/>
      <c r="G148" s="55" t="n"/>
      <c r="H148" s="57" t="n"/>
      <c r="I148" s="55" t="n"/>
      <c r="J148" s="56" t="n"/>
      <c r="K148" s="56" t="n"/>
      <c r="L148" s="34">
        <f>HYPERLINK(Table65[[#This Row],[Column1]])</f>
        <v/>
      </c>
    </row>
    <row r="149" ht="45" customHeight="1" s="290">
      <c r="A149" s="30" t="n"/>
      <c r="B149" s="30" t="n"/>
      <c r="C149" s="30" t="n"/>
      <c r="D149" s="324" t="n"/>
      <c r="E149" s="53" t="n"/>
      <c r="F149" s="53" t="n"/>
      <c r="G149" s="55" t="n"/>
      <c r="H149" s="57" t="n"/>
      <c r="I149" s="55" t="n"/>
      <c r="J149" s="56" t="n"/>
      <c r="K149" s="56" t="n"/>
      <c r="L149" s="34">
        <f>HYPERLINK(Table65[[#This Row],[Column1]])</f>
        <v/>
      </c>
    </row>
    <row r="150" ht="45" customHeight="1" s="290">
      <c r="A150" s="30" t="n"/>
      <c r="B150" s="30" t="n"/>
      <c r="C150" s="30" t="n"/>
      <c r="D150" s="324" t="n"/>
      <c r="E150" s="53" t="n"/>
      <c r="F150" s="53" t="n"/>
      <c r="G150" s="55" t="n"/>
      <c r="H150" s="57" t="n"/>
      <c r="I150" s="55" t="n"/>
      <c r="J150" s="56" t="n"/>
      <c r="K150" s="56" t="n"/>
      <c r="L150" s="34">
        <f>HYPERLINK(Table65[[#This Row],[Column1]])</f>
        <v/>
      </c>
    </row>
    <row r="151" ht="45" customHeight="1" s="290">
      <c r="A151" s="30" t="n"/>
      <c r="B151" s="30" t="n"/>
      <c r="C151" s="30" t="n"/>
      <c r="D151" s="324" t="n"/>
      <c r="E151" s="53" t="n"/>
      <c r="F151" s="53" t="n"/>
      <c r="G151" s="55" t="n"/>
      <c r="H151" s="57" t="n"/>
      <c r="I151" s="55" t="n"/>
      <c r="J151" s="56" t="n"/>
      <c r="K151" s="56" t="n"/>
      <c r="L151" s="34">
        <f>HYPERLINK(Table65[[#This Row],[Column1]])</f>
        <v/>
      </c>
    </row>
    <row r="152" ht="45" customHeight="1" s="290">
      <c r="A152" s="30" t="n"/>
      <c r="B152" s="30" t="n"/>
      <c r="C152" s="30" t="n"/>
      <c r="D152" s="324" t="n"/>
      <c r="E152" s="53" t="n"/>
      <c r="F152" s="53" t="n"/>
      <c r="G152" s="55" t="n"/>
      <c r="H152" s="57" t="n"/>
      <c r="I152" s="55" t="n"/>
      <c r="J152" s="56" t="n"/>
      <c r="K152" s="56" t="n"/>
      <c r="L152" s="34">
        <f>HYPERLINK(Table65[[#This Row],[Column1]])</f>
        <v/>
      </c>
    </row>
    <row r="153" ht="60" customHeight="1" s="290">
      <c r="A153" s="30" t="n"/>
      <c r="B153" s="30" t="n"/>
      <c r="C153" s="30" t="n"/>
      <c r="D153" s="324" t="n"/>
      <c r="E153" s="53" t="n"/>
      <c r="F153" s="53" t="n"/>
      <c r="G153" s="55" t="n"/>
      <c r="H153" s="57" t="n"/>
      <c r="I153" s="55" t="n"/>
      <c r="J153" s="56" t="n"/>
      <c r="K153" s="56" t="n"/>
      <c r="L153" s="34">
        <f>HYPERLINK(Table65[[#This Row],[Column1]])</f>
        <v/>
      </c>
    </row>
    <row r="154" ht="45" customHeight="1" s="290">
      <c r="A154" s="30" t="n"/>
      <c r="B154" s="30" t="n"/>
      <c r="C154" s="30" t="n"/>
      <c r="D154" s="324" t="n"/>
      <c r="E154" s="53" t="n"/>
      <c r="F154" s="53" t="n"/>
      <c r="G154" s="55" t="n"/>
      <c r="H154" s="57" t="n"/>
      <c r="I154" s="55" t="n"/>
      <c r="J154" s="56" t="n"/>
      <c r="K154" s="56" t="n"/>
      <c r="L154" s="34">
        <f>HYPERLINK(Table65[[#This Row],[Column1]])</f>
        <v/>
      </c>
    </row>
    <row r="155" ht="45" customHeight="1" s="290">
      <c r="A155" s="30" t="n"/>
      <c r="B155" s="30" t="n"/>
      <c r="C155" s="30" t="n"/>
      <c r="D155" s="324" t="n"/>
      <c r="E155" s="53" t="n"/>
      <c r="F155" s="53" t="n"/>
      <c r="G155" s="55" t="n"/>
      <c r="H155" s="57" t="n"/>
      <c r="I155" s="55" t="n"/>
      <c r="J155" s="56" t="n"/>
      <c r="K155" s="56" t="n"/>
      <c r="L155" s="34">
        <f>HYPERLINK(Table65[[#This Row],[Column1]])</f>
        <v/>
      </c>
    </row>
    <row r="156" ht="45" customHeight="1" s="290">
      <c r="A156" s="30" t="n"/>
      <c r="B156" s="30" t="n"/>
      <c r="C156" s="30" t="n"/>
      <c r="D156" s="324" t="n"/>
      <c r="E156" s="53" t="n"/>
      <c r="F156" s="53" t="n"/>
      <c r="G156" s="55" t="n"/>
      <c r="H156" s="57" t="n"/>
      <c r="I156" s="55" t="n"/>
      <c r="J156" s="56" t="n"/>
      <c r="K156" s="56" t="n"/>
      <c r="L156" s="34">
        <f>HYPERLINK(Table65[[#This Row],[Column1]])</f>
        <v/>
      </c>
    </row>
    <row r="157" ht="45" customHeight="1" s="290">
      <c r="A157" s="30" t="n"/>
      <c r="B157" s="30" t="n"/>
      <c r="C157" s="30" t="n"/>
      <c r="D157" s="324" t="n"/>
      <c r="E157" s="53" t="n"/>
      <c r="F157" s="53" t="n"/>
      <c r="G157" s="55" t="n"/>
      <c r="H157" s="57" t="n"/>
      <c r="I157" s="55" t="n"/>
      <c r="J157" s="56" t="n"/>
      <c r="K157" s="56" t="n"/>
      <c r="L157" s="34">
        <f>HYPERLINK(Table65[[#This Row],[Column1]])</f>
        <v/>
      </c>
    </row>
    <row r="158" ht="45" customHeight="1" s="290">
      <c r="A158" s="30" t="n"/>
      <c r="B158" s="30" t="n"/>
      <c r="C158" s="30" t="n"/>
      <c r="D158" s="324" t="n"/>
      <c r="E158" s="53" t="n"/>
      <c r="F158" s="53" t="n"/>
      <c r="G158" s="55" t="n"/>
      <c r="H158" s="57" t="n"/>
      <c r="I158" s="55" t="n"/>
      <c r="J158" s="56" t="n"/>
      <c r="K158" s="56" t="n"/>
      <c r="L158" s="34">
        <f>HYPERLINK(Table65[[#This Row],[Column1]])</f>
        <v/>
      </c>
    </row>
    <row r="159" ht="45" customHeight="1" s="290">
      <c r="A159" s="30" t="n"/>
      <c r="B159" s="30" t="n"/>
      <c r="C159" s="30" t="n"/>
      <c r="D159" s="324" t="n"/>
      <c r="E159" s="53" t="n"/>
      <c r="F159" s="53" t="n"/>
      <c r="G159" s="55" t="n"/>
      <c r="H159" s="57" t="n"/>
      <c r="I159" s="55" t="n"/>
      <c r="J159" s="56" t="n"/>
      <c r="K159" s="56" t="n"/>
      <c r="L159" s="34">
        <f>HYPERLINK(Table65[[#This Row],[Column1]])</f>
        <v/>
      </c>
    </row>
    <row r="160" ht="45" customHeight="1" s="290">
      <c r="A160" s="30" t="n"/>
      <c r="B160" s="30" t="n"/>
      <c r="C160" s="30" t="n"/>
      <c r="D160" s="324" t="n"/>
      <c r="E160" s="53" t="n"/>
      <c r="F160" s="53" t="n"/>
      <c r="G160" s="55" t="n"/>
      <c r="H160" s="57" t="n"/>
      <c r="I160" s="55" t="n"/>
      <c r="J160" s="56" t="n"/>
      <c r="K160" s="56" t="n"/>
      <c r="L160" s="34">
        <f>HYPERLINK(Table65[[#This Row],[Column1]])</f>
        <v/>
      </c>
    </row>
    <row r="161" ht="60" customHeight="1" s="290">
      <c r="A161" s="30" t="n"/>
      <c r="B161" s="30" t="n"/>
      <c r="C161" s="30" t="n"/>
      <c r="D161" s="324" t="n"/>
      <c r="E161" s="53" t="n"/>
      <c r="F161" s="53" t="n"/>
      <c r="G161" s="55" t="n"/>
      <c r="H161" s="57" t="n"/>
      <c r="I161" s="55" t="n"/>
      <c r="J161" s="56" t="n"/>
      <c r="K161" s="56" t="n"/>
      <c r="L161" s="34">
        <f>HYPERLINK(Table65[[#This Row],[Column1]])</f>
        <v/>
      </c>
    </row>
    <row r="162" ht="45" customHeight="1" s="290">
      <c r="A162" s="30" t="n"/>
      <c r="B162" s="30" t="n"/>
      <c r="C162" s="30" t="n"/>
      <c r="D162" s="324" t="n"/>
      <c r="E162" s="53" t="n"/>
      <c r="F162" s="53" t="n"/>
      <c r="G162" s="55" t="n"/>
      <c r="H162" s="57" t="n"/>
      <c r="I162" s="55" t="n"/>
      <c r="J162" s="56" t="n"/>
      <c r="K162" s="56" t="n"/>
      <c r="L162" s="34">
        <f>HYPERLINK(Table65[[#This Row],[Column1]])</f>
        <v/>
      </c>
    </row>
    <row r="163" ht="45" customHeight="1" s="290">
      <c r="A163" s="30" t="n"/>
      <c r="B163" s="30" t="n"/>
      <c r="C163" s="30" t="n"/>
      <c r="D163" s="324" t="n"/>
      <c r="E163" s="53" t="n"/>
      <c r="F163" s="53" t="n"/>
      <c r="G163" s="55" t="n"/>
      <c r="H163" s="57" t="n"/>
      <c r="I163" s="55" t="n"/>
      <c r="J163" s="56" t="n"/>
      <c r="K163" s="56" t="n"/>
      <c r="L163" s="34">
        <f>HYPERLINK(Table65[[#This Row],[Column1]])</f>
        <v/>
      </c>
    </row>
    <row r="164" ht="45" customHeight="1" s="290">
      <c r="A164" s="30" t="n"/>
      <c r="B164" s="30" t="n"/>
      <c r="C164" s="30" t="n"/>
      <c r="D164" s="324" t="n"/>
      <c r="E164" s="53" t="n"/>
      <c r="F164" s="53" t="n"/>
      <c r="G164" s="55" t="n"/>
      <c r="H164" s="57" t="n"/>
      <c r="I164" s="55" t="n"/>
      <c r="J164" s="56" t="n"/>
      <c r="K164" s="56" t="n"/>
      <c r="L164" s="34">
        <f>HYPERLINK(Table65[[#This Row],[Column1]])</f>
        <v/>
      </c>
    </row>
    <row r="165" ht="45" customHeight="1" s="290">
      <c r="A165" s="30" t="n"/>
      <c r="B165" s="30" t="n"/>
      <c r="C165" s="30" t="n"/>
      <c r="D165" s="324" t="n"/>
      <c r="E165" s="53" t="n"/>
      <c r="F165" s="53" t="n"/>
      <c r="G165" s="55" t="n"/>
      <c r="H165" s="57" t="n"/>
      <c r="I165" s="55" t="n"/>
      <c r="J165" s="56" t="n"/>
      <c r="K165" s="56" t="n"/>
      <c r="L165" s="34">
        <f>HYPERLINK(Table65[[#This Row],[Column1]])</f>
        <v/>
      </c>
    </row>
    <row r="166" ht="45" customHeight="1" s="290">
      <c r="A166" s="30" t="n"/>
      <c r="B166" s="30" t="n"/>
      <c r="C166" s="30" t="n"/>
      <c r="D166" s="324" t="n"/>
      <c r="E166" s="53" t="n"/>
      <c r="F166" s="53" t="n"/>
      <c r="G166" s="55" t="n"/>
      <c r="H166" s="57" t="n"/>
      <c r="I166" s="55" t="n"/>
      <c r="J166" s="56" t="n"/>
      <c r="K166" s="56" t="n"/>
      <c r="L166" s="34">
        <f>HYPERLINK(Table65[[#This Row],[Column1]])</f>
        <v/>
      </c>
    </row>
    <row r="167" ht="45" customHeight="1" s="290">
      <c r="A167" s="30" t="n"/>
      <c r="B167" s="30" t="n"/>
      <c r="C167" s="30" t="n"/>
      <c r="D167" s="324" t="n"/>
      <c r="E167" s="53" t="n"/>
      <c r="F167" s="53" t="n"/>
      <c r="G167" s="55" t="n"/>
      <c r="H167" s="57" t="n"/>
      <c r="I167" s="55" t="n"/>
      <c r="J167" s="56" t="n"/>
      <c r="K167" s="56" t="n"/>
      <c r="L167" s="34">
        <f>HYPERLINK(Table65[[#This Row],[Column1]])</f>
        <v/>
      </c>
    </row>
    <row r="168" ht="45" customHeight="1" s="290">
      <c r="A168" s="30" t="n"/>
      <c r="B168" s="30" t="n"/>
      <c r="C168" s="30" t="n"/>
      <c r="D168" s="324" t="n"/>
      <c r="E168" s="53" t="n"/>
      <c r="F168" s="53" t="n"/>
      <c r="G168" s="55" t="n"/>
      <c r="H168" s="57" t="n"/>
      <c r="I168" s="55" t="n"/>
      <c r="J168" s="56" t="n"/>
      <c r="K168" s="56" t="n"/>
      <c r="L168" s="34">
        <f>HYPERLINK(Table65[[#This Row],[Column1]])</f>
        <v/>
      </c>
    </row>
    <row r="169" ht="45" customHeight="1" s="290">
      <c r="A169" s="30" t="n"/>
      <c r="B169" s="30" t="n"/>
      <c r="C169" s="30" t="n"/>
      <c r="D169" s="324" t="n"/>
      <c r="E169" s="53" t="n"/>
      <c r="F169" s="53" t="n"/>
      <c r="G169" s="55" t="n"/>
      <c r="H169" s="57" t="n"/>
      <c r="I169" s="55" t="n"/>
      <c r="J169" s="56" t="n"/>
      <c r="K169" s="56" t="n"/>
      <c r="L169" s="34">
        <f>HYPERLINK(Table65[[#This Row],[Column1]])</f>
        <v/>
      </c>
    </row>
    <row r="170" ht="30" customHeight="1" s="290">
      <c r="A170" s="30" t="n"/>
      <c r="B170" s="30" t="n"/>
      <c r="C170" s="30" t="n"/>
      <c r="D170" s="324" t="n"/>
      <c r="E170" s="53" t="n"/>
      <c r="F170" s="53" t="n"/>
      <c r="G170" s="55" t="n"/>
      <c r="H170" s="57" t="n"/>
      <c r="I170" s="55" t="n"/>
      <c r="J170" s="56" t="n"/>
      <c r="K170" s="56" t="n"/>
      <c r="L170" s="34">
        <f>HYPERLINK(Table65[[#This Row],[Column1]])</f>
        <v/>
      </c>
    </row>
    <row r="171" ht="45" customHeight="1" s="290">
      <c r="A171" s="30" t="n"/>
      <c r="B171" s="30" t="n"/>
      <c r="C171" s="30" t="n"/>
      <c r="D171" s="324" t="n"/>
      <c r="E171" s="53" t="n"/>
      <c r="F171" s="53" t="n"/>
      <c r="G171" s="55" t="n"/>
      <c r="H171" s="57" t="n"/>
      <c r="I171" s="55" t="n"/>
      <c r="J171" s="56" t="n"/>
      <c r="K171" s="56" t="n"/>
      <c r="L171" s="34">
        <f>HYPERLINK(Table65[[#This Row],[Column1]])</f>
        <v/>
      </c>
    </row>
    <row r="172" ht="45" customHeight="1" s="290">
      <c r="A172" s="30" t="n"/>
      <c r="B172" s="30" t="n"/>
      <c r="C172" s="30" t="n"/>
      <c r="D172" s="324" t="n"/>
      <c r="E172" s="53" t="n"/>
      <c r="F172" s="53" t="n"/>
      <c r="G172" s="55" t="n"/>
      <c r="H172" s="57" t="n"/>
      <c r="I172" s="55" t="n"/>
      <c r="J172" s="56" t="n"/>
      <c r="K172" s="56" t="n"/>
      <c r="L172" s="34">
        <f>HYPERLINK(Table65[[#This Row],[Column1]])</f>
        <v/>
      </c>
    </row>
    <row r="173" ht="45" customHeight="1" s="290">
      <c r="A173" s="30" t="n"/>
      <c r="B173" s="30" t="n"/>
      <c r="C173" s="30" t="n"/>
      <c r="D173" s="324" t="n"/>
      <c r="E173" s="53" t="n"/>
      <c r="F173" s="53" t="n"/>
      <c r="G173" s="55" t="n"/>
      <c r="H173" s="57" t="n"/>
      <c r="I173" s="55" t="n"/>
      <c r="J173" s="56" t="n"/>
      <c r="K173" s="56" t="n"/>
      <c r="L173" s="34">
        <f>HYPERLINK(Table65[[#This Row],[Column1]])</f>
        <v/>
      </c>
    </row>
    <row r="174" ht="45" customHeight="1" s="290">
      <c r="A174" s="30" t="n"/>
      <c r="B174" s="30" t="n"/>
      <c r="C174" s="30" t="n"/>
      <c r="D174" s="324" t="n"/>
      <c r="E174" s="53" t="n"/>
      <c r="F174" s="53" t="n"/>
      <c r="G174" s="55" t="n"/>
      <c r="H174" s="57" t="n"/>
      <c r="I174" s="55" t="n"/>
      <c r="J174" s="56" t="n"/>
      <c r="K174" s="56" t="n"/>
      <c r="L174" s="34">
        <f>HYPERLINK(Table65[[#This Row],[Column1]])</f>
        <v/>
      </c>
    </row>
    <row r="175" ht="45" customHeight="1" s="290">
      <c r="A175" s="30" t="n"/>
      <c r="B175" s="30" t="n"/>
      <c r="C175" s="30" t="n"/>
      <c r="D175" s="324" t="n"/>
      <c r="E175" s="53" t="n"/>
      <c r="F175" s="53" t="n"/>
      <c r="G175" s="55" t="n"/>
      <c r="H175" s="57" t="n"/>
      <c r="I175" s="55" t="n"/>
      <c r="J175" s="56" t="n"/>
      <c r="K175" s="56" t="n"/>
      <c r="L175" s="34">
        <f>HYPERLINK(Table65[[#This Row],[Column1]])</f>
        <v/>
      </c>
    </row>
    <row r="176" ht="60" customHeight="1" s="290">
      <c r="A176" s="30" t="n"/>
      <c r="B176" s="30" t="n"/>
      <c r="C176" s="30" t="n"/>
      <c r="D176" s="324" t="n"/>
      <c r="E176" s="53" t="n"/>
      <c r="F176" s="53" t="n"/>
      <c r="G176" s="55" t="n"/>
      <c r="H176" s="57" t="n"/>
      <c r="I176" s="55" t="n"/>
      <c r="J176" s="56" t="n"/>
      <c r="K176" s="56" t="n"/>
      <c r="L176" s="34">
        <f>HYPERLINK(Table65[[#This Row],[Column1]])</f>
        <v/>
      </c>
    </row>
    <row r="177" ht="45" customHeight="1" s="290">
      <c r="A177" s="30" t="n"/>
      <c r="B177" s="30" t="n"/>
      <c r="C177" s="30" t="n"/>
      <c r="D177" s="324" t="n"/>
      <c r="E177" s="53" t="n"/>
      <c r="F177" s="53" t="n"/>
      <c r="G177" s="55" t="n"/>
      <c r="H177" s="57" t="n"/>
      <c r="I177" s="55" t="n"/>
      <c r="J177" s="56" t="n"/>
      <c r="K177" s="56" t="n"/>
      <c r="L177" s="34">
        <f>HYPERLINK(Table65[[#This Row],[Column1]])</f>
        <v/>
      </c>
    </row>
    <row r="178" ht="45" customHeight="1" s="290">
      <c r="A178" s="30" t="n"/>
      <c r="B178" s="30" t="n"/>
      <c r="C178" s="30" t="n"/>
      <c r="D178" s="324" t="n"/>
      <c r="E178" s="53" t="n"/>
      <c r="F178" s="53" t="n"/>
      <c r="G178" s="55" t="n"/>
      <c r="H178" s="57" t="n"/>
      <c r="I178" s="55" t="n"/>
      <c r="J178" s="56" t="n"/>
      <c r="K178" s="56" t="n"/>
      <c r="L178" s="34">
        <f>HYPERLINK(Table65[[#This Row],[Column1]])</f>
        <v/>
      </c>
    </row>
    <row r="179" ht="30" customHeight="1" s="290">
      <c r="A179" s="30" t="n"/>
      <c r="B179" s="30" t="n"/>
      <c r="C179" s="30" t="n"/>
      <c r="D179" s="324" t="n"/>
      <c r="E179" s="53" t="n"/>
      <c r="F179" s="53" t="n"/>
      <c r="G179" s="55" t="n"/>
      <c r="H179" s="57" t="n"/>
      <c r="I179" s="55" t="n"/>
      <c r="J179" s="56" t="n"/>
      <c r="K179" s="56" t="n"/>
      <c r="L179" s="34">
        <f>HYPERLINK(Table65[[#This Row],[Column1]])</f>
        <v/>
      </c>
    </row>
    <row r="180" ht="45" customHeight="1" s="290">
      <c r="A180" s="30" t="n"/>
      <c r="B180" s="30" t="n"/>
      <c r="C180" s="30" t="n"/>
      <c r="D180" s="324" t="n"/>
      <c r="E180" s="53" t="n"/>
      <c r="F180" s="53" t="n"/>
      <c r="G180" s="55" t="n"/>
      <c r="H180" s="57" t="n"/>
      <c r="I180" s="55" t="n"/>
      <c r="J180" s="56" t="n"/>
      <c r="K180" s="56" t="n"/>
      <c r="L180" s="34">
        <f>HYPERLINK(Table65[[#This Row],[Column1]])</f>
        <v/>
      </c>
    </row>
    <row r="181" ht="45" customHeight="1" s="290">
      <c r="A181" s="30" t="n"/>
      <c r="B181" s="30" t="n"/>
      <c r="C181" s="30" t="n"/>
      <c r="D181" s="324" t="n"/>
      <c r="E181" s="53" t="n"/>
      <c r="F181" s="53" t="n"/>
      <c r="G181" s="55" t="n"/>
      <c r="H181" s="57" t="n"/>
      <c r="I181" s="55" t="n"/>
      <c r="J181" s="56" t="n"/>
      <c r="K181" s="56" t="n"/>
      <c r="L181" s="34">
        <f>HYPERLINK(Table65[[#This Row],[Column1]])</f>
        <v/>
      </c>
    </row>
    <row r="182" ht="45" customHeight="1" s="290">
      <c r="A182" s="30" t="n"/>
      <c r="B182" s="30" t="n"/>
      <c r="C182" s="30" t="n"/>
      <c r="D182" s="324" t="n"/>
      <c r="E182" s="53" t="n"/>
      <c r="F182" s="53" t="n"/>
      <c r="G182" s="55" t="n"/>
      <c r="H182" s="57" t="n"/>
      <c r="I182" s="55" t="n"/>
      <c r="J182" s="56" t="n"/>
      <c r="K182" s="56" t="n"/>
      <c r="L182" s="34">
        <f>HYPERLINK(Table65[[#This Row],[Column1]])</f>
        <v/>
      </c>
    </row>
    <row r="183" ht="45" customHeight="1" s="290">
      <c r="A183" s="30" t="n"/>
      <c r="B183" s="30" t="n"/>
      <c r="C183" s="30" t="n"/>
      <c r="D183" s="324" t="n"/>
      <c r="E183" s="53" t="n"/>
      <c r="F183" s="53" t="n"/>
      <c r="G183" s="55" t="n"/>
      <c r="H183" s="57" t="n"/>
      <c r="I183" s="55" t="n"/>
      <c r="J183" s="56" t="n"/>
      <c r="K183" s="56" t="n"/>
      <c r="L183" s="34">
        <f>HYPERLINK(Table65[[#This Row],[Column1]])</f>
        <v/>
      </c>
    </row>
    <row r="184" ht="45" customHeight="1" s="290">
      <c r="A184" s="30" t="n"/>
      <c r="B184" s="30" t="n"/>
      <c r="C184" s="30" t="n"/>
      <c r="D184" s="324" t="n"/>
      <c r="E184" s="53" t="n"/>
      <c r="F184" s="53" t="n"/>
      <c r="G184" s="55" t="n"/>
      <c r="H184" s="57" t="n"/>
      <c r="I184" s="55" t="n"/>
      <c r="J184" s="56" t="n"/>
      <c r="K184" s="56" t="n"/>
      <c r="L184" s="34">
        <f>HYPERLINK(Table65[[#This Row],[Column1]])</f>
        <v/>
      </c>
    </row>
    <row r="185" ht="45" customHeight="1" s="290">
      <c r="A185" s="30" t="n"/>
      <c r="B185" s="30" t="n"/>
      <c r="C185" s="30" t="n"/>
      <c r="D185" s="324" t="n"/>
      <c r="E185" s="53" t="n"/>
      <c r="F185" s="53" t="n"/>
      <c r="G185" s="55" t="n"/>
      <c r="H185" s="57" t="n"/>
      <c r="I185" s="55" t="n"/>
      <c r="J185" s="56" t="n"/>
      <c r="K185" s="56" t="n"/>
      <c r="L185" s="34">
        <f>HYPERLINK(Table65[[#This Row],[Column1]])</f>
        <v/>
      </c>
    </row>
    <row r="186" ht="60" customHeight="1" s="290">
      <c r="A186" s="30" t="n"/>
      <c r="B186" s="30" t="n"/>
      <c r="C186" s="30" t="n"/>
      <c r="D186" s="324" t="n"/>
      <c r="E186" s="53" t="n"/>
      <c r="F186" s="53" t="n"/>
      <c r="G186" s="55" t="n"/>
      <c r="H186" s="57" t="n"/>
      <c r="I186" s="55" t="n"/>
      <c r="J186" s="56" t="n"/>
      <c r="K186" s="56" t="n"/>
      <c r="L186" s="34">
        <f>HYPERLINK(Table65[[#This Row],[Column1]])</f>
        <v/>
      </c>
    </row>
    <row r="187" ht="45" customHeight="1" s="290">
      <c r="A187" s="30" t="n"/>
      <c r="B187" s="30" t="n"/>
      <c r="C187" s="30" t="n"/>
      <c r="D187" s="324" t="n"/>
      <c r="E187" s="53" t="n"/>
      <c r="F187" s="53" t="n"/>
      <c r="G187" s="55" t="n"/>
      <c r="H187" s="57" t="n"/>
      <c r="I187" s="55" t="n"/>
      <c r="J187" s="56" t="n"/>
      <c r="K187" s="56" t="n"/>
      <c r="L187" s="34">
        <f>HYPERLINK(Table65[[#This Row],[Column1]])</f>
        <v/>
      </c>
    </row>
    <row r="188" ht="45" customHeight="1" s="290">
      <c r="A188" s="30" t="n"/>
      <c r="B188" s="30" t="n"/>
      <c r="C188" s="30" t="n"/>
      <c r="D188" s="324" t="n"/>
      <c r="E188" s="53" t="n"/>
      <c r="F188" s="53" t="n"/>
      <c r="G188" s="55" t="n"/>
      <c r="H188" s="57" t="n"/>
      <c r="I188" s="55" t="n"/>
      <c r="J188" s="56" t="n"/>
      <c r="K188" s="56" t="n"/>
      <c r="L188" s="34">
        <f>HYPERLINK(Table65[[#This Row],[Column1]])</f>
        <v/>
      </c>
    </row>
    <row r="189" ht="45" customHeight="1" s="290">
      <c r="A189" s="30" t="n"/>
      <c r="B189" s="30" t="n"/>
      <c r="C189" s="30" t="n"/>
      <c r="D189" s="324" t="n"/>
      <c r="E189" s="53" t="n"/>
      <c r="F189" s="53" t="n"/>
      <c r="G189" s="55" t="n"/>
      <c r="H189" s="57" t="n"/>
      <c r="I189" s="55" t="n"/>
      <c r="J189" s="56" t="n"/>
      <c r="K189" s="56" t="n"/>
      <c r="L189" s="34">
        <f>HYPERLINK(Table65[[#This Row],[Column1]])</f>
        <v/>
      </c>
    </row>
    <row r="190" ht="60" customHeight="1" s="290">
      <c r="A190" s="30" t="n"/>
      <c r="B190" s="30" t="n"/>
      <c r="C190" s="30" t="n"/>
      <c r="D190" s="324" t="n"/>
      <c r="E190" s="53" t="n"/>
      <c r="F190" s="53" t="n"/>
      <c r="G190" s="55" t="n"/>
      <c r="H190" s="57" t="n"/>
      <c r="I190" s="55" t="n"/>
      <c r="J190" s="56" t="n"/>
      <c r="K190" s="56" t="n"/>
      <c r="L190" s="34">
        <f>HYPERLINK(Table65[[#This Row],[Column1]])</f>
        <v/>
      </c>
    </row>
    <row r="191" ht="45" customHeight="1" s="290">
      <c r="A191" s="30" t="n"/>
      <c r="B191" s="30" t="n"/>
      <c r="C191" s="30" t="n"/>
      <c r="D191" s="324" t="n"/>
      <c r="E191" s="53" t="n"/>
      <c r="F191" s="53" t="n"/>
      <c r="G191" s="55" t="n"/>
      <c r="H191" s="57" t="n"/>
      <c r="I191" s="55" t="n"/>
      <c r="J191" s="56" t="n"/>
      <c r="K191" s="56" t="n"/>
      <c r="L191" s="34">
        <f>HYPERLINK(Table65[[#This Row],[Column1]])</f>
        <v/>
      </c>
    </row>
    <row r="192" ht="45" customHeight="1" s="290">
      <c r="A192" s="30" t="n"/>
      <c r="B192" s="30" t="n"/>
      <c r="C192" s="30" t="n"/>
      <c r="D192" s="324" t="n"/>
      <c r="E192" s="53" t="n"/>
      <c r="F192" s="53" t="n"/>
      <c r="G192" s="55" t="n"/>
      <c r="H192" s="57" t="n"/>
      <c r="I192" s="55" t="n"/>
      <c r="J192" s="56" t="n"/>
      <c r="K192" s="56" t="n"/>
      <c r="L192" s="34">
        <f>HYPERLINK(Table65[[#This Row],[Column1]])</f>
        <v/>
      </c>
    </row>
    <row r="193" ht="60" customHeight="1" s="290">
      <c r="A193" s="30" t="n"/>
      <c r="B193" s="30" t="n"/>
      <c r="C193" s="30" t="n"/>
      <c r="D193" s="324" t="n"/>
      <c r="E193" s="53" t="n"/>
      <c r="F193" s="53" t="n"/>
      <c r="G193" s="55" t="n"/>
      <c r="H193" s="57" t="n"/>
      <c r="I193" s="55" t="n"/>
      <c r="J193" s="56" t="n"/>
      <c r="K193" s="56" t="n"/>
      <c r="L193" s="34">
        <f>HYPERLINK(Table65[[#This Row],[Column1]])</f>
        <v/>
      </c>
    </row>
    <row r="194" ht="45" customHeight="1" s="290">
      <c r="A194" s="30" t="n"/>
      <c r="B194" s="30" t="n"/>
      <c r="C194" s="30" t="n"/>
      <c r="D194" s="324" t="n"/>
      <c r="E194" s="53" t="n"/>
      <c r="F194" s="53" t="n"/>
      <c r="G194" s="55" t="n"/>
      <c r="H194" s="57" t="n"/>
      <c r="I194" s="55" t="n"/>
      <c r="J194" s="56" t="n"/>
      <c r="K194" s="56" t="n"/>
      <c r="L194" s="34">
        <f>HYPERLINK(Table65[[#This Row],[Column1]])</f>
        <v/>
      </c>
    </row>
    <row r="195" ht="45" customHeight="1" s="290">
      <c r="A195" s="30" t="n"/>
      <c r="B195" s="30" t="n"/>
      <c r="C195" s="30" t="n"/>
      <c r="D195" s="324" t="n"/>
      <c r="E195" s="53" t="n"/>
      <c r="F195" s="53" t="n"/>
      <c r="G195" s="55" t="n"/>
      <c r="H195" s="57" t="n"/>
      <c r="I195" s="55" t="n"/>
      <c r="J195" s="56" t="n"/>
      <c r="K195" s="56" t="n"/>
      <c r="L195" s="34">
        <f>HYPERLINK(Table65[[#This Row],[Column1]])</f>
        <v/>
      </c>
    </row>
    <row r="196" ht="45" customHeight="1" s="290">
      <c r="A196" s="30" t="n"/>
      <c r="B196" s="30" t="n"/>
      <c r="C196" s="30" t="n"/>
      <c r="D196" s="324" t="n"/>
      <c r="E196" s="53" t="n"/>
      <c r="F196" s="53" t="n"/>
      <c r="G196" s="55" t="n"/>
      <c r="H196" s="57" t="n"/>
      <c r="I196" s="55" t="n"/>
      <c r="J196" s="56" t="n"/>
      <c r="K196" s="56" t="n"/>
      <c r="L196" s="34">
        <f>HYPERLINK(Table65[[#This Row],[Column1]])</f>
        <v/>
      </c>
    </row>
    <row r="197" ht="45" customHeight="1" s="290">
      <c r="A197" s="30" t="n"/>
      <c r="B197" s="30" t="n"/>
      <c r="C197" s="30" t="n"/>
      <c r="D197" s="324" t="n"/>
      <c r="E197" s="53" t="n"/>
      <c r="F197" s="53" t="n"/>
      <c r="G197" s="55" t="n"/>
      <c r="H197" s="57" t="n"/>
      <c r="I197" s="55" t="n"/>
      <c r="J197" s="56" t="n"/>
      <c r="K197" s="56" t="n"/>
      <c r="L197" s="34">
        <f>HYPERLINK(Table65[[#This Row],[Column1]])</f>
        <v/>
      </c>
    </row>
    <row r="198" ht="45" customHeight="1" s="290">
      <c r="A198" s="30" t="n"/>
      <c r="B198" s="30" t="n"/>
      <c r="C198" s="30" t="n"/>
      <c r="D198" s="324" t="n"/>
      <c r="E198" s="53" t="n"/>
      <c r="F198" s="53" t="n"/>
      <c r="G198" s="55" t="n"/>
      <c r="H198" s="57" t="n"/>
      <c r="I198" s="55" t="n"/>
      <c r="J198" s="56" t="n"/>
      <c r="K198" s="56" t="n"/>
      <c r="L198" s="34">
        <f>HYPERLINK(Table65[[#This Row],[Column1]])</f>
        <v/>
      </c>
    </row>
    <row r="199" ht="45" customHeight="1" s="290">
      <c r="A199" s="30" t="n"/>
      <c r="B199" s="30" t="n"/>
      <c r="C199" s="30" t="n"/>
      <c r="D199" s="324" t="n"/>
      <c r="E199" s="53" t="n"/>
      <c r="F199" s="53" t="n"/>
      <c r="G199" s="55" t="n"/>
      <c r="H199" s="57" t="n"/>
      <c r="I199" s="55" t="n"/>
      <c r="J199" s="56" t="n"/>
      <c r="K199" s="56" t="n"/>
      <c r="L199" s="34">
        <f>HYPERLINK(Table65[[#This Row],[Column1]])</f>
        <v/>
      </c>
    </row>
    <row r="200" ht="45" customHeight="1" s="290">
      <c r="A200" s="30" t="n"/>
      <c r="B200" s="30" t="n"/>
      <c r="C200" s="30" t="n"/>
      <c r="D200" s="324" t="n"/>
      <c r="E200" s="53" t="n"/>
      <c r="F200" s="53" t="n"/>
      <c r="G200" s="55" t="n"/>
      <c r="H200" s="57" t="n"/>
      <c r="I200" s="55" t="n"/>
      <c r="J200" s="56" t="n"/>
      <c r="K200" s="56" t="n"/>
      <c r="L200" s="34">
        <f>HYPERLINK(Table65[[#This Row],[Column1]])</f>
        <v/>
      </c>
    </row>
    <row r="201" ht="45" customHeight="1" s="290">
      <c r="A201" s="30" t="n"/>
      <c r="B201" s="30" t="n"/>
      <c r="C201" s="30" t="n"/>
      <c r="D201" s="324" t="n"/>
      <c r="E201" s="53" t="n"/>
      <c r="F201" s="53" t="n"/>
      <c r="G201" s="55" t="n"/>
      <c r="H201" s="57" t="n"/>
      <c r="I201" s="55" t="n"/>
      <c r="J201" s="56" t="n"/>
      <c r="K201" s="56" t="n"/>
      <c r="L201" s="34">
        <f>HYPERLINK(Table65[[#This Row],[Column1]])</f>
        <v/>
      </c>
    </row>
    <row r="202" ht="45" customHeight="1" s="290">
      <c r="A202" s="30" t="n"/>
      <c r="B202" s="30" t="n"/>
      <c r="C202" s="30" t="n"/>
      <c r="D202" s="324" t="n"/>
      <c r="E202" s="53" t="n"/>
      <c r="F202" s="53" t="n"/>
      <c r="G202" s="55" t="n"/>
      <c r="H202" s="57" t="n"/>
      <c r="I202" s="55" t="n"/>
      <c r="J202" s="56" t="n"/>
      <c r="K202" s="56" t="n"/>
      <c r="L202" s="34">
        <f>HYPERLINK(Table65[[#This Row],[Column1]])</f>
        <v/>
      </c>
    </row>
    <row r="203" ht="45" customHeight="1" s="290">
      <c r="A203" s="30" t="n"/>
      <c r="B203" s="30" t="n"/>
      <c r="C203" s="30" t="n"/>
      <c r="D203" s="324" t="n"/>
      <c r="E203" s="53" t="n"/>
      <c r="F203" s="53" t="n"/>
      <c r="G203" s="55" t="n"/>
      <c r="H203" s="57" t="n"/>
      <c r="I203" s="55" t="n"/>
      <c r="J203" s="56" t="n"/>
      <c r="K203" s="56" t="n"/>
      <c r="L203" s="34">
        <f>HYPERLINK(Table65[[#This Row],[Column1]])</f>
        <v/>
      </c>
    </row>
    <row r="204" ht="17" customHeight="1" s="290">
      <c r="A204" s="30" t="n"/>
      <c r="B204" s="30" t="n"/>
      <c r="C204" s="30" t="n"/>
      <c r="D204" s="324" t="n"/>
      <c r="E204" s="53" t="n"/>
      <c r="F204" s="53" t="n"/>
      <c r="G204" s="55" t="n"/>
      <c r="H204" s="57" t="n"/>
      <c r="I204" s="55" t="n"/>
      <c r="J204" s="56" t="n"/>
      <c r="K204" s="56" t="n"/>
      <c r="L204" s="34">
        <f>HYPERLINK(Table65[[#This Row],[Column1]])</f>
        <v/>
      </c>
    </row>
    <row r="205" ht="30" customHeight="1" s="290">
      <c r="A205" s="30" t="n"/>
      <c r="B205" s="30" t="n"/>
      <c r="C205" s="30" t="n"/>
      <c r="D205" s="324" t="n"/>
      <c r="E205" s="53" t="n"/>
      <c r="F205" s="53" t="n"/>
      <c r="G205" s="55" t="n"/>
      <c r="H205" s="57" t="n"/>
      <c r="I205" s="55" t="n"/>
      <c r="J205" s="56" t="n"/>
      <c r="K205" s="56" t="n"/>
      <c r="L205" s="34">
        <f>HYPERLINK(Table65[[#This Row],[Column1]])</f>
        <v/>
      </c>
    </row>
    <row r="206" ht="45" customHeight="1" s="290">
      <c r="A206" s="30" t="n"/>
      <c r="B206" s="30" t="n"/>
      <c r="C206" s="30" t="n"/>
      <c r="D206" s="324" t="n"/>
      <c r="E206" s="53" t="n"/>
      <c r="F206" s="53" t="n"/>
      <c r="G206" s="55" t="n"/>
      <c r="H206" s="57" t="n"/>
      <c r="I206" s="55" t="n"/>
      <c r="J206" s="56" t="n"/>
      <c r="K206" s="56" t="n"/>
      <c r="L206" s="34">
        <f>HYPERLINK(Table65[[#This Row],[Column1]])</f>
        <v/>
      </c>
    </row>
    <row r="207" ht="45" customHeight="1" s="290">
      <c r="A207" s="30" t="n"/>
      <c r="B207" s="30" t="n"/>
      <c r="C207" s="30" t="n"/>
      <c r="D207" s="324" t="n"/>
      <c r="E207" s="53" t="n"/>
      <c r="F207" s="53" t="n"/>
      <c r="G207" s="55" t="n"/>
      <c r="H207" s="57" t="n"/>
      <c r="I207" s="55" t="n"/>
      <c r="J207" s="56" t="n"/>
      <c r="K207" s="56" t="n"/>
      <c r="L207" s="34">
        <f>HYPERLINK(Table65[[#This Row],[Column1]])</f>
        <v/>
      </c>
    </row>
    <row r="208" ht="17" customHeight="1" s="290">
      <c r="A208" s="33" t="inlineStr">
        <is>
          <t>Total</t>
        </is>
      </c>
      <c r="B208" s="32" t="n"/>
      <c r="C208" s="325" t="n"/>
      <c r="D208" s="59" t="n"/>
      <c r="E208" s="32" t="n"/>
      <c r="F208" s="32" t="n"/>
      <c r="G208" s="36">
        <f>SUM(G133:G207)</f>
        <v/>
      </c>
      <c r="H208" s="36">
        <f>SUM(H133:H207)</f>
        <v/>
      </c>
      <c r="I208" s="36" t="n"/>
      <c r="J208" s="167" t="n"/>
      <c r="K208" s="168" t="n"/>
      <c r="L208" s="32" t="n"/>
    </row>
  </sheetData>
  <mergeCells count="3">
    <mergeCell ref="A1:M5"/>
    <mergeCell ref="A131:L131"/>
    <mergeCell ref="A51:L51"/>
  </mergeCells>
  <pageMargins left="0.7" right="0.7" top="0.75" bottom="0.75" header="0.3" footer="0.3"/>
  <drawing xmlns:r="http://schemas.openxmlformats.org/officeDocument/2006/relationships" r:id="rId1"/>
  <tableParts count="2">
    <tablePart xmlns:r="http://schemas.openxmlformats.org/officeDocument/2006/relationships" r:id="rId2"/>
    <tablePart xmlns:r="http://schemas.openxmlformats.org/officeDocument/2006/relationships" r:id="rId3"/>
  </tableParts>
</worksheet>
</file>

<file path=xl/worksheets/sheet37.xml><?xml version="1.0" encoding="utf-8"?>
<worksheet xmlns="http://schemas.openxmlformats.org/spreadsheetml/2006/main">
  <sheetPr codeName="Sheet6">
    <outlinePr summaryBelow="1" summaryRight="1"/>
    <pageSetUpPr/>
  </sheetPr>
  <dimension ref="A1:Q208"/>
  <sheetViews>
    <sheetView workbookViewId="0">
      <selection activeCell="A1" sqref="A1"/>
    </sheetView>
  </sheetViews>
  <sheetFormatPr baseColWidth="10" defaultColWidth="10.83203125" defaultRowHeight="16"/>
  <cols>
    <col width="50.6640625" customWidth="1" style="284" min="1" max="1"/>
    <col width="12.6640625" customWidth="1" style="284" min="2" max="2"/>
    <col width="12.6640625" customWidth="1" style="320" min="3" max="3"/>
    <col width="11.1640625" customWidth="1" style="296" min="4" max="4"/>
    <col width="24.83203125" bestFit="1" customWidth="1" style="284" min="5" max="5"/>
    <col width="17.6640625" bestFit="1" customWidth="1" style="286" min="6" max="6"/>
    <col width="21.6640625" bestFit="1" customWidth="1" style="286" min="7" max="7"/>
    <col width="19.1640625" bestFit="1" customWidth="1" style="286" min="8" max="8"/>
    <col width="13.5" bestFit="1" customWidth="1" style="287" min="9" max="9"/>
    <col width="13" bestFit="1" customWidth="1" style="284" min="10" max="10"/>
    <col hidden="1" width="29" customWidth="1" style="284" min="11" max="11"/>
    <col width="35.6640625" customWidth="1" style="284" min="12" max="12"/>
    <col width="15.6640625" customWidth="1" style="284" min="13" max="13"/>
    <col width="10.83203125" customWidth="1" style="284" min="14" max="16384"/>
  </cols>
  <sheetData>
    <row r="1">
      <c r="A1" s="282" t="inlineStr">
        <is>
          <t>Vgate Monthly Summary</t>
        </is>
      </c>
    </row>
    <row r="2"/>
    <row r="3"/>
    <row r="4"/>
    <row r="5"/>
    <row r="6">
      <c r="A6" s="29" t="n"/>
      <c r="B6" s="29" t="n"/>
      <c r="C6" s="321" t="n"/>
      <c r="D6" s="47" t="n"/>
      <c r="E6" s="48" t="n"/>
      <c r="F6" s="48" t="n"/>
      <c r="G6" s="48" t="n"/>
      <c r="H6" s="48" t="n"/>
      <c r="I6" s="49" t="n"/>
      <c r="J6" s="50" t="n"/>
    </row>
    <row r="7" ht="32" customHeight="1" s="290">
      <c r="A7" s="80" t="n"/>
      <c r="B7" s="81" t="inlineStr">
        <is>
          <t>Avg Price</t>
        </is>
      </c>
      <c r="C7" s="81" t="inlineStr">
        <is>
          <t>Avg Price MoM</t>
        </is>
      </c>
      <c r="D7" s="82" t="inlineStr">
        <is>
          <t>Avg Price YoY</t>
        </is>
      </c>
      <c r="E7" s="81" t="inlineStr">
        <is>
          <t>Quantity/Mo</t>
        </is>
      </c>
      <c r="F7" s="84" t="inlineStr">
        <is>
          <t>Qty by %</t>
        </is>
      </c>
      <c r="G7" s="84" t="inlineStr">
        <is>
          <t>Qty MoM</t>
        </is>
      </c>
      <c r="H7" s="82" t="inlineStr">
        <is>
          <t>Qty YoY</t>
        </is>
      </c>
      <c r="I7" s="309" t="inlineStr">
        <is>
          <t>Revenue/Mo</t>
        </is>
      </c>
      <c r="J7" s="126" t="inlineStr">
        <is>
          <t>Revenue by %</t>
        </is>
      </c>
      <c r="K7" s="173" t="n"/>
      <c r="L7" s="126" t="inlineStr">
        <is>
          <t>Revenue MoM</t>
        </is>
      </c>
      <c r="M7" s="310" t="inlineStr">
        <is>
          <t>Revenue YoY</t>
        </is>
      </c>
      <c r="N7" s="286" t="n"/>
      <c r="O7" s="286" t="n"/>
      <c r="P7" s="49" t="n"/>
      <c r="Q7" s="50" t="n"/>
    </row>
    <row r="8">
      <c r="A8" s="93" t="inlineStr">
        <is>
          <t>Tablet $800+</t>
        </is>
      </c>
      <c r="B8" s="298" t="n"/>
      <c r="C8" s="270" t="n"/>
      <c r="D8" s="271" t="n"/>
      <c r="E8" s="269" t="n">
        <v>0</v>
      </c>
      <c r="F8" s="270" t="n">
        <v>0</v>
      </c>
      <c r="G8" s="270" t="n"/>
      <c r="H8" s="271" t="n"/>
      <c r="I8" s="95" t="n">
        <v>0</v>
      </c>
      <c r="J8" s="128" t="n">
        <v>0</v>
      </c>
      <c r="L8" s="169" t="n"/>
      <c r="M8" s="169" t="n"/>
      <c r="N8" s="286" t="n"/>
      <c r="O8" s="286" t="n"/>
      <c r="P8" s="49" t="n"/>
      <c r="Q8" s="50" t="n"/>
    </row>
    <row r="9">
      <c r="A9" s="93" t="inlineStr">
        <is>
          <t>Tablet $400-$800</t>
        </is>
      </c>
      <c r="B9" s="298" t="n"/>
      <c r="C9" s="270" t="n"/>
      <c r="D9" s="271" t="n"/>
      <c r="E9" s="269" t="n">
        <v>0</v>
      </c>
      <c r="F9" s="270" t="n">
        <v>0</v>
      </c>
      <c r="G9" s="270" t="n"/>
      <c r="H9" s="271" t="n"/>
      <c r="I9" s="95" t="n">
        <v>0</v>
      </c>
      <c r="J9" s="128" t="n">
        <v>0</v>
      </c>
      <c r="L9" s="169" t="n"/>
      <c r="M9" s="169" t="n"/>
      <c r="N9" s="286" t="n"/>
      <c r="O9" s="286" t="n"/>
      <c r="P9" s="49" t="n"/>
      <c r="Q9" s="50" t="n"/>
    </row>
    <row r="10">
      <c r="A10" s="96" t="inlineStr">
        <is>
          <t>Tablet $400-</t>
        </is>
      </c>
      <c r="B10" s="299" t="n"/>
      <c r="C10" s="274" t="n"/>
      <c r="D10" s="275" t="n"/>
      <c r="E10" s="273" t="n">
        <v>0</v>
      </c>
      <c r="F10" s="274" t="n">
        <v>0</v>
      </c>
      <c r="G10" s="274" t="n"/>
      <c r="H10" s="275" t="n"/>
      <c r="I10" s="98" t="n">
        <v>0</v>
      </c>
      <c r="J10" s="127" t="n">
        <v>0</v>
      </c>
      <c r="L10" s="171" t="n"/>
      <c r="M10" s="171" t="n"/>
      <c r="N10" s="286" t="n"/>
      <c r="O10" s="286" t="n"/>
      <c r="P10" s="49" t="n"/>
      <c r="Q10" s="50" t="n"/>
    </row>
    <row r="11">
      <c r="A11" s="101" t="inlineStr">
        <is>
          <t>Total Tablet</t>
        </is>
      </c>
      <c r="B11" s="300" t="n"/>
      <c r="C11" s="112" t="n"/>
      <c r="D11" s="104" t="n"/>
      <c r="E11" s="116" t="n">
        <v>0</v>
      </c>
      <c r="F11" s="112" t="n">
        <v>0</v>
      </c>
      <c r="G11" s="112" t="n"/>
      <c r="H11" s="104" t="n"/>
      <c r="I11" s="103" t="n">
        <v>0</v>
      </c>
      <c r="J11" s="129" t="n">
        <v>0</v>
      </c>
      <c r="L11" s="170" t="n"/>
      <c r="M11" s="170" t="n"/>
      <c r="N11" s="286" t="n"/>
      <c r="O11" s="286" t="n"/>
      <c r="P11" s="49" t="n"/>
      <c r="Q11" s="50" t="n"/>
    </row>
    <row r="12">
      <c r="A12" s="93" t="inlineStr">
        <is>
          <t>Handheld $75+</t>
        </is>
      </c>
      <c r="B12" s="298" t="n"/>
      <c r="C12" s="270" t="n"/>
      <c r="D12" s="271" t="n"/>
      <c r="E12" s="269" t="n">
        <v>0</v>
      </c>
      <c r="F12" s="270" t="n">
        <v>0</v>
      </c>
      <c r="G12" s="270" t="n"/>
      <c r="H12" s="271" t="n"/>
      <c r="I12" s="95" t="n">
        <v>0</v>
      </c>
      <c r="J12" s="128" t="n">
        <v>0</v>
      </c>
      <c r="L12" s="169" t="n"/>
      <c r="M12" s="169" t="n"/>
      <c r="N12" s="286" t="n"/>
      <c r="O12" s="286" t="n"/>
      <c r="P12" s="49" t="n"/>
      <c r="Q12" s="50" t="n"/>
    </row>
    <row r="13">
      <c r="A13" s="96" t="inlineStr">
        <is>
          <t>Handheld $75-</t>
        </is>
      </c>
      <c r="B13" s="299" t="n"/>
      <c r="C13" s="274" t="n"/>
      <c r="D13" s="275" t="n"/>
      <c r="E13" s="273" t="n">
        <v>0</v>
      </c>
      <c r="F13" s="274" t="n">
        <v>0</v>
      </c>
      <c r="G13" s="274" t="n"/>
      <c r="H13" s="275" t="n"/>
      <c r="I13" s="98" t="n">
        <v>0</v>
      </c>
      <c r="J13" s="127" t="n">
        <v>0</v>
      </c>
      <c r="L13" s="171" t="n"/>
      <c r="M13" s="171" t="n"/>
      <c r="N13" s="286" t="n"/>
      <c r="O13" s="286" t="n"/>
      <c r="P13" s="49" t="n"/>
      <c r="Q13" s="50" t="n"/>
    </row>
    <row r="14">
      <c r="A14" s="101" t="inlineStr">
        <is>
          <t>Total Handheld</t>
        </is>
      </c>
      <c r="B14" s="300" t="n"/>
      <c r="C14" s="112" t="n"/>
      <c r="D14" s="104" t="n"/>
      <c r="E14" s="116" t="n">
        <v>0</v>
      </c>
      <c r="F14" s="112" t="n">
        <v>0</v>
      </c>
      <c r="G14" s="112" t="n"/>
      <c r="H14" s="104" t="n"/>
      <c r="I14" s="103" t="n">
        <v>0</v>
      </c>
      <c r="J14" s="129" t="n">
        <v>0</v>
      </c>
      <c r="L14" s="170" t="n"/>
      <c r="M14" s="170" t="n"/>
      <c r="N14" s="286" t="n"/>
      <c r="O14" s="286" t="n"/>
      <c r="P14" s="49" t="n"/>
      <c r="Q14" s="50" t="n"/>
    </row>
    <row r="15">
      <c r="A15" s="78" t="inlineStr">
        <is>
          <t>Total Dongle</t>
        </is>
      </c>
      <c r="B15" s="301" t="n">
        <v>44.09160848733744</v>
      </c>
      <c r="C15" s="113" t="n">
        <v>0.01444857679673173</v>
      </c>
      <c r="D15" s="107" t="n">
        <v>-0.03686335892583859</v>
      </c>
      <c r="E15" s="99" t="n">
        <v>4383</v>
      </c>
      <c r="F15" s="113" t="n">
        <v>0.6096814577827236</v>
      </c>
      <c r="G15" s="113" t="n">
        <v>-0.06366161076693011</v>
      </c>
      <c r="H15" s="107" t="n">
        <v>1.252312435765673</v>
      </c>
      <c r="I15" s="76" t="n">
        <v>193253.52</v>
      </c>
      <c r="J15" s="130" t="n">
        <v>0.6728857704852641</v>
      </c>
      <c r="L15" s="174" t="n">
        <v>-0.05013285364236819</v>
      </c>
      <c r="M15" s="174" t="n">
        <v>1.169284634032913</v>
      </c>
      <c r="N15" s="286" t="n"/>
      <c r="O15" s="286" t="n"/>
      <c r="P15" s="49" t="n"/>
      <c r="Q15" s="50" t="n"/>
    </row>
    <row r="16">
      <c r="A16" s="78" t="inlineStr">
        <is>
          <t>Total Other Tools</t>
        </is>
      </c>
      <c r="B16" s="301" t="n">
        <v>33.48095509622238</v>
      </c>
      <c r="C16" s="113" t="n">
        <v>0.002062207649275338</v>
      </c>
      <c r="D16" s="107" t="n">
        <v>0.00955979602026269</v>
      </c>
      <c r="E16" s="99" t="n">
        <v>2806</v>
      </c>
      <c r="F16" s="113" t="n">
        <v>0.3903185422172764</v>
      </c>
      <c r="G16" s="113" t="n">
        <v>0.1161495624502784</v>
      </c>
      <c r="H16" s="107" t="n">
        <v>0.9271978021978022</v>
      </c>
      <c r="I16" s="76" t="n">
        <v>93947.56</v>
      </c>
      <c r="J16" s="130" t="n">
        <v>0.3271142295147358</v>
      </c>
      <c r="L16" s="174" t="n">
        <v>0.1184512946156988</v>
      </c>
      <c r="M16" s="174" t="n">
        <v>0.9456214200775119</v>
      </c>
      <c r="N16" s="286" t="n"/>
      <c r="O16" s="286" t="n"/>
      <c r="P16" s="49" t="n"/>
      <c r="Q16" s="50" t="n"/>
    </row>
    <row r="17">
      <c r="A17" s="86" t="inlineStr">
        <is>
          <t>Total</t>
        </is>
      </c>
      <c r="B17" s="302" t="n">
        <v>39.95007372374461</v>
      </c>
      <c r="C17" s="109" t="n">
        <v>-3.593500702614438e-05</v>
      </c>
      <c r="D17" s="108" t="n">
        <v>-0.0106483786787781</v>
      </c>
      <c r="E17" s="100" t="n">
        <v>7189</v>
      </c>
      <c r="F17" s="109" t="n">
        <v>1</v>
      </c>
      <c r="G17" s="109" t="n">
        <v>-0.0008339124391938402</v>
      </c>
      <c r="H17" s="108" t="n">
        <v>1.113168724279836</v>
      </c>
      <c r="I17" s="85" t="n">
        <v>287201.08</v>
      </c>
      <c r="J17" s="109" t="n">
        <v>1</v>
      </c>
      <c r="L17" s="172" t="n">
        <v>-0.0008698174795706004</v>
      </c>
      <c r="M17" s="172" t="n">
        <v>1.090666903491553</v>
      </c>
      <c r="N17" s="286" t="n"/>
      <c r="O17" s="286" t="n"/>
      <c r="P17" s="49" t="n"/>
      <c r="Q17" s="50" t="n"/>
    </row>
    <row r="18">
      <c r="A18" s="29" t="n"/>
      <c r="B18" s="29" t="n"/>
      <c r="C18" s="321" t="n"/>
      <c r="D18" s="47" t="n"/>
      <c r="E18" s="48" t="n"/>
      <c r="F18" s="48" t="n"/>
      <c r="G18" s="48" t="n"/>
      <c r="H18" s="48" t="n"/>
      <c r="I18" s="49" t="n"/>
      <c r="J18" s="50" t="n"/>
    </row>
    <row r="19">
      <c r="A19" s="29" t="n"/>
      <c r="B19" s="29" t="n"/>
      <c r="C19" s="321" t="n"/>
      <c r="D19" s="47" t="n"/>
      <c r="E19" s="48" t="n"/>
      <c r="F19" s="48" t="n"/>
      <c r="G19" s="48" t="n"/>
      <c r="H19" s="48" t="n"/>
      <c r="I19" s="49" t="n"/>
      <c r="J19" s="50" t="n"/>
    </row>
    <row r="20">
      <c r="A20" s="29" t="n"/>
      <c r="B20" s="29" t="n"/>
      <c r="C20" s="321" t="n"/>
      <c r="D20" s="47" t="n"/>
      <c r="E20" s="48" t="n"/>
      <c r="F20" s="48" t="n"/>
      <c r="G20" s="48" t="n"/>
      <c r="H20" s="48" t="n"/>
      <c r="I20" s="49" t="n"/>
      <c r="J20" s="50" t="n"/>
    </row>
    <row r="21">
      <c r="A21" s="29" t="n"/>
      <c r="B21" s="29" t="n"/>
      <c r="C21" s="321" t="n"/>
      <c r="D21" s="47" t="n"/>
      <c r="E21" s="48" t="n"/>
      <c r="F21" s="48" t="n"/>
      <c r="G21" s="48" t="n"/>
      <c r="H21" s="48" t="n"/>
      <c r="I21" s="49" t="n"/>
      <c r="J21" s="50" t="n"/>
    </row>
    <row r="22">
      <c r="A22" s="29" t="n"/>
      <c r="B22" s="29" t="n"/>
      <c r="C22" s="321" t="n"/>
      <c r="D22" s="47" t="n"/>
      <c r="E22" s="48" t="n"/>
      <c r="F22" s="48" t="n"/>
      <c r="G22" s="48" t="n"/>
      <c r="H22" s="48" t="n"/>
      <c r="I22" s="49" t="n"/>
      <c r="J22" s="50" t="n"/>
    </row>
    <row r="23">
      <c r="A23" s="29" t="n"/>
      <c r="B23" s="29" t="n"/>
      <c r="C23" s="321" t="n"/>
      <c r="D23" s="47" t="n"/>
      <c r="E23" s="48" t="n"/>
      <c r="F23" s="48" t="n"/>
      <c r="G23" s="48" t="n"/>
      <c r="H23" s="48" t="n"/>
      <c r="I23" s="49" t="n"/>
      <c r="J23" s="50" t="n"/>
    </row>
    <row r="24">
      <c r="A24" s="29" t="n"/>
      <c r="B24" s="29" t="n"/>
      <c r="C24" s="321" t="n"/>
      <c r="D24" s="47" t="n"/>
      <c r="E24" s="48" t="n"/>
      <c r="F24" s="48" t="n"/>
      <c r="G24" s="48" t="n"/>
      <c r="H24" s="48" t="n"/>
      <c r="I24" s="49" t="n"/>
      <c r="J24" s="50" t="n"/>
    </row>
    <row r="25">
      <c r="A25" s="29" t="n"/>
      <c r="B25" s="29" t="n"/>
      <c r="C25" s="321" t="n"/>
      <c r="D25" s="47" t="n"/>
      <c r="E25" s="48" t="n"/>
      <c r="F25" s="48" t="n"/>
      <c r="G25" s="48" t="n"/>
      <c r="H25" s="48" t="n"/>
      <c r="I25" s="49" t="n"/>
      <c r="J25" s="50" t="n"/>
    </row>
    <row r="26">
      <c r="A26" s="29" t="n"/>
      <c r="B26" s="29" t="n"/>
      <c r="C26" s="321" t="n"/>
      <c r="D26" s="47" t="n"/>
      <c r="E26" s="48" t="n"/>
      <c r="F26" s="48" t="n"/>
      <c r="G26" s="48" t="n"/>
      <c r="H26" s="48" t="n"/>
      <c r="I26" s="49" t="n"/>
      <c r="J26" s="50" t="n"/>
    </row>
    <row r="27">
      <c r="A27" s="29" t="n"/>
      <c r="B27" s="29" t="n"/>
      <c r="C27" s="321" t="n"/>
      <c r="D27" s="47" t="n"/>
      <c r="E27" s="48" t="n"/>
      <c r="F27" s="48" t="n"/>
      <c r="G27" s="48" t="n"/>
      <c r="H27" s="48" t="n"/>
      <c r="I27" s="49" t="n"/>
      <c r="J27" s="50" t="n"/>
    </row>
    <row r="28">
      <c r="A28" s="29" t="n"/>
      <c r="B28" s="29" t="n"/>
      <c r="C28" s="321" t="n"/>
      <c r="D28" s="47" t="n"/>
      <c r="E28" s="48" t="n"/>
      <c r="F28" s="48" t="n"/>
      <c r="G28" s="48" t="n"/>
      <c r="H28" s="48" t="n"/>
      <c r="I28" s="49" t="n"/>
      <c r="J28" s="50" t="n"/>
    </row>
    <row r="29">
      <c r="A29" s="29" t="n"/>
      <c r="B29" s="29" t="n"/>
      <c r="C29" s="321" t="n"/>
      <c r="D29" s="47" t="n"/>
      <c r="E29" s="48" t="n"/>
      <c r="F29" s="48" t="n"/>
      <c r="G29" s="48" t="n"/>
      <c r="H29" s="48" t="n"/>
      <c r="I29" s="49" t="n"/>
      <c r="J29" s="50" t="n"/>
    </row>
    <row r="30">
      <c r="A30" s="29" t="n"/>
      <c r="B30" s="29" t="n"/>
      <c r="C30" s="321" t="n"/>
      <c r="D30" s="47" t="n"/>
      <c r="E30" s="48" t="n"/>
      <c r="F30" s="48" t="n"/>
      <c r="G30" s="48" t="n"/>
      <c r="H30" s="48" t="n"/>
      <c r="I30" s="49" t="n"/>
      <c r="J30" s="50" t="n"/>
    </row>
    <row r="31">
      <c r="A31" s="29" t="n"/>
      <c r="B31" s="29" t="n"/>
      <c r="C31" s="321" t="n"/>
      <c r="D31" s="47" t="n"/>
      <c r="E31" s="48" t="n"/>
      <c r="F31" s="48" t="n"/>
      <c r="G31" s="48" t="n"/>
      <c r="H31" s="48" t="n"/>
      <c r="I31" s="49" t="n"/>
      <c r="J31" s="50" t="n"/>
    </row>
    <row r="32">
      <c r="A32" s="29" t="n"/>
      <c r="B32" s="29" t="n"/>
      <c r="C32" s="321" t="n"/>
      <c r="D32" s="47" t="n"/>
      <c r="E32" s="48" t="n"/>
      <c r="F32" s="48" t="n"/>
      <c r="G32" s="48" t="n"/>
      <c r="H32" s="48" t="n"/>
      <c r="I32" s="49" t="n"/>
      <c r="J32" s="50" t="n"/>
    </row>
    <row r="33">
      <c r="A33" s="29" t="n"/>
      <c r="B33" s="29" t="n"/>
      <c r="C33" s="321" t="n"/>
      <c r="D33" s="47" t="n"/>
      <c r="E33" s="48" t="n"/>
      <c r="F33" s="48" t="n"/>
      <c r="G33" s="48" t="n"/>
      <c r="H33" s="48" t="n"/>
      <c r="I33" s="49" t="n"/>
      <c r="J33" s="50" t="n"/>
    </row>
    <row r="49" ht="16" customHeight="1" s="290">
      <c r="C49" s="284" t="n"/>
      <c r="D49" s="284" t="n"/>
      <c r="F49" s="284" t="n"/>
      <c r="G49" s="284" t="n"/>
      <c r="H49" s="284" t="n"/>
      <c r="I49" s="284" t="n"/>
    </row>
    <row r="50">
      <c r="C50" s="284" t="n"/>
      <c r="D50" s="284" t="n"/>
      <c r="F50" s="284" t="n"/>
      <c r="G50" s="284" t="n"/>
      <c r="H50" s="284" t="n"/>
      <c r="I50" s="284" t="n"/>
    </row>
    <row r="51">
      <c r="A51" s="283" t="inlineStr">
        <is>
          <t xml:space="preserve">Rank by Revenue </t>
        </is>
      </c>
    </row>
    <row r="52" ht="17" customHeight="1" s="290">
      <c r="A52" s="38" t="inlineStr">
        <is>
          <t>Product Name</t>
        </is>
      </c>
      <c r="B52" s="39" t="inlineStr">
        <is>
          <t>ASIN</t>
        </is>
      </c>
      <c r="C52" s="39" t="inlineStr">
        <is>
          <t>Type</t>
        </is>
      </c>
      <c r="D52" s="322" t="inlineStr">
        <is>
          <t>Avg Price</t>
        </is>
      </c>
      <c r="E52" s="41" t="inlineStr">
        <is>
          <t>Estimated 12mo Revenue</t>
        </is>
      </c>
      <c r="F52" s="39" t="inlineStr">
        <is>
          <t>Monthly Rev</t>
        </is>
      </c>
      <c r="G52" s="42" t="inlineStr">
        <is>
          <t>Estimated 12mo Units</t>
        </is>
      </c>
      <c r="H52" s="45" t="inlineStr">
        <is>
          <t>Monthly Units</t>
        </is>
      </c>
      <c r="I52" s="42" t="inlineStr">
        <is>
          <t># of Reviews</t>
        </is>
      </c>
      <c r="J52" s="43" t="inlineStr">
        <is>
          <t xml:space="preserve">Tool Rating </t>
        </is>
      </c>
      <c r="K52" s="43" t="inlineStr">
        <is>
          <t>Column1</t>
        </is>
      </c>
      <c r="L52" s="323" t="inlineStr">
        <is>
          <t>Link</t>
        </is>
      </c>
    </row>
    <row r="53" ht="45" customHeight="1" s="290">
      <c r="A53" s="30" t="inlineStr">
        <is>
          <t>Vgate vLinker FS OBD2 USB Adapter for FORScan HS/MS-CAN Auto Switch</t>
        </is>
      </c>
      <c r="B53" s="30" t="inlineStr">
        <is>
          <t>B094Z7PBLS</t>
        </is>
      </c>
      <c r="C53" s="30" t="inlineStr">
        <is>
          <t>Cable/Adapter</t>
        </is>
      </c>
      <c r="D53" s="324" t="n">
        <v>34.99058479532164</v>
      </c>
      <c r="E53" s="53" t="n">
        <v>634867.14</v>
      </c>
      <c r="F53" s="54" t="n">
        <v>59833.9</v>
      </c>
      <c r="G53" s="55" t="n">
        <v>18321</v>
      </c>
      <c r="H53" s="55" t="n">
        <v>1710</v>
      </c>
      <c r="I53" s="55" t="n">
        <v>2686</v>
      </c>
      <c r="J53" s="56" t="n">
        <v>4.7</v>
      </c>
      <c r="K53" s="56" t="inlineStr">
        <is>
          <t>https://amazon.com/dp/B094Z7PBLS</t>
        </is>
      </c>
      <c r="L53" s="34">
        <f>HYPERLINK(Vgate_2[[#This Row],[Column1]])</f>
        <v/>
      </c>
    </row>
    <row r="54" ht="45" customHeight="1" s="290">
      <c r="A54" s="30" t="inlineStr">
        <is>
          <t>Vgate iCar Pro Bluetooth 4.0 (BLE) OBD2 Fault Code Reader OBDII Code Scanner Car Check Engine Light for iOS/Android</t>
        </is>
      </c>
      <c r="B54" s="30" t="inlineStr">
        <is>
          <t>B06XGB4873</t>
        </is>
      </c>
      <c r="C54" s="30" t="inlineStr">
        <is>
          <t>Dongle</t>
        </is>
      </c>
      <c r="D54" s="324" t="n">
        <v>31.98785039941902</v>
      </c>
      <c r="E54" s="53" t="n">
        <v>545436.7684615385</v>
      </c>
      <c r="F54" s="54" t="n">
        <v>44047.27</v>
      </c>
      <c r="G54" s="55" t="n">
        <v>15867</v>
      </c>
      <c r="H54" s="55" t="n">
        <v>1377</v>
      </c>
      <c r="I54" s="55" t="n">
        <v>7098</v>
      </c>
      <c r="J54" s="56" t="n">
        <v>4.6</v>
      </c>
      <c r="K54" s="56" t="inlineStr">
        <is>
          <t>https://amazon.com/dp/B06XGB4873</t>
        </is>
      </c>
      <c r="L54" s="34">
        <f>HYPERLINK(Vgate_2[[#This Row],[Column1]])</f>
        <v/>
      </c>
    </row>
    <row r="55" ht="45" customHeight="1" s="290">
      <c r="A55" s="30" t="inlineStr">
        <is>
          <t>Vgate vLinker MC+ Bluetooth OBD2 Car Diagnostic Scan Tool for iOS, Android, Windows</t>
        </is>
      </c>
      <c r="B55" s="30" t="inlineStr">
        <is>
          <t>B088LW211V</t>
        </is>
      </c>
      <c r="C55" s="30" t="inlineStr">
        <is>
          <t>Dongle</t>
        </is>
      </c>
      <c r="D55" s="324" t="n">
        <v>59.90506787330317</v>
      </c>
      <c r="E55" s="53" t="n">
        <v>364830.95</v>
      </c>
      <c r="F55" s="54" t="n">
        <v>39717.06</v>
      </c>
      <c r="G55" s="55" t="n">
        <v>6184</v>
      </c>
      <c r="H55" s="55" t="n">
        <v>663</v>
      </c>
      <c r="I55" s="55" t="n">
        <v>1371</v>
      </c>
      <c r="J55" s="56" t="n">
        <v>4.4</v>
      </c>
      <c r="K55" s="56" t="inlineStr">
        <is>
          <t>https://amazon.com/dp/B088LW211V</t>
        </is>
      </c>
      <c r="L55" s="34">
        <f>HYPERLINK(Vgate_2[[#This Row],[Column1]])</f>
        <v/>
      </c>
    </row>
    <row r="56" ht="60" customHeight="1" s="290">
      <c r="A56" s="30" t="inlineStr">
        <is>
          <t>Vgate vLinker FS Bluetooth OBD2 Diagnostic Scan Tool, OBDII Car Code Reader for iOS, Android &amp; Windows</t>
        </is>
      </c>
      <c r="B56" s="30" t="inlineStr">
        <is>
          <t>B0BZTXV6MZ</t>
        </is>
      </c>
      <c r="C56" s="30" t="inlineStr">
        <is>
          <t>Dongle</t>
        </is>
      </c>
      <c r="D56" s="324" t="n">
        <v>60.05211904761904</v>
      </c>
      <c r="E56" s="53" t="n">
        <v>252620.51</v>
      </c>
      <c r="F56" s="54" t="n">
        <v>25221.89</v>
      </c>
      <c r="G56" s="55" t="n">
        <v>4267</v>
      </c>
      <c r="H56" s="55" t="n">
        <v>420</v>
      </c>
      <c r="I56" s="55" t="n">
        <v>307</v>
      </c>
      <c r="J56" s="56" t="n">
        <v>4.5</v>
      </c>
      <c r="K56" s="56" t="inlineStr">
        <is>
          <t>https://amazon.com/dp/B0BZTXV6MZ</t>
        </is>
      </c>
      <c r="L56" s="34">
        <f>HYPERLINK(Vgate_2[[#This Row],[Column1]])</f>
        <v/>
      </c>
    </row>
    <row r="57" ht="45" customHeight="1" s="290">
      <c r="A57" s="30" t="inlineStr">
        <is>
          <t>Vgate vLinker FS USB OBD2 to USB Car Diagnostic Tool Code Reader for FORScan OBD2 Adapter</t>
        </is>
      </c>
      <c r="B57" s="30" t="inlineStr">
        <is>
          <t>B0C3B11S7F</t>
        </is>
      </c>
      <c r="C57" s="30" t="inlineStr">
        <is>
          <t>Cable/Adapter</t>
        </is>
      </c>
      <c r="D57" s="324" t="n">
        <v>35.01642857142857</v>
      </c>
      <c r="E57" s="53" t="n">
        <v>119803.38</v>
      </c>
      <c r="F57" s="54" t="n">
        <v>20099.43</v>
      </c>
      <c r="G57" s="55" t="n">
        <v>3668</v>
      </c>
      <c r="H57" s="55" t="n">
        <v>574</v>
      </c>
      <c r="I57" s="55" t="n">
        <v>242</v>
      </c>
      <c r="J57" s="56" t="n">
        <v>4.5</v>
      </c>
      <c r="K57" s="56" t="inlineStr">
        <is>
          <t>https://amazon.com/dp/B0C3B11S7F</t>
        </is>
      </c>
      <c r="L57" s="34">
        <f>HYPERLINK(Vgate_2[[#This Row],[Column1]])</f>
        <v/>
      </c>
    </row>
    <row r="58" ht="45" customHeight="1" s="290">
      <c r="A58" s="30" t="inlineStr">
        <is>
          <t>Vgate vLinker MC+ (BT3.0/BLE4.0) OBD2 Scanner Code Reader Diagnostic Scan Tool for Android &amp; iOS &amp; Windows, Black</t>
        </is>
      </c>
      <c r="B58" s="30" t="inlineStr">
        <is>
          <t>B0C2GT4KR3</t>
        </is>
      </c>
      <c r="C58" s="30" t="inlineStr">
        <is>
          <t>Dongle</t>
        </is>
      </c>
      <c r="D58" s="324" t="n">
        <v>57.92440251572327</v>
      </c>
      <c r="E58" s="53" t="n">
        <v>194034.65</v>
      </c>
      <c r="F58" s="54" t="n">
        <v>18419.96</v>
      </c>
      <c r="G58" s="55" t="n">
        <v>2868</v>
      </c>
      <c r="H58" s="55" t="n">
        <v>318</v>
      </c>
      <c r="I58" s="55" t="n">
        <v>189</v>
      </c>
      <c r="J58" s="56" t="n">
        <v>4.5</v>
      </c>
      <c r="K58" s="56" t="inlineStr">
        <is>
          <t>https://amazon.com/dp/B0C2GT4KR3</t>
        </is>
      </c>
      <c r="L58" s="34">
        <f>HYPERLINK(Vgate_2[[#This Row],[Column1]])</f>
        <v/>
      </c>
    </row>
    <row r="59" ht="45" customHeight="1" s="290">
      <c r="A59" s="30" t="inlineStr">
        <is>
          <t>Vgate vLinker FS OBD2 USB Adapter for FORS-can HS/MS-CAN Auto Switch</t>
        </is>
      </c>
      <c r="B59" s="30" t="inlineStr">
        <is>
          <t>B0952P4MLP</t>
        </is>
      </c>
      <c r="C59" s="30" t="inlineStr">
        <is>
          <t>Cable/Adapter</t>
        </is>
      </c>
      <c r="D59" s="324" t="n">
        <v>34.98154302670623</v>
      </c>
      <c r="E59" s="53" t="n">
        <v>82784.68076923076</v>
      </c>
      <c r="F59" s="54" t="n">
        <v>11788.78</v>
      </c>
      <c r="G59" s="55" t="n">
        <v>2188</v>
      </c>
      <c r="H59" s="55" t="n">
        <v>337</v>
      </c>
      <c r="I59" s="55" t="n">
        <v>1445</v>
      </c>
      <c r="J59" s="56" t="n">
        <v>4.8</v>
      </c>
      <c r="K59" s="56" t="inlineStr">
        <is>
          <t>https://amazon.com/dp/B0952P4MLP</t>
        </is>
      </c>
      <c r="L59" s="34">
        <f>HYPERLINK(Vgate_2[[#This Row],[Column1]])</f>
        <v/>
      </c>
    </row>
    <row r="60" ht="45" customHeight="1" s="290">
      <c r="A60" s="30" t="inlineStr">
        <is>
          <t>Vgate iCar Pro 2S Bluetooth 5.2 OBD2 Car Scan Tool for iPhone, Android, and Windows</t>
        </is>
      </c>
      <c r="B60" s="30" t="inlineStr">
        <is>
          <t>B0CYZRMCK9</t>
        </is>
      </c>
      <c r="C60" s="30" t="inlineStr">
        <is>
          <t>Dongle</t>
        </is>
      </c>
      <c r="D60" s="324" t="n">
        <v>33.9839755351682</v>
      </c>
      <c r="E60" s="53" t="n">
        <v>114951.96</v>
      </c>
      <c r="F60" s="54" t="n">
        <v>11112.76</v>
      </c>
      <c r="G60" s="55" t="n">
        <v>3415</v>
      </c>
      <c r="H60" s="55" t="n">
        <v>327</v>
      </c>
      <c r="I60" s="55" t="n">
        <v>314</v>
      </c>
      <c r="J60" s="56" t="n">
        <v>4.5</v>
      </c>
      <c r="K60" s="56" t="inlineStr">
        <is>
          <t>https://amazon.com/dp/B0CYZRMCK9</t>
        </is>
      </c>
      <c r="L60" s="34">
        <f>HYPERLINK(Vgate_2[[#This Row],[Column1]])</f>
        <v/>
      </c>
    </row>
    <row r="61" ht="45" customHeight="1" s="290">
      <c r="A61" s="30" t="inlineStr">
        <is>
          <t>Vgate vLinker BM+ OBD2 Bluetooth Scanner for BMW/Mini BimmerCode, Car Code Reader for iOS, Android, and Windows</t>
        </is>
      </c>
      <c r="B61" s="30" t="inlineStr">
        <is>
          <t>B08BR4KY1G</t>
        </is>
      </c>
      <c r="C61" s="30" t="inlineStr">
        <is>
          <t>Dongle</t>
        </is>
      </c>
      <c r="D61" s="324" t="n">
        <v>44.04008510638298</v>
      </c>
      <c r="E61" s="53" t="n">
        <v>97607.48999999999</v>
      </c>
      <c r="F61" s="54" t="n">
        <v>10349.42</v>
      </c>
      <c r="G61" s="55" t="n">
        <v>2236</v>
      </c>
      <c r="H61" s="55" t="n">
        <v>235</v>
      </c>
      <c r="I61" s="55" t="n">
        <v>262</v>
      </c>
      <c r="J61" s="56" t="n">
        <v>4.4</v>
      </c>
      <c r="K61" s="56" t="inlineStr">
        <is>
          <t>https://amazon.com/dp/B08BR4KY1G</t>
        </is>
      </c>
      <c r="L61" s="34">
        <f>HYPERLINK(Vgate_2[[#This Row],[Column1]])</f>
        <v/>
      </c>
    </row>
    <row r="62" ht="45" customHeight="1" s="290">
      <c r="A62" s="30" t="inlineStr">
        <is>
          <t>Vgate vLinker MS Bluetooth OBD2 Car Scan Tool for iPhone/iOS, Android &amp; Windows, Supports Multiple CAN Protocols (GMLAN, MS CAN, CH CAN, LS CAN)</t>
        </is>
      </c>
      <c r="B62" s="30" t="inlineStr">
        <is>
          <t>B0D6YQX4R8</t>
        </is>
      </c>
      <c r="C62" s="30" t="inlineStr">
        <is>
          <t>Dongle</t>
        </is>
      </c>
      <c r="D62" s="324" t="n">
        <v>70.0358904109589</v>
      </c>
      <c r="E62" s="53" t="n">
        <v>105804.28</v>
      </c>
      <c r="F62" s="54" t="n">
        <v>10225.24</v>
      </c>
      <c r="G62" s="55" t="n">
        <v>1533</v>
      </c>
      <c r="H62" s="55" t="n">
        <v>146</v>
      </c>
      <c r="I62" s="55" t="n">
        <v>166</v>
      </c>
      <c r="J62" s="56" t="n">
        <v>4.5</v>
      </c>
      <c r="K62" s="56" t="inlineStr">
        <is>
          <t>https://amazon.com/dp/B0D6YQX4R8</t>
        </is>
      </c>
      <c r="L62" s="34">
        <f>HYPERLINK(Vgate_2[[#This Row],[Column1]])</f>
        <v/>
      </c>
    </row>
    <row r="63" ht="45" customHeight="1" s="290">
      <c r="A63" s="30" t="inlineStr">
        <is>
          <t>Vgate iCar Pro(BT3.0/ BLE4.0) OBD2 Scanner Bluetooth Code Reader Diagnostic Scan Tool for Android &amp; iOS &amp; Windows Compatible with ELM327 Adapter</t>
        </is>
      </c>
      <c r="B63" s="30" t="inlineStr">
        <is>
          <t>B0C244484X</t>
        </is>
      </c>
      <c r="C63" s="30" t="inlineStr">
        <is>
          <t>Dongle</t>
        </is>
      </c>
      <c r="D63" s="324" t="n">
        <v>31.95444816053512</v>
      </c>
      <c r="E63" s="53" t="n">
        <v>102090.16</v>
      </c>
      <c r="F63" s="54" t="n">
        <v>9554.379999999999</v>
      </c>
      <c r="G63" s="55" t="n">
        <v>3204</v>
      </c>
      <c r="H63" s="55" t="n">
        <v>299</v>
      </c>
      <c r="I63" s="55" t="n">
        <v>379</v>
      </c>
      <c r="J63" s="56" t="n">
        <v>4.5</v>
      </c>
      <c r="K63" s="56" t="inlineStr">
        <is>
          <t>https://amazon.com/dp/B0C244484X</t>
        </is>
      </c>
      <c r="L63" s="34">
        <f>HYPERLINK(Vgate_2[[#This Row],[Column1]])</f>
        <v/>
      </c>
    </row>
    <row r="64" ht="45" customHeight="1" s="290">
      <c r="A64" s="30" t="inlineStr">
        <is>
          <t>Vgate vLinker BM Plus Bluetooth BLE OBD2 Scanner for BMW/Mini, Works with iPhone &amp; Android Unlock Car Hidden Features in BimmerCode, OBD II Diagnostic Tool</t>
        </is>
      </c>
      <c r="B64" s="30" t="inlineStr">
        <is>
          <t>B08H4PKT9P</t>
        </is>
      </c>
      <c r="C64" s="30" t="inlineStr">
        <is>
          <t>Dongle</t>
        </is>
      </c>
      <c r="D64" s="324" t="n">
        <v>46.9615</v>
      </c>
      <c r="E64" s="53" t="n">
        <v>86747.90000000001</v>
      </c>
      <c r="F64" s="54" t="n">
        <v>7513.84</v>
      </c>
      <c r="G64" s="55" t="n">
        <v>1874</v>
      </c>
      <c r="H64" s="55" t="n">
        <v>160</v>
      </c>
      <c r="I64" s="55" t="n">
        <v>512</v>
      </c>
      <c r="J64" s="56" t="n">
        <v>4.4</v>
      </c>
      <c r="K64" s="56" t="inlineStr">
        <is>
          <t>https://amazon.com/dp/B08H4PKT9P</t>
        </is>
      </c>
      <c r="L64" s="34">
        <f>HYPERLINK(Vgate_2[[#This Row],[Column1]])</f>
        <v/>
      </c>
    </row>
    <row r="65" ht="45" customHeight="1" s="290">
      <c r="A65" s="30" t="inlineStr">
        <is>
          <t>Vgate vLinker FD+ OBD2 Bluetooth Adapter – Diagnostic Code Reader for iOS, Android &amp; Windows (Supports MS-CAN, ELM327)</t>
        </is>
      </c>
      <c r="B65" s="30" t="inlineStr">
        <is>
          <t>B08FSNVZVK</t>
        </is>
      </c>
      <c r="C65" s="30" t="inlineStr">
        <is>
          <t>Dongle</t>
        </is>
      </c>
      <c r="D65" s="324" t="n">
        <v>45.14271604938271</v>
      </c>
      <c r="E65" s="53" t="n">
        <v>76837.313194</v>
      </c>
      <c r="F65" s="54" t="n">
        <v>3656.56</v>
      </c>
      <c r="G65" s="55" t="n">
        <v>1739</v>
      </c>
      <c r="H65" s="55" t="n">
        <v>81</v>
      </c>
      <c r="I65" s="55" t="n">
        <v>630</v>
      </c>
      <c r="J65" s="56" t="n">
        <v>4.6</v>
      </c>
      <c r="K65" s="56" t="inlineStr">
        <is>
          <t>https://amazon.com/dp/B08FSNVZVK</t>
        </is>
      </c>
      <c r="L65" s="34">
        <f>HYPERLINK(Vgate_2[[#This Row],[Column1]])</f>
        <v/>
      </c>
    </row>
    <row r="66" ht="45" customHeight="1" s="290">
      <c r="A66" s="30" t="inlineStr">
        <is>
          <t>Vgate vLinker FS Bluetooth FORS-can 0BD2 Adapter for-d Fixd Car Diagnostic Tool OBD2 Scanner Bluetooth MS-CAN Work for iOS, Android &amp; Windows, Black</t>
        </is>
      </c>
      <c r="B66" s="30" t="inlineStr">
        <is>
          <t>B0CP4NZCZM</t>
        </is>
      </c>
      <c r="C66" s="30" t="inlineStr">
        <is>
          <t>Dongle</t>
        </is>
      </c>
      <c r="D66" s="324" t="n">
        <v>58.65551020408163</v>
      </c>
      <c r="E66" s="53" t="n">
        <v>43875.75999999999</v>
      </c>
      <c r="F66" s="54" t="n">
        <v>2874.12</v>
      </c>
      <c r="G66" s="55" t="n">
        <v>756</v>
      </c>
      <c r="H66" s="55" t="n">
        <v>49</v>
      </c>
      <c r="I66" s="55" t="n">
        <v>85</v>
      </c>
      <c r="J66" s="56" t="n">
        <v>4.7</v>
      </c>
      <c r="K66" s="56" t="inlineStr">
        <is>
          <t>https://amazon.com/dp/B0CP4NZCZM</t>
        </is>
      </c>
      <c r="L66" s="34">
        <f>HYPERLINK(Vgate_2[[#This Row],[Column1]])</f>
        <v/>
      </c>
    </row>
    <row r="67" ht="45" customHeight="1" s="290">
      <c r="A67" s="30" t="inlineStr">
        <is>
          <t>Vgate iCar Pro Wi-Fi OBD2 Scanner Scan Tools OBDII Car Diagnostic Tool Code Reader Fault Check Engine Light for iOS/Android</t>
        </is>
      </c>
      <c r="B67" s="30" t="inlineStr">
        <is>
          <t>B06XGB4QL7</t>
        </is>
      </c>
      <c r="C67" s="30" t="inlineStr">
        <is>
          <t>Dongle</t>
        </is>
      </c>
      <c r="D67" s="324" t="n">
        <v>29.8225</v>
      </c>
      <c r="E67" s="53" t="n">
        <v>40556.194946</v>
      </c>
      <c r="F67" s="54" t="n">
        <v>2505.09</v>
      </c>
      <c r="G67" s="55" t="n">
        <v>1383</v>
      </c>
      <c r="H67" s="55" t="n">
        <v>84</v>
      </c>
      <c r="I67" s="55" t="n">
        <v>669</v>
      </c>
      <c r="J67" s="56" t="n">
        <v>4.3</v>
      </c>
      <c r="K67" s="56" t="inlineStr">
        <is>
          <t>https://amazon.com/dp/B06XGB4QL7</t>
        </is>
      </c>
      <c r="L67" s="34">
        <f>HYPERLINK(Vgate_2[[#This Row],[Column1]])</f>
        <v/>
      </c>
    </row>
    <row r="68" ht="45" customHeight="1" s="290">
      <c r="A68" s="30" t="inlineStr">
        <is>
          <t>Vgate 16 pin OBD2 OBDII Diagnostic Extender Splitter Extension Cable Male to Dual Female Y Cable 12 inches</t>
        </is>
      </c>
      <c r="B68" s="30" t="inlineStr">
        <is>
          <t>B015649DHA</t>
        </is>
      </c>
      <c r="C68" s="30" t="inlineStr">
        <is>
          <t>Cable/Adapter</t>
        </is>
      </c>
      <c r="D68" s="324" t="n">
        <v>11.95202380952381</v>
      </c>
      <c r="E68" s="53" t="n">
        <v>22548.57</v>
      </c>
      <c r="F68" s="54" t="n">
        <v>2007.94</v>
      </c>
      <c r="G68" s="55" t="n">
        <v>1890</v>
      </c>
      <c r="H68" s="55" t="n">
        <v>168</v>
      </c>
      <c r="I68" s="55" t="n">
        <v>972</v>
      </c>
      <c r="J68" s="56" t="n">
        <v>4.5</v>
      </c>
      <c r="K68" s="56" t="inlineStr">
        <is>
          <t>https://amazon.com/dp/B015649DHA</t>
        </is>
      </c>
      <c r="L68" s="34">
        <f>HYPERLINK(Vgate_2[[#This Row],[Column1]])</f>
        <v/>
      </c>
    </row>
    <row r="69" ht="60" customHeight="1" s="290">
      <c r="A69" s="30" t="inlineStr">
        <is>
          <t>vgate vLinker FD Plus OBD2 Adapter Bluetooth BLE Scanner for FORScan, Work with iPhone, Android, and Windows</t>
        </is>
      </c>
      <c r="B69" s="30" t="inlineStr">
        <is>
          <t>B08LDBYTFP</t>
        </is>
      </c>
      <c r="C69" s="30" t="inlineStr">
        <is>
          <t>Dongle</t>
        </is>
      </c>
      <c r="D69" s="324" t="n">
        <v>49.01458333333333</v>
      </c>
      <c r="E69" s="53" t="n">
        <v>25577.57307692308</v>
      </c>
      <c r="F69" s="54" t="n">
        <v>1176.35</v>
      </c>
      <c r="G69" s="55" t="n">
        <v>479</v>
      </c>
      <c r="H69" s="55" t="n">
        <v>24</v>
      </c>
      <c r="I69" s="55" t="n">
        <v>157</v>
      </c>
      <c r="J69" s="56" t="n">
        <v>4.2</v>
      </c>
      <c r="K69" s="56" t="inlineStr">
        <is>
          <t>https://amazon.com/dp/B08LDBYTFP</t>
        </is>
      </c>
      <c r="L69" s="34">
        <f>HYPERLINK(Vgate_2[[#This Row],[Column1]])</f>
        <v/>
      </c>
    </row>
    <row r="70" ht="45" customHeight="1" s="290">
      <c r="A70" s="30" t="inlineStr">
        <is>
          <t>Vgate vLinker BM OBD2 Bluetooth Code Reader, OBDII Scan Tool for Android &amp; Windows - Made for BimmerCode</t>
        </is>
      </c>
      <c r="B70" s="30" t="inlineStr">
        <is>
          <t>B08BRF2SMM</t>
        </is>
      </c>
      <c r="C70" s="30" t="inlineStr">
        <is>
          <t>Dongle</t>
        </is>
      </c>
      <c r="D70" s="324" t="n">
        <v>38.43642857142857</v>
      </c>
      <c r="E70" s="53" t="n">
        <v>13233.31</v>
      </c>
      <c r="F70" s="54" t="n">
        <v>1076.22</v>
      </c>
      <c r="G70" s="55" t="n">
        <v>352</v>
      </c>
      <c r="H70" s="55" t="n">
        <v>28</v>
      </c>
      <c r="I70" s="55" t="n">
        <v>36</v>
      </c>
      <c r="J70" s="56" t="n">
        <v>4</v>
      </c>
      <c r="K70" s="56" t="inlineStr">
        <is>
          <t>https://amazon.com/dp/B08BRF2SMM</t>
        </is>
      </c>
      <c r="L70" s="34">
        <f>HYPERLINK(Vgate_2[[#This Row],[Column1]])</f>
        <v/>
      </c>
    </row>
    <row r="71" ht="45" customHeight="1" s="290">
      <c r="A71" s="30" t="inlineStr">
        <is>
          <t>Vgate vLinker MC Bluetooth OBD2 Diagnostic Scanner for Android &amp; Windows</t>
        </is>
      </c>
      <c r="B71" s="30" t="inlineStr">
        <is>
          <t>B08694LQR1</t>
        </is>
      </c>
      <c r="C71" s="30" t="inlineStr">
        <is>
          <t>Dongle</t>
        </is>
      </c>
      <c r="D71" s="324" t="n">
        <v>45.97421052631579</v>
      </c>
      <c r="E71" s="53" t="n">
        <v>15380.77384615385</v>
      </c>
      <c r="F71" s="54" t="n">
        <v>873.51</v>
      </c>
      <c r="G71" s="55" t="n">
        <v>313</v>
      </c>
      <c r="H71" s="55" t="n">
        <v>19</v>
      </c>
      <c r="I71" s="55" t="n">
        <v>1371</v>
      </c>
      <c r="J71" s="56" t="n">
        <v>4.4</v>
      </c>
      <c r="K71" s="56" t="inlineStr">
        <is>
          <t>https://amazon.com/dp/B08694LQR1</t>
        </is>
      </c>
      <c r="L71" s="34">
        <f>HYPERLINK(Vgate_2[[#This Row],[Column1]])</f>
        <v/>
      </c>
    </row>
    <row r="72" ht="45" customHeight="1" s="290">
      <c r="A72" s="30" t="inlineStr">
        <is>
          <t>Vgate vLinker FD OBD2 Bluetooth Car Code Reader, OBD2 Diagnostic Scanner for Android &amp; Windows</t>
        </is>
      </c>
      <c r="B72" s="30" t="inlineStr">
        <is>
          <t>B08FSXYXLG</t>
        </is>
      </c>
      <c r="C72" s="30" t="inlineStr">
        <is>
          <t>Dongle</t>
        </is>
      </c>
      <c r="D72" s="324" t="n">
        <v>34.59470588235294</v>
      </c>
      <c r="E72" s="53" t="n">
        <v>15307.08</v>
      </c>
      <c r="F72" s="54" t="n">
        <v>588.11</v>
      </c>
      <c r="G72" s="55" t="n">
        <v>442</v>
      </c>
      <c r="H72" s="55" t="n">
        <v>17</v>
      </c>
      <c r="I72" s="55" t="n">
        <v>630</v>
      </c>
      <c r="J72" s="56" t="n">
        <v>4.5</v>
      </c>
      <c r="K72" s="56" t="inlineStr">
        <is>
          <t>https://amazon.com/dp/B08FSXYXLG</t>
        </is>
      </c>
      <c r="L72" s="34">
        <f>HYPERLINK(Vgate_2[[#This Row],[Column1]])</f>
        <v/>
      </c>
    </row>
    <row r="73" ht="45" customHeight="1" s="290">
      <c r="A73" s="30" t="inlineStr">
        <is>
          <t>Vgate iCar2 OBD2 Scanner Scan Tools Interface Wi-Fi Adapter Check Engine Light Car Diagnostic Tool for iOS &amp; Android Auto Sleep (Blue)</t>
        </is>
      </c>
      <c r="B73" s="30" t="inlineStr">
        <is>
          <t>B07ZYTZ7LJ</t>
        </is>
      </c>
      <c r="C73" s="30" t="inlineStr">
        <is>
          <t>Dongle</t>
        </is>
      </c>
      <c r="D73" s="324" t="n">
        <v>23.81833333333333</v>
      </c>
      <c r="E73" s="53" t="n">
        <v>7924.12</v>
      </c>
      <c r="F73" s="54" t="n">
        <v>571.64</v>
      </c>
      <c r="G73" s="55" t="n">
        <v>337</v>
      </c>
      <c r="H73" s="55" t="n">
        <v>24</v>
      </c>
      <c r="I73" s="55" t="n">
        <v>118</v>
      </c>
      <c r="J73" s="56" t="n">
        <v>4.4</v>
      </c>
      <c r="K73" s="56" t="inlineStr">
        <is>
          <t>https://amazon.com/dp/B07ZYTZ7LJ</t>
        </is>
      </c>
      <c r="L73" s="34">
        <f>HYPERLINK(Vgate_2[[#This Row],[Column1]])</f>
        <v/>
      </c>
    </row>
    <row r="74" ht="45" customHeight="1" s="290">
      <c r="A74" s="30" t="inlineStr">
        <is>
          <t>Vgate vLinker FD+ (BT3.0/ BLE4.0) OBD2 Scanner for FORScan Fixed Diagnostic Tool Car Code Reader for Android &amp; iOS &amp; Windows</t>
        </is>
      </c>
      <c r="B74" s="30" t="inlineStr">
        <is>
          <t>B0C39TL9R6</t>
        </is>
      </c>
      <c r="C74" s="30" t="inlineStr">
        <is>
          <t>Dongle</t>
        </is>
      </c>
      <c r="D74" s="324" t="n">
        <v>42.67230769230769</v>
      </c>
      <c r="E74" s="53" t="n">
        <v>10699.0225</v>
      </c>
      <c r="F74" s="54" t="n">
        <v>554.74</v>
      </c>
      <c r="G74" s="55" t="n">
        <v>250</v>
      </c>
      <c r="H74" s="55" t="n">
        <v>13</v>
      </c>
      <c r="I74" s="55" t="n">
        <v>37</v>
      </c>
      <c r="J74" s="56" t="n">
        <v>4.3</v>
      </c>
      <c r="K74" s="56" t="inlineStr">
        <is>
          <t>https://amazon.com/dp/B0C39TL9R6</t>
        </is>
      </c>
      <c r="L74" s="34">
        <f>HYPERLINK(Vgate_2[[#This Row],[Column1]])</f>
        <v/>
      </c>
    </row>
    <row r="75" ht="45" customHeight="1" s="290">
      <c r="A75" s="30" t="inlineStr">
        <is>
          <t>Vgate vLinker MS Bluetooth OBD2 Scanner Fixd Car Diagnostic Tool Code Reader CH-CAN and LS-CAN Work for iOS &amp; Android &amp; Windows, Black</t>
        </is>
      </c>
      <c r="B75" s="30" t="inlineStr">
        <is>
          <t>B0DB89CSF5</t>
        </is>
      </c>
      <c r="C75" s="30" t="inlineStr">
        <is>
          <t>Dongle</t>
        </is>
      </c>
      <c r="D75" s="324" t="n">
        <v>65.43428571428572</v>
      </c>
      <c r="E75" s="53" t="n">
        <v>9784.889999999999</v>
      </c>
      <c r="F75" s="54" t="n">
        <v>458.04</v>
      </c>
      <c r="G75" s="55" t="n">
        <v>149</v>
      </c>
      <c r="H75" s="55" t="n">
        <v>7</v>
      </c>
      <c r="I75" s="55" t="n">
        <v>58</v>
      </c>
      <c r="J75" s="56" t="n">
        <v>4.8</v>
      </c>
      <c r="K75" s="56" t="inlineStr">
        <is>
          <t>https://amazon.com/dp/B0DB89CSF5</t>
        </is>
      </c>
      <c r="L75" s="34">
        <f>HYPERLINK(Vgate_2[[#This Row],[Column1]])</f>
        <v/>
      </c>
    </row>
    <row r="76" ht="45" customHeight="1" s="290">
      <c r="A76" s="30" t="inlineStr">
        <is>
          <t>Vgate iCar2 Wi-Fi Adapter OBD2 Scanner Scan Tools Check Engine Light Car Diagnostic Tool for iOS &amp; Android, Auto Sleep (Black)</t>
        </is>
      </c>
      <c r="B76" s="30" t="inlineStr">
        <is>
          <t>B0B6BBPH3J</t>
        </is>
      </c>
      <c r="C76" s="30" t="inlineStr">
        <is>
          <t>Dongle</t>
        </is>
      </c>
      <c r="D76" s="324" t="n">
        <v>24.29666666666667</v>
      </c>
      <c r="E76" s="53" t="n">
        <v>4082.15</v>
      </c>
      <c r="F76" s="54" t="n">
        <v>437.34</v>
      </c>
      <c r="G76" s="55" t="n">
        <v>170</v>
      </c>
      <c r="H76" s="55" t="n">
        <v>18</v>
      </c>
      <c r="I76" s="55" t="n">
        <v>118</v>
      </c>
      <c r="J76" s="56" t="n">
        <v>4.4</v>
      </c>
      <c r="K76" s="56" t="inlineStr">
        <is>
          <t>https://amazon.com/dp/B0B6BBPH3J</t>
        </is>
      </c>
      <c r="L76" s="34">
        <f>HYPERLINK(Vgate_2[[#This Row],[Column1]])</f>
        <v/>
      </c>
    </row>
    <row r="77" ht="60" customHeight="1" s="290">
      <c r="A77" s="30" t="inlineStr">
        <is>
          <t>Vgate OBD2 Bluetooth Scanner vLinker BM Bimmercode Diagnostic Tool for BMW/Mini, Work with Android and Windows only</t>
        </is>
      </c>
      <c r="B77" s="30" t="inlineStr">
        <is>
          <t>B08LDBSWWL</t>
        </is>
      </c>
      <c r="C77" s="30" t="inlineStr">
        <is>
          <t>Dongle</t>
        </is>
      </c>
      <c r="D77" s="324" t="n">
        <v>37.92818181818182</v>
      </c>
      <c r="E77" s="53" t="n">
        <v>7242.949999999999</v>
      </c>
      <c r="F77" s="54" t="n">
        <v>417.21</v>
      </c>
      <c r="G77" s="55" t="n">
        <v>184</v>
      </c>
      <c r="H77" s="55" t="n">
        <v>11</v>
      </c>
      <c r="I77" s="55" t="n">
        <v>88</v>
      </c>
      <c r="J77" s="56" t="n">
        <v>4.3</v>
      </c>
      <c r="K77" s="56" t="inlineStr">
        <is>
          <t>https://amazon.com/dp/B08LDBSWWL</t>
        </is>
      </c>
      <c r="L77" s="34">
        <f>HYPERLINK(Vgate_2[[#This Row],[Column1]])</f>
        <v/>
      </c>
    </row>
    <row r="78" ht="45" customHeight="1" s="290">
      <c r="A78" s="30" t="inlineStr">
        <is>
          <t>Vgate vLinker MC Bluetooth 3.0 OBD2 Scanner Code Reader Diagnostic Scan Tool for Android &amp; Windows, Black</t>
        </is>
      </c>
      <c r="B78" s="30" t="inlineStr">
        <is>
          <t>B0C2GLCDQQ</t>
        </is>
      </c>
      <c r="C78" s="30" t="inlineStr">
        <is>
          <t>Dongle</t>
        </is>
      </c>
      <c r="D78" s="324" t="n">
        <v>46.30111111111111</v>
      </c>
      <c r="E78" s="53" t="n">
        <v>4302.000000000001</v>
      </c>
      <c r="F78" s="54" t="n">
        <v>416.71</v>
      </c>
      <c r="G78" s="55" t="n">
        <v>97</v>
      </c>
      <c r="H78" s="55" t="n">
        <v>9</v>
      </c>
      <c r="I78" s="55" t="n">
        <v>189</v>
      </c>
      <c r="J78" s="56" t="n">
        <v>4.5</v>
      </c>
      <c r="K78" s="56" t="inlineStr">
        <is>
          <t>https://amazon.com/dp/B0C2GLCDQQ</t>
        </is>
      </c>
      <c r="L78" s="34">
        <f>HYPERLINK(Vgate_2[[#This Row],[Column1]])</f>
        <v/>
      </c>
    </row>
    <row r="79" ht="45" customHeight="1" s="290">
      <c r="A79" s="30" t="inlineStr">
        <is>
          <t>Vgate iCar Pro Bluetooth 3.0 OBD2 Scanner | Android Only – Not for iOS – Check Engine Light</t>
        </is>
      </c>
      <c r="B79" s="30" t="inlineStr">
        <is>
          <t>B06XGBKG8X</t>
        </is>
      </c>
      <c r="C79" s="30" t="inlineStr">
        <is>
          <t>Dongle</t>
        </is>
      </c>
      <c r="D79" s="324" t="n">
        <v>26.40307692307692</v>
      </c>
      <c r="E79" s="53" t="n">
        <v>13845.18</v>
      </c>
      <c r="F79" s="54" t="n">
        <v>343.24</v>
      </c>
      <c r="G79" s="55" t="n">
        <v>537</v>
      </c>
      <c r="H79" s="55" t="n">
        <v>13</v>
      </c>
      <c r="I79" s="55" t="n">
        <v>859</v>
      </c>
      <c r="J79" s="56" t="n">
        <v>4.2</v>
      </c>
      <c r="K79" s="56" t="inlineStr">
        <is>
          <t>https://amazon.com/dp/B06XGBKG8X</t>
        </is>
      </c>
      <c r="L79" s="34">
        <f>HYPERLINK(Vgate_2[[#This Row],[Column1]])</f>
        <v/>
      </c>
    </row>
    <row r="80" ht="45" customHeight="1" s="290">
      <c r="A80" s="30" t="inlineStr">
        <is>
          <t>Vgate iCar Pro BT3.0 OBD2 Scanner Bluetooth Code Reader Diagnostic Scan Tool for Android &amp; Windows Compatible with ELM327 Adapter</t>
        </is>
      </c>
      <c r="B80" s="30" t="inlineStr">
        <is>
          <t>B0C244W4H5</t>
        </is>
      </c>
      <c r="C80" s="30" t="inlineStr">
        <is>
          <t>Dongle</t>
        </is>
      </c>
      <c r="D80" s="324" t="n">
        <v>24.85923076923077</v>
      </c>
      <c r="E80" s="53" t="n">
        <v>3318.020769230769</v>
      </c>
      <c r="F80" s="54" t="n">
        <v>323.17</v>
      </c>
      <c r="G80" s="55" t="n">
        <v>124</v>
      </c>
      <c r="H80" s="55" t="n">
        <v>13</v>
      </c>
      <c r="I80" s="55" t="n">
        <v>379</v>
      </c>
      <c r="J80" s="56" t="n">
        <v>4.5</v>
      </c>
      <c r="K80" s="56" t="inlineStr">
        <is>
          <t>https://amazon.com/dp/B0C244W4H5</t>
        </is>
      </c>
      <c r="L80" s="34">
        <f>HYPERLINK(Vgate_2[[#This Row],[Column1]])</f>
        <v/>
      </c>
    </row>
    <row r="81" ht="45" customHeight="1" s="290">
      <c r="A81" s="30" t="inlineStr">
        <is>
          <t>Vgate vLinker FD Bluetooth3.0 OBD2 Scanner for FORScan Fixed Diagnostic Tool Car Code Reader for Android &amp; Windows</t>
        </is>
      </c>
      <c r="B81" s="30" t="inlineStr">
        <is>
          <t>B0C39Y7CZM</t>
        </is>
      </c>
      <c r="C81" s="30" t="inlineStr">
        <is>
          <t>Dongle</t>
        </is>
      </c>
      <c r="D81" s="324" t="n">
        <v>31.58222222222222</v>
      </c>
      <c r="E81" s="53" t="n">
        <v>4713.200000000001</v>
      </c>
      <c r="F81" s="54" t="n">
        <v>284.24</v>
      </c>
      <c r="G81" s="55" t="n">
        <v>152</v>
      </c>
      <c r="H81" s="55" t="n">
        <v>9</v>
      </c>
      <c r="I81" s="55" t="n">
        <v>37</v>
      </c>
      <c r="J81" s="56" t="n">
        <v>4.3</v>
      </c>
      <c r="K81" s="56" t="inlineStr">
        <is>
          <t>https://amazon.com/dp/B0C39Y7CZM</t>
        </is>
      </c>
      <c r="L81" s="34">
        <f>HYPERLINK(Vgate_2[[#This Row],[Column1]])</f>
        <v/>
      </c>
    </row>
    <row r="82" ht="45" customHeight="1" s="290">
      <c r="A82" s="30" t="inlineStr">
        <is>
          <t>Vgate iCar Pro 2S Bluetooth OBD2 Scanner Fixd Car Diagnostic Tool Code Reader for Android &amp; iOS &amp; Windows, Black</t>
        </is>
      </c>
      <c r="B82" s="30" t="inlineStr">
        <is>
          <t>B0D81QLQ92</t>
        </is>
      </c>
      <c r="C82" s="30" t="inlineStr">
        <is>
          <t>Dongle</t>
        </is>
      </c>
      <c r="D82" s="324" t="n">
        <v>31.24555555555555</v>
      </c>
      <c r="E82" s="53" t="n">
        <v>6635</v>
      </c>
      <c r="F82" s="54" t="n">
        <v>281.21</v>
      </c>
      <c r="G82" s="55" t="n">
        <v>205</v>
      </c>
      <c r="H82" s="55" t="n">
        <v>9</v>
      </c>
      <c r="I82" s="55" t="n">
        <v>65</v>
      </c>
      <c r="J82" s="56" t="n">
        <v>4.5</v>
      </c>
      <c r="K82" s="56" t="inlineStr">
        <is>
          <t>https://amazon.com/dp/B0D81QLQ92</t>
        </is>
      </c>
      <c r="L82" s="34">
        <f>HYPERLINK(Vgate_2[[#This Row],[Column1]])</f>
        <v/>
      </c>
    </row>
    <row r="83" ht="30" customHeight="1" s="290">
      <c r="A83" s="30" t="inlineStr">
        <is>
          <t>Vgate iCar 3 WiFi OBD2 Scanner Scan Tools Interface Adapter Car Diagnostics Tool for iOS iPhone iPad and Android, Auto Sleep(White)</t>
        </is>
      </c>
      <c r="B83" s="30" t="inlineStr">
        <is>
          <t>B01J7IMBFC</t>
        </is>
      </c>
      <c r="C83" s="30" t="inlineStr">
        <is>
          <t>Dongle</t>
        </is>
      </c>
      <c r="D83" s="324" t="n">
        <v>25.29444444444444</v>
      </c>
      <c r="E83" s="53" t="n">
        <v>4410.139999999999</v>
      </c>
      <c r="F83" s="54" t="n">
        <v>227.65</v>
      </c>
      <c r="G83" s="55" t="n">
        <v>173</v>
      </c>
      <c r="H83" s="55" t="n">
        <v>9</v>
      </c>
      <c r="I83" s="55" t="n">
        <v>141</v>
      </c>
      <c r="J83" s="56" t="n">
        <v>4</v>
      </c>
      <c r="K83" s="56" t="inlineStr">
        <is>
          <t>https://amazon.com/dp/B01J7IMBFC</t>
        </is>
      </c>
      <c r="L83" s="34">
        <f>HYPERLINK(Vgate_2[[#This Row],[Column1]])</f>
        <v/>
      </c>
    </row>
    <row r="84" ht="45" customHeight="1" s="290">
      <c r="A84" s="30" t="inlineStr">
        <is>
          <t>Vgate 16 Pin OBD2 OBDII Diagnostic Extender Splitter Extension Cable Male to Dual Female Y Cable, 19 inches</t>
        </is>
      </c>
      <c r="B84" s="30" t="inlineStr">
        <is>
          <t>B07M7CS1V4</t>
        </is>
      </c>
      <c r="C84" s="30" t="inlineStr">
        <is>
          <t>Cable/Adapter</t>
        </is>
      </c>
      <c r="D84" s="324" t="n">
        <v>12.79470588235294</v>
      </c>
      <c r="E84" s="53" t="n">
        <v>2610.76</v>
      </c>
      <c r="F84" s="54" t="n">
        <v>217.51</v>
      </c>
      <c r="G84" s="55" t="n">
        <v>209</v>
      </c>
      <c r="H84" s="55" t="n">
        <v>17</v>
      </c>
      <c r="I84" s="55" t="n">
        <v>972</v>
      </c>
      <c r="J84" s="56" t="n">
        <v>4.5</v>
      </c>
      <c r="K84" s="56" t="inlineStr">
        <is>
          <t>https://amazon.com/dp/B07M7CS1V4</t>
        </is>
      </c>
      <c r="L84" s="34">
        <f>HYPERLINK(Vgate_2[[#This Row],[Column1]])</f>
        <v/>
      </c>
    </row>
    <row r="85" ht="45" customHeight="1" s="290">
      <c r="A85" s="30" t="inlineStr">
        <is>
          <t>Vgate vLinker BM3.0 Bluetooth OBD2 Scanner Diagnostic Tool Bimmercode, Code Reader for BMW, Supports Android &amp; Windows</t>
        </is>
      </c>
      <c r="B85" s="30" t="inlineStr">
        <is>
          <t>B0GS1J18DH</t>
        </is>
      </c>
      <c r="C85" s="30" t="inlineStr">
        <is>
          <t>Dongle</t>
        </is>
      </c>
      <c r="D85" s="324" t="n">
        <v>26.55</v>
      </c>
      <c r="E85" s="53" t="n">
        <v>320.6423076923077</v>
      </c>
      <c r="F85" s="54" t="n">
        <v>26.55</v>
      </c>
      <c r="G85" s="55" t="n">
        <v>1</v>
      </c>
      <c r="H85" s="55" t="n">
        <v>1</v>
      </c>
      <c r="I85" s="55" t="n"/>
      <c r="J85" s="56" t="n"/>
      <c r="K85" s="56" t="inlineStr">
        <is>
          <t>https://amazon.com/dp/B0GS1J18DH</t>
        </is>
      </c>
      <c r="L85" s="34">
        <f>HYPERLINK(Vgate_2[[#This Row],[Column1]])</f>
        <v/>
      </c>
    </row>
    <row r="86" ht="45" customHeight="1" s="290">
      <c r="A86" s="30" t="inlineStr">
        <is>
          <t>Vgate vLinker BM+ Bluetooth LE OBD2 Scanner Diagnostic Tool Bimmercode, Code Reader for BMW, Supports iOS &amp; Android &amp; Windows</t>
        </is>
      </c>
      <c r="B86" s="30" t="inlineStr">
        <is>
          <t>B0GS4CFL5R</t>
        </is>
      </c>
      <c r="C86" s="30" t="inlineStr">
        <is>
          <t>Dongle</t>
        </is>
      </c>
      <c r="D86" s="324" t="n">
        <v>39.99</v>
      </c>
      <c r="E86" s="53" t="n">
        <v>0</v>
      </c>
      <c r="F86" s="54" t="n">
        <v>0</v>
      </c>
      <c r="G86" s="55" t="n">
        <v>0</v>
      </c>
      <c r="H86" s="55" t="n">
        <v>0</v>
      </c>
      <c r="I86" s="55" t="n"/>
      <c r="J86" s="56" t="n"/>
      <c r="K86" s="56" t="inlineStr">
        <is>
          <t>https://amazon.com/dp/B0GS4CFL5R</t>
        </is>
      </c>
      <c r="L86" s="34">
        <f>HYPERLINK(Vgate_2[[#This Row],[Column1]])</f>
        <v/>
      </c>
    </row>
    <row r="87" ht="45" customHeight="1" s="290">
      <c r="A87" s="30" t="n"/>
      <c r="B87" s="30" t="n"/>
      <c r="C87" s="30" t="n"/>
      <c r="D87" s="324" t="n"/>
      <c r="E87" s="53" t="n"/>
      <c r="F87" s="54" t="n"/>
      <c r="G87" s="55" t="n"/>
      <c r="H87" s="55" t="n"/>
      <c r="I87" s="55" t="n"/>
      <c r="J87" s="56" t="n"/>
      <c r="K87" s="56" t="n"/>
      <c r="L87" s="34">
        <f>HYPERLINK(Table544[[#This Row],[Column1]])</f>
        <v/>
      </c>
    </row>
    <row r="88" ht="45" customHeight="1" s="290">
      <c r="A88" s="30" t="n"/>
      <c r="B88" s="30" t="n"/>
      <c r="C88" s="30" t="n"/>
      <c r="D88" s="324" t="n"/>
      <c r="E88" s="53" t="n"/>
      <c r="F88" s="54" t="n"/>
      <c r="G88" s="55" t="n"/>
      <c r="H88" s="55" t="n"/>
      <c r="I88" s="55" t="n"/>
      <c r="J88" s="56" t="n"/>
      <c r="K88" s="56" t="n"/>
      <c r="L88" s="34">
        <f>HYPERLINK(Table544[[#This Row],[Column1]])</f>
        <v/>
      </c>
    </row>
    <row r="89" ht="45" customHeight="1" s="290">
      <c r="A89" s="30" t="n"/>
      <c r="B89" s="30" t="n"/>
      <c r="C89" s="30" t="n"/>
      <c r="D89" s="324" t="n"/>
      <c r="E89" s="53" t="n"/>
      <c r="F89" s="54" t="n"/>
      <c r="G89" s="55" t="n"/>
      <c r="H89" s="55" t="n"/>
      <c r="I89" s="55" t="n"/>
      <c r="J89" s="56" t="n"/>
      <c r="K89" s="56" t="n"/>
      <c r="L89" s="34">
        <f>HYPERLINK(Table544[[#This Row],[Column1]])</f>
        <v/>
      </c>
    </row>
    <row r="90" ht="45" customHeight="1" s="290">
      <c r="A90" s="30" t="n"/>
      <c r="B90" s="30" t="n"/>
      <c r="C90" s="30" t="n"/>
      <c r="D90" s="324" t="n"/>
      <c r="E90" s="53" t="n"/>
      <c r="F90" s="54" t="n"/>
      <c r="G90" s="55" t="n"/>
      <c r="H90" s="55" t="n"/>
      <c r="I90" s="55" t="n"/>
      <c r="J90" s="56" t="n"/>
      <c r="K90" s="56" t="n"/>
      <c r="L90" s="34">
        <f>HYPERLINK(Table544[[#This Row],[Column1]])</f>
        <v/>
      </c>
    </row>
    <row r="91" ht="45" customHeight="1" s="290">
      <c r="A91" s="30" t="n"/>
      <c r="B91" s="30" t="n"/>
      <c r="C91" s="30" t="n"/>
      <c r="D91" s="324" t="n"/>
      <c r="E91" s="53" t="n"/>
      <c r="F91" s="54" t="n"/>
      <c r="G91" s="55" t="n"/>
      <c r="H91" s="55" t="n"/>
      <c r="I91" s="55" t="n"/>
      <c r="J91" s="56" t="n"/>
      <c r="K91" s="56" t="n"/>
      <c r="L91" s="34">
        <f>HYPERLINK(Table544[[#This Row],[Column1]])</f>
        <v/>
      </c>
    </row>
    <row r="92" ht="45" customHeight="1" s="290">
      <c r="A92" s="30" t="n"/>
      <c r="B92" s="30" t="n"/>
      <c r="C92" s="30" t="n"/>
      <c r="D92" s="324" t="n"/>
      <c r="E92" s="53" t="n"/>
      <c r="F92" s="54" t="n"/>
      <c r="G92" s="55" t="n"/>
      <c r="H92" s="55" t="n"/>
      <c r="I92" s="55" t="n"/>
      <c r="J92" s="56" t="n"/>
      <c r="K92" s="56" t="n"/>
      <c r="L92" s="34">
        <f>HYPERLINK(Table544[[#This Row],[Column1]])</f>
        <v/>
      </c>
    </row>
    <row r="93" ht="45" customHeight="1" s="290">
      <c r="A93" s="30" t="n"/>
      <c r="B93" s="30" t="n"/>
      <c r="C93" s="30" t="n"/>
      <c r="D93" s="324" t="n"/>
      <c r="E93" s="53" t="n"/>
      <c r="F93" s="54" t="n"/>
      <c r="G93" s="55" t="n"/>
      <c r="H93" s="55" t="n"/>
      <c r="I93" s="55" t="n"/>
      <c r="J93" s="56" t="n"/>
      <c r="K93" s="56" t="n"/>
      <c r="L93" s="34">
        <f>HYPERLINK(Table544[[#This Row],[Column1]])</f>
        <v/>
      </c>
    </row>
    <row r="94" ht="60" customHeight="1" s="290">
      <c r="A94" s="30" t="n"/>
      <c r="B94" s="30" t="n"/>
      <c r="C94" s="30" t="n"/>
      <c r="D94" s="324" t="n"/>
      <c r="E94" s="53" t="n"/>
      <c r="F94" s="54" t="n"/>
      <c r="G94" s="55" t="n"/>
      <c r="H94" s="55" t="n"/>
      <c r="I94" s="55" t="n"/>
      <c r="J94" s="56" t="n"/>
      <c r="K94" s="56" t="n"/>
      <c r="L94" s="34">
        <f>HYPERLINK(Table544[[#This Row],[Column1]])</f>
        <v/>
      </c>
    </row>
    <row r="95" ht="45" customHeight="1" s="290">
      <c r="A95" s="30" t="n"/>
      <c r="B95" s="30" t="n"/>
      <c r="C95" s="30" t="n"/>
      <c r="D95" s="324" t="n"/>
      <c r="E95" s="53" t="n"/>
      <c r="F95" s="54" t="n"/>
      <c r="G95" s="55" t="n"/>
      <c r="H95" s="55" t="n"/>
      <c r="I95" s="55" t="n"/>
      <c r="J95" s="56" t="n"/>
      <c r="K95" s="56" t="n"/>
      <c r="L95" s="34">
        <f>HYPERLINK(Table544[[#This Row],[Column1]])</f>
        <v/>
      </c>
    </row>
    <row r="96" ht="45" customHeight="1" s="290">
      <c r="A96" s="30" t="n"/>
      <c r="B96" s="30" t="n"/>
      <c r="C96" s="30" t="n"/>
      <c r="D96" s="324" t="n"/>
      <c r="E96" s="53" t="n"/>
      <c r="F96" s="54" t="n"/>
      <c r="G96" s="55" t="n"/>
      <c r="H96" s="55" t="n"/>
      <c r="I96" s="55" t="n"/>
      <c r="J96" s="56" t="n"/>
      <c r="K96" s="56" t="n"/>
      <c r="L96" s="34">
        <f>HYPERLINK(Table544[[#This Row],[Column1]])</f>
        <v/>
      </c>
    </row>
    <row r="97" ht="45" customHeight="1" s="290">
      <c r="A97" s="30" t="n"/>
      <c r="B97" s="30" t="n"/>
      <c r="C97" s="30" t="n"/>
      <c r="D97" s="324" t="n"/>
      <c r="E97" s="53" t="n"/>
      <c r="F97" s="54" t="n"/>
      <c r="G97" s="55" t="n"/>
      <c r="H97" s="55" t="n"/>
      <c r="I97" s="55" t="n"/>
      <c r="J97" s="56" t="n"/>
      <c r="K97" s="56" t="n"/>
      <c r="L97" s="34">
        <f>HYPERLINK(Table544[[#This Row],[Column1]])</f>
        <v/>
      </c>
    </row>
    <row r="98" ht="60" customHeight="1" s="290">
      <c r="A98" s="30" t="n"/>
      <c r="B98" s="30" t="n"/>
      <c r="C98" s="30" t="n"/>
      <c r="D98" s="324" t="n"/>
      <c r="E98" s="53" t="n"/>
      <c r="F98" s="54" t="n"/>
      <c r="G98" s="55" t="n"/>
      <c r="H98" s="55" t="n"/>
      <c r="I98" s="55" t="n"/>
      <c r="J98" s="56" t="n"/>
      <c r="K98" s="56" t="n"/>
      <c r="L98" s="34">
        <f>HYPERLINK(Table544[[#This Row],[Column1]])</f>
        <v/>
      </c>
    </row>
    <row r="99" ht="45" customHeight="1" s="290">
      <c r="A99" s="30" t="n"/>
      <c r="B99" s="30" t="n"/>
      <c r="C99" s="30" t="n"/>
      <c r="D99" s="324" t="n"/>
      <c r="E99" s="53" t="n"/>
      <c r="F99" s="54" t="n"/>
      <c r="G99" s="55" t="n"/>
      <c r="H99" s="55" t="n"/>
      <c r="I99" s="55" t="n"/>
      <c r="J99" s="56" t="n"/>
      <c r="K99" s="56" t="n"/>
      <c r="L99" s="34">
        <f>HYPERLINK(Table544[[#This Row],[Column1]])</f>
        <v/>
      </c>
    </row>
    <row r="100" ht="45" customHeight="1" s="290">
      <c r="A100" s="30" t="n"/>
      <c r="B100" s="30" t="n"/>
      <c r="C100" s="30" t="n"/>
      <c r="D100" s="324" t="n"/>
      <c r="E100" s="53" t="n"/>
      <c r="F100" s="54" t="n"/>
      <c r="G100" s="55" t="n"/>
      <c r="H100" s="55" t="n"/>
      <c r="I100" s="55" t="n"/>
      <c r="J100" s="56" t="n"/>
      <c r="K100" s="56" t="n"/>
      <c r="L100" s="34">
        <f>HYPERLINK(Table544[[#This Row],[Column1]])</f>
        <v/>
      </c>
    </row>
    <row r="101" ht="45" customHeight="1" s="290">
      <c r="A101" s="30" t="n"/>
      <c r="B101" s="30" t="n"/>
      <c r="C101" s="30" t="n"/>
      <c r="D101" s="324" t="n"/>
      <c r="E101" s="53" t="n"/>
      <c r="F101" s="54" t="n"/>
      <c r="G101" s="55" t="n"/>
      <c r="H101" s="55" t="n"/>
      <c r="I101" s="55" t="n"/>
      <c r="J101" s="56" t="n"/>
      <c r="K101" s="56" t="n"/>
      <c r="L101" s="34">
        <f>HYPERLINK(Table544[[#This Row],[Column1]])</f>
        <v/>
      </c>
    </row>
    <row r="102" ht="45" customHeight="1" s="290">
      <c r="A102" s="30" t="n"/>
      <c r="B102" s="30" t="n"/>
      <c r="C102" s="30" t="n"/>
      <c r="D102" s="324" t="n"/>
      <c r="E102" s="53" t="n"/>
      <c r="F102" s="54" t="n"/>
      <c r="G102" s="55" t="n"/>
      <c r="H102" s="55" t="n"/>
      <c r="I102" s="55" t="n"/>
      <c r="J102" s="56" t="n"/>
      <c r="K102" s="56" t="n"/>
      <c r="L102" s="34">
        <f>HYPERLINK(Table544[[#This Row],[Column1]])</f>
        <v/>
      </c>
    </row>
    <row r="103" ht="45" customHeight="1" s="290">
      <c r="A103" s="30" t="n"/>
      <c r="B103" s="30" t="n"/>
      <c r="C103" s="30" t="n"/>
      <c r="D103" s="324" t="n"/>
      <c r="E103" s="53" t="n"/>
      <c r="F103" s="54" t="n"/>
      <c r="G103" s="55" t="n"/>
      <c r="H103" s="55" t="n"/>
      <c r="I103" s="55" t="n"/>
      <c r="J103" s="56" t="n"/>
      <c r="K103" s="56" t="n"/>
      <c r="L103" s="34">
        <f>HYPERLINK(Table544[[#This Row],[Column1]])</f>
        <v/>
      </c>
    </row>
    <row r="104" ht="45" customHeight="1" s="290">
      <c r="A104" s="30" t="n"/>
      <c r="B104" s="30" t="n"/>
      <c r="C104" s="30" t="n"/>
      <c r="D104" s="324" t="n"/>
      <c r="E104" s="53" t="n"/>
      <c r="F104" s="54" t="n"/>
      <c r="G104" s="55" t="n"/>
      <c r="H104" s="55" t="n"/>
      <c r="I104" s="55" t="n"/>
      <c r="J104" s="56" t="n"/>
      <c r="K104" s="56" t="n"/>
      <c r="L104" s="34">
        <f>HYPERLINK(Table544[[#This Row],[Column1]])</f>
        <v/>
      </c>
    </row>
    <row r="105" ht="45" customHeight="1" s="290">
      <c r="A105" s="30" t="n"/>
      <c r="B105" s="30" t="n"/>
      <c r="C105" s="30" t="n"/>
      <c r="D105" s="324" t="n"/>
      <c r="E105" s="53" t="n"/>
      <c r="F105" s="54" t="n"/>
      <c r="G105" s="55" t="n"/>
      <c r="H105" s="55" t="n"/>
      <c r="I105" s="55" t="n"/>
      <c r="J105" s="56" t="n"/>
      <c r="K105" s="56" t="n"/>
      <c r="L105" s="34">
        <f>HYPERLINK(Table544[[#This Row],[Column1]])</f>
        <v/>
      </c>
    </row>
    <row r="106" ht="45" customHeight="1" s="290">
      <c r="A106" s="30" t="n"/>
      <c r="B106" s="30" t="n"/>
      <c r="C106" s="30" t="n"/>
      <c r="D106" s="324" t="n"/>
      <c r="E106" s="53" t="n"/>
      <c r="F106" s="54" t="n"/>
      <c r="G106" s="55" t="n"/>
      <c r="H106" s="55" t="n"/>
      <c r="I106" s="55" t="n"/>
      <c r="J106" s="56" t="n"/>
      <c r="K106" s="56" t="n"/>
      <c r="L106" s="34">
        <f>HYPERLINK(Table544[[#This Row],[Column1]])</f>
        <v/>
      </c>
    </row>
    <row r="107" ht="60" customHeight="1" s="290">
      <c r="A107" s="30" t="n"/>
      <c r="B107" s="30" t="n"/>
      <c r="C107" s="30" t="n"/>
      <c r="D107" s="324" t="n"/>
      <c r="E107" s="53" t="n"/>
      <c r="F107" s="54" t="n"/>
      <c r="G107" s="55" t="n"/>
      <c r="H107" s="55" t="n"/>
      <c r="I107" s="55" t="n"/>
      <c r="J107" s="56" t="n"/>
      <c r="K107" s="56" t="n"/>
      <c r="L107" s="34">
        <f>HYPERLINK(Table544[[#This Row],[Column1]])</f>
        <v/>
      </c>
    </row>
    <row r="108" ht="45" customHeight="1" s="290">
      <c r="A108" s="30" t="n"/>
      <c r="B108" s="30" t="n"/>
      <c r="C108" s="30" t="n"/>
      <c r="D108" s="324" t="n"/>
      <c r="E108" s="53" t="n"/>
      <c r="F108" s="54" t="n"/>
      <c r="G108" s="55" t="n"/>
      <c r="H108" s="55" t="n"/>
      <c r="I108" s="55" t="n"/>
      <c r="J108" s="56" t="n"/>
      <c r="K108" s="56" t="n"/>
      <c r="L108" s="34">
        <f>HYPERLINK(Table544[[#This Row],[Column1]])</f>
        <v/>
      </c>
    </row>
    <row r="109" ht="45" customHeight="1" s="290">
      <c r="A109" s="30" t="n"/>
      <c r="B109" s="30" t="n"/>
      <c r="C109" s="30" t="n"/>
      <c r="D109" s="324" t="n"/>
      <c r="E109" s="53" t="n"/>
      <c r="F109" s="54" t="n"/>
      <c r="G109" s="55" t="n"/>
      <c r="H109" s="55" t="n"/>
      <c r="I109" s="55" t="n"/>
      <c r="J109" s="56" t="n"/>
      <c r="K109" s="56" t="n"/>
      <c r="L109" s="34">
        <f>HYPERLINK(Table544[[#This Row],[Column1]])</f>
        <v/>
      </c>
    </row>
    <row r="110" ht="45" customHeight="1" s="290">
      <c r="A110" s="30" t="n"/>
      <c r="B110" s="30" t="n"/>
      <c r="C110" s="30" t="n"/>
      <c r="D110" s="324" t="n"/>
      <c r="E110" s="53" t="n"/>
      <c r="F110" s="54" t="n"/>
      <c r="G110" s="55" t="n"/>
      <c r="H110" s="55" t="n"/>
      <c r="I110" s="55" t="n"/>
      <c r="J110" s="56" t="n"/>
      <c r="K110" s="56" t="n"/>
      <c r="L110" s="34">
        <f>HYPERLINK(Table544[[#This Row],[Column1]])</f>
        <v/>
      </c>
    </row>
    <row r="111" ht="45" customHeight="1" s="290">
      <c r="A111" s="30" t="n"/>
      <c r="B111" s="30" t="n"/>
      <c r="C111" s="30" t="n"/>
      <c r="D111" s="324" t="n"/>
      <c r="E111" s="53" t="n"/>
      <c r="F111" s="54" t="n"/>
      <c r="G111" s="55" t="n"/>
      <c r="H111" s="55" t="n"/>
      <c r="I111" s="55" t="n"/>
      <c r="J111" s="56" t="n"/>
      <c r="K111" s="56" t="n"/>
      <c r="L111" s="34">
        <f>HYPERLINK(Table544[[#This Row],[Column1]])</f>
        <v/>
      </c>
    </row>
    <row r="112" ht="45" customHeight="1" s="290">
      <c r="A112" s="30" t="n"/>
      <c r="B112" s="30" t="n"/>
      <c r="C112" s="30" t="n"/>
      <c r="D112" s="324" t="n"/>
      <c r="E112" s="53" t="n"/>
      <c r="F112" s="54" t="n"/>
      <c r="G112" s="55" t="n"/>
      <c r="H112" s="55" t="n"/>
      <c r="I112" s="55" t="n"/>
      <c r="J112" s="56" t="n"/>
      <c r="K112" s="56" t="n"/>
      <c r="L112" s="34">
        <f>HYPERLINK(Table544[[#This Row],[Column1]])</f>
        <v/>
      </c>
    </row>
    <row r="113" ht="45" customHeight="1" s="290">
      <c r="A113" s="30" t="n"/>
      <c r="B113" s="30" t="n"/>
      <c r="C113" s="30" t="n"/>
      <c r="D113" s="324" t="n"/>
      <c r="E113" s="53" t="n"/>
      <c r="F113" s="54" t="n"/>
      <c r="G113" s="55" t="n"/>
      <c r="H113" s="55" t="n"/>
      <c r="I113" s="55" t="n"/>
      <c r="J113" s="56" t="n"/>
      <c r="K113" s="56" t="n"/>
      <c r="L113" s="34">
        <f>HYPERLINK(Table544[[#This Row],[Column1]])</f>
        <v/>
      </c>
    </row>
    <row r="114" ht="45" customHeight="1" s="290">
      <c r="A114" s="30" t="n"/>
      <c r="B114" s="30" t="n"/>
      <c r="C114" s="30" t="n"/>
      <c r="D114" s="324" t="n"/>
      <c r="E114" s="53" t="n"/>
      <c r="F114" s="54" t="n"/>
      <c r="G114" s="55" t="n"/>
      <c r="H114" s="55" t="n"/>
      <c r="I114" s="55" t="n"/>
      <c r="J114" s="56" t="n"/>
      <c r="K114" s="56" t="n"/>
      <c r="L114" s="34">
        <f>HYPERLINK(Table544[[#This Row],[Column1]])</f>
        <v/>
      </c>
    </row>
    <row r="115" ht="45" customHeight="1" s="290">
      <c r="A115" s="30" t="n"/>
      <c r="B115" s="30" t="n"/>
      <c r="C115" s="30" t="n"/>
      <c r="D115" s="324" t="n"/>
      <c r="E115" s="53" t="n"/>
      <c r="F115" s="54" t="n"/>
      <c r="G115" s="55" t="n"/>
      <c r="H115" s="55" t="n"/>
      <c r="I115" s="55" t="n"/>
      <c r="J115" s="56" t="n"/>
      <c r="K115" s="56" t="n"/>
      <c r="L115" s="34">
        <f>HYPERLINK(Table544[[#This Row],[Column1]])</f>
        <v/>
      </c>
    </row>
    <row r="116" ht="30" customHeight="1" s="290">
      <c r="A116" s="30" t="n"/>
      <c r="B116" s="30" t="n"/>
      <c r="C116" s="30" t="n"/>
      <c r="D116" s="324" t="n"/>
      <c r="E116" s="53" t="n"/>
      <c r="F116" s="54" t="n"/>
      <c r="G116" s="55" t="n"/>
      <c r="H116" s="55" t="n"/>
      <c r="I116" s="55" t="n"/>
      <c r="J116" s="56" t="n"/>
      <c r="K116" s="56" t="n"/>
      <c r="L116" s="34">
        <f>HYPERLINK(Table544[[#This Row],[Column1]])</f>
        <v/>
      </c>
    </row>
    <row r="117" ht="30" customHeight="1" s="290">
      <c r="A117" s="30" t="n"/>
      <c r="B117" s="30" t="n"/>
      <c r="C117" s="30" t="n"/>
      <c r="D117" s="324" t="n"/>
      <c r="E117" s="53" t="n"/>
      <c r="F117" s="54" t="n"/>
      <c r="G117" s="55" t="n"/>
      <c r="H117" s="55" t="n"/>
      <c r="I117" s="55" t="n"/>
      <c r="J117" s="56" t="n"/>
      <c r="K117" s="56" t="n"/>
      <c r="L117" s="34">
        <f>HYPERLINK(Table544[[#This Row],[Column1]])</f>
        <v/>
      </c>
    </row>
    <row r="118" ht="45" customHeight="1" s="290">
      <c r="A118" s="30" t="n"/>
      <c r="B118" s="30" t="n"/>
      <c r="C118" s="30" t="n"/>
      <c r="D118" s="324" t="n"/>
      <c r="E118" s="53" t="n"/>
      <c r="F118" s="54" t="n"/>
      <c r="G118" s="55" t="n"/>
      <c r="H118" s="55" t="n"/>
      <c r="I118" s="55" t="n"/>
      <c r="J118" s="56" t="n"/>
      <c r="K118" s="56" t="n"/>
      <c r="L118" s="34">
        <f>HYPERLINK(Table544[[#This Row],[Column1]])</f>
        <v/>
      </c>
    </row>
    <row r="119" ht="45" customHeight="1" s="290">
      <c r="A119" s="30" t="n"/>
      <c r="B119" s="30" t="n"/>
      <c r="C119" s="30" t="n"/>
      <c r="D119" s="324" t="n"/>
      <c r="E119" s="53" t="n"/>
      <c r="F119" s="54" t="n"/>
      <c r="G119" s="55" t="n"/>
      <c r="H119" s="55" t="n"/>
      <c r="I119" s="55" t="n"/>
      <c r="J119" s="56" t="n"/>
      <c r="K119" s="56" t="n"/>
      <c r="L119" s="34">
        <f>HYPERLINK(Table544[[#This Row],[Column1]])</f>
        <v/>
      </c>
    </row>
    <row r="120" ht="60" customHeight="1" s="290">
      <c r="A120" s="30" t="n"/>
      <c r="B120" s="30" t="n"/>
      <c r="C120" s="30" t="n"/>
      <c r="D120" s="324" t="n"/>
      <c r="E120" s="53" t="n"/>
      <c r="F120" s="54" t="n"/>
      <c r="G120" s="55" t="n"/>
      <c r="H120" s="55" t="n"/>
      <c r="I120" s="55" t="n"/>
      <c r="J120" s="56" t="n"/>
      <c r="K120" s="56" t="n"/>
      <c r="L120" s="34">
        <f>HYPERLINK(Table544[[#This Row],[Column1]])</f>
        <v/>
      </c>
    </row>
    <row r="121" ht="45" customHeight="1" s="290">
      <c r="A121" s="30" t="n"/>
      <c r="B121" s="30" t="n"/>
      <c r="C121" s="30" t="n"/>
      <c r="D121" s="324" t="n"/>
      <c r="E121" s="53" t="n"/>
      <c r="F121" s="54" t="n"/>
      <c r="G121" s="55" t="n"/>
      <c r="H121" s="55" t="n"/>
      <c r="I121" s="55" t="n"/>
      <c r="J121" s="56" t="n"/>
      <c r="K121" s="56" t="n"/>
      <c r="L121" s="34">
        <f>HYPERLINK(Table544[[#This Row],[Column1]])</f>
        <v/>
      </c>
    </row>
    <row r="122" ht="45" customHeight="1" s="290">
      <c r="A122" s="30" t="n"/>
      <c r="B122" s="30" t="n"/>
      <c r="C122" s="30" t="n"/>
      <c r="D122" s="324" t="n"/>
      <c r="E122" s="53" t="n"/>
      <c r="F122" s="54" t="n"/>
      <c r="G122" s="55" t="n"/>
      <c r="H122" s="55" t="n"/>
      <c r="I122" s="55" t="n"/>
      <c r="J122" s="56" t="n"/>
      <c r="K122" s="56" t="n"/>
      <c r="L122" s="34">
        <f>HYPERLINK(Table544[[#This Row],[Column1]])</f>
        <v/>
      </c>
    </row>
    <row r="123" ht="45" customHeight="1" s="290">
      <c r="A123" s="30" t="n"/>
      <c r="B123" s="30" t="n"/>
      <c r="C123" s="30" t="n"/>
      <c r="D123" s="324" t="n"/>
      <c r="E123" s="53" t="n"/>
      <c r="F123" s="54" t="n"/>
      <c r="G123" s="55" t="n"/>
      <c r="H123" s="55" t="n"/>
      <c r="I123" s="55" t="n"/>
      <c r="J123" s="56" t="n"/>
      <c r="K123" s="56" t="n"/>
      <c r="L123" s="34">
        <f>HYPERLINK(Table544[[#This Row],[Column1]])</f>
        <v/>
      </c>
    </row>
    <row r="124" ht="17" customHeight="1" s="290">
      <c r="A124" s="30" t="n"/>
      <c r="B124" s="30" t="n"/>
      <c r="C124" s="30" t="n"/>
      <c r="D124" s="324" t="n"/>
      <c r="E124" s="53" t="n"/>
      <c r="F124" s="54" t="n"/>
      <c r="G124" s="55" t="n"/>
      <c r="H124" s="55" t="n"/>
      <c r="I124" s="55" t="n"/>
      <c r="J124" s="56" t="n"/>
      <c r="K124" s="56" t="n"/>
      <c r="L124" s="34">
        <f>HYPERLINK(Table544[[#This Row],[Column1]])</f>
        <v/>
      </c>
    </row>
    <row r="125" ht="30" customHeight="1" s="290">
      <c r="A125" s="30" t="n"/>
      <c r="B125" s="30" t="n"/>
      <c r="C125" s="30" t="n"/>
      <c r="D125" s="324" t="n"/>
      <c r="E125" s="53" t="n"/>
      <c r="F125" s="54" t="n"/>
      <c r="G125" s="55" t="n"/>
      <c r="H125" s="55" t="n"/>
      <c r="I125" s="55" t="n"/>
      <c r="J125" s="56" t="n"/>
      <c r="K125" s="56" t="n"/>
      <c r="L125" s="34">
        <f>HYPERLINK(Table544[[#This Row],[Column1]])</f>
        <v/>
      </c>
    </row>
    <row r="126" ht="45" customHeight="1" s="290">
      <c r="A126" s="30" t="n"/>
      <c r="B126" s="30" t="n"/>
      <c r="C126" s="30" t="n"/>
      <c r="D126" s="324" t="n"/>
      <c r="E126" s="53" t="n"/>
      <c r="F126" s="54" t="n"/>
      <c r="G126" s="55" t="n"/>
      <c r="H126" s="55" t="n"/>
      <c r="I126" s="55" t="n"/>
      <c r="J126" s="56" t="n"/>
      <c r="K126" s="56" t="n"/>
      <c r="L126" s="34">
        <f>HYPERLINK(Table544[[#This Row],[Column1]])</f>
        <v/>
      </c>
    </row>
    <row r="127" ht="45" customHeight="1" s="290">
      <c r="A127" s="30" t="n"/>
      <c r="B127" s="30" t="n"/>
      <c r="C127" s="30" t="n"/>
      <c r="D127" s="324" t="n"/>
      <c r="E127" s="53" t="n"/>
      <c r="F127" s="54" t="n"/>
      <c r="G127" s="55" t="n"/>
      <c r="H127" s="55" t="n"/>
      <c r="I127" s="55" t="n"/>
      <c r="J127" s="56" t="n"/>
      <c r="K127" s="56" t="n"/>
      <c r="L127" s="34">
        <f>HYPERLINK(Table544[[#This Row],[Column1]])</f>
        <v/>
      </c>
    </row>
    <row r="128" ht="17" customHeight="1" s="290">
      <c r="A128" s="33" t="inlineStr">
        <is>
          <t>Total</t>
        </is>
      </c>
      <c r="B128" s="32" t="n"/>
      <c r="C128" s="325" t="n"/>
      <c r="D128" s="325" t="n"/>
      <c r="E128" s="59">
        <f>SUM(Table544[Estimated 12mo Revenue])</f>
        <v/>
      </c>
      <c r="F128" s="59">
        <f>SUM(Table544[Monthly Rev])</f>
        <v/>
      </c>
      <c r="I128" s="286" t="n"/>
      <c r="J128" s="287" t="n"/>
    </row>
    <row r="131">
      <c r="A131" s="283" t="inlineStr">
        <is>
          <t>Rank by Units</t>
        </is>
      </c>
    </row>
    <row r="132" ht="17" customHeight="1" s="290">
      <c r="A132" s="38" t="inlineStr">
        <is>
          <t>Product Name</t>
        </is>
      </c>
      <c r="B132" s="39" t="inlineStr">
        <is>
          <t>ASIN</t>
        </is>
      </c>
      <c r="C132" s="39" t="inlineStr">
        <is>
          <t>Type</t>
        </is>
      </c>
      <c r="D132" s="322" t="inlineStr">
        <is>
          <t>Avg Price</t>
        </is>
      </c>
      <c r="E132" s="41" t="inlineStr">
        <is>
          <t>Estimated 12mo Revenue</t>
        </is>
      </c>
      <c r="F132" s="39" t="inlineStr">
        <is>
          <t>Monthly Rev</t>
        </is>
      </c>
      <c r="G132" s="42" t="inlineStr">
        <is>
          <t>Estimated 12mo Units</t>
        </is>
      </c>
      <c r="H132" s="45" t="inlineStr">
        <is>
          <t>Monthly Units</t>
        </is>
      </c>
      <c r="I132" s="42" t="inlineStr">
        <is>
          <t># of Reviews</t>
        </is>
      </c>
      <c r="J132" s="43" t="inlineStr">
        <is>
          <t xml:space="preserve">Tool Rating </t>
        </is>
      </c>
      <c r="K132" s="43" t="inlineStr">
        <is>
          <t>Column1</t>
        </is>
      </c>
      <c r="L132" s="323" t="inlineStr">
        <is>
          <t>Link</t>
        </is>
      </c>
    </row>
    <row r="133" ht="45" customHeight="1" s="290">
      <c r="A133" s="30" t="inlineStr">
        <is>
          <t>Vgate vLinker FS OBD2 USB Adapter for FORScan HS/MS-CAN Auto Switch</t>
        </is>
      </c>
      <c r="B133" s="30" t="inlineStr">
        <is>
          <t>B094Z7PBLS</t>
        </is>
      </c>
      <c r="C133" s="30" t="inlineStr">
        <is>
          <t>Cable/Adapter</t>
        </is>
      </c>
      <c r="D133" s="324" t="n">
        <v>34.99058479532164</v>
      </c>
      <c r="E133" s="53" t="n">
        <v>634867.14</v>
      </c>
      <c r="F133" s="53" t="n">
        <v>59833.9</v>
      </c>
      <c r="G133" s="55" t="n">
        <v>18321</v>
      </c>
      <c r="H133" s="57" t="n">
        <v>1710</v>
      </c>
      <c r="I133" s="55" t="n">
        <v>2686</v>
      </c>
      <c r="J133" s="56" t="n">
        <v>4.7</v>
      </c>
      <c r="K133" s="56" t="inlineStr">
        <is>
          <t>https://amazon.com/dp/B094Z7PBLS</t>
        </is>
      </c>
      <c r="L133" s="34">
        <f>HYPERLINK(Vgate_1[[#This Row],[Column1]])</f>
        <v/>
      </c>
    </row>
    <row r="134" ht="45" customHeight="1" s="290">
      <c r="A134" s="30" t="inlineStr">
        <is>
          <t>Vgate iCar Pro Bluetooth 4.0 (BLE) OBD2 Fault Code Reader OBDII Code Scanner Car Check Engine Light for iOS/Android</t>
        </is>
      </c>
      <c r="B134" s="30" t="inlineStr">
        <is>
          <t>B06XGB4873</t>
        </is>
      </c>
      <c r="C134" s="30" t="inlineStr">
        <is>
          <t>Dongle</t>
        </is>
      </c>
      <c r="D134" s="324" t="n">
        <v>31.98785039941902</v>
      </c>
      <c r="E134" s="53" t="n">
        <v>545436.7684615385</v>
      </c>
      <c r="F134" s="53" t="n">
        <v>44047.27</v>
      </c>
      <c r="G134" s="55" t="n">
        <v>15867</v>
      </c>
      <c r="H134" s="57" t="n">
        <v>1377</v>
      </c>
      <c r="I134" s="55" t="n">
        <v>7098</v>
      </c>
      <c r="J134" s="56" t="n">
        <v>4.6</v>
      </c>
      <c r="K134" s="56" t="inlineStr">
        <is>
          <t>https://amazon.com/dp/B06XGB4873</t>
        </is>
      </c>
      <c r="L134" s="34">
        <f>HYPERLINK(Vgate_1[[#This Row],[Column1]])</f>
        <v/>
      </c>
    </row>
    <row r="135" ht="45" customHeight="1" s="290">
      <c r="A135" s="30" t="inlineStr">
        <is>
          <t>Vgate vLinker MC+ Bluetooth OBD2 Car Diagnostic Scan Tool for iOS, Android, Windows</t>
        </is>
      </c>
      <c r="B135" s="30" t="inlineStr">
        <is>
          <t>B088LW211V</t>
        </is>
      </c>
      <c r="C135" s="30" t="inlineStr">
        <is>
          <t>Dongle</t>
        </is>
      </c>
      <c r="D135" s="324" t="n">
        <v>59.90506787330317</v>
      </c>
      <c r="E135" s="53" t="n">
        <v>364830.95</v>
      </c>
      <c r="F135" s="53" t="n">
        <v>39717.06</v>
      </c>
      <c r="G135" s="55" t="n">
        <v>6184</v>
      </c>
      <c r="H135" s="57" t="n">
        <v>663</v>
      </c>
      <c r="I135" s="55" t="n">
        <v>1371</v>
      </c>
      <c r="J135" s="56" t="n">
        <v>4.4</v>
      </c>
      <c r="K135" s="56" t="inlineStr">
        <is>
          <t>https://amazon.com/dp/B088LW211V</t>
        </is>
      </c>
      <c r="L135" s="34">
        <f>HYPERLINK(Vgate_1[[#This Row],[Column1]])</f>
        <v/>
      </c>
    </row>
    <row r="136" ht="45" customHeight="1" s="290">
      <c r="A136" s="30" t="inlineStr">
        <is>
          <t>Vgate vLinker FS USB OBD2 to USB Car Diagnostic Tool Code Reader for FORScan OBD2 Adapter</t>
        </is>
      </c>
      <c r="B136" s="30" t="inlineStr">
        <is>
          <t>B0C3B11S7F</t>
        </is>
      </c>
      <c r="C136" s="30" t="inlineStr">
        <is>
          <t>Cable/Adapter</t>
        </is>
      </c>
      <c r="D136" s="324" t="n">
        <v>35.01642857142857</v>
      </c>
      <c r="E136" s="53" t="n">
        <v>119803.38</v>
      </c>
      <c r="F136" s="53" t="n">
        <v>20099.43</v>
      </c>
      <c r="G136" s="55" t="n">
        <v>3668</v>
      </c>
      <c r="H136" s="57" t="n">
        <v>574</v>
      </c>
      <c r="I136" s="55" t="n">
        <v>242</v>
      </c>
      <c r="J136" s="56" t="n">
        <v>4.5</v>
      </c>
      <c r="K136" s="56" t="inlineStr">
        <is>
          <t>https://amazon.com/dp/B0C3B11S7F</t>
        </is>
      </c>
      <c r="L136" s="34">
        <f>HYPERLINK(Vgate_1[[#This Row],[Column1]])</f>
        <v/>
      </c>
    </row>
    <row r="137" ht="45" customHeight="1" s="290">
      <c r="A137" s="30" t="inlineStr">
        <is>
          <t>Vgate vLinker FS Bluetooth OBD2 Diagnostic Scan Tool, OBDII Car Code Reader for iOS, Android &amp; Windows</t>
        </is>
      </c>
      <c r="B137" s="30" t="inlineStr">
        <is>
          <t>B0BZTXV6MZ</t>
        </is>
      </c>
      <c r="C137" s="30" t="inlineStr">
        <is>
          <t>Dongle</t>
        </is>
      </c>
      <c r="D137" s="324" t="n">
        <v>60.05211904761904</v>
      </c>
      <c r="E137" s="53" t="n">
        <v>252620.51</v>
      </c>
      <c r="F137" s="53" t="n">
        <v>25221.89</v>
      </c>
      <c r="G137" s="55" t="n">
        <v>4267</v>
      </c>
      <c r="H137" s="57" t="n">
        <v>420</v>
      </c>
      <c r="I137" s="55" t="n">
        <v>307</v>
      </c>
      <c r="J137" s="56" t="n">
        <v>4.5</v>
      </c>
      <c r="K137" s="56" t="inlineStr">
        <is>
          <t>https://amazon.com/dp/B0BZTXV6MZ</t>
        </is>
      </c>
      <c r="L137" s="34">
        <f>HYPERLINK(Vgate_1[[#This Row],[Column1]])</f>
        <v/>
      </c>
    </row>
    <row r="138" ht="45" customHeight="1" s="290">
      <c r="A138" s="30" t="inlineStr">
        <is>
          <t>Vgate vLinker FS OBD2 USB Adapter for FORS-can HS/MS-CAN Auto Switch</t>
        </is>
      </c>
      <c r="B138" s="30" t="inlineStr">
        <is>
          <t>B0952P4MLP</t>
        </is>
      </c>
      <c r="C138" s="30" t="inlineStr">
        <is>
          <t>Cable/Adapter</t>
        </is>
      </c>
      <c r="D138" s="324" t="n">
        <v>34.98154302670623</v>
      </c>
      <c r="E138" s="53" t="n">
        <v>82784.68076923076</v>
      </c>
      <c r="F138" s="53" t="n">
        <v>11788.78</v>
      </c>
      <c r="G138" s="55" t="n">
        <v>2188</v>
      </c>
      <c r="H138" s="57" t="n">
        <v>337</v>
      </c>
      <c r="I138" s="55" t="n">
        <v>1445</v>
      </c>
      <c r="J138" s="56" t="n">
        <v>4.8</v>
      </c>
      <c r="K138" s="56" t="inlineStr">
        <is>
          <t>https://amazon.com/dp/B0952P4MLP</t>
        </is>
      </c>
      <c r="L138" s="34">
        <f>HYPERLINK(Vgate_1[[#This Row],[Column1]])</f>
        <v/>
      </c>
    </row>
    <row r="139" ht="45" customHeight="1" s="290">
      <c r="A139" s="30" t="inlineStr">
        <is>
          <t>Vgate iCar Pro 2S Bluetooth 5.2 OBD2 Car Scan Tool for iPhone, Android, and Windows</t>
        </is>
      </c>
      <c r="B139" s="30" t="inlineStr">
        <is>
          <t>B0CYZRMCK9</t>
        </is>
      </c>
      <c r="C139" s="30" t="inlineStr">
        <is>
          <t>Dongle</t>
        </is>
      </c>
      <c r="D139" s="324" t="n">
        <v>33.9839755351682</v>
      </c>
      <c r="E139" s="53" t="n">
        <v>114951.96</v>
      </c>
      <c r="F139" s="53" t="n">
        <v>11112.76</v>
      </c>
      <c r="G139" s="55" t="n">
        <v>3415</v>
      </c>
      <c r="H139" s="57" t="n">
        <v>327</v>
      </c>
      <c r="I139" s="55" t="n">
        <v>314</v>
      </c>
      <c r="J139" s="56" t="n">
        <v>4.5</v>
      </c>
      <c r="K139" s="56" t="inlineStr">
        <is>
          <t>https://amazon.com/dp/B0CYZRMCK9</t>
        </is>
      </c>
      <c r="L139" s="34">
        <f>HYPERLINK(Vgate_1[[#This Row],[Column1]])</f>
        <v/>
      </c>
    </row>
    <row r="140" ht="45" customHeight="1" s="290">
      <c r="A140" s="30" t="inlineStr">
        <is>
          <t>Vgate vLinker MC+ (BT3.0/BLE4.0) OBD2 Scanner Code Reader Diagnostic Scan Tool for Android &amp; iOS &amp; Windows, Black</t>
        </is>
      </c>
      <c r="B140" s="30" t="inlineStr">
        <is>
          <t>B0C2GT4KR3</t>
        </is>
      </c>
      <c r="C140" s="30" t="inlineStr">
        <is>
          <t>Dongle</t>
        </is>
      </c>
      <c r="D140" s="324" t="n">
        <v>57.92440251572327</v>
      </c>
      <c r="E140" s="53" t="n">
        <v>194034.65</v>
      </c>
      <c r="F140" s="53" t="n">
        <v>18419.96</v>
      </c>
      <c r="G140" s="55" t="n">
        <v>2868</v>
      </c>
      <c r="H140" s="57" t="n">
        <v>318</v>
      </c>
      <c r="I140" s="55" t="n">
        <v>189</v>
      </c>
      <c r="J140" s="56" t="n">
        <v>4.5</v>
      </c>
      <c r="K140" s="56" t="inlineStr">
        <is>
          <t>https://amazon.com/dp/B0C2GT4KR3</t>
        </is>
      </c>
      <c r="L140" s="34">
        <f>HYPERLINK(Vgate_1[[#This Row],[Column1]])</f>
        <v/>
      </c>
    </row>
    <row r="141" ht="30" customHeight="1" s="290">
      <c r="A141" s="30" t="inlineStr">
        <is>
          <t>Vgate iCar Pro(BT3.0/ BLE4.0) OBD2 Scanner Bluetooth Code Reader Diagnostic Scan Tool for Android &amp; iOS &amp; Windows Compatible with ELM327 Adapter</t>
        </is>
      </c>
      <c r="B141" s="30" t="inlineStr">
        <is>
          <t>B0C244484X</t>
        </is>
      </c>
      <c r="C141" s="30" t="inlineStr">
        <is>
          <t>Dongle</t>
        </is>
      </c>
      <c r="D141" s="324" t="n">
        <v>31.95444816053512</v>
      </c>
      <c r="E141" s="53" t="n">
        <v>102090.16</v>
      </c>
      <c r="F141" s="53" t="n">
        <v>9554.379999999999</v>
      </c>
      <c r="G141" s="55" t="n">
        <v>3204</v>
      </c>
      <c r="H141" s="57" t="n">
        <v>299</v>
      </c>
      <c r="I141" s="55" t="n">
        <v>379</v>
      </c>
      <c r="J141" s="56" t="n">
        <v>4.5</v>
      </c>
      <c r="K141" s="56" t="inlineStr">
        <is>
          <t>https://amazon.com/dp/B0C244484X</t>
        </is>
      </c>
      <c r="L141" s="34">
        <f>HYPERLINK(Vgate_1[[#This Row],[Column1]])</f>
        <v/>
      </c>
    </row>
    <row r="142" ht="45" customHeight="1" s="290">
      <c r="A142" s="30" t="inlineStr">
        <is>
          <t>Vgate vLinker BM+ OBD2 Bluetooth Scanner for BMW/Mini BimmerCode, Car Code Reader for iOS, Android, and Windows</t>
        </is>
      </c>
      <c r="B142" s="30" t="inlineStr">
        <is>
          <t>B08BR4KY1G</t>
        </is>
      </c>
      <c r="C142" s="30" t="inlineStr">
        <is>
          <t>Dongle</t>
        </is>
      </c>
      <c r="D142" s="324" t="n">
        <v>44.04008510638298</v>
      </c>
      <c r="E142" s="53" t="n">
        <v>97607.48999999999</v>
      </c>
      <c r="F142" s="53" t="n">
        <v>10349.42</v>
      </c>
      <c r="G142" s="55" t="n">
        <v>2236</v>
      </c>
      <c r="H142" s="57" t="n">
        <v>235</v>
      </c>
      <c r="I142" s="55" t="n">
        <v>262</v>
      </c>
      <c r="J142" s="56" t="n">
        <v>4.4</v>
      </c>
      <c r="K142" s="56" t="inlineStr">
        <is>
          <t>https://amazon.com/dp/B08BR4KY1G</t>
        </is>
      </c>
      <c r="L142" s="34">
        <f>HYPERLINK(Vgate_1[[#This Row],[Column1]])</f>
        <v/>
      </c>
    </row>
    <row r="143" ht="45" customHeight="1" s="290">
      <c r="A143" s="30" t="inlineStr">
        <is>
          <t>Vgate 16 pin OBD2 OBDII Diagnostic Extender Splitter Extension Cable Male to Dual Female Y Cable 12 inches</t>
        </is>
      </c>
      <c r="B143" s="30" t="inlineStr">
        <is>
          <t>B015649DHA</t>
        </is>
      </c>
      <c r="C143" s="30" t="inlineStr">
        <is>
          <t>Cable/Adapter</t>
        </is>
      </c>
      <c r="D143" s="324" t="n">
        <v>11.95202380952381</v>
      </c>
      <c r="E143" s="53" t="n">
        <v>22548.57</v>
      </c>
      <c r="F143" s="53" t="n">
        <v>2007.94</v>
      </c>
      <c r="G143" s="55" t="n">
        <v>1890</v>
      </c>
      <c r="H143" s="57" t="n">
        <v>168</v>
      </c>
      <c r="I143" s="55" t="n">
        <v>972</v>
      </c>
      <c r="J143" s="56" t="n">
        <v>4.5</v>
      </c>
      <c r="K143" s="56" t="inlineStr">
        <is>
          <t>https://amazon.com/dp/B015649DHA</t>
        </is>
      </c>
      <c r="L143" s="34">
        <f>HYPERLINK(Vgate_1[[#This Row],[Column1]])</f>
        <v/>
      </c>
    </row>
    <row r="144" ht="45" customHeight="1" s="290">
      <c r="A144" s="30" t="inlineStr">
        <is>
          <t>Vgate vLinker BM Plus Bluetooth BLE OBD2 Scanner for BMW/Mini, Works with iPhone &amp; Android Unlock Car Hidden Features in BimmerCode, OBD II Diagnostic Tool</t>
        </is>
      </c>
      <c r="B144" s="30" t="inlineStr">
        <is>
          <t>B08H4PKT9P</t>
        </is>
      </c>
      <c r="C144" s="30" t="inlineStr">
        <is>
          <t>Dongle</t>
        </is>
      </c>
      <c r="D144" s="324" t="n">
        <v>46.9615</v>
      </c>
      <c r="E144" s="53" t="n">
        <v>86747.90000000001</v>
      </c>
      <c r="F144" s="53" t="n">
        <v>7513.84</v>
      </c>
      <c r="G144" s="55" t="n">
        <v>1874</v>
      </c>
      <c r="H144" s="57" t="n">
        <v>160</v>
      </c>
      <c r="I144" s="55" t="n">
        <v>512</v>
      </c>
      <c r="J144" s="56" t="n">
        <v>4.4</v>
      </c>
      <c r="K144" s="56" t="inlineStr">
        <is>
          <t>https://amazon.com/dp/B08H4PKT9P</t>
        </is>
      </c>
      <c r="L144" s="34">
        <f>HYPERLINK(Vgate_1[[#This Row],[Column1]])</f>
        <v/>
      </c>
    </row>
    <row r="145" ht="45" customHeight="1" s="290">
      <c r="A145" s="30" t="inlineStr">
        <is>
          <t>Vgate vLinker MS Bluetooth OBD2 Car Scan Tool for iPhone/iOS, Android &amp; Windows, Supports Multiple CAN Protocols (GMLAN, MS CAN, CH CAN, LS CAN)</t>
        </is>
      </c>
      <c r="B145" s="30" t="inlineStr">
        <is>
          <t>B0D6YQX4R8</t>
        </is>
      </c>
      <c r="C145" s="30" t="inlineStr">
        <is>
          <t>Dongle</t>
        </is>
      </c>
      <c r="D145" s="324" t="n">
        <v>70.0358904109589</v>
      </c>
      <c r="E145" s="53" t="n">
        <v>105804.28</v>
      </c>
      <c r="F145" s="53" t="n">
        <v>10225.24</v>
      </c>
      <c r="G145" s="55" t="n">
        <v>1533</v>
      </c>
      <c r="H145" s="57" t="n">
        <v>146</v>
      </c>
      <c r="I145" s="55" t="n">
        <v>166</v>
      </c>
      <c r="J145" s="56" t="n">
        <v>4.5</v>
      </c>
      <c r="K145" s="56" t="inlineStr">
        <is>
          <t>https://amazon.com/dp/B0D6YQX4R8</t>
        </is>
      </c>
      <c r="L145" s="34">
        <f>HYPERLINK(Vgate_1[[#This Row],[Column1]])</f>
        <v/>
      </c>
    </row>
    <row r="146" ht="60" customHeight="1" s="290">
      <c r="A146" s="30" t="inlineStr">
        <is>
          <t>Vgate iCar Pro Wi-Fi OBD2 Scanner Scan Tools OBDII Car Diagnostic Tool Code Reader Fault Check Engine Light for iOS/Android</t>
        </is>
      </c>
      <c r="B146" s="30" t="inlineStr">
        <is>
          <t>B06XGB4QL7</t>
        </is>
      </c>
      <c r="C146" s="30" t="inlineStr">
        <is>
          <t>Dongle</t>
        </is>
      </c>
      <c r="D146" s="324" t="n">
        <v>29.8225</v>
      </c>
      <c r="E146" s="53" t="n">
        <v>40556.194946</v>
      </c>
      <c r="F146" s="53" t="n">
        <v>2505.09</v>
      </c>
      <c r="G146" s="55" t="n">
        <v>1383</v>
      </c>
      <c r="H146" s="57" t="n">
        <v>84</v>
      </c>
      <c r="I146" s="55" t="n">
        <v>669</v>
      </c>
      <c r="J146" s="56" t="n">
        <v>4.3</v>
      </c>
      <c r="K146" s="56" t="inlineStr">
        <is>
          <t>https://amazon.com/dp/B06XGB4QL7</t>
        </is>
      </c>
      <c r="L146" s="34">
        <f>HYPERLINK(Vgate_1[[#This Row],[Column1]])</f>
        <v/>
      </c>
    </row>
    <row r="147" ht="45" customHeight="1" s="290">
      <c r="A147" s="30" t="inlineStr">
        <is>
          <t>Vgate vLinker FD+ OBD2 Bluetooth Adapter – Diagnostic Code Reader for iOS, Android &amp; Windows (Supports MS-CAN, ELM327)</t>
        </is>
      </c>
      <c r="B147" s="30" t="inlineStr">
        <is>
          <t>B08FSNVZVK</t>
        </is>
      </c>
      <c r="C147" s="30" t="inlineStr">
        <is>
          <t>Dongle</t>
        </is>
      </c>
      <c r="D147" s="324" t="n">
        <v>45.14271604938271</v>
      </c>
      <c r="E147" s="53" t="n">
        <v>76837.313194</v>
      </c>
      <c r="F147" s="53" t="n">
        <v>3656.56</v>
      </c>
      <c r="G147" s="55" t="n">
        <v>1739</v>
      </c>
      <c r="H147" s="57" t="n">
        <v>81</v>
      </c>
      <c r="I147" s="55" t="n">
        <v>630</v>
      </c>
      <c r="J147" s="56" t="n">
        <v>4.6</v>
      </c>
      <c r="K147" s="56" t="inlineStr">
        <is>
          <t>https://amazon.com/dp/B08FSNVZVK</t>
        </is>
      </c>
      <c r="L147" s="34">
        <f>HYPERLINK(Vgate_1[[#This Row],[Column1]])</f>
        <v/>
      </c>
    </row>
    <row r="148" ht="45" customHeight="1" s="290">
      <c r="A148" s="30" t="inlineStr">
        <is>
          <t>Vgate vLinker FS Bluetooth FORS-can 0BD2 Adapter for-d Fixd Car Diagnostic Tool OBD2 Scanner Bluetooth MS-CAN Work for iOS, Android &amp; Windows, Black</t>
        </is>
      </c>
      <c r="B148" s="30" t="inlineStr">
        <is>
          <t>B0CP4NZCZM</t>
        </is>
      </c>
      <c r="C148" s="30" t="inlineStr">
        <is>
          <t>Dongle</t>
        </is>
      </c>
      <c r="D148" s="324" t="n">
        <v>58.65551020408163</v>
      </c>
      <c r="E148" s="53" t="n">
        <v>43875.75999999999</v>
      </c>
      <c r="F148" s="53" t="n">
        <v>2874.12</v>
      </c>
      <c r="G148" s="55" t="n">
        <v>756</v>
      </c>
      <c r="H148" s="57" t="n">
        <v>49</v>
      </c>
      <c r="I148" s="55" t="n">
        <v>85</v>
      </c>
      <c r="J148" s="56" t="n">
        <v>4.7</v>
      </c>
      <c r="K148" s="56" t="inlineStr">
        <is>
          <t>https://amazon.com/dp/B0CP4NZCZM</t>
        </is>
      </c>
      <c r="L148" s="34">
        <f>HYPERLINK(Vgate_1[[#This Row],[Column1]])</f>
        <v/>
      </c>
    </row>
    <row r="149" ht="45" customHeight="1" s="290">
      <c r="A149" s="30" t="inlineStr">
        <is>
          <t>Vgate vLinker BM OBD2 Bluetooth Code Reader, OBDII Scan Tool for Android &amp; Windows - Made for BimmerCode</t>
        </is>
      </c>
      <c r="B149" s="30" t="inlineStr">
        <is>
          <t>B08BRF2SMM</t>
        </is>
      </c>
      <c r="C149" s="30" t="inlineStr">
        <is>
          <t>Dongle</t>
        </is>
      </c>
      <c r="D149" s="324" t="n">
        <v>38.43642857142857</v>
      </c>
      <c r="E149" s="53" t="n">
        <v>13233.31</v>
      </c>
      <c r="F149" s="53" t="n">
        <v>1076.22</v>
      </c>
      <c r="G149" s="55" t="n">
        <v>352</v>
      </c>
      <c r="H149" s="57" t="n">
        <v>28</v>
      </c>
      <c r="I149" s="55" t="n">
        <v>36</v>
      </c>
      <c r="J149" s="56" t="n">
        <v>4</v>
      </c>
      <c r="K149" s="56" t="inlineStr">
        <is>
          <t>https://amazon.com/dp/B08BRF2SMM</t>
        </is>
      </c>
      <c r="L149" s="34">
        <f>HYPERLINK(Vgate_1[[#This Row],[Column1]])</f>
        <v/>
      </c>
    </row>
    <row r="150" ht="45" customHeight="1" s="290">
      <c r="A150" s="30" t="inlineStr">
        <is>
          <t>vgate vLinker FD Plus OBD2 Adapter Bluetooth BLE Scanner for FORScan, Work with iPhone, Android, and Windows</t>
        </is>
      </c>
      <c r="B150" s="30" t="inlineStr">
        <is>
          <t>B08LDBYTFP</t>
        </is>
      </c>
      <c r="C150" s="30" t="inlineStr">
        <is>
          <t>Dongle</t>
        </is>
      </c>
      <c r="D150" s="324" t="n">
        <v>49.01458333333333</v>
      </c>
      <c r="E150" s="53" t="n">
        <v>25577.57307692308</v>
      </c>
      <c r="F150" s="53" t="n">
        <v>1176.35</v>
      </c>
      <c r="G150" s="55" t="n">
        <v>479</v>
      </c>
      <c r="H150" s="57" t="n">
        <v>24</v>
      </c>
      <c r="I150" s="55" t="n">
        <v>157</v>
      </c>
      <c r="J150" s="56" t="n">
        <v>4.2</v>
      </c>
      <c r="K150" s="56" t="inlineStr">
        <is>
          <t>https://amazon.com/dp/B08LDBYTFP</t>
        </is>
      </c>
      <c r="L150" s="34">
        <f>HYPERLINK(Vgate_1[[#This Row],[Column1]])</f>
        <v/>
      </c>
    </row>
    <row r="151" ht="45" customHeight="1" s="290">
      <c r="A151" s="30" t="inlineStr">
        <is>
          <t>Vgate iCar2 OBD2 Scanner Scan Tools Interface Wi-Fi Adapter Check Engine Light Car Diagnostic Tool for iOS &amp; Android Auto Sleep (Blue)</t>
        </is>
      </c>
      <c r="B151" s="30" t="inlineStr">
        <is>
          <t>B07ZYTZ7LJ</t>
        </is>
      </c>
      <c r="C151" s="30" t="inlineStr">
        <is>
          <t>Dongle</t>
        </is>
      </c>
      <c r="D151" s="324" t="n">
        <v>23.81833333333333</v>
      </c>
      <c r="E151" s="53" t="n">
        <v>7924.12</v>
      </c>
      <c r="F151" s="53" t="n">
        <v>571.64</v>
      </c>
      <c r="G151" s="55" t="n">
        <v>337</v>
      </c>
      <c r="H151" s="57" t="n">
        <v>24</v>
      </c>
      <c r="I151" s="55" t="n">
        <v>118</v>
      </c>
      <c r="J151" s="56" t="n">
        <v>4.4</v>
      </c>
      <c r="K151" s="56" t="inlineStr">
        <is>
          <t>https://amazon.com/dp/B07ZYTZ7LJ</t>
        </is>
      </c>
      <c r="L151" s="34">
        <f>HYPERLINK(Vgate_1[[#This Row],[Column1]])</f>
        <v/>
      </c>
    </row>
    <row r="152" ht="45" customHeight="1" s="290">
      <c r="A152" s="30" t="inlineStr">
        <is>
          <t>Vgate vLinker MC Bluetooth OBD2 Diagnostic Scanner for Android &amp; Windows</t>
        </is>
      </c>
      <c r="B152" s="30" t="inlineStr">
        <is>
          <t>B08694LQR1</t>
        </is>
      </c>
      <c r="C152" s="30" t="inlineStr">
        <is>
          <t>Dongle</t>
        </is>
      </c>
      <c r="D152" s="324" t="n">
        <v>45.97421052631579</v>
      </c>
      <c r="E152" s="53" t="n">
        <v>15380.77384615385</v>
      </c>
      <c r="F152" s="53" t="n">
        <v>873.51</v>
      </c>
      <c r="G152" s="55" t="n">
        <v>313</v>
      </c>
      <c r="H152" s="57" t="n">
        <v>19</v>
      </c>
      <c r="I152" s="55" t="n">
        <v>1371</v>
      </c>
      <c r="J152" s="56" t="n">
        <v>4.4</v>
      </c>
      <c r="K152" s="56" t="inlineStr">
        <is>
          <t>https://amazon.com/dp/B08694LQR1</t>
        </is>
      </c>
      <c r="L152" s="34">
        <f>HYPERLINK(Vgate_1[[#This Row],[Column1]])</f>
        <v/>
      </c>
    </row>
    <row r="153" ht="60" customHeight="1" s="290">
      <c r="A153" s="30" t="inlineStr">
        <is>
          <t>Vgate iCar2 Wi-Fi Adapter OBD2 Scanner Scan Tools Check Engine Light Car Diagnostic Tool for iOS &amp; Android, Auto Sleep (Black)</t>
        </is>
      </c>
      <c r="B153" s="30" t="inlineStr">
        <is>
          <t>B0B6BBPH3J</t>
        </is>
      </c>
      <c r="C153" s="30" t="inlineStr">
        <is>
          <t>Dongle</t>
        </is>
      </c>
      <c r="D153" s="324" t="n">
        <v>24.29666666666667</v>
      </c>
      <c r="E153" s="53" t="n">
        <v>4082.15</v>
      </c>
      <c r="F153" s="53" t="n">
        <v>437.34</v>
      </c>
      <c r="G153" s="55" t="n">
        <v>170</v>
      </c>
      <c r="H153" s="57" t="n">
        <v>18</v>
      </c>
      <c r="I153" s="55" t="n">
        <v>118</v>
      </c>
      <c r="J153" s="56" t="n">
        <v>4.4</v>
      </c>
      <c r="K153" s="56" t="inlineStr">
        <is>
          <t>https://amazon.com/dp/B0B6BBPH3J</t>
        </is>
      </c>
      <c r="L153" s="34">
        <f>HYPERLINK(Vgate_1[[#This Row],[Column1]])</f>
        <v/>
      </c>
    </row>
    <row r="154" ht="45" customHeight="1" s="290">
      <c r="A154" s="30" t="inlineStr">
        <is>
          <t>Vgate 16 Pin OBD2 OBDII Diagnostic Extender Splitter Extension Cable Male to Dual Female Y Cable, 19 inches</t>
        </is>
      </c>
      <c r="B154" s="30" t="inlineStr">
        <is>
          <t>B07M7CS1V4</t>
        </is>
      </c>
      <c r="C154" s="30" t="inlineStr">
        <is>
          <t>Cable/Adapter</t>
        </is>
      </c>
      <c r="D154" s="324" t="n">
        <v>12.79470588235294</v>
      </c>
      <c r="E154" s="53" t="n">
        <v>2610.76</v>
      </c>
      <c r="F154" s="53" t="n">
        <v>217.51</v>
      </c>
      <c r="G154" s="55" t="n">
        <v>209</v>
      </c>
      <c r="H154" s="57" t="n">
        <v>17</v>
      </c>
      <c r="I154" s="55" t="n">
        <v>972</v>
      </c>
      <c r="J154" s="56" t="n">
        <v>4.5</v>
      </c>
      <c r="K154" s="56" t="inlineStr">
        <is>
          <t>https://amazon.com/dp/B07M7CS1V4</t>
        </is>
      </c>
      <c r="L154" s="34">
        <f>HYPERLINK(Vgate_1[[#This Row],[Column1]])</f>
        <v/>
      </c>
    </row>
    <row r="155" ht="45" customHeight="1" s="290">
      <c r="A155" s="30" t="inlineStr">
        <is>
          <t>Vgate vLinker FD OBD2 Bluetooth Car Code Reader, OBD2 Diagnostic Scanner for Android &amp; Windows</t>
        </is>
      </c>
      <c r="B155" s="30" t="inlineStr">
        <is>
          <t>B08FSXYXLG</t>
        </is>
      </c>
      <c r="C155" s="30" t="inlineStr">
        <is>
          <t>Dongle</t>
        </is>
      </c>
      <c r="D155" s="324" t="n">
        <v>34.59470588235294</v>
      </c>
      <c r="E155" s="53" t="n">
        <v>15307.08</v>
      </c>
      <c r="F155" s="53" t="n">
        <v>588.11</v>
      </c>
      <c r="G155" s="55" t="n">
        <v>442</v>
      </c>
      <c r="H155" s="57" t="n">
        <v>17</v>
      </c>
      <c r="I155" s="55" t="n">
        <v>630</v>
      </c>
      <c r="J155" s="56" t="n">
        <v>4.5</v>
      </c>
      <c r="K155" s="56" t="inlineStr">
        <is>
          <t>https://amazon.com/dp/B08FSXYXLG</t>
        </is>
      </c>
      <c r="L155" s="34">
        <f>HYPERLINK(Vgate_1[[#This Row],[Column1]])</f>
        <v/>
      </c>
    </row>
    <row r="156" ht="45" customHeight="1" s="290">
      <c r="A156" s="30" t="inlineStr">
        <is>
          <t>Vgate vLinker FD+ (BT3.0/ BLE4.0) OBD2 Scanner for FORScan Fixed Diagnostic Tool Car Code Reader for Android &amp; iOS &amp; Windows</t>
        </is>
      </c>
      <c r="B156" s="30" t="inlineStr">
        <is>
          <t>B0C39TL9R6</t>
        </is>
      </c>
      <c r="C156" s="30" t="inlineStr">
        <is>
          <t>Dongle</t>
        </is>
      </c>
      <c r="D156" s="324" t="n">
        <v>42.67230769230769</v>
      </c>
      <c r="E156" s="53" t="n">
        <v>10699.0225</v>
      </c>
      <c r="F156" s="53" t="n">
        <v>554.74</v>
      </c>
      <c r="G156" s="55" t="n">
        <v>250</v>
      </c>
      <c r="H156" s="57" t="n">
        <v>13</v>
      </c>
      <c r="I156" s="55" t="n">
        <v>37</v>
      </c>
      <c r="J156" s="56" t="n">
        <v>4.3</v>
      </c>
      <c r="K156" s="56" t="inlineStr">
        <is>
          <t>https://amazon.com/dp/B0C39TL9R6</t>
        </is>
      </c>
      <c r="L156" s="34">
        <f>HYPERLINK(Vgate_1[[#This Row],[Column1]])</f>
        <v/>
      </c>
    </row>
    <row r="157" ht="45" customHeight="1" s="290">
      <c r="A157" s="30" t="inlineStr">
        <is>
          <t>Vgate iCar Pro Bluetooth 3.0 OBD2 Scanner | Android Only – Not for iOS – Check Engine Light</t>
        </is>
      </c>
      <c r="B157" s="30" t="inlineStr">
        <is>
          <t>B06XGBKG8X</t>
        </is>
      </c>
      <c r="C157" s="30" t="inlineStr">
        <is>
          <t>Dongle</t>
        </is>
      </c>
      <c r="D157" s="324" t="n">
        <v>26.40307692307692</v>
      </c>
      <c r="E157" s="53" t="n">
        <v>13845.18</v>
      </c>
      <c r="F157" s="53" t="n">
        <v>343.24</v>
      </c>
      <c r="G157" s="55" t="n">
        <v>537</v>
      </c>
      <c r="H157" s="57" t="n">
        <v>13</v>
      </c>
      <c r="I157" s="55" t="n">
        <v>859</v>
      </c>
      <c r="J157" s="56" t="n">
        <v>4.2</v>
      </c>
      <c r="K157" s="56" t="inlineStr">
        <is>
          <t>https://amazon.com/dp/B06XGBKG8X</t>
        </is>
      </c>
      <c r="L157" s="34">
        <f>HYPERLINK(Vgate_1[[#This Row],[Column1]])</f>
        <v/>
      </c>
    </row>
    <row r="158" ht="45" customHeight="1" s="290">
      <c r="A158" s="30" t="inlineStr">
        <is>
          <t>Vgate iCar Pro BT3.0 OBD2 Scanner Bluetooth Code Reader Diagnostic Scan Tool for Android &amp; Windows Compatible with ELM327 Adapter</t>
        </is>
      </c>
      <c r="B158" s="30" t="inlineStr">
        <is>
          <t>B0C244W4H5</t>
        </is>
      </c>
      <c r="C158" s="30" t="inlineStr">
        <is>
          <t>Dongle</t>
        </is>
      </c>
      <c r="D158" s="324" t="n">
        <v>24.85923076923077</v>
      </c>
      <c r="E158" s="53" t="n">
        <v>3318.020769230769</v>
      </c>
      <c r="F158" s="53" t="n">
        <v>323.17</v>
      </c>
      <c r="G158" s="55" t="n">
        <v>124</v>
      </c>
      <c r="H158" s="57" t="n">
        <v>13</v>
      </c>
      <c r="I158" s="55" t="n">
        <v>379</v>
      </c>
      <c r="J158" s="56" t="n">
        <v>4.5</v>
      </c>
      <c r="K158" s="56" t="inlineStr">
        <is>
          <t>https://amazon.com/dp/B0C244W4H5</t>
        </is>
      </c>
      <c r="L158" s="34">
        <f>HYPERLINK(Vgate_1[[#This Row],[Column1]])</f>
        <v/>
      </c>
    </row>
    <row r="159" ht="45" customHeight="1" s="290">
      <c r="A159" s="30" t="inlineStr">
        <is>
          <t>Vgate OBD2 Bluetooth Scanner vLinker BM Bimmercode Diagnostic Tool for BMW/Mini, Work with Android and Windows only</t>
        </is>
      </c>
      <c r="B159" s="30" t="inlineStr">
        <is>
          <t>B08LDBSWWL</t>
        </is>
      </c>
      <c r="C159" s="30" t="inlineStr">
        <is>
          <t>Dongle</t>
        </is>
      </c>
      <c r="D159" s="324" t="n">
        <v>37.92818181818182</v>
      </c>
      <c r="E159" s="53" t="n">
        <v>7242.949999999999</v>
      </c>
      <c r="F159" s="53" t="n">
        <v>417.21</v>
      </c>
      <c r="G159" s="55" t="n">
        <v>184</v>
      </c>
      <c r="H159" s="57" t="n">
        <v>11</v>
      </c>
      <c r="I159" s="55" t="n">
        <v>88</v>
      </c>
      <c r="J159" s="56" t="n">
        <v>4.3</v>
      </c>
      <c r="K159" s="56" t="inlineStr">
        <is>
          <t>https://amazon.com/dp/B08LDBSWWL</t>
        </is>
      </c>
      <c r="L159" s="34">
        <f>HYPERLINK(Vgate_1[[#This Row],[Column1]])</f>
        <v/>
      </c>
    </row>
    <row r="160" ht="45" customHeight="1" s="290">
      <c r="A160" s="30" t="inlineStr">
        <is>
          <t>Vgate vLinker FD Bluetooth3.0 OBD2 Scanner for FORScan Fixed Diagnostic Tool Car Code Reader for Android &amp; Windows</t>
        </is>
      </c>
      <c r="B160" s="30" t="inlineStr">
        <is>
          <t>B0C39Y7CZM</t>
        </is>
      </c>
      <c r="C160" s="30" t="inlineStr">
        <is>
          <t>Dongle</t>
        </is>
      </c>
      <c r="D160" s="324" t="n">
        <v>31.58222222222222</v>
      </c>
      <c r="E160" s="53" t="n">
        <v>4713.200000000001</v>
      </c>
      <c r="F160" s="53" t="n">
        <v>284.24</v>
      </c>
      <c r="G160" s="55" t="n">
        <v>152</v>
      </c>
      <c r="H160" s="57" t="n">
        <v>9</v>
      </c>
      <c r="I160" s="55" t="n">
        <v>37</v>
      </c>
      <c r="J160" s="56" t="n">
        <v>4.3</v>
      </c>
      <c r="K160" s="56" t="inlineStr">
        <is>
          <t>https://amazon.com/dp/B0C39Y7CZM</t>
        </is>
      </c>
      <c r="L160" s="34">
        <f>HYPERLINK(Vgate_1[[#This Row],[Column1]])</f>
        <v/>
      </c>
    </row>
    <row r="161" ht="60" customHeight="1" s="290">
      <c r="A161" s="30" t="inlineStr">
        <is>
          <t>Vgate vLinker MC Bluetooth 3.0 OBD2 Scanner Code Reader Diagnostic Scan Tool for Android &amp; Windows, Black</t>
        </is>
      </c>
      <c r="B161" s="30" t="inlineStr">
        <is>
          <t>B0C2GLCDQQ</t>
        </is>
      </c>
      <c r="C161" s="30" t="inlineStr">
        <is>
          <t>Dongle</t>
        </is>
      </c>
      <c r="D161" s="324" t="n">
        <v>46.30111111111111</v>
      </c>
      <c r="E161" s="53" t="n">
        <v>4302.000000000001</v>
      </c>
      <c r="F161" s="53" t="n">
        <v>416.71</v>
      </c>
      <c r="G161" s="55" t="n">
        <v>97</v>
      </c>
      <c r="H161" s="57" t="n">
        <v>9</v>
      </c>
      <c r="I161" s="55" t="n">
        <v>189</v>
      </c>
      <c r="J161" s="56" t="n">
        <v>4.5</v>
      </c>
      <c r="K161" s="56" t="inlineStr">
        <is>
          <t>https://amazon.com/dp/B0C2GLCDQQ</t>
        </is>
      </c>
      <c r="L161" s="34">
        <f>HYPERLINK(Vgate_1[[#This Row],[Column1]])</f>
        <v/>
      </c>
    </row>
    <row r="162" ht="45" customHeight="1" s="290">
      <c r="A162" s="30" t="inlineStr">
        <is>
          <t>Vgate iCar Pro 2S Bluetooth OBD2 Scanner Fixd Car Diagnostic Tool Code Reader for Android &amp; iOS &amp; Windows, Black</t>
        </is>
      </c>
      <c r="B162" s="30" t="inlineStr">
        <is>
          <t>B0D81QLQ92</t>
        </is>
      </c>
      <c r="C162" s="30" t="inlineStr">
        <is>
          <t>Dongle</t>
        </is>
      </c>
      <c r="D162" s="324" t="n">
        <v>31.24555555555555</v>
      </c>
      <c r="E162" s="53" t="n">
        <v>6635</v>
      </c>
      <c r="F162" s="53" t="n">
        <v>281.21</v>
      </c>
      <c r="G162" s="55" t="n">
        <v>205</v>
      </c>
      <c r="H162" s="57" t="n">
        <v>9</v>
      </c>
      <c r="I162" s="55" t="n">
        <v>65</v>
      </c>
      <c r="J162" s="56" t="n">
        <v>4.5</v>
      </c>
      <c r="K162" s="56" t="inlineStr">
        <is>
          <t>https://amazon.com/dp/B0D81QLQ92</t>
        </is>
      </c>
      <c r="L162" s="34">
        <f>HYPERLINK(Vgate_1[[#This Row],[Column1]])</f>
        <v/>
      </c>
    </row>
    <row r="163" ht="45" customHeight="1" s="290">
      <c r="A163" s="30" t="inlineStr">
        <is>
          <t>Vgate iCar 3 WiFi OBD2 Scanner Scan Tools Interface Adapter Car Diagnostics Tool for iOS iPhone iPad and Android, Auto Sleep(White)</t>
        </is>
      </c>
      <c r="B163" s="30" t="inlineStr">
        <is>
          <t>B01J7IMBFC</t>
        </is>
      </c>
      <c r="C163" s="30" t="inlineStr">
        <is>
          <t>Dongle</t>
        </is>
      </c>
      <c r="D163" s="324" t="n">
        <v>25.29444444444444</v>
      </c>
      <c r="E163" s="53" t="n">
        <v>4410.139999999999</v>
      </c>
      <c r="F163" s="53" t="n">
        <v>227.65</v>
      </c>
      <c r="G163" s="55" t="n">
        <v>173</v>
      </c>
      <c r="H163" s="57" t="n">
        <v>9</v>
      </c>
      <c r="I163" s="55" t="n">
        <v>141</v>
      </c>
      <c r="J163" s="56" t="n">
        <v>4</v>
      </c>
      <c r="K163" s="56" t="inlineStr">
        <is>
          <t>https://amazon.com/dp/B01J7IMBFC</t>
        </is>
      </c>
      <c r="L163" s="34">
        <f>HYPERLINK(Vgate_1[[#This Row],[Column1]])</f>
        <v/>
      </c>
    </row>
    <row r="164" ht="45" customHeight="1" s="290">
      <c r="A164" s="30" t="inlineStr">
        <is>
          <t>Vgate vLinker MS Bluetooth OBD2 Scanner Fixd Car Diagnostic Tool Code Reader CH-CAN and LS-CAN Work for iOS &amp; Android &amp; Windows, Black</t>
        </is>
      </c>
      <c r="B164" s="30" t="inlineStr">
        <is>
          <t>B0DB89CSF5</t>
        </is>
      </c>
      <c r="C164" s="30" t="inlineStr">
        <is>
          <t>Dongle</t>
        </is>
      </c>
      <c r="D164" s="324" t="n">
        <v>65.43428571428572</v>
      </c>
      <c r="E164" s="53" t="n">
        <v>9784.889999999999</v>
      </c>
      <c r="F164" s="53" t="n">
        <v>458.04</v>
      </c>
      <c r="G164" s="55" t="n">
        <v>149</v>
      </c>
      <c r="H164" s="57" t="n">
        <v>7</v>
      </c>
      <c r="I164" s="55" t="n">
        <v>58</v>
      </c>
      <c r="J164" s="56" t="n">
        <v>4.8</v>
      </c>
      <c r="K164" s="56" t="inlineStr">
        <is>
          <t>https://amazon.com/dp/B0DB89CSF5</t>
        </is>
      </c>
      <c r="L164" s="34">
        <f>HYPERLINK(Vgate_1[[#This Row],[Column1]])</f>
        <v/>
      </c>
    </row>
    <row r="165" ht="45" customHeight="1" s="290">
      <c r="A165" s="30" t="inlineStr">
        <is>
          <t>Vgate vLinker BM3.0 Bluetooth OBD2 Scanner Diagnostic Tool Bimmercode, Code Reader for BMW, Supports Android &amp; Windows</t>
        </is>
      </c>
      <c r="B165" s="30" t="inlineStr">
        <is>
          <t>B0GS1J18DH</t>
        </is>
      </c>
      <c r="C165" s="30" t="inlineStr">
        <is>
          <t>Dongle</t>
        </is>
      </c>
      <c r="D165" s="324" t="n">
        <v>26.55</v>
      </c>
      <c r="E165" s="53" t="n">
        <v>320.6423076923077</v>
      </c>
      <c r="F165" s="53" t="n">
        <v>26.55</v>
      </c>
      <c r="G165" s="55" t="n">
        <v>1</v>
      </c>
      <c r="H165" s="57" t="n">
        <v>1</v>
      </c>
      <c r="I165" s="55" t="n"/>
      <c r="J165" s="56" t="n"/>
      <c r="K165" s="56" t="inlineStr">
        <is>
          <t>https://amazon.com/dp/B0GS1J18DH</t>
        </is>
      </c>
      <c r="L165" s="34">
        <f>HYPERLINK(Vgate_1[[#This Row],[Column1]])</f>
        <v/>
      </c>
    </row>
    <row r="166" ht="45" customHeight="1" s="290">
      <c r="A166" s="30" t="inlineStr">
        <is>
          <t>Vgate vLinker BM+ Bluetooth LE OBD2 Scanner Diagnostic Tool Bimmercode, Code Reader for BMW, Supports iOS &amp; Android &amp; Windows</t>
        </is>
      </c>
      <c r="B166" s="30" t="inlineStr">
        <is>
          <t>B0GS4CFL5R</t>
        </is>
      </c>
      <c r="C166" s="30" t="inlineStr">
        <is>
          <t>Dongle</t>
        </is>
      </c>
      <c r="D166" s="324" t="n">
        <v>39.99</v>
      </c>
      <c r="E166" s="53" t="n">
        <v>0</v>
      </c>
      <c r="F166" s="53" t="n">
        <v>0</v>
      </c>
      <c r="G166" s="55" t="n">
        <v>0</v>
      </c>
      <c r="H166" s="57" t="n">
        <v>0</v>
      </c>
      <c r="I166" s="55" t="n"/>
      <c r="J166" s="56" t="n"/>
      <c r="K166" s="56" t="inlineStr">
        <is>
          <t>https://amazon.com/dp/B0GS4CFL5R</t>
        </is>
      </c>
      <c r="L166" s="34">
        <f>HYPERLINK(Vgate_1[[#This Row],[Column1]])</f>
        <v/>
      </c>
    </row>
    <row r="167" ht="45" customHeight="1" s="290">
      <c r="A167" s="30" t="n"/>
      <c r="B167" s="30" t="n"/>
      <c r="C167" s="30" t="n"/>
      <c r="D167" s="324" t="n"/>
      <c r="E167" s="53" t="n"/>
      <c r="F167" s="53" t="n"/>
      <c r="G167" s="55" t="n"/>
      <c r="H167" s="57" t="n"/>
      <c r="I167" s="55" t="n"/>
      <c r="J167" s="56" t="n"/>
      <c r="K167" s="56" t="n"/>
      <c r="L167" s="34">
        <f>HYPERLINK(Table65[[#This Row],[Column1]])</f>
        <v/>
      </c>
    </row>
    <row r="168" ht="45" customHeight="1" s="290">
      <c r="A168" s="30" t="n"/>
      <c r="B168" s="30" t="n"/>
      <c r="C168" s="30" t="n"/>
      <c r="D168" s="324" t="n"/>
      <c r="E168" s="53" t="n"/>
      <c r="F168" s="53" t="n"/>
      <c r="G168" s="55" t="n"/>
      <c r="H168" s="57" t="n"/>
      <c r="I168" s="55" t="n"/>
      <c r="J168" s="56" t="n"/>
      <c r="K168" s="56" t="n"/>
      <c r="L168" s="34">
        <f>HYPERLINK(Table65[[#This Row],[Column1]])</f>
        <v/>
      </c>
    </row>
    <row r="169" ht="45" customHeight="1" s="290">
      <c r="A169" s="30" t="n"/>
      <c r="B169" s="30" t="n"/>
      <c r="C169" s="30" t="n"/>
      <c r="D169" s="324" t="n"/>
      <c r="E169" s="53" t="n"/>
      <c r="F169" s="53" t="n"/>
      <c r="G169" s="55" t="n"/>
      <c r="H169" s="57" t="n"/>
      <c r="I169" s="55" t="n"/>
      <c r="J169" s="56" t="n"/>
      <c r="K169" s="56" t="n"/>
      <c r="L169" s="34">
        <f>HYPERLINK(Table65[[#This Row],[Column1]])</f>
        <v/>
      </c>
    </row>
    <row r="170" ht="30" customHeight="1" s="290">
      <c r="A170" s="30" t="n"/>
      <c r="B170" s="30" t="n"/>
      <c r="C170" s="30" t="n"/>
      <c r="D170" s="324" t="n"/>
      <c r="E170" s="53" t="n"/>
      <c r="F170" s="53" t="n"/>
      <c r="G170" s="55" t="n"/>
      <c r="H170" s="57" t="n"/>
      <c r="I170" s="55" t="n"/>
      <c r="J170" s="56" t="n"/>
      <c r="K170" s="56" t="n"/>
      <c r="L170" s="34">
        <f>HYPERLINK(Table65[[#This Row],[Column1]])</f>
        <v/>
      </c>
    </row>
    <row r="171" ht="45" customHeight="1" s="290">
      <c r="A171" s="30" t="n"/>
      <c r="B171" s="30" t="n"/>
      <c r="C171" s="30" t="n"/>
      <c r="D171" s="324" t="n"/>
      <c r="E171" s="53" t="n"/>
      <c r="F171" s="53" t="n"/>
      <c r="G171" s="55" t="n"/>
      <c r="H171" s="57" t="n"/>
      <c r="I171" s="55" t="n"/>
      <c r="J171" s="56" t="n"/>
      <c r="K171" s="56" t="n"/>
      <c r="L171" s="34">
        <f>HYPERLINK(Table65[[#This Row],[Column1]])</f>
        <v/>
      </c>
    </row>
    <row r="172" ht="45" customHeight="1" s="290">
      <c r="A172" s="30" t="n"/>
      <c r="B172" s="30" t="n"/>
      <c r="C172" s="30" t="n"/>
      <c r="D172" s="324" t="n"/>
      <c r="E172" s="53" t="n"/>
      <c r="F172" s="53" t="n"/>
      <c r="G172" s="55" t="n"/>
      <c r="H172" s="57" t="n"/>
      <c r="I172" s="55" t="n"/>
      <c r="J172" s="56" t="n"/>
      <c r="K172" s="56" t="n"/>
      <c r="L172" s="34">
        <f>HYPERLINK(Table65[[#This Row],[Column1]])</f>
        <v/>
      </c>
    </row>
    <row r="173" ht="45" customHeight="1" s="290">
      <c r="A173" s="30" t="n"/>
      <c r="B173" s="30" t="n"/>
      <c r="C173" s="30" t="n"/>
      <c r="D173" s="324" t="n"/>
      <c r="E173" s="53" t="n"/>
      <c r="F173" s="53" t="n"/>
      <c r="G173" s="55" t="n"/>
      <c r="H173" s="57" t="n"/>
      <c r="I173" s="55" t="n"/>
      <c r="J173" s="56" t="n"/>
      <c r="K173" s="56" t="n"/>
      <c r="L173" s="34">
        <f>HYPERLINK(Table65[[#This Row],[Column1]])</f>
        <v/>
      </c>
    </row>
    <row r="174" ht="45" customHeight="1" s="290">
      <c r="A174" s="30" t="n"/>
      <c r="B174" s="30" t="n"/>
      <c r="C174" s="30" t="n"/>
      <c r="D174" s="324" t="n"/>
      <c r="E174" s="53" t="n"/>
      <c r="F174" s="53" t="n"/>
      <c r="G174" s="55" t="n"/>
      <c r="H174" s="57" t="n"/>
      <c r="I174" s="55" t="n"/>
      <c r="J174" s="56" t="n"/>
      <c r="K174" s="56" t="n"/>
      <c r="L174" s="34">
        <f>HYPERLINK(Table65[[#This Row],[Column1]])</f>
        <v/>
      </c>
    </row>
    <row r="175" ht="45" customHeight="1" s="290">
      <c r="A175" s="30" t="n"/>
      <c r="B175" s="30" t="n"/>
      <c r="C175" s="30" t="n"/>
      <c r="D175" s="324" t="n"/>
      <c r="E175" s="53" t="n"/>
      <c r="F175" s="53" t="n"/>
      <c r="G175" s="55" t="n"/>
      <c r="H175" s="57" t="n"/>
      <c r="I175" s="55" t="n"/>
      <c r="J175" s="56" t="n"/>
      <c r="K175" s="56" t="n"/>
      <c r="L175" s="34">
        <f>HYPERLINK(Table65[[#This Row],[Column1]])</f>
        <v/>
      </c>
    </row>
    <row r="176" ht="60" customHeight="1" s="290">
      <c r="A176" s="30" t="n"/>
      <c r="B176" s="30" t="n"/>
      <c r="C176" s="30" t="n"/>
      <c r="D176" s="324" t="n"/>
      <c r="E176" s="53" t="n"/>
      <c r="F176" s="53" t="n"/>
      <c r="G176" s="55" t="n"/>
      <c r="H176" s="57" t="n"/>
      <c r="I176" s="55" t="n"/>
      <c r="J176" s="56" t="n"/>
      <c r="K176" s="56" t="n"/>
      <c r="L176" s="34">
        <f>HYPERLINK(Table65[[#This Row],[Column1]])</f>
        <v/>
      </c>
    </row>
    <row r="177" ht="45" customHeight="1" s="290">
      <c r="A177" s="30" t="n"/>
      <c r="B177" s="30" t="n"/>
      <c r="C177" s="30" t="n"/>
      <c r="D177" s="324" t="n"/>
      <c r="E177" s="53" t="n"/>
      <c r="F177" s="53" t="n"/>
      <c r="G177" s="55" t="n"/>
      <c r="H177" s="57" t="n"/>
      <c r="I177" s="55" t="n"/>
      <c r="J177" s="56" t="n"/>
      <c r="K177" s="56" t="n"/>
      <c r="L177" s="34">
        <f>HYPERLINK(Table65[[#This Row],[Column1]])</f>
        <v/>
      </c>
    </row>
    <row r="178" ht="45" customHeight="1" s="290">
      <c r="A178" s="30" t="n"/>
      <c r="B178" s="30" t="n"/>
      <c r="C178" s="30" t="n"/>
      <c r="D178" s="324" t="n"/>
      <c r="E178" s="53" t="n"/>
      <c r="F178" s="53" t="n"/>
      <c r="G178" s="55" t="n"/>
      <c r="H178" s="57" t="n"/>
      <c r="I178" s="55" t="n"/>
      <c r="J178" s="56" t="n"/>
      <c r="K178" s="56" t="n"/>
      <c r="L178" s="34">
        <f>HYPERLINK(Table65[[#This Row],[Column1]])</f>
        <v/>
      </c>
    </row>
    <row r="179" ht="30" customHeight="1" s="290">
      <c r="A179" s="30" t="n"/>
      <c r="B179" s="30" t="n"/>
      <c r="C179" s="30" t="n"/>
      <c r="D179" s="324" t="n"/>
      <c r="E179" s="53" t="n"/>
      <c r="F179" s="53" t="n"/>
      <c r="G179" s="55" t="n"/>
      <c r="H179" s="57" t="n"/>
      <c r="I179" s="55" t="n"/>
      <c r="J179" s="56" t="n"/>
      <c r="K179" s="56" t="n"/>
      <c r="L179" s="34">
        <f>HYPERLINK(Table65[[#This Row],[Column1]])</f>
        <v/>
      </c>
    </row>
    <row r="180" ht="45" customHeight="1" s="290">
      <c r="A180" s="30" t="n"/>
      <c r="B180" s="30" t="n"/>
      <c r="C180" s="30" t="n"/>
      <c r="D180" s="324" t="n"/>
      <c r="E180" s="53" t="n"/>
      <c r="F180" s="53" t="n"/>
      <c r="G180" s="55" t="n"/>
      <c r="H180" s="57" t="n"/>
      <c r="I180" s="55" t="n"/>
      <c r="J180" s="56" t="n"/>
      <c r="K180" s="56" t="n"/>
      <c r="L180" s="34">
        <f>HYPERLINK(Table65[[#This Row],[Column1]])</f>
        <v/>
      </c>
    </row>
    <row r="181" ht="45" customHeight="1" s="290">
      <c r="A181" s="30" t="n"/>
      <c r="B181" s="30" t="n"/>
      <c r="C181" s="30" t="n"/>
      <c r="D181" s="324" t="n"/>
      <c r="E181" s="53" t="n"/>
      <c r="F181" s="53" t="n"/>
      <c r="G181" s="55" t="n"/>
      <c r="H181" s="57" t="n"/>
      <c r="I181" s="55" t="n"/>
      <c r="J181" s="56" t="n"/>
      <c r="K181" s="56" t="n"/>
      <c r="L181" s="34">
        <f>HYPERLINK(Table65[[#This Row],[Column1]])</f>
        <v/>
      </c>
    </row>
    <row r="182" ht="45" customHeight="1" s="290">
      <c r="A182" s="30" t="n"/>
      <c r="B182" s="30" t="n"/>
      <c r="C182" s="30" t="n"/>
      <c r="D182" s="324" t="n"/>
      <c r="E182" s="53" t="n"/>
      <c r="F182" s="53" t="n"/>
      <c r="G182" s="55" t="n"/>
      <c r="H182" s="57" t="n"/>
      <c r="I182" s="55" t="n"/>
      <c r="J182" s="56" t="n"/>
      <c r="K182" s="56" t="n"/>
      <c r="L182" s="34">
        <f>HYPERLINK(Table65[[#This Row],[Column1]])</f>
        <v/>
      </c>
    </row>
    <row r="183" ht="45" customHeight="1" s="290">
      <c r="A183" s="30" t="n"/>
      <c r="B183" s="30" t="n"/>
      <c r="C183" s="30" t="n"/>
      <c r="D183" s="324" t="n"/>
      <c r="E183" s="53" t="n"/>
      <c r="F183" s="53" t="n"/>
      <c r="G183" s="55" t="n"/>
      <c r="H183" s="57" t="n"/>
      <c r="I183" s="55" t="n"/>
      <c r="J183" s="56" t="n"/>
      <c r="K183" s="56" t="n"/>
      <c r="L183" s="34">
        <f>HYPERLINK(Table65[[#This Row],[Column1]])</f>
        <v/>
      </c>
    </row>
    <row r="184" ht="45" customHeight="1" s="290">
      <c r="A184" s="30" t="n"/>
      <c r="B184" s="30" t="n"/>
      <c r="C184" s="30" t="n"/>
      <c r="D184" s="324" t="n"/>
      <c r="E184" s="53" t="n"/>
      <c r="F184" s="53" t="n"/>
      <c r="G184" s="55" t="n"/>
      <c r="H184" s="57" t="n"/>
      <c r="I184" s="55" t="n"/>
      <c r="J184" s="56" t="n"/>
      <c r="K184" s="56" t="n"/>
      <c r="L184" s="34">
        <f>HYPERLINK(Table65[[#This Row],[Column1]])</f>
        <v/>
      </c>
    </row>
    <row r="185" ht="45" customHeight="1" s="290">
      <c r="A185" s="30" t="n"/>
      <c r="B185" s="30" t="n"/>
      <c r="C185" s="30" t="n"/>
      <c r="D185" s="324" t="n"/>
      <c r="E185" s="53" t="n"/>
      <c r="F185" s="53" t="n"/>
      <c r="G185" s="55" t="n"/>
      <c r="H185" s="57" t="n"/>
      <c r="I185" s="55" t="n"/>
      <c r="J185" s="56" t="n"/>
      <c r="K185" s="56" t="n"/>
      <c r="L185" s="34">
        <f>HYPERLINK(Table65[[#This Row],[Column1]])</f>
        <v/>
      </c>
    </row>
    <row r="186" ht="60" customHeight="1" s="290">
      <c r="A186" s="30" t="n"/>
      <c r="B186" s="30" t="n"/>
      <c r="C186" s="30" t="n"/>
      <c r="D186" s="324" t="n"/>
      <c r="E186" s="53" t="n"/>
      <c r="F186" s="53" t="n"/>
      <c r="G186" s="55" t="n"/>
      <c r="H186" s="57" t="n"/>
      <c r="I186" s="55" t="n"/>
      <c r="J186" s="56" t="n"/>
      <c r="K186" s="56" t="n"/>
      <c r="L186" s="34">
        <f>HYPERLINK(Table65[[#This Row],[Column1]])</f>
        <v/>
      </c>
    </row>
    <row r="187" ht="45" customHeight="1" s="290">
      <c r="A187" s="30" t="n"/>
      <c r="B187" s="30" t="n"/>
      <c r="C187" s="30" t="n"/>
      <c r="D187" s="324" t="n"/>
      <c r="E187" s="53" t="n"/>
      <c r="F187" s="53" t="n"/>
      <c r="G187" s="55" t="n"/>
      <c r="H187" s="57" t="n"/>
      <c r="I187" s="55" t="n"/>
      <c r="J187" s="56" t="n"/>
      <c r="K187" s="56" t="n"/>
      <c r="L187" s="34">
        <f>HYPERLINK(Table65[[#This Row],[Column1]])</f>
        <v/>
      </c>
    </row>
    <row r="188" ht="45" customHeight="1" s="290">
      <c r="A188" s="30" t="n"/>
      <c r="B188" s="30" t="n"/>
      <c r="C188" s="30" t="n"/>
      <c r="D188" s="324" t="n"/>
      <c r="E188" s="53" t="n"/>
      <c r="F188" s="53" t="n"/>
      <c r="G188" s="55" t="n"/>
      <c r="H188" s="57" t="n"/>
      <c r="I188" s="55" t="n"/>
      <c r="J188" s="56" t="n"/>
      <c r="K188" s="56" t="n"/>
      <c r="L188" s="34">
        <f>HYPERLINK(Table65[[#This Row],[Column1]])</f>
        <v/>
      </c>
    </row>
    <row r="189" ht="45" customHeight="1" s="290">
      <c r="A189" s="30" t="n"/>
      <c r="B189" s="30" t="n"/>
      <c r="C189" s="30" t="n"/>
      <c r="D189" s="324" t="n"/>
      <c r="E189" s="53" t="n"/>
      <c r="F189" s="53" t="n"/>
      <c r="G189" s="55" t="n"/>
      <c r="H189" s="57" t="n"/>
      <c r="I189" s="55" t="n"/>
      <c r="J189" s="56" t="n"/>
      <c r="K189" s="56" t="n"/>
      <c r="L189" s="34">
        <f>HYPERLINK(Table65[[#This Row],[Column1]])</f>
        <v/>
      </c>
    </row>
    <row r="190" ht="60" customHeight="1" s="290">
      <c r="A190" s="30" t="n"/>
      <c r="B190" s="30" t="n"/>
      <c r="C190" s="30" t="n"/>
      <c r="D190" s="324" t="n"/>
      <c r="E190" s="53" t="n"/>
      <c r="F190" s="53" t="n"/>
      <c r="G190" s="55" t="n"/>
      <c r="H190" s="57" t="n"/>
      <c r="I190" s="55" t="n"/>
      <c r="J190" s="56" t="n"/>
      <c r="K190" s="56" t="n"/>
      <c r="L190" s="34">
        <f>HYPERLINK(Table65[[#This Row],[Column1]])</f>
        <v/>
      </c>
    </row>
    <row r="191" ht="45" customHeight="1" s="290">
      <c r="A191" s="30" t="n"/>
      <c r="B191" s="30" t="n"/>
      <c r="C191" s="30" t="n"/>
      <c r="D191" s="324" t="n"/>
      <c r="E191" s="53" t="n"/>
      <c r="F191" s="53" t="n"/>
      <c r="G191" s="55" t="n"/>
      <c r="H191" s="57" t="n"/>
      <c r="I191" s="55" t="n"/>
      <c r="J191" s="56" t="n"/>
      <c r="K191" s="56" t="n"/>
      <c r="L191" s="34">
        <f>HYPERLINK(Table65[[#This Row],[Column1]])</f>
        <v/>
      </c>
    </row>
    <row r="192" ht="45" customHeight="1" s="290">
      <c r="A192" s="30" t="n"/>
      <c r="B192" s="30" t="n"/>
      <c r="C192" s="30" t="n"/>
      <c r="D192" s="324" t="n"/>
      <c r="E192" s="53" t="n"/>
      <c r="F192" s="53" t="n"/>
      <c r="G192" s="55" t="n"/>
      <c r="H192" s="57" t="n"/>
      <c r="I192" s="55" t="n"/>
      <c r="J192" s="56" t="n"/>
      <c r="K192" s="56" t="n"/>
      <c r="L192" s="34">
        <f>HYPERLINK(Table65[[#This Row],[Column1]])</f>
        <v/>
      </c>
    </row>
    <row r="193" ht="60" customHeight="1" s="290">
      <c r="A193" s="30" t="n"/>
      <c r="B193" s="30" t="n"/>
      <c r="C193" s="30" t="n"/>
      <c r="D193" s="324" t="n"/>
      <c r="E193" s="53" t="n"/>
      <c r="F193" s="53" t="n"/>
      <c r="G193" s="55" t="n"/>
      <c r="H193" s="57" t="n"/>
      <c r="I193" s="55" t="n"/>
      <c r="J193" s="56" t="n"/>
      <c r="K193" s="56" t="n"/>
      <c r="L193" s="34">
        <f>HYPERLINK(Table65[[#This Row],[Column1]])</f>
        <v/>
      </c>
    </row>
    <row r="194" ht="45" customHeight="1" s="290">
      <c r="A194" s="30" t="n"/>
      <c r="B194" s="30" t="n"/>
      <c r="C194" s="30" t="n"/>
      <c r="D194" s="324" t="n"/>
      <c r="E194" s="53" t="n"/>
      <c r="F194" s="53" t="n"/>
      <c r="G194" s="55" t="n"/>
      <c r="H194" s="57" t="n"/>
      <c r="I194" s="55" t="n"/>
      <c r="J194" s="56" t="n"/>
      <c r="K194" s="56" t="n"/>
      <c r="L194" s="34">
        <f>HYPERLINK(Table65[[#This Row],[Column1]])</f>
        <v/>
      </c>
    </row>
    <row r="195" ht="45" customHeight="1" s="290">
      <c r="A195" s="30" t="n"/>
      <c r="B195" s="30" t="n"/>
      <c r="C195" s="30" t="n"/>
      <c r="D195" s="324" t="n"/>
      <c r="E195" s="53" t="n"/>
      <c r="F195" s="53" t="n"/>
      <c r="G195" s="55" t="n"/>
      <c r="H195" s="57" t="n"/>
      <c r="I195" s="55" t="n"/>
      <c r="J195" s="56" t="n"/>
      <c r="K195" s="56" t="n"/>
      <c r="L195" s="34">
        <f>HYPERLINK(Table65[[#This Row],[Column1]])</f>
        <v/>
      </c>
    </row>
    <row r="196" ht="45" customHeight="1" s="290">
      <c r="A196" s="30" t="n"/>
      <c r="B196" s="30" t="n"/>
      <c r="C196" s="30" t="n"/>
      <c r="D196" s="324" t="n"/>
      <c r="E196" s="53" t="n"/>
      <c r="F196" s="53" t="n"/>
      <c r="G196" s="55" t="n"/>
      <c r="H196" s="57" t="n"/>
      <c r="I196" s="55" t="n"/>
      <c r="J196" s="56" t="n"/>
      <c r="K196" s="56" t="n"/>
      <c r="L196" s="34">
        <f>HYPERLINK(Table65[[#This Row],[Column1]])</f>
        <v/>
      </c>
    </row>
    <row r="197" ht="45" customHeight="1" s="290">
      <c r="A197" s="30" t="n"/>
      <c r="B197" s="30" t="n"/>
      <c r="C197" s="30" t="n"/>
      <c r="D197" s="324" t="n"/>
      <c r="E197" s="53" t="n"/>
      <c r="F197" s="53" t="n"/>
      <c r="G197" s="55" t="n"/>
      <c r="H197" s="57" t="n"/>
      <c r="I197" s="55" t="n"/>
      <c r="J197" s="56" t="n"/>
      <c r="K197" s="56" t="n"/>
      <c r="L197" s="34">
        <f>HYPERLINK(Table65[[#This Row],[Column1]])</f>
        <v/>
      </c>
    </row>
    <row r="198" ht="45" customHeight="1" s="290">
      <c r="A198" s="30" t="n"/>
      <c r="B198" s="30" t="n"/>
      <c r="C198" s="30" t="n"/>
      <c r="D198" s="324" t="n"/>
      <c r="E198" s="53" t="n"/>
      <c r="F198" s="53" t="n"/>
      <c r="G198" s="55" t="n"/>
      <c r="H198" s="57" t="n"/>
      <c r="I198" s="55" t="n"/>
      <c r="J198" s="56" t="n"/>
      <c r="K198" s="56" t="n"/>
      <c r="L198" s="34">
        <f>HYPERLINK(Table65[[#This Row],[Column1]])</f>
        <v/>
      </c>
    </row>
    <row r="199" ht="45" customHeight="1" s="290">
      <c r="A199" s="30" t="n"/>
      <c r="B199" s="30" t="n"/>
      <c r="C199" s="30" t="n"/>
      <c r="D199" s="324" t="n"/>
      <c r="E199" s="53" t="n"/>
      <c r="F199" s="53" t="n"/>
      <c r="G199" s="55" t="n"/>
      <c r="H199" s="57" t="n"/>
      <c r="I199" s="55" t="n"/>
      <c r="J199" s="56" t="n"/>
      <c r="K199" s="56" t="n"/>
      <c r="L199" s="34">
        <f>HYPERLINK(Table65[[#This Row],[Column1]])</f>
        <v/>
      </c>
    </row>
    <row r="200" ht="45" customHeight="1" s="290">
      <c r="A200" s="30" t="n"/>
      <c r="B200" s="30" t="n"/>
      <c r="C200" s="30" t="n"/>
      <c r="D200" s="324" t="n"/>
      <c r="E200" s="53" t="n"/>
      <c r="F200" s="53" t="n"/>
      <c r="G200" s="55" t="n"/>
      <c r="H200" s="57" t="n"/>
      <c r="I200" s="55" t="n"/>
      <c r="J200" s="56" t="n"/>
      <c r="K200" s="56" t="n"/>
      <c r="L200" s="34">
        <f>HYPERLINK(Table65[[#This Row],[Column1]])</f>
        <v/>
      </c>
    </row>
    <row r="201" ht="45" customHeight="1" s="290">
      <c r="A201" s="30" t="n"/>
      <c r="B201" s="30" t="n"/>
      <c r="C201" s="30" t="n"/>
      <c r="D201" s="324" t="n"/>
      <c r="E201" s="53" t="n"/>
      <c r="F201" s="53" t="n"/>
      <c r="G201" s="55" t="n"/>
      <c r="H201" s="57" t="n"/>
      <c r="I201" s="55" t="n"/>
      <c r="J201" s="56" t="n"/>
      <c r="K201" s="56" t="n"/>
      <c r="L201" s="34">
        <f>HYPERLINK(Table65[[#This Row],[Column1]])</f>
        <v/>
      </c>
    </row>
    <row r="202" ht="45" customHeight="1" s="290">
      <c r="A202" s="30" t="n"/>
      <c r="B202" s="30" t="n"/>
      <c r="C202" s="30" t="n"/>
      <c r="D202" s="324" t="n"/>
      <c r="E202" s="53" t="n"/>
      <c r="F202" s="53" t="n"/>
      <c r="G202" s="55" t="n"/>
      <c r="H202" s="57" t="n"/>
      <c r="I202" s="55" t="n"/>
      <c r="J202" s="56" t="n"/>
      <c r="K202" s="56" t="n"/>
      <c r="L202" s="34">
        <f>HYPERLINK(Table65[[#This Row],[Column1]])</f>
        <v/>
      </c>
    </row>
    <row r="203" ht="45" customHeight="1" s="290">
      <c r="A203" s="30" t="n"/>
      <c r="B203" s="30" t="n"/>
      <c r="C203" s="30" t="n"/>
      <c r="D203" s="324" t="n"/>
      <c r="E203" s="53" t="n"/>
      <c r="F203" s="53" t="n"/>
      <c r="G203" s="55" t="n"/>
      <c r="H203" s="57" t="n"/>
      <c r="I203" s="55" t="n"/>
      <c r="J203" s="56" t="n"/>
      <c r="K203" s="56" t="n"/>
      <c r="L203" s="34">
        <f>HYPERLINK(Table65[[#This Row],[Column1]])</f>
        <v/>
      </c>
    </row>
    <row r="204" ht="17" customHeight="1" s="290">
      <c r="A204" s="30" t="n"/>
      <c r="B204" s="30" t="n"/>
      <c r="C204" s="30" t="n"/>
      <c r="D204" s="324" t="n"/>
      <c r="E204" s="53" t="n"/>
      <c r="F204" s="53" t="n"/>
      <c r="G204" s="55" t="n"/>
      <c r="H204" s="57" t="n"/>
      <c r="I204" s="55" t="n"/>
      <c r="J204" s="56" t="n"/>
      <c r="K204" s="56" t="n"/>
      <c r="L204" s="34">
        <f>HYPERLINK(Table65[[#This Row],[Column1]])</f>
        <v/>
      </c>
    </row>
    <row r="205" ht="30" customHeight="1" s="290">
      <c r="A205" s="30" t="n"/>
      <c r="B205" s="30" t="n"/>
      <c r="C205" s="30" t="n"/>
      <c r="D205" s="324" t="n"/>
      <c r="E205" s="53" t="n"/>
      <c r="F205" s="53" t="n"/>
      <c r="G205" s="55" t="n"/>
      <c r="H205" s="57" t="n"/>
      <c r="I205" s="55" t="n"/>
      <c r="J205" s="56" t="n"/>
      <c r="K205" s="56" t="n"/>
      <c r="L205" s="34">
        <f>HYPERLINK(Table65[[#This Row],[Column1]])</f>
        <v/>
      </c>
    </row>
    <row r="206" ht="45" customHeight="1" s="290">
      <c r="A206" s="30" t="n"/>
      <c r="B206" s="30" t="n"/>
      <c r="C206" s="30" t="n"/>
      <c r="D206" s="324" t="n"/>
      <c r="E206" s="53" t="n"/>
      <c r="F206" s="53" t="n"/>
      <c r="G206" s="55" t="n"/>
      <c r="H206" s="57" t="n"/>
      <c r="I206" s="55" t="n"/>
      <c r="J206" s="56" t="n"/>
      <c r="K206" s="56" t="n"/>
      <c r="L206" s="34">
        <f>HYPERLINK(Table65[[#This Row],[Column1]])</f>
        <v/>
      </c>
    </row>
    <row r="207" ht="45" customHeight="1" s="290">
      <c r="A207" s="30" t="n"/>
      <c r="B207" s="30" t="n"/>
      <c r="C207" s="30" t="n"/>
      <c r="D207" s="324" t="n"/>
      <c r="E207" s="53" t="n"/>
      <c r="F207" s="53" t="n"/>
      <c r="G207" s="55" t="n"/>
      <c r="H207" s="57" t="n"/>
      <c r="I207" s="55" t="n"/>
      <c r="J207" s="56" t="n"/>
      <c r="K207" s="56" t="n"/>
      <c r="L207" s="34">
        <f>HYPERLINK(Table65[[#This Row],[Column1]])</f>
        <v/>
      </c>
    </row>
    <row r="208" ht="17" customHeight="1" s="290">
      <c r="A208" s="33" t="inlineStr">
        <is>
          <t>Total</t>
        </is>
      </c>
      <c r="B208" s="32" t="n"/>
      <c r="C208" s="325" t="n"/>
      <c r="D208" s="59" t="n"/>
      <c r="E208" s="32" t="n"/>
      <c r="F208" s="32" t="n"/>
      <c r="G208" s="36">
        <f>SUM(G133:G207)</f>
        <v/>
      </c>
      <c r="H208" s="36">
        <f>SUM(H133:H207)</f>
        <v/>
      </c>
      <c r="I208" s="36" t="n"/>
      <c r="J208" s="167" t="n"/>
      <c r="K208" s="168" t="n"/>
      <c r="L208" s="32" t="n"/>
    </row>
  </sheetData>
  <mergeCells count="3">
    <mergeCell ref="A1:M5"/>
    <mergeCell ref="A131:L131"/>
    <mergeCell ref="A51:L51"/>
  </mergeCells>
  <pageMargins left="0.7" right="0.7" top="0.75" bottom="0.75" header="0.3" footer="0.3"/>
  <drawing xmlns:r="http://schemas.openxmlformats.org/officeDocument/2006/relationships" r:id="rId1"/>
  <tableParts count="2">
    <tablePart xmlns:r="http://schemas.openxmlformats.org/officeDocument/2006/relationships" r:id="rId2"/>
    <tablePart xmlns:r="http://schemas.openxmlformats.org/officeDocument/2006/relationships" r:id="rId3"/>
  </tableParts>
</worksheet>
</file>

<file path=xl/worksheets/sheet38.xml><?xml version="1.0" encoding="utf-8"?>
<worksheet xmlns="http://schemas.openxmlformats.org/spreadsheetml/2006/main">
  <sheetPr codeName="Sheet6">
    <outlinePr summaryBelow="1" summaryRight="1"/>
    <pageSetUpPr/>
  </sheetPr>
  <dimension ref="A1:Q208"/>
  <sheetViews>
    <sheetView workbookViewId="0">
      <selection activeCell="A1" sqref="A1"/>
    </sheetView>
  </sheetViews>
  <sheetFormatPr baseColWidth="10" defaultColWidth="10.83203125" defaultRowHeight="16"/>
  <cols>
    <col width="50.6640625" customWidth="1" style="284" min="1" max="1"/>
    <col width="12.6640625" customWidth="1" style="284" min="2" max="2"/>
    <col width="12.6640625" customWidth="1" style="320" min="3" max="3"/>
    <col width="11.1640625" customWidth="1" style="296" min="4" max="4"/>
    <col width="24.83203125" bestFit="1" customWidth="1" style="284" min="5" max="5"/>
    <col width="17.6640625" bestFit="1" customWidth="1" style="286" min="6" max="6"/>
    <col width="21.6640625" bestFit="1" customWidth="1" style="286" min="7" max="7"/>
    <col width="19.1640625" bestFit="1" customWidth="1" style="286" min="8" max="8"/>
    <col width="13.5" bestFit="1" customWidth="1" style="287" min="9" max="9"/>
    <col width="13" bestFit="1" customWidth="1" style="284" min="10" max="10"/>
    <col hidden="1" width="29" customWidth="1" style="284" min="11" max="11"/>
    <col width="35.6640625" customWidth="1" style="284" min="12" max="12"/>
    <col width="15.6640625" customWidth="1" style="284" min="13" max="13"/>
    <col width="10.83203125" customWidth="1" style="284" min="14" max="16384"/>
  </cols>
  <sheetData>
    <row r="1">
      <c r="A1" s="282" t="inlineStr">
        <is>
          <t>Z Automotive Monthly Summary</t>
        </is>
      </c>
    </row>
    <row r="2"/>
    <row r="3"/>
    <row r="4"/>
    <row r="5"/>
    <row r="6">
      <c r="A6" s="29" t="n"/>
      <c r="B6" s="29" t="n"/>
      <c r="C6" s="321" t="n"/>
      <c r="D6" s="47" t="n"/>
      <c r="E6" s="48" t="n"/>
      <c r="F6" s="48" t="n"/>
      <c r="G6" s="48" t="n"/>
      <c r="H6" s="48" t="n"/>
      <c r="I6" s="49" t="n"/>
      <c r="J6" s="50" t="n"/>
    </row>
    <row r="7" ht="32" customHeight="1" s="290">
      <c r="A7" s="80" t="n"/>
      <c r="B7" s="81" t="inlineStr">
        <is>
          <t>Avg Price</t>
        </is>
      </c>
      <c r="C7" s="81" t="inlineStr">
        <is>
          <t>Avg Price MoM</t>
        </is>
      </c>
      <c r="D7" s="82" t="inlineStr">
        <is>
          <t>Avg Price YoY</t>
        </is>
      </c>
      <c r="E7" s="81" t="inlineStr">
        <is>
          <t>Quantity/Mo</t>
        </is>
      </c>
      <c r="F7" s="84" t="inlineStr">
        <is>
          <t>Qty by %</t>
        </is>
      </c>
      <c r="G7" s="84" t="inlineStr">
        <is>
          <t>Qty MoM</t>
        </is>
      </c>
      <c r="H7" s="82" t="inlineStr">
        <is>
          <t>Qty YoY</t>
        </is>
      </c>
      <c r="I7" s="309" t="inlineStr">
        <is>
          <t>Revenue/Mo</t>
        </is>
      </c>
      <c r="J7" s="126" t="inlineStr">
        <is>
          <t>Revenue by %</t>
        </is>
      </c>
      <c r="K7" s="173" t="n"/>
      <c r="L7" s="126" t="inlineStr">
        <is>
          <t>Revenue MoM</t>
        </is>
      </c>
      <c r="M7" s="310" t="inlineStr">
        <is>
          <t>Revenue YoY</t>
        </is>
      </c>
      <c r="N7" s="286" t="n"/>
      <c r="O7" s="286" t="n"/>
      <c r="P7" s="49" t="n"/>
      <c r="Q7" s="50" t="n"/>
    </row>
    <row r="8">
      <c r="A8" s="93" t="inlineStr">
        <is>
          <t>Tablet $800+</t>
        </is>
      </c>
      <c r="B8" s="298" t="n"/>
      <c r="C8" s="270" t="n"/>
      <c r="D8" s="271" t="n"/>
      <c r="E8" s="269" t="n">
        <v>0</v>
      </c>
      <c r="F8" s="270" t="n">
        <v>0</v>
      </c>
      <c r="G8" s="270" t="n"/>
      <c r="H8" s="271" t="n"/>
      <c r="I8" s="95" t="n">
        <v>0</v>
      </c>
      <c r="J8" s="128" t="n">
        <v>0</v>
      </c>
      <c r="L8" s="169" t="n"/>
      <c r="M8" s="169" t="n"/>
      <c r="N8" s="286" t="n"/>
      <c r="O8" s="286" t="n"/>
      <c r="P8" s="49" t="n"/>
      <c r="Q8" s="50" t="n"/>
    </row>
    <row r="9">
      <c r="A9" s="93" t="inlineStr">
        <is>
          <t>Tablet $400-$800</t>
        </is>
      </c>
      <c r="B9" s="298" t="n"/>
      <c r="C9" s="270" t="n"/>
      <c r="D9" s="271" t="n"/>
      <c r="E9" s="269" t="n">
        <v>0</v>
      </c>
      <c r="F9" s="270" t="n">
        <v>0</v>
      </c>
      <c r="G9" s="270" t="n"/>
      <c r="H9" s="271" t="n"/>
      <c r="I9" s="95" t="n">
        <v>0</v>
      </c>
      <c r="J9" s="128" t="n">
        <v>0</v>
      </c>
      <c r="L9" s="169" t="n"/>
      <c r="M9" s="169" t="n"/>
      <c r="N9" s="286" t="n"/>
      <c r="O9" s="286" t="n"/>
      <c r="P9" s="49" t="n"/>
      <c r="Q9" s="50" t="n"/>
    </row>
    <row r="10">
      <c r="A10" s="96" t="inlineStr">
        <is>
          <t>Tablet $400-</t>
        </is>
      </c>
      <c r="B10" s="299" t="n"/>
      <c r="C10" s="274" t="n"/>
      <c r="D10" s="275" t="n"/>
      <c r="E10" s="273" t="n">
        <v>0</v>
      </c>
      <c r="F10" s="274" t="n">
        <v>0</v>
      </c>
      <c r="G10" s="274" t="n"/>
      <c r="H10" s="275" t="n"/>
      <c r="I10" s="98" t="n">
        <v>0</v>
      </c>
      <c r="J10" s="127" t="n">
        <v>0</v>
      </c>
      <c r="L10" s="171" t="n"/>
      <c r="M10" s="171" t="n"/>
      <c r="N10" s="286" t="n"/>
      <c r="O10" s="286" t="n"/>
      <c r="P10" s="49" t="n"/>
      <c r="Q10" s="50" t="n"/>
    </row>
    <row r="11">
      <c r="A11" s="101" t="inlineStr">
        <is>
          <t>Total Tablet</t>
        </is>
      </c>
      <c r="B11" s="300" t="n"/>
      <c r="C11" s="112" t="n"/>
      <c r="D11" s="104" t="n"/>
      <c r="E11" s="116" t="n">
        <v>0</v>
      </c>
      <c r="F11" s="112" t="n">
        <v>0</v>
      </c>
      <c r="G11" s="112" t="n"/>
      <c r="H11" s="104" t="n"/>
      <c r="I11" s="103" t="n">
        <v>0</v>
      </c>
      <c r="J11" s="129" t="n">
        <v>0</v>
      </c>
      <c r="L11" s="170" t="n"/>
      <c r="M11" s="170" t="n"/>
      <c r="N11" s="286" t="n"/>
      <c r="O11" s="286" t="n"/>
      <c r="P11" s="49" t="n"/>
      <c r="Q11" s="50" t="n"/>
    </row>
    <row r="12">
      <c r="A12" s="93" t="inlineStr">
        <is>
          <t>Handheld $75+</t>
        </is>
      </c>
      <c r="B12" s="298" t="n"/>
      <c r="C12" s="270" t="n"/>
      <c r="D12" s="271" t="n"/>
      <c r="E12" s="269" t="n">
        <v>0</v>
      </c>
      <c r="F12" s="270" t="n">
        <v>0</v>
      </c>
      <c r="G12" s="270" t="n"/>
      <c r="H12" s="271" t="n"/>
      <c r="I12" s="95" t="n">
        <v>0</v>
      </c>
      <c r="J12" s="128" t="n">
        <v>0</v>
      </c>
      <c r="L12" s="169" t="n"/>
      <c r="M12" s="169" t="n"/>
      <c r="N12" s="286" t="n"/>
      <c r="O12" s="286" t="n"/>
      <c r="P12" s="49" t="n"/>
      <c r="Q12" s="50" t="n"/>
    </row>
    <row r="13">
      <c r="A13" s="96" t="inlineStr">
        <is>
          <t>Handheld $75-</t>
        </is>
      </c>
      <c r="B13" s="299" t="n"/>
      <c r="C13" s="274" t="n"/>
      <c r="D13" s="275" t="n"/>
      <c r="E13" s="273" t="n">
        <v>0</v>
      </c>
      <c r="F13" s="274" t="n">
        <v>0</v>
      </c>
      <c r="G13" s="274" t="n"/>
      <c r="H13" s="275" t="n"/>
      <c r="I13" s="98" t="n">
        <v>0</v>
      </c>
      <c r="J13" s="127" t="n">
        <v>0</v>
      </c>
      <c r="L13" s="171" t="n"/>
      <c r="M13" s="171" t="n"/>
      <c r="N13" s="286" t="n"/>
      <c r="O13" s="286" t="n"/>
      <c r="P13" s="49" t="n"/>
      <c r="Q13" s="50" t="n"/>
    </row>
    <row r="14">
      <c r="A14" s="101" t="inlineStr">
        <is>
          <t>Total Handheld</t>
        </is>
      </c>
      <c r="B14" s="300" t="n"/>
      <c r="C14" s="112" t="n"/>
      <c r="D14" s="104" t="n"/>
      <c r="E14" s="116" t="n">
        <v>0</v>
      </c>
      <c r="F14" s="112" t="n">
        <v>0</v>
      </c>
      <c r="G14" s="112" t="n"/>
      <c r="H14" s="104" t="n"/>
      <c r="I14" s="103" t="n">
        <v>0</v>
      </c>
      <c r="J14" s="129" t="n">
        <v>0</v>
      </c>
      <c r="L14" s="170" t="n"/>
      <c r="M14" s="170" t="n"/>
      <c r="N14" s="286" t="n"/>
      <c r="O14" s="286" t="n"/>
      <c r="P14" s="49" t="n"/>
      <c r="Q14" s="50" t="n"/>
    </row>
    <row r="15">
      <c r="A15" s="78" t="inlineStr">
        <is>
          <t>Total Dongle</t>
        </is>
      </c>
      <c r="B15" s="301" t="n">
        <v>321.144380952381</v>
      </c>
      <c r="C15" s="113" t="n">
        <v>0.007267438992162534</v>
      </c>
      <c r="D15" s="107" t="n">
        <v>-0.004458458021943668</v>
      </c>
      <c r="E15" s="99" t="n">
        <v>525</v>
      </c>
      <c r="F15" s="113" t="n">
        <v>0.5602988260405549</v>
      </c>
      <c r="G15" s="113" t="n">
        <v>-0.1732283464566929</v>
      </c>
      <c r="H15" s="107" t="n">
        <v>0.01941747572815533</v>
      </c>
      <c r="I15" s="76" t="n">
        <v>168600.8</v>
      </c>
      <c r="J15" s="130" t="n">
        <v>0.683820779779118</v>
      </c>
      <c r="L15" s="174" t="n">
        <v>-0.1672198339041175</v>
      </c>
      <c r="M15" s="174" t="n">
        <v>0.01487244570578561</v>
      </c>
      <c r="N15" s="286" t="n"/>
      <c r="O15" s="286" t="n"/>
      <c r="P15" s="49" t="n"/>
      <c r="Q15" s="50" t="n"/>
    </row>
    <row r="16">
      <c r="A16" s="78" t="inlineStr">
        <is>
          <t>Total Other Tools</t>
        </is>
      </c>
      <c r="B16" s="301" t="n">
        <v>189.2140776699029</v>
      </c>
      <c r="C16" s="113" t="n">
        <v>0.05785478502920482</v>
      </c>
      <c r="D16" s="107" t="n">
        <v>0.05888246145574172</v>
      </c>
      <c r="E16" s="99" t="n">
        <v>412</v>
      </c>
      <c r="F16" s="113" t="n">
        <v>0.439701173959445</v>
      </c>
      <c r="G16" s="113" t="n">
        <v>0.009803921568627416</v>
      </c>
      <c r="H16" s="107" t="n">
        <v>0.2298507462686568</v>
      </c>
      <c r="I16" s="76" t="n">
        <v>77956.2</v>
      </c>
      <c r="J16" s="130" t="n">
        <v>0.316179220220882</v>
      </c>
      <c r="L16" s="174" t="n">
        <v>0.06822591037262837</v>
      </c>
      <c r="M16" s="174" t="n">
        <v>0.3022673854321363</v>
      </c>
      <c r="N16" s="286" t="n"/>
      <c r="O16" s="286" t="n"/>
      <c r="P16" s="49" t="n"/>
      <c r="Q16" s="50" t="n"/>
    </row>
    <row r="17">
      <c r="A17" s="86" t="inlineStr">
        <is>
          <t>Total</t>
        </is>
      </c>
      <c r="B17" s="302" t="n">
        <v>263.1344717182498</v>
      </c>
      <c r="C17" s="109" t="n">
        <v>-0.00357022357616088</v>
      </c>
      <c r="D17" s="108" t="n">
        <v>-0.01029965510932696</v>
      </c>
      <c r="E17" s="100" t="n">
        <v>937</v>
      </c>
      <c r="F17" s="109" t="n">
        <v>1</v>
      </c>
      <c r="G17" s="109" t="n">
        <v>-0.1016299137104506</v>
      </c>
      <c r="H17" s="108" t="n">
        <v>0.1023529411764705</v>
      </c>
      <c r="I17" s="85" t="n">
        <v>246557</v>
      </c>
      <c r="J17" s="109" t="n">
        <v>1</v>
      </c>
      <c r="L17" s="172" t="n">
        <v>-0.1048372957726392</v>
      </c>
      <c r="M17" s="172" t="n">
        <v>0.09099908607360074</v>
      </c>
      <c r="N17" s="286" t="n"/>
      <c r="O17" s="286" t="n"/>
      <c r="P17" s="49" t="n"/>
      <c r="Q17" s="50" t="n"/>
    </row>
    <row r="18">
      <c r="A18" s="29" t="n"/>
      <c r="B18" s="29" t="n"/>
      <c r="C18" s="321" t="n"/>
      <c r="D18" s="47" t="n"/>
      <c r="E18" s="48" t="n"/>
      <c r="F18" s="48" t="n"/>
      <c r="G18" s="48" t="n"/>
      <c r="H18" s="48" t="n"/>
      <c r="I18" s="49" t="n"/>
      <c r="J18" s="50" t="n"/>
    </row>
    <row r="19">
      <c r="A19" s="29" t="n"/>
      <c r="B19" s="29" t="n"/>
      <c r="C19" s="321" t="n"/>
      <c r="D19" s="47" t="n"/>
      <c r="E19" s="48" t="n"/>
      <c r="F19" s="48" t="n"/>
      <c r="G19" s="48" t="n"/>
      <c r="H19" s="48" t="n"/>
      <c r="I19" s="49" t="n"/>
      <c r="J19" s="50" t="n"/>
    </row>
    <row r="20">
      <c r="A20" s="29" t="n"/>
      <c r="B20" s="29" t="n"/>
      <c r="C20" s="321" t="n"/>
      <c r="D20" s="47" t="n"/>
      <c r="E20" s="48" t="n"/>
      <c r="F20" s="48" t="n"/>
      <c r="G20" s="48" t="n"/>
      <c r="H20" s="48" t="n"/>
      <c r="I20" s="49" t="n"/>
      <c r="J20" s="50" t="n"/>
    </row>
    <row r="21">
      <c r="A21" s="29" t="n"/>
      <c r="B21" s="29" t="n"/>
      <c r="C21" s="321" t="n"/>
      <c r="D21" s="47" t="n"/>
      <c r="E21" s="48" t="n"/>
      <c r="F21" s="48" t="n"/>
      <c r="G21" s="48" t="n"/>
      <c r="H21" s="48" t="n"/>
      <c r="I21" s="49" t="n"/>
      <c r="J21" s="50" t="n"/>
    </row>
    <row r="22">
      <c r="A22" s="29" t="n"/>
      <c r="B22" s="29" t="n"/>
      <c r="C22" s="321" t="n"/>
      <c r="D22" s="47" t="n"/>
      <c r="E22" s="48" t="n"/>
      <c r="F22" s="48" t="n"/>
      <c r="G22" s="48" t="n"/>
      <c r="H22" s="48" t="n"/>
      <c r="I22" s="49" t="n"/>
      <c r="J22" s="50" t="n"/>
    </row>
    <row r="23">
      <c r="A23" s="29" t="n"/>
      <c r="B23" s="29" t="n"/>
      <c r="C23" s="321" t="n"/>
      <c r="D23" s="47" t="n"/>
      <c r="E23" s="48" t="n"/>
      <c r="F23" s="48" t="n"/>
      <c r="G23" s="48" t="n"/>
      <c r="H23" s="48" t="n"/>
      <c r="I23" s="49" t="n"/>
      <c r="J23" s="50" t="n"/>
    </row>
    <row r="24">
      <c r="A24" s="29" t="n"/>
      <c r="B24" s="29" t="n"/>
      <c r="C24" s="321" t="n"/>
      <c r="D24" s="47" t="n"/>
      <c r="E24" s="48" t="n"/>
      <c r="F24" s="48" t="n"/>
      <c r="G24" s="48" t="n"/>
      <c r="H24" s="48" t="n"/>
      <c r="I24" s="49" t="n"/>
      <c r="J24" s="50" t="n"/>
    </row>
    <row r="25">
      <c r="A25" s="29" t="n"/>
      <c r="B25" s="29" t="n"/>
      <c r="C25" s="321" t="n"/>
      <c r="D25" s="47" t="n"/>
      <c r="E25" s="48" t="n"/>
      <c r="F25" s="48" t="n"/>
      <c r="G25" s="48" t="n"/>
      <c r="H25" s="48" t="n"/>
      <c r="I25" s="49" t="n"/>
      <c r="J25" s="50" t="n"/>
    </row>
    <row r="26">
      <c r="A26" s="29" t="n"/>
      <c r="B26" s="29" t="n"/>
      <c r="C26" s="321" t="n"/>
      <c r="D26" s="47" t="n"/>
      <c r="E26" s="48" t="n"/>
      <c r="F26" s="48" t="n"/>
      <c r="G26" s="48" t="n"/>
      <c r="H26" s="48" t="n"/>
      <c r="I26" s="49" t="n"/>
      <c r="J26" s="50" t="n"/>
    </row>
    <row r="27">
      <c r="A27" s="29" t="n"/>
      <c r="B27" s="29" t="n"/>
      <c r="C27" s="321" t="n"/>
      <c r="D27" s="47" t="n"/>
      <c r="E27" s="48" t="n"/>
      <c r="F27" s="48" t="n"/>
      <c r="G27" s="48" t="n"/>
      <c r="H27" s="48" t="n"/>
      <c r="I27" s="49" t="n"/>
      <c r="J27" s="50" t="n"/>
    </row>
    <row r="28">
      <c r="A28" s="29" t="n"/>
      <c r="B28" s="29" t="n"/>
      <c r="C28" s="321" t="n"/>
      <c r="D28" s="47" t="n"/>
      <c r="E28" s="48" t="n"/>
      <c r="F28" s="48" t="n"/>
      <c r="G28" s="48" t="n"/>
      <c r="H28" s="48" t="n"/>
      <c r="I28" s="49" t="n"/>
      <c r="J28" s="50" t="n"/>
    </row>
    <row r="29">
      <c r="A29" s="29" t="n"/>
      <c r="B29" s="29" t="n"/>
      <c r="C29" s="321" t="n"/>
      <c r="D29" s="47" t="n"/>
      <c r="E29" s="48" t="n"/>
      <c r="F29" s="48" t="n"/>
      <c r="G29" s="48" t="n"/>
      <c r="H29" s="48" t="n"/>
      <c r="I29" s="49" t="n"/>
      <c r="J29" s="50" t="n"/>
    </row>
    <row r="30">
      <c r="A30" s="29" t="n"/>
      <c r="B30" s="29" t="n"/>
      <c r="C30" s="321" t="n"/>
      <c r="D30" s="47" t="n"/>
      <c r="E30" s="48" t="n"/>
      <c r="F30" s="48" t="n"/>
      <c r="G30" s="48" t="n"/>
      <c r="H30" s="48" t="n"/>
      <c r="I30" s="49" t="n"/>
      <c r="J30" s="50" t="n"/>
    </row>
    <row r="31">
      <c r="A31" s="29" t="n"/>
      <c r="B31" s="29" t="n"/>
      <c r="C31" s="321" t="n"/>
      <c r="D31" s="47" t="n"/>
      <c r="E31" s="48" t="n"/>
      <c r="F31" s="48" t="n"/>
      <c r="G31" s="48" t="n"/>
      <c r="H31" s="48" t="n"/>
      <c r="I31" s="49" t="n"/>
      <c r="J31" s="50" t="n"/>
    </row>
    <row r="32">
      <c r="A32" s="29" t="n"/>
      <c r="B32" s="29" t="n"/>
      <c r="C32" s="321" t="n"/>
      <c r="D32" s="47" t="n"/>
      <c r="E32" s="48" t="n"/>
      <c r="F32" s="48" t="n"/>
      <c r="G32" s="48" t="n"/>
      <c r="H32" s="48" t="n"/>
      <c r="I32" s="49" t="n"/>
      <c r="J32" s="50" t="n"/>
    </row>
    <row r="33">
      <c r="A33" s="29" t="n"/>
      <c r="B33" s="29" t="n"/>
      <c r="C33" s="321" t="n"/>
      <c r="D33" s="47" t="n"/>
      <c r="E33" s="48" t="n"/>
      <c r="F33" s="48" t="n"/>
      <c r="G33" s="48" t="n"/>
      <c r="H33" s="48" t="n"/>
      <c r="I33" s="49" t="n"/>
      <c r="J33" s="50" t="n"/>
    </row>
    <row r="49" ht="16" customHeight="1" s="290">
      <c r="C49" s="284" t="n"/>
      <c r="D49" s="284" t="n"/>
      <c r="F49" s="284" t="n"/>
      <c r="G49" s="284" t="n"/>
      <c r="H49" s="284" t="n"/>
      <c r="I49" s="284" t="n"/>
    </row>
    <row r="50">
      <c r="C50" s="284" t="n"/>
      <c r="D50" s="284" t="n"/>
      <c r="F50" s="284" t="n"/>
      <c r="G50" s="284" t="n"/>
      <c r="H50" s="284" t="n"/>
      <c r="I50" s="284" t="n"/>
    </row>
    <row r="51">
      <c r="A51" s="283" t="inlineStr">
        <is>
          <t xml:space="preserve">Rank by Revenue </t>
        </is>
      </c>
    </row>
    <row r="52" ht="17" customHeight="1" s="290">
      <c r="A52" s="38" t="inlineStr">
        <is>
          <t>Product Name</t>
        </is>
      </c>
      <c r="B52" s="39" t="inlineStr">
        <is>
          <t>ASIN</t>
        </is>
      </c>
      <c r="C52" s="39" t="inlineStr">
        <is>
          <t>Type</t>
        </is>
      </c>
      <c r="D52" s="322" t="inlineStr">
        <is>
          <t>Avg Price</t>
        </is>
      </c>
      <c r="E52" s="41" t="inlineStr">
        <is>
          <t>Estimated 12mo Revenue</t>
        </is>
      </c>
      <c r="F52" s="39" t="inlineStr">
        <is>
          <t>Monthly Rev</t>
        </is>
      </c>
      <c r="G52" s="42" t="inlineStr">
        <is>
          <t>Estimated 12mo Units</t>
        </is>
      </c>
      <c r="H52" s="45" t="inlineStr">
        <is>
          <t>Monthly Units</t>
        </is>
      </c>
      <c r="I52" s="42" t="inlineStr">
        <is>
          <t># of Reviews</t>
        </is>
      </c>
      <c r="J52" s="43" t="inlineStr">
        <is>
          <t xml:space="preserve">Tool Rating </t>
        </is>
      </c>
      <c r="K52" s="43" t="inlineStr">
        <is>
          <t>Column1</t>
        </is>
      </c>
      <c r="L52" s="323" t="inlineStr">
        <is>
          <t>Link</t>
        </is>
      </c>
    </row>
    <row r="53" ht="45" customHeight="1" s="290">
      <c r="A53" s="30" t="inlineStr">
        <is>
          <t>Z Automotive Tazer Mini Programmer | Fits 2018-2026 Jeep Wrangler JL and Gladiator JT | Customize Over 70 Settings | Activates Anti-Theft Pin Lock, Rock Crawl, Winch Mode and More!</t>
        </is>
      </c>
      <c r="B53" s="30" t="inlineStr">
        <is>
          <t>B09N9RMVFP</t>
        </is>
      </c>
      <c r="C53" s="30" t="inlineStr">
        <is>
          <t>Dongle</t>
        </is>
      </c>
      <c r="D53" s="324" t="n">
        <v>328.8725357873211</v>
      </c>
      <c r="E53" s="53" t="n">
        <v>2225753.26</v>
      </c>
      <c r="F53" s="54" t="n">
        <v>160818.67</v>
      </c>
      <c r="G53" s="55" t="n">
        <v>6930</v>
      </c>
      <c r="H53" s="55" t="n">
        <v>489</v>
      </c>
      <c r="I53" s="55" t="n">
        <v>985</v>
      </c>
      <c r="J53" s="56" t="n">
        <v>4.6</v>
      </c>
      <c r="K53" s="56" t="inlineStr">
        <is>
          <t>https://amazon.com/dp/B09N9RMVFP</t>
        </is>
      </c>
      <c r="L53" s="34">
        <f>HYPERLINK(ZAutomotive_2[[#This Row],[Column1]])</f>
        <v/>
      </c>
    </row>
    <row r="54" ht="45" customHeight="1" s="290">
      <c r="A54" s="30" t="inlineStr">
        <is>
          <t>Z Automotive Tazer JL JT Lite Programmer | Fits 2020-2026 Jeep Wrangler JL and 2018-2026 Gladiator JT | Change Tire Size, Gear Ratio, TPMS and More!</t>
        </is>
      </c>
      <c r="B54" s="30" t="inlineStr">
        <is>
          <t>B07YYLRQP3</t>
        </is>
      </c>
      <c r="C54" s="30" t="inlineStr">
        <is>
          <t>Other</t>
        </is>
      </c>
      <c r="D54" s="324" t="n">
        <v>219.2720979020979</v>
      </c>
      <c r="E54" s="53" t="n">
        <v>356949.92</v>
      </c>
      <c r="F54" s="54" t="n">
        <v>31355.91</v>
      </c>
      <c r="G54" s="55" t="n">
        <v>1658</v>
      </c>
      <c r="H54" s="55" t="n">
        <v>143</v>
      </c>
      <c r="I54" s="55" t="n">
        <v>452</v>
      </c>
      <c r="J54" s="56" t="n">
        <v>4.4</v>
      </c>
      <c r="K54" s="56" t="inlineStr">
        <is>
          <t>https://amazon.com/dp/B07YYLRQP3</t>
        </is>
      </c>
      <c r="L54" s="34">
        <f>HYPERLINK(ZAutomotive_2[[#This Row],[Column1]])</f>
        <v/>
      </c>
    </row>
    <row r="55" ht="45" customHeight="1" s="290">
      <c r="A55" s="30" t="inlineStr">
        <is>
          <t>Z Automotive Tazer Programmer fits 2018-2024 Ram 1500 DT &amp; 2021-2024 Ram TRX | Customize Over 65 Vehicle Settings | Advanced Lighting Options</t>
        </is>
      </c>
      <c r="B55" s="30" t="inlineStr">
        <is>
          <t>B097NFJY7C</t>
        </is>
      </c>
      <c r="C55" s="30" t="inlineStr">
        <is>
          <t>Other</t>
        </is>
      </c>
      <c r="D55" s="324" t="n">
        <v>329.2931707317073</v>
      </c>
      <c r="E55" s="53" t="n">
        <v>308339.71</v>
      </c>
      <c r="F55" s="54" t="n">
        <v>27002.04</v>
      </c>
      <c r="G55" s="55" t="n">
        <v>958</v>
      </c>
      <c r="H55" s="55" t="n">
        <v>82</v>
      </c>
      <c r="I55" s="55" t="n">
        <v>112</v>
      </c>
      <c r="J55" s="56" t="n">
        <v>4.4</v>
      </c>
      <c r="K55" s="56" t="inlineStr">
        <is>
          <t>https://amazon.com/dp/B097NFJY7C</t>
        </is>
      </c>
      <c r="L55" s="34">
        <f>HYPERLINK(ZAutomotive_2[[#This Row],[Column1]])</f>
        <v/>
      </c>
    </row>
    <row r="56" ht="60" customHeight="1" s="290">
      <c r="A56" s="30" t="inlineStr">
        <is>
          <t>Z Automotive Tazer JL Mini and SGW Extension Cable Kit fits 2018-2026 Wrangler JL, Gladiator JT, and 4xe | Improves Customization and Control | Easy Installation</t>
        </is>
      </c>
      <c r="B56" s="30" t="inlineStr">
        <is>
          <t>B0G98MF9NS</t>
        </is>
      </c>
      <c r="C56" s="30" t="inlineStr">
        <is>
          <t>Other</t>
        </is>
      </c>
      <c r="D56" s="324" t="n">
        <v>360.5081818181818</v>
      </c>
      <c r="E56" s="53" t="n">
        <v>93660.36307692308</v>
      </c>
      <c r="F56" s="54" t="n">
        <v>7931.18</v>
      </c>
      <c r="G56" s="55" t="n">
        <v>80</v>
      </c>
      <c r="H56" s="55" t="n">
        <v>22</v>
      </c>
      <c r="I56" s="55" t="n">
        <v>2</v>
      </c>
      <c r="J56" s="56" t="n">
        <v>5</v>
      </c>
      <c r="K56" s="56" t="inlineStr">
        <is>
          <t>https://amazon.com/dp/B0G98MF9NS</t>
        </is>
      </c>
      <c r="L56" s="34">
        <f>HYPERLINK(ZAutomotive_2[[#This Row],[Column1]])</f>
        <v/>
      </c>
    </row>
    <row r="57" ht="45" customHeight="1" s="290">
      <c r="A57" s="30" t="inlineStr">
        <is>
          <t>Z Automotive Double Bypass fits 2018-2023 Dodge Charger, Challenger &amp; Chrysler 300 | OBD2 Plug-In Device | Trunk Mount Security Gateway Bypass | Easy Installation</t>
        </is>
      </c>
      <c r="B57" s="30" t="inlineStr">
        <is>
          <t>B097NF3D6Q</t>
        </is>
      </c>
      <c r="C57" s="30" t="inlineStr">
        <is>
          <t>Cable/Adapter</t>
        </is>
      </c>
      <c r="D57" s="324" t="n">
        <v>55.01028301886792</v>
      </c>
      <c r="E57" s="53" t="n">
        <v>68358.51000000001</v>
      </c>
      <c r="F57" s="54" t="n">
        <v>5831.09</v>
      </c>
      <c r="G57" s="55" t="n">
        <v>1253</v>
      </c>
      <c r="H57" s="55" t="n">
        <v>106</v>
      </c>
      <c r="I57" s="55" t="n">
        <v>179</v>
      </c>
      <c r="J57" s="56" t="n">
        <v>4.7</v>
      </c>
      <c r="K57" s="56" t="inlineStr">
        <is>
          <t>https://amazon.com/dp/B097NF3D6Q</t>
        </is>
      </c>
      <c r="L57" s="34">
        <f>HYPERLINK(ZAutomotive_2[[#This Row],[Column1]])</f>
        <v/>
      </c>
    </row>
    <row r="58" ht="45" customHeight="1" s="290">
      <c r="A58" s="30" t="inlineStr">
        <is>
          <t>Z Automotive JK Blaster fits 2007-2017 Wrangler JK | Device &amp; Mobile App | OBD2 Plug-in Device | Calibrations, Live Features, View and Clear Diagnostic Trouble Codes</t>
        </is>
      </c>
      <c r="B58" s="30" t="inlineStr">
        <is>
          <t>B09FGDJTR2</t>
        </is>
      </c>
      <c r="C58" s="30" t="inlineStr">
        <is>
          <t>Dongle</t>
        </is>
      </c>
      <c r="D58" s="324" t="n">
        <v>188.9242857142857</v>
      </c>
      <c r="E58" s="53" t="n">
        <v>61291.59</v>
      </c>
      <c r="F58" s="54" t="n">
        <v>3967.41</v>
      </c>
      <c r="G58" s="55" t="n">
        <v>327</v>
      </c>
      <c r="H58" s="55" t="n">
        <v>21</v>
      </c>
      <c r="I58" s="55" t="n">
        <v>68</v>
      </c>
      <c r="J58" s="56" t="n">
        <v>3.6</v>
      </c>
      <c r="K58" s="56" t="inlineStr">
        <is>
          <t>https://amazon.com/dp/B09FGDJTR2</t>
        </is>
      </c>
      <c r="L58" s="34">
        <f>HYPERLINK(ZAutomotive_2[[#This Row],[Column1]])</f>
        <v/>
      </c>
    </row>
    <row r="59" ht="45" customHeight="1" s="290">
      <c r="A59" s="30" t="inlineStr">
        <is>
          <t>Z Automotive Security Gateway Bypass Module fits 2018-2023 Durango and 2018-2022 Grand Cherokee | OBD2 Plug-in Device | Access Your Vehicles Computer System</t>
        </is>
      </c>
      <c r="B59" s="30" t="inlineStr">
        <is>
          <t>B0B7W42YR1</t>
        </is>
      </c>
      <c r="C59" s="30" t="inlineStr">
        <is>
          <t>Other</t>
        </is>
      </c>
      <c r="D59" s="324" t="n">
        <v>69.19767441860465</v>
      </c>
      <c r="E59" s="53" t="n">
        <v>30997.29</v>
      </c>
      <c r="F59" s="54" t="n">
        <v>2975.5</v>
      </c>
      <c r="G59" s="55" t="n">
        <v>452</v>
      </c>
      <c r="H59" s="55" t="n">
        <v>43</v>
      </c>
      <c r="I59" s="55" t="n">
        <v>69</v>
      </c>
      <c r="J59" s="56" t="n">
        <v>4.5</v>
      </c>
      <c r="K59" s="56" t="inlineStr">
        <is>
          <t>https://amazon.com/dp/B0B7W42YR1</t>
        </is>
      </c>
      <c r="L59" s="34">
        <f>HYPERLINK(ZAutomotive_2[[#This Row],[Column1]])</f>
        <v/>
      </c>
    </row>
    <row r="60" ht="45" customHeight="1" s="290">
      <c r="A60" s="30" t="inlineStr">
        <is>
          <t>Z Automotive Tazer RAM fits 2013-2021 Ram 1500 Classic 2500 3500 | OBD2 Plug-in Device | Vehicle Settings, Live Functions and “Non-Menu” Live Functions | Activates Light Show</t>
        </is>
      </c>
      <c r="B60" s="30" t="inlineStr">
        <is>
          <t>B097NDT52H</t>
        </is>
      </c>
      <c r="C60" s="30" t="inlineStr">
        <is>
          <t>Dongle</t>
        </is>
      </c>
      <c r="D60" s="324" t="n">
        <v>245.1018181818182</v>
      </c>
      <c r="E60" s="53" t="n">
        <v>27974.02</v>
      </c>
      <c r="F60" s="54" t="n">
        <v>2696.12</v>
      </c>
      <c r="G60" s="55" t="n">
        <v>115</v>
      </c>
      <c r="H60" s="55" t="n">
        <v>11</v>
      </c>
      <c r="I60" s="55" t="n">
        <v>29</v>
      </c>
      <c r="J60" s="56" t="n">
        <v>3.8</v>
      </c>
      <c r="K60" s="56" t="inlineStr">
        <is>
          <t>https://amazon.com/dp/B097NDT52H</t>
        </is>
      </c>
      <c r="L60" s="34">
        <f>HYPERLINK(ZAutomotive_2[[#This Row],[Column1]])</f>
        <v/>
      </c>
    </row>
    <row r="61" ht="45" customHeight="1" s="290">
      <c r="A61" s="30" t="inlineStr">
        <is>
          <t>Z Automotive Tazer DT and SGW Extension Cable Kit fits 2019-2024 RAM 1500 DT &amp; 2021-2024 RAM 1500 TRX | Improves Customization and Control | Easy Installation</t>
        </is>
      </c>
      <c r="B61" s="30" t="inlineStr">
        <is>
          <t>B0G9B97Q32</t>
        </is>
      </c>
      <c r="C61" s="30" t="inlineStr">
        <is>
          <t>Other</t>
        </is>
      </c>
      <c r="D61" s="324" t="n">
        <v>344.09</v>
      </c>
      <c r="E61" s="53" t="n">
        <v>24933.29076923077</v>
      </c>
      <c r="F61" s="54" t="n">
        <v>2064.54</v>
      </c>
      <c r="G61" s="55" t="n">
        <v>6</v>
      </c>
      <c r="H61" s="55" t="n">
        <v>6</v>
      </c>
      <c r="I61" s="55" t="n"/>
      <c r="J61" s="56" t="n"/>
      <c r="K61" s="56" t="inlineStr">
        <is>
          <t>https://amazon.com/dp/B0G9B97Q32</t>
        </is>
      </c>
      <c r="L61" s="34">
        <f>HYPERLINK(ZAutomotive_2[[#This Row],[Column1]])</f>
        <v/>
      </c>
    </row>
    <row r="62" ht="45" customHeight="1" s="290">
      <c r="A62" s="30" t="inlineStr">
        <is>
          <t>Z Automotive DASM Whisperer fits 2025-2026 Wrangler JL, Wrangler 4xe &amp; Gladiator JT | Quick Fix | Custom Fit | Improves Handling and Performance | OEM Quality | Easy Installation</t>
        </is>
      </c>
      <c r="B62" s="30" t="inlineStr">
        <is>
          <t>B0G97CHRZG</t>
        </is>
      </c>
      <c r="C62" s="30" t="inlineStr">
        <is>
          <t>Dongle</t>
        </is>
      </c>
      <c r="D62" s="324" t="n">
        <v>279.65</v>
      </c>
      <c r="E62" s="53" t="n">
        <v>12448.94461538461</v>
      </c>
      <c r="F62" s="54" t="n">
        <v>1118.6</v>
      </c>
      <c r="G62" s="55" t="n">
        <v>11</v>
      </c>
      <c r="H62" s="55" t="n">
        <v>4</v>
      </c>
      <c r="I62" s="55" t="n">
        <v>5</v>
      </c>
      <c r="J62" s="56" t="n">
        <v>5</v>
      </c>
      <c r="K62" s="56" t="inlineStr">
        <is>
          <t>https://amazon.com/dp/B0G97CHRZG</t>
        </is>
      </c>
      <c r="L62" s="34">
        <f>HYPERLINK(ZAutomotive_2[[#This Row],[Column1]])</f>
        <v/>
      </c>
    </row>
    <row r="63" ht="45" customHeight="1" s="290">
      <c r="A63" s="30" t="inlineStr">
        <is>
          <t>Z Automotive Tazer JL Lite and SGW Extension Cable Kit fits 2018-2026 Wrangler JL &amp; Gladiator JT &amp; 4xe | Improves Customization and Control | Easy Installation</t>
        </is>
      </c>
      <c r="B63" s="30" t="inlineStr">
        <is>
          <t>B0G98ZFLYL</t>
        </is>
      </c>
      <c r="C63" s="30" t="inlineStr">
        <is>
          <t>Other</t>
        </is>
      </c>
      <c r="D63" s="324" t="n">
        <v>247.975</v>
      </c>
      <c r="E63" s="53" t="n">
        <v>5865.050000000001</v>
      </c>
      <c r="F63" s="54" t="n">
        <v>495.95</v>
      </c>
      <c r="G63" s="55" t="n">
        <v>7</v>
      </c>
      <c r="H63" s="55" t="n">
        <v>2</v>
      </c>
      <c r="I63" s="55" t="n"/>
      <c r="J63" s="56" t="n"/>
      <c r="K63" s="56" t="inlineStr">
        <is>
          <t>https://amazon.com/dp/B0G98ZFLYL</t>
        </is>
      </c>
      <c r="L63" s="34">
        <f>HYPERLINK(ZAutomotive_2[[#This Row],[Column1]])</f>
        <v/>
      </c>
    </row>
    <row r="64" ht="45" customHeight="1" s="290">
      <c r="A64" s="30" t="inlineStr">
        <is>
          <t>Z Automotive 160mm OEM Locker Extension Kit fits Wrangler JL Rubicon and Gladiator JT Mojave Factory OEM Locker Harnesses | Easy Installation | Built to Last</t>
        </is>
      </c>
      <c r="B64" s="30" t="inlineStr">
        <is>
          <t>B0G9B45BPB</t>
        </is>
      </c>
      <c r="C64" s="30" t="inlineStr">
        <is>
          <t>Other</t>
        </is>
      </c>
      <c r="D64" s="324" t="n">
        <v>36.746</v>
      </c>
      <c r="E64" s="53" t="n">
        <v>2202.412307692307</v>
      </c>
      <c r="F64" s="54" t="n">
        <v>183.73</v>
      </c>
      <c r="G64" s="55" t="n">
        <v>19</v>
      </c>
      <c r="H64" s="55" t="n">
        <v>5</v>
      </c>
      <c r="I64" s="55" t="n">
        <v>1</v>
      </c>
      <c r="J64" s="56" t="n">
        <v>4</v>
      </c>
      <c r="K64" s="56" t="inlineStr">
        <is>
          <t>https://amazon.com/dp/B0G9B45BPB</t>
        </is>
      </c>
      <c r="L64" s="34">
        <f>HYPERLINK(ZAutomotive_2[[#This Row],[Column1]])</f>
        <v/>
      </c>
    </row>
    <row r="65" ht="45" customHeight="1" s="290">
      <c r="A65" s="30" t="inlineStr">
        <is>
          <t>Z Automotive Aux USB Power Kit fits Cigarette Adapter Ports | Easy Installation | Reliable Power Source | Plug-and-Play | Clean Look | Multi-Purpose Charger</t>
        </is>
      </c>
      <c r="B65" s="30" t="inlineStr">
        <is>
          <t>B0G9BFKVKG</t>
        </is>
      </c>
      <c r="C65" s="30" t="inlineStr">
        <is>
          <t>Other</t>
        </is>
      </c>
      <c r="D65" s="324" t="n">
        <v>38.75333333333334</v>
      </c>
      <c r="E65" s="53" t="n">
        <v>1280.132307692308</v>
      </c>
      <c r="F65" s="54" t="n">
        <v>116.26</v>
      </c>
      <c r="G65" s="55" t="n">
        <v>8</v>
      </c>
      <c r="H65" s="55" t="n">
        <v>3</v>
      </c>
      <c r="I65" s="55" t="n"/>
      <c r="J65" s="56" t="n"/>
      <c r="K65" s="56" t="inlineStr">
        <is>
          <t>https://amazon.com/dp/B0G9BFKVKG</t>
        </is>
      </c>
      <c r="L65" s="34">
        <f>HYPERLINK(ZAutomotive_2[[#This Row],[Column1]])</f>
        <v/>
      </c>
    </row>
    <row r="66" ht="45" customHeight="1" s="290">
      <c r="A66" s="30" t="inlineStr">
        <is>
          <t>Z Automotive Tazer JL Mini</t>
        </is>
      </c>
      <c r="B66" s="30" t="inlineStr">
        <is>
          <t>B09NS4TZ9L</t>
        </is>
      </c>
      <c r="C66" s="30" t="inlineStr">
        <is>
          <t>Dongle</t>
        </is>
      </c>
      <c r="D66" s="324" t="n">
        <v>329</v>
      </c>
      <c r="E66" s="53" t="n">
        <v>4010.74</v>
      </c>
      <c r="F66" s="54" t="n">
        <v>0</v>
      </c>
      <c r="G66" s="55" t="n">
        <v>12</v>
      </c>
      <c r="H66" s="55" t="n">
        <v>0</v>
      </c>
      <c r="I66" s="55" t="n">
        <v>1</v>
      </c>
      <c r="J66" s="56" t="n">
        <v>4</v>
      </c>
      <c r="K66" s="56" t="inlineStr">
        <is>
          <t>https://amazon.com/dp/B09NS4TZ9L</t>
        </is>
      </c>
      <c r="L66" s="34">
        <f>HYPERLINK(ZAutomotive_2[[#This Row],[Column1]])</f>
        <v/>
      </c>
    </row>
    <row r="67" ht="45" customHeight="1" s="290">
      <c r="A67" s="30" t="inlineStr">
        <is>
          <t>Z Automotive Tazer and NoLimitz Kit fits 2015-2023 Challenger &amp; Chrysler 300 &amp; 2011-2023 Charger &amp; 2014-2023 Durango &amp; 2014-2021 Grand Cherokee (WKII) | Max Security and Performance | Easy to Install</t>
        </is>
      </c>
      <c r="B67" s="30" t="inlineStr">
        <is>
          <t>B0G98M85QG</t>
        </is>
      </c>
      <c r="C67" s="30" t="inlineStr">
        <is>
          <t>Key</t>
        </is>
      </c>
      <c r="D67" s="324" t="n">
        <v>711.62</v>
      </c>
      <c r="E67" s="53" t="n">
        <v>3629.27</v>
      </c>
      <c r="F67" s="54" t="n">
        <v>0</v>
      </c>
      <c r="G67" s="55" t="n">
        <v>7</v>
      </c>
      <c r="H67" s="55" t="n">
        <v>0</v>
      </c>
      <c r="I67" s="55" t="n"/>
      <c r="J67" s="56" t="n"/>
      <c r="K67" s="56" t="inlineStr">
        <is>
          <t>https://amazon.com/dp/B0G98M85QG</t>
        </is>
      </c>
      <c r="L67" s="34">
        <f>HYPERLINK(ZAutomotive_2[[#This Row],[Column1]])</f>
        <v/>
      </c>
    </row>
    <row r="68" ht="45" customHeight="1" s="290">
      <c r="A68" s="30" t="n"/>
      <c r="B68" s="30" t="n"/>
      <c r="C68" s="30" t="n"/>
      <c r="D68" s="324" t="n"/>
      <c r="E68" s="53" t="n"/>
      <c r="F68" s="54" t="n"/>
      <c r="G68" s="55" t="n"/>
      <c r="H68" s="55" t="n"/>
      <c r="I68" s="55" t="n"/>
      <c r="J68" s="56" t="n"/>
      <c r="K68" s="56" t="n"/>
      <c r="L68" s="34">
        <f>HYPERLINK(Table544[[#This Row],[Column1]])</f>
        <v/>
      </c>
    </row>
    <row r="69" ht="60" customHeight="1" s="290">
      <c r="A69" s="30" t="n"/>
      <c r="B69" s="30" t="n"/>
      <c r="C69" s="30" t="n"/>
      <c r="D69" s="324" t="n"/>
      <c r="E69" s="53" t="n"/>
      <c r="F69" s="54" t="n"/>
      <c r="G69" s="55" t="n"/>
      <c r="H69" s="55" t="n"/>
      <c r="I69" s="55" t="n"/>
      <c r="J69" s="56" t="n"/>
      <c r="K69" s="56" t="n"/>
      <c r="L69" s="34">
        <f>HYPERLINK(Table544[[#This Row],[Column1]])</f>
        <v/>
      </c>
    </row>
    <row r="70" ht="45" customHeight="1" s="290">
      <c r="A70" s="30" t="n"/>
      <c r="B70" s="30" t="n"/>
      <c r="C70" s="30" t="n"/>
      <c r="D70" s="324" t="n"/>
      <c r="E70" s="53" t="n"/>
      <c r="F70" s="54" t="n"/>
      <c r="G70" s="55" t="n"/>
      <c r="H70" s="55" t="n"/>
      <c r="I70" s="55" t="n"/>
      <c r="J70" s="56" t="n"/>
      <c r="K70" s="56" t="n"/>
      <c r="L70" s="34">
        <f>HYPERLINK(Table544[[#This Row],[Column1]])</f>
        <v/>
      </c>
    </row>
    <row r="71" ht="45" customHeight="1" s="290">
      <c r="A71" s="30" t="n"/>
      <c r="B71" s="30" t="n"/>
      <c r="C71" s="30" t="n"/>
      <c r="D71" s="324" t="n"/>
      <c r="E71" s="53" t="n"/>
      <c r="F71" s="54" t="n"/>
      <c r="G71" s="55" t="n"/>
      <c r="H71" s="55" t="n"/>
      <c r="I71" s="55" t="n"/>
      <c r="J71" s="56" t="n"/>
      <c r="K71" s="56" t="n"/>
      <c r="L71" s="34">
        <f>HYPERLINK(Table544[[#This Row],[Column1]])</f>
        <v/>
      </c>
    </row>
    <row r="72" ht="45" customHeight="1" s="290">
      <c r="A72" s="30" t="n"/>
      <c r="B72" s="30" t="n"/>
      <c r="C72" s="30" t="n"/>
      <c r="D72" s="324" t="n"/>
      <c r="E72" s="53" t="n"/>
      <c r="F72" s="54" t="n"/>
      <c r="G72" s="55" t="n"/>
      <c r="H72" s="55" t="n"/>
      <c r="I72" s="55" t="n"/>
      <c r="J72" s="56" t="n"/>
      <c r="K72" s="56" t="n"/>
      <c r="L72" s="34">
        <f>HYPERLINK(Table544[[#This Row],[Column1]])</f>
        <v/>
      </c>
    </row>
    <row r="73" ht="45" customHeight="1" s="290">
      <c r="A73" s="30" t="n"/>
      <c r="B73" s="30" t="n"/>
      <c r="C73" s="30" t="n"/>
      <c r="D73" s="324" t="n"/>
      <c r="E73" s="53" t="n"/>
      <c r="F73" s="54" t="n"/>
      <c r="G73" s="55" t="n"/>
      <c r="H73" s="55" t="n"/>
      <c r="I73" s="55" t="n"/>
      <c r="J73" s="56" t="n"/>
      <c r="K73" s="56" t="n"/>
      <c r="L73" s="34">
        <f>HYPERLINK(Table544[[#This Row],[Column1]])</f>
        <v/>
      </c>
    </row>
    <row r="74" ht="45" customHeight="1" s="290">
      <c r="A74" s="30" t="n"/>
      <c r="B74" s="30" t="n"/>
      <c r="C74" s="30" t="n"/>
      <c r="D74" s="324" t="n"/>
      <c r="E74" s="53" t="n"/>
      <c r="F74" s="54" t="n"/>
      <c r="G74" s="55" t="n"/>
      <c r="H74" s="55" t="n"/>
      <c r="I74" s="55" t="n"/>
      <c r="J74" s="56" t="n"/>
      <c r="K74" s="56" t="n"/>
      <c r="L74" s="34">
        <f>HYPERLINK(Table544[[#This Row],[Column1]])</f>
        <v/>
      </c>
    </row>
    <row r="75" ht="45" customHeight="1" s="290">
      <c r="A75" s="30" t="n"/>
      <c r="B75" s="30" t="n"/>
      <c r="C75" s="30" t="n"/>
      <c r="D75" s="324" t="n"/>
      <c r="E75" s="53" t="n"/>
      <c r="F75" s="54" t="n"/>
      <c r="G75" s="55" t="n"/>
      <c r="H75" s="55" t="n"/>
      <c r="I75" s="55" t="n"/>
      <c r="J75" s="56" t="n"/>
      <c r="K75" s="56" t="n"/>
      <c r="L75" s="34">
        <f>HYPERLINK(Table544[[#This Row],[Column1]])</f>
        <v/>
      </c>
    </row>
    <row r="76" ht="45" customHeight="1" s="290">
      <c r="A76" s="30" t="n"/>
      <c r="B76" s="30" t="n"/>
      <c r="C76" s="30" t="n"/>
      <c r="D76" s="324" t="n"/>
      <c r="E76" s="53" t="n"/>
      <c r="F76" s="54" t="n"/>
      <c r="G76" s="55" t="n"/>
      <c r="H76" s="55" t="n"/>
      <c r="I76" s="55" t="n"/>
      <c r="J76" s="56" t="n"/>
      <c r="K76" s="56" t="n"/>
      <c r="L76" s="34">
        <f>HYPERLINK(Table544[[#This Row],[Column1]])</f>
        <v/>
      </c>
    </row>
    <row r="77" ht="60" customHeight="1" s="290">
      <c r="A77" s="30" t="n"/>
      <c r="B77" s="30" t="n"/>
      <c r="C77" s="30" t="n"/>
      <c r="D77" s="324" t="n"/>
      <c r="E77" s="53" t="n"/>
      <c r="F77" s="54" t="n"/>
      <c r="G77" s="55" t="n"/>
      <c r="H77" s="55" t="n"/>
      <c r="I77" s="55" t="n"/>
      <c r="J77" s="56" t="n"/>
      <c r="K77" s="56" t="n"/>
      <c r="L77" s="34">
        <f>HYPERLINK(Table544[[#This Row],[Column1]])</f>
        <v/>
      </c>
    </row>
    <row r="78" ht="45" customHeight="1" s="290">
      <c r="A78" s="30" t="n"/>
      <c r="B78" s="30" t="n"/>
      <c r="C78" s="30" t="n"/>
      <c r="D78" s="324" t="n"/>
      <c r="E78" s="53" t="n"/>
      <c r="F78" s="54" t="n"/>
      <c r="G78" s="55" t="n"/>
      <c r="H78" s="55" t="n"/>
      <c r="I78" s="55" t="n"/>
      <c r="J78" s="56" t="n"/>
      <c r="K78" s="56" t="n"/>
      <c r="L78" s="34">
        <f>HYPERLINK(Table544[[#This Row],[Column1]])</f>
        <v/>
      </c>
    </row>
    <row r="79" ht="45" customHeight="1" s="290">
      <c r="A79" s="30" t="n"/>
      <c r="B79" s="30" t="n"/>
      <c r="C79" s="30" t="n"/>
      <c r="D79" s="324" t="n"/>
      <c r="E79" s="53" t="n"/>
      <c r="F79" s="54" t="n"/>
      <c r="G79" s="55" t="n"/>
      <c r="H79" s="55" t="n"/>
      <c r="I79" s="55" t="n"/>
      <c r="J79" s="56" t="n"/>
      <c r="K79" s="56" t="n"/>
      <c r="L79" s="34">
        <f>HYPERLINK(Table544[[#This Row],[Column1]])</f>
        <v/>
      </c>
    </row>
    <row r="80" ht="45" customHeight="1" s="290">
      <c r="A80" s="30" t="n"/>
      <c r="B80" s="30" t="n"/>
      <c r="C80" s="30" t="n"/>
      <c r="D80" s="324" t="n"/>
      <c r="E80" s="53" t="n"/>
      <c r="F80" s="54" t="n"/>
      <c r="G80" s="55" t="n"/>
      <c r="H80" s="55" t="n"/>
      <c r="I80" s="55" t="n"/>
      <c r="J80" s="56" t="n"/>
      <c r="K80" s="56" t="n"/>
      <c r="L80" s="34">
        <f>HYPERLINK(Table544[[#This Row],[Column1]])</f>
        <v/>
      </c>
    </row>
    <row r="81" ht="45" customHeight="1" s="290">
      <c r="A81" s="30" t="n"/>
      <c r="B81" s="30" t="n"/>
      <c r="C81" s="30" t="n"/>
      <c r="D81" s="324" t="n"/>
      <c r="E81" s="53" t="n"/>
      <c r="F81" s="54" t="n"/>
      <c r="G81" s="55" t="n"/>
      <c r="H81" s="55" t="n"/>
      <c r="I81" s="55" t="n"/>
      <c r="J81" s="56" t="n"/>
      <c r="K81" s="56" t="n"/>
      <c r="L81" s="34">
        <f>HYPERLINK(Table544[[#This Row],[Column1]])</f>
        <v/>
      </c>
    </row>
    <row r="82" ht="45" customHeight="1" s="290">
      <c r="A82" s="30" t="n"/>
      <c r="B82" s="30" t="n"/>
      <c r="C82" s="30" t="n"/>
      <c r="D82" s="324" t="n"/>
      <c r="E82" s="53" t="n"/>
      <c r="F82" s="54" t="n"/>
      <c r="G82" s="55" t="n"/>
      <c r="H82" s="55" t="n"/>
      <c r="I82" s="55" t="n"/>
      <c r="J82" s="56" t="n"/>
      <c r="K82" s="56" t="n"/>
      <c r="L82" s="34">
        <f>HYPERLINK(Table544[[#This Row],[Column1]])</f>
        <v/>
      </c>
    </row>
    <row r="83" ht="30" customHeight="1" s="290">
      <c r="A83" s="30" t="n"/>
      <c r="B83" s="30" t="n"/>
      <c r="C83" s="30" t="n"/>
      <c r="D83" s="324" t="n"/>
      <c r="E83" s="53" t="n"/>
      <c r="F83" s="54" t="n"/>
      <c r="G83" s="55" t="n"/>
      <c r="H83" s="55" t="n"/>
      <c r="I83" s="55" t="n"/>
      <c r="J83" s="56" t="n"/>
      <c r="K83" s="56" t="n"/>
      <c r="L83" s="34">
        <f>HYPERLINK(Table544[[#This Row],[Column1]])</f>
        <v/>
      </c>
    </row>
    <row r="84" ht="45" customHeight="1" s="290">
      <c r="A84" s="30" t="n"/>
      <c r="B84" s="30" t="n"/>
      <c r="C84" s="30" t="n"/>
      <c r="D84" s="324" t="n"/>
      <c r="E84" s="53" t="n"/>
      <c r="F84" s="54" t="n"/>
      <c r="G84" s="55" t="n"/>
      <c r="H84" s="55" t="n"/>
      <c r="I84" s="55" t="n"/>
      <c r="J84" s="56" t="n"/>
      <c r="K84" s="56" t="n"/>
      <c r="L84" s="34">
        <f>HYPERLINK(Table544[[#This Row],[Column1]])</f>
        <v/>
      </c>
    </row>
    <row r="85" ht="45" customHeight="1" s="290">
      <c r="A85" s="30" t="n"/>
      <c r="B85" s="30" t="n"/>
      <c r="C85" s="30" t="n"/>
      <c r="D85" s="324" t="n"/>
      <c r="E85" s="53" t="n"/>
      <c r="F85" s="54" t="n"/>
      <c r="G85" s="55" t="n"/>
      <c r="H85" s="55" t="n"/>
      <c r="I85" s="55" t="n"/>
      <c r="J85" s="56" t="n"/>
      <c r="K85" s="56" t="n"/>
      <c r="L85" s="34">
        <f>HYPERLINK(Table544[[#This Row],[Column1]])</f>
        <v/>
      </c>
    </row>
    <row r="86" ht="45" customHeight="1" s="290">
      <c r="A86" s="30" t="n"/>
      <c r="B86" s="30" t="n"/>
      <c r="C86" s="30" t="n"/>
      <c r="D86" s="324" t="n"/>
      <c r="E86" s="53" t="n"/>
      <c r="F86" s="54" t="n"/>
      <c r="G86" s="55" t="n"/>
      <c r="H86" s="55" t="n"/>
      <c r="I86" s="55" t="n"/>
      <c r="J86" s="56" t="n"/>
      <c r="K86" s="56" t="n"/>
      <c r="L86" s="34">
        <f>HYPERLINK(Table544[[#This Row],[Column1]])</f>
        <v/>
      </c>
    </row>
    <row r="87" ht="45" customHeight="1" s="290">
      <c r="A87" s="30" t="n"/>
      <c r="B87" s="30" t="n"/>
      <c r="C87" s="30" t="n"/>
      <c r="D87" s="324" t="n"/>
      <c r="E87" s="53" t="n"/>
      <c r="F87" s="54" t="n"/>
      <c r="G87" s="55" t="n"/>
      <c r="H87" s="55" t="n"/>
      <c r="I87" s="55" t="n"/>
      <c r="J87" s="56" t="n"/>
      <c r="K87" s="56" t="n"/>
      <c r="L87" s="34">
        <f>HYPERLINK(Table544[[#This Row],[Column1]])</f>
        <v/>
      </c>
    </row>
    <row r="88" ht="45" customHeight="1" s="290">
      <c r="A88" s="30" t="n"/>
      <c r="B88" s="30" t="n"/>
      <c r="C88" s="30" t="n"/>
      <c r="D88" s="324" t="n"/>
      <c r="E88" s="53" t="n"/>
      <c r="F88" s="54" t="n"/>
      <c r="G88" s="55" t="n"/>
      <c r="H88" s="55" t="n"/>
      <c r="I88" s="55" t="n"/>
      <c r="J88" s="56" t="n"/>
      <c r="K88" s="56" t="n"/>
      <c r="L88" s="34">
        <f>HYPERLINK(Table544[[#This Row],[Column1]])</f>
        <v/>
      </c>
    </row>
    <row r="89" ht="45" customHeight="1" s="290">
      <c r="A89" s="30" t="n"/>
      <c r="B89" s="30" t="n"/>
      <c r="C89" s="30" t="n"/>
      <c r="D89" s="324" t="n"/>
      <c r="E89" s="53" t="n"/>
      <c r="F89" s="54" t="n"/>
      <c r="G89" s="55" t="n"/>
      <c r="H89" s="55" t="n"/>
      <c r="I89" s="55" t="n"/>
      <c r="J89" s="56" t="n"/>
      <c r="K89" s="56" t="n"/>
      <c r="L89" s="34">
        <f>HYPERLINK(Table544[[#This Row],[Column1]])</f>
        <v/>
      </c>
    </row>
    <row r="90" ht="45" customHeight="1" s="290">
      <c r="A90" s="30" t="n"/>
      <c r="B90" s="30" t="n"/>
      <c r="C90" s="30" t="n"/>
      <c r="D90" s="324" t="n"/>
      <c r="E90" s="53" t="n"/>
      <c r="F90" s="54" t="n"/>
      <c r="G90" s="55" t="n"/>
      <c r="H90" s="55" t="n"/>
      <c r="I90" s="55" t="n"/>
      <c r="J90" s="56" t="n"/>
      <c r="K90" s="56" t="n"/>
      <c r="L90" s="34">
        <f>HYPERLINK(Table544[[#This Row],[Column1]])</f>
        <v/>
      </c>
    </row>
    <row r="91" ht="45" customHeight="1" s="290">
      <c r="A91" s="30" t="n"/>
      <c r="B91" s="30" t="n"/>
      <c r="C91" s="30" t="n"/>
      <c r="D91" s="324" t="n"/>
      <c r="E91" s="53" t="n"/>
      <c r="F91" s="54" t="n"/>
      <c r="G91" s="55" t="n"/>
      <c r="H91" s="55" t="n"/>
      <c r="I91" s="55" t="n"/>
      <c r="J91" s="56" t="n"/>
      <c r="K91" s="56" t="n"/>
      <c r="L91" s="34">
        <f>HYPERLINK(Table544[[#This Row],[Column1]])</f>
        <v/>
      </c>
    </row>
    <row r="92" ht="45" customHeight="1" s="290">
      <c r="A92" s="30" t="n"/>
      <c r="B92" s="30" t="n"/>
      <c r="C92" s="30" t="n"/>
      <c r="D92" s="324" t="n"/>
      <c r="E92" s="53" t="n"/>
      <c r="F92" s="54" t="n"/>
      <c r="G92" s="55" t="n"/>
      <c r="H92" s="55" t="n"/>
      <c r="I92" s="55" t="n"/>
      <c r="J92" s="56" t="n"/>
      <c r="K92" s="56" t="n"/>
      <c r="L92" s="34">
        <f>HYPERLINK(Table544[[#This Row],[Column1]])</f>
        <v/>
      </c>
    </row>
    <row r="93" ht="45" customHeight="1" s="290">
      <c r="A93" s="30" t="n"/>
      <c r="B93" s="30" t="n"/>
      <c r="C93" s="30" t="n"/>
      <c r="D93" s="324" t="n"/>
      <c r="E93" s="53" t="n"/>
      <c r="F93" s="54" t="n"/>
      <c r="G93" s="55" t="n"/>
      <c r="H93" s="55" t="n"/>
      <c r="I93" s="55" t="n"/>
      <c r="J93" s="56" t="n"/>
      <c r="K93" s="56" t="n"/>
      <c r="L93" s="34">
        <f>HYPERLINK(Table544[[#This Row],[Column1]])</f>
        <v/>
      </c>
    </row>
    <row r="94" ht="60" customHeight="1" s="290">
      <c r="A94" s="30" t="n"/>
      <c r="B94" s="30" t="n"/>
      <c r="C94" s="30" t="n"/>
      <c r="D94" s="324" t="n"/>
      <c r="E94" s="53" t="n"/>
      <c r="F94" s="54" t="n"/>
      <c r="G94" s="55" t="n"/>
      <c r="H94" s="55" t="n"/>
      <c r="I94" s="55" t="n"/>
      <c r="J94" s="56" t="n"/>
      <c r="K94" s="56" t="n"/>
      <c r="L94" s="34">
        <f>HYPERLINK(Table544[[#This Row],[Column1]])</f>
        <v/>
      </c>
    </row>
    <row r="95" ht="45" customHeight="1" s="290">
      <c r="A95" s="30" t="n"/>
      <c r="B95" s="30" t="n"/>
      <c r="C95" s="30" t="n"/>
      <c r="D95" s="324" t="n"/>
      <c r="E95" s="53" t="n"/>
      <c r="F95" s="54" t="n"/>
      <c r="G95" s="55" t="n"/>
      <c r="H95" s="55" t="n"/>
      <c r="I95" s="55" t="n"/>
      <c r="J95" s="56" t="n"/>
      <c r="K95" s="56" t="n"/>
      <c r="L95" s="34">
        <f>HYPERLINK(Table544[[#This Row],[Column1]])</f>
        <v/>
      </c>
    </row>
    <row r="96" ht="45" customHeight="1" s="290">
      <c r="A96" s="30" t="n"/>
      <c r="B96" s="30" t="n"/>
      <c r="C96" s="30" t="n"/>
      <c r="D96" s="324" t="n"/>
      <c r="E96" s="53" t="n"/>
      <c r="F96" s="54" t="n"/>
      <c r="G96" s="55" t="n"/>
      <c r="H96" s="55" t="n"/>
      <c r="I96" s="55" t="n"/>
      <c r="J96" s="56" t="n"/>
      <c r="K96" s="56" t="n"/>
      <c r="L96" s="34">
        <f>HYPERLINK(Table544[[#This Row],[Column1]])</f>
        <v/>
      </c>
    </row>
    <row r="97" ht="45" customHeight="1" s="290">
      <c r="A97" s="30" t="n"/>
      <c r="B97" s="30" t="n"/>
      <c r="C97" s="30" t="n"/>
      <c r="D97" s="324" t="n"/>
      <c r="E97" s="53" t="n"/>
      <c r="F97" s="54" t="n"/>
      <c r="G97" s="55" t="n"/>
      <c r="H97" s="55" t="n"/>
      <c r="I97" s="55" t="n"/>
      <c r="J97" s="56" t="n"/>
      <c r="K97" s="56" t="n"/>
      <c r="L97" s="34">
        <f>HYPERLINK(Table544[[#This Row],[Column1]])</f>
        <v/>
      </c>
    </row>
    <row r="98" ht="60" customHeight="1" s="290">
      <c r="A98" s="30" t="n"/>
      <c r="B98" s="30" t="n"/>
      <c r="C98" s="30" t="n"/>
      <c r="D98" s="324" t="n"/>
      <c r="E98" s="53" t="n"/>
      <c r="F98" s="54" t="n"/>
      <c r="G98" s="55" t="n"/>
      <c r="H98" s="55" t="n"/>
      <c r="I98" s="55" t="n"/>
      <c r="J98" s="56" t="n"/>
      <c r="K98" s="56" t="n"/>
      <c r="L98" s="34">
        <f>HYPERLINK(Table544[[#This Row],[Column1]])</f>
        <v/>
      </c>
    </row>
    <row r="99" ht="45" customHeight="1" s="290">
      <c r="A99" s="30" t="n"/>
      <c r="B99" s="30" t="n"/>
      <c r="C99" s="30" t="n"/>
      <c r="D99" s="324" t="n"/>
      <c r="E99" s="53" t="n"/>
      <c r="F99" s="54" t="n"/>
      <c r="G99" s="55" t="n"/>
      <c r="H99" s="55" t="n"/>
      <c r="I99" s="55" t="n"/>
      <c r="J99" s="56" t="n"/>
      <c r="K99" s="56" t="n"/>
      <c r="L99" s="34">
        <f>HYPERLINK(Table544[[#This Row],[Column1]])</f>
        <v/>
      </c>
    </row>
    <row r="100" ht="45" customHeight="1" s="290">
      <c r="A100" s="30" t="n"/>
      <c r="B100" s="30" t="n"/>
      <c r="C100" s="30" t="n"/>
      <c r="D100" s="324" t="n"/>
      <c r="E100" s="53" t="n"/>
      <c r="F100" s="54" t="n"/>
      <c r="G100" s="55" t="n"/>
      <c r="H100" s="55" t="n"/>
      <c r="I100" s="55" t="n"/>
      <c r="J100" s="56" t="n"/>
      <c r="K100" s="56" t="n"/>
      <c r="L100" s="34">
        <f>HYPERLINK(Table544[[#This Row],[Column1]])</f>
        <v/>
      </c>
    </row>
    <row r="101" ht="45" customHeight="1" s="290">
      <c r="A101" s="30" t="n"/>
      <c r="B101" s="30" t="n"/>
      <c r="C101" s="30" t="n"/>
      <c r="D101" s="324" t="n"/>
      <c r="E101" s="53" t="n"/>
      <c r="F101" s="54" t="n"/>
      <c r="G101" s="55" t="n"/>
      <c r="H101" s="55" t="n"/>
      <c r="I101" s="55" t="n"/>
      <c r="J101" s="56" t="n"/>
      <c r="K101" s="56" t="n"/>
      <c r="L101" s="34">
        <f>HYPERLINK(Table544[[#This Row],[Column1]])</f>
        <v/>
      </c>
    </row>
    <row r="102" ht="45" customHeight="1" s="290">
      <c r="A102" s="30" t="n"/>
      <c r="B102" s="30" t="n"/>
      <c r="C102" s="30" t="n"/>
      <c r="D102" s="324" t="n"/>
      <c r="E102" s="53" t="n"/>
      <c r="F102" s="54" t="n"/>
      <c r="G102" s="55" t="n"/>
      <c r="H102" s="55" t="n"/>
      <c r="I102" s="55" t="n"/>
      <c r="J102" s="56" t="n"/>
      <c r="K102" s="56" t="n"/>
      <c r="L102" s="34">
        <f>HYPERLINK(Table544[[#This Row],[Column1]])</f>
        <v/>
      </c>
    </row>
    <row r="103" ht="45" customHeight="1" s="290">
      <c r="A103" s="30" t="n"/>
      <c r="B103" s="30" t="n"/>
      <c r="C103" s="30" t="n"/>
      <c r="D103" s="324" t="n"/>
      <c r="E103" s="53" t="n"/>
      <c r="F103" s="54" t="n"/>
      <c r="G103" s="55" t="n"/>
      <c r="H103" s="55" t="n"/>
      <c r="I103" s="55" t="n"/>
      <c r="J103" s="56" t="n"/>
      <c r="K103" s="56" t="n"/>
      <c r="L103" s="34">
        <f>HYPERLINK(Table544[[#This Row],[Column1]])</f>
        <v/>
      </c>
    </row>
    <row r="104" ht="45" customHeight="1" s="290">
      <c r="A104" s="30" t="n"/>
      <c r="B104" s="30" t="n"/>
      <c r="C104" s="30" t="n"/>
      <c r="D104" s="324" t="n"/>
      <c r="E104" s="53" t="n"/>
      <c r="F104" s="54" t="n"/>
      <c r="G104" s="55" t="n"/>
      <c r="H104" s="55" t="n"/>
      <c r="I104" s="55" t="n"/>
      <c r="J104" s="56" t="n"/>
      <c r="K104" s="56" t="n"/>
      <c r="L104" s="34">
        <f>HYPERLINK(Table544[[#This Row],[Column1]])</f>
        <v/>
      </c>
    </row>
    <row r="105" ht="45" customHeight="1" s="290">
      <c r="A105" s="30" t="n"/>
      <c r="B105" s="30" t="n"/>
      <c r="C105" s="30" t="n"/>
      <c r="D105" s="324" t="n"/>
      <c r="E105" s="53" t="n"/>
      <c r="F105" s="54" t="n"/>
      <c r="G105" s="55" t="n"/>
      <c r="H105" s="55" t="n"/>
      <c r="I105" s="55" t="n"/>
      <c r="J105" s="56" t="n"/>
      <c r="K105" s="56" t="n"/>
      <c r="L105" s="34">
        <f>HYPERLINK(Table544[[#This Row],[Column1]])</f>
        <v/>
      </c>
    </row>
    <row r="106" ht="45" customHeight="1" s="290">
      <c r="A106" s="30" t="n"/>
      <c r="B106" s="30" t="n"/>
      <c r="C106" s="30" t="n"/>
      <c r="D106" s="324" t="n"/>
      <c r="E106" s="53" t="n"/>
      <c r="F106" s="54" t="n"/>
      <c r="G106" s="55" t="n"/>
      <c r="H106" s="55" t="n"/>
      <c r="I106" s="55" t="n"/>
      <c r="J106" s="56" t="n"/>
      <c r="K106" s="56" t="n"/>
      <c r="L106" s="34">
        <f>HYPERLINK(Table544[[#This Row],[Column1]])</f>
        <v/>
      </c>
    </row>
    <row r="107" ht="60" customHeight="1" s="290">
      <c r="A107" s="30" t="n"/>
      <c r="B107" s="30" t="n"/>
      <c r="C107" s="30" t="n"/>
      <c r="D107" s="324" t="n"/>
      <c r="E107" s="53" t="n"/>
      <c r="F107" s="54" t="n"/>
      <c r="G107" s="55" t="n"/>
      <c r="H107" s="55" t="n"/>
      <c r="I107" s="55" t="n"/>
      <c r="J107" s="56" t="n"/>
      <c r="K107" s="56" t="n"/>
      <c r="L107" s="34">
        <f>HYPERLINK(Table544[[#This Row],[Column1]])</f>
        <v/>
      </c>
    </row>
    <row r="108" ht="45" customHeight="1" s="290">
      <c r="A108" s="30" t="n"/>
      <c r="B108" s="30" t="n"/>
      <c r="C108" s="30" t="n"/>
      <c r="D108" s="324" t="n"/>
      <c r="E108" s="53" t="n"/>
      <c r="F108" s="54" t="n"/>
      <c r="G108" s="55" t="n"/>
      <c r="H108" s="55" t="n"/>
      <c r="I108" s="55" t="n"/>
      <c r="J108" s="56" t="n"/>
      <c r="K108" s="56" t="n"/>
      <c r="L108" s="34">
        <f>HYPERLINK(Table544[[#This Row],[Column1]])</f>
        <v/>
      </c>
    </row>
    <row r="109" ht="45" customHeight="1" s="290">
      <c r="A109" s="30" t="n"/>
      <c r="B109" s="30" t="n"/>
      <c r="C109" s="30" t="n"/>
      <c r="D109" s="324" t="n"/>
      <c r="E109" s="53" t="n"/>
      <c r="F109" s="54" t="n"/>
      <c r="G109" s="55" t="n"/>
      <c r="H109" s="55" t="n"/>
      <c r="I109" s="55" t="n"/>
      <c r="J109" s="56" t="n"/>
      <c r="K109" s="56" t="n"/>
      <c r="L109" s="34">
        <f>HYPERLINK(Table544[[#This Row],[Column1]])</f>
        <v/>
      </c>
    </row>
    <row r="110" ht="45" customHeight="1" s="290">
      <c r="A110" s="30" t="n"/>
      <c r="B110" s="30" t="n"/>
      <c r="C110" s="30" t="n"/>
      <c r="D110" s="324" t="n"/>
      <c r="E110" s="53" t="n"/>
      <c r="F110" s="54" t="n"/>
      <c r="G110" s="55" t="n"/>
      <c r="H110" s="55" t="n"/>
      <c r="I110" s="55" t="n"/>
      <c r="J110" s="56" t="n"/>
      <c r="K110" s="56" t="n"/>
      <c r="L110" s="34">
        <f>HYPERLINK(Table544[[#This Row],[Column1]])</f>
        <v/>
      </c>
    </row>
    <row r="111" ht="45" customHeight="1" s="290">
      <c r="A111" s="30" t="n"/>
      <c r="B111" s="30" t="n"/>
      <c r="C111" s="30" t="n"/>
      <c r="D111" s="324" t="n"/>
      <c r="E111" s="53" t="n"/>
      <c r="F111" s="54" t="n"/>
      <c r="G111" s="55" t="n"/>
      <c r="H111" s="55" t="n"/>
      <c r="I111" s="55" t="n"/>
      <c r="J111" s="56" t="n"/>
      <c r="K111" s="56" t="n"/>
      <c r="L111" s="34">
        <f>HYPERLINK(Table544[[#This Row],[Column1]])</f>
        <v/>
      </c>
    </row>
    <row r="112" ht="45" customHeight="1" s="290">
      <c r="A112" s="30" t="n"/>
      <c r="B112" s="30" t="n"/>
      <c r="C112" s="30" t="n"/>
      <c r="D112" s="324" t="n"/>
      <c r="E112" s="53" t="n"/>
      <c r="F112" s="54" t="n"/>
      <c r="G112" s="55" t="n"/>
      <c r="H112" s="55" t="n"/>
      <c r="I112" s="55" t="n"/>
      <c r="J112" s="56" t="n"/>
      <c r="K112" s="56" t="n"/>
      <c r="L112" s="34">
        <f>HYPERLINK(Table544[[#This Row],[Column1]])</f>
        <v/>
      </c>
    </row>
    <row r="113" ht="45" customHeight="1" s="290">
      <c r="A113" s="30" t="n"/>
      <c r="B113" s="30" t="n"/>
      <c r="C113" s="30" t="n"/>
      <c r="D113" s="324" t="n"/>
      <c r="E113" s="53" t="n"/>
      <c r="F113" s="54" t="n"/>
      <c r="G113" s="55" t="n"/>
      <c r="H113" s="55" t="n"/>
      <c r="I113" s="55" t="n"/>
      <c r="J113" s="56" t="n"/>
      <c r="K113" s="56" t="n"/>
      <c r="L113" s="34">
        <f>HYPERLINK(Table544[[#This Row],[Column1]])</f>
        <v/>
      </c>
    </row>
    <row r="114" ht="45" customHeight="1" s="290">
      <c r="A114" s="30" t="n"/>
      <c r="B114" s="30" t="n"/>
      <c r="C114" s="30" t="n"/>
      <c r="D114" s="324" t="n"/>
      <c r="E114" s="53" t="n"/>
      <c r="F114" s="54" t="n"/>
      <c r="G114" s="55" t="n"/>
      <c r="H114" s="55" t="n"/>
      <c r="I114" s="55" t="n"/>
      <c r="J114" s="56" t="n"/>
      <c r="K114" s="56" t="n"/>
      <c r="L114" s="34">
        <f>HYPERLINK(Table544[[#This Row],[Column1]])</f>
        <v/>
      </c>
    </row>
    <row r="115" ht="45" customHeight="1" s="290">
      <c r="A115" s="30" t="n"/>
      <c r="B115" s="30" t="n"/>
      <c r="C115" s="30" t="n"/>
      <c r="D115" s="324" t="n"/>
      <c r="E115" s="53" t="n"/>
      <c r="F115" s="54" t="n"/>
      <c r="G115" s="55" t="n"/>
      <c r="H115" s="55" t="n"/>
      <c r="I115" s="55" t="n"/>
      <c r="J115" s="56" t="n"/>
      <c r="K115" s="56" t="n"/>
      <c r="L115" s="34">
        <f>HYPERLINK(Table544[[#This Row],[Column1]])</f>
        <v/>
      </c>
    </row>
    <row r="116" ht="30" customHeight="1" s="290">
      <c r="A116" s="30" t="n"/>
      <c r="B116" s="30" t="n"/>
      <c r="C116" s="30" t="n"/>
      <c r="D116" s="324" t="n"/>
      <c r="E116" s="53" t="n"/>
      <c r="F116" s="54" t="n"/>
      <c r="G116" s="55" t="n"/>
      <c r="H116" s="55" t="n"/>
      <c r="I116" s="55" t="n"/>
      <c r="J116" s="56" t="n"/>
      <c r="K116" s="56" t="n"/>
      <c r="L116" s="34">
        <f>HYPERLINK(Table544[[#This Row],[Column1]])</f>
        <v/>
      </c>
    </row>
    <row r="117" ht="30" customHeight="1" s="290">
      <c r="A117" s="30" t="n"/>
      <c r="B117" s="30" t="n"/>
      <c r="C117" s="30" t="n"/>
      <c r="D117" s="324" t="n"/>
      <c r="E117" s="53" t="n"/>
      <c r="F117" s="54" t="n"/>
      <c r="G117" s="55" t="n"/>
      <c r="H117" s="55" t="n"/>
      <c r="I117" s="55" t="n"/>
      <c r="J117" s="56" t="n"/>
      <c r="K117" s="56" t="n"/>
      <c r="L117" s="34">
        <f>HYPERLINK(Table544[[#This Row],[Column1]])</f>
        <v/>
      </c>
    </row>
    <row r="118" ht="45" customHeight="1" s="290">
      <c r="A118" s="30" t="n"/>
      <c r="B118" s="30" t="n"/>
      <c r="C118" s="30" t="n"/>
      <c r="D118" s="324" t="n"/>
      <c r="E118" s="53" t="n"/>
      <c r="F118" s="54" t="n"/>
      <c r="G118" s="55" t="n"/>
      <c r="H118" s="55" t="n"/>
      <c r="I118" s="55" t="n"/>
      <c r="J118" s="56" t="n"/>
      <c r="K118" s="56" t="n"/>
      <c r="L118" s="34">
        <f>HYPERLINK(Table544[[#This Row],[Column1]])</f>
        <v/>
      </c>
    </row>
    <row r="119" ht="45" customHeight="1" s="290">
      <c r="A119" s="30" t="n"/>
      <c r="B119" s="30" t="n"/>
      <c r="C119" s="30" t="n"/>
      <c r="D119" s="324" t="n"/>
      <c r="E119" s="53" t="n"/>
      <c r="F119" s="54" t="n"/>
      <c r="G119" s="55" t="n"/>
      <c r="H119" s="55" t="n"/>
      <c r="I119" s="55" t="n"/>
      <c r="J119" s="56" t="n"/>
      <c r="K119" s="56" t="n"/>
      <c r="L119" s="34">
        <f>HYPERLINK(Table544[[#This Row],[Column1]])</f>
        <v/>
      </c>
    </row>
    <row r="120" ht="60" customHeight="1" s="290">
      <c r="A120" s="30" t="n"/>
      <c r="B120" s="30" t="n"/>
      <c r="C120" s="30" t="n"/>
      <c r="D120" s="324" t="n"/>
      <c r="E120" s="53" t="n"/>
      <c r="F120" s="54" t="n"/>
      <c r="G120" s="55" t="n"/>
      <c r="H120" s="55" t="n"/>
      <c r="I120" s="55" t="n"/>
      <c r="J120" s="56" t="n"/>
      <c r="K120" s="56" t="n"/>
      <c r="L120" s="34">
        <f>HYPERLINK(Table544[[#This Row],[Column1]])</f>
        <v/>
      </c>
    </row>
    <row r="121" ht="45" customHeight="1" s="290">
      <c r="A121" s="30" t="n"/>
      <c r="B121" s="30" t="n"/>
      <c r="C121" s="30" t="n"/>
      <c r="D121" s="324" t="n"/>
      <c r="E121" s="53" t="n"/>
      <c r="F121" s="54" t="n"/>
      <c r="G121" s="55" t="n"/>
      <c r="H121" s="55" t="n"/>
      <c r="I121" s="55" t="n"/>
      <c r="J121" s="56" t="n"/>
      <c r="K121" s="56" t="n"/>
      <c r="L121" s="34">
        <f>HYPERLINK(Table544[[#This Row],[Column1]])</f>
        <v/>
      </c>
    </row>
    <row r="122" ht="45" customHeight="1" s="290">
      <c r="A122" s="30" t="n"/>
      <c r="B122" s="30" t="n"/>
      <c r="C122" s="30" t="n"/>
      <c r="D122" s="324" t="n"/>
      <c r="E122" s="53" t="n"/>
      <c r="F122" s="54" t="n"/>
      <c r="G122" s="55" t="n"/>
      <c r="H122" s="55" t="n"/>
      <c r="I122" s="55" t="n"/>
      <c r="J122" s="56" t="n"/>
      <c r="K122" s="56" t="n"/>
      <c r="L122" s="34">
        <f>HYPERLINK(Table544[[#This Row],[Column1]])</f>
        <v/>
      </c>
    </row>
    <row r="123" ht="45" customHeight="1" s="290">
      <c r="A123" s="30" t="n"/>
      <c r="B123" s="30" t="n"/>
      <c r="C123" s="30" t="n"/>
      <c r="D123" s="324" t="n"/>
      <c r="E123" s="53" t="n"/>
      <c r="F123" s="54" t="n"/>
      <c r="G123" s="55" t="n"/>
      <c r="H123" s="55" t="n"/>
      <c r="I123" s="55" t="n"/>
      <c r="J123" s="56" t="n"/>
      <c r="K123" s="56" t="n"/>
      <c r="L123" s="34">
        <f>HYPERLINK(Table544[[#This Row],[Column1]])</f>
        <v/>
      </c>
    </row>
    <row r="124" ht="17" customHeight="1" s="290">
      <c r="A124" s="30" t="n"/>
      <c r="B124" s="30" t="n"/>
      <c r="C124" s="30" t="n"/>
      <c r="D124" s="324" t="n"/>
      <c r="E124" s="53" t="n"/>
      <c r="F124" s="54" t="n"/>
      <c r="G124" s="55" t="n"/>
      <c r="H124" s="55" t="n"/>
      <c r="I124" s="55" t="n"/>
      <c r="J124" s="56" t="n"/>
      <c r="K124" s="56" t="n"/>
      <c r="L124" s="34">
        <f>HYPERLINK(Table544[[#This Row],[Column1]])</f>
        <v/>
      </c>
    </row>
    <row r="125" ht="30" customHeight="1" s="290">
      <c r="A125" s="30" t="n"/>
      <c r="B125" s="30" t="n"/>
      <c r="C125" s="30" t="n"/>
      <c r="D125" s="324" t="n"/>
      <c r="E125" s="53" t="n"/>
      <c r="F125" s="54" t="n"/>
      <c r="G125" s="55" t="n"/>
      <c r="H125" s="55" t="n"/>
      <c r="I125" s="55" t="n"/>
      <c r="J125" s="56" t="n"/>
      <c r="K125" s="56" t="n"/>
      <c r="L125" s="34">
        <f>HYPERLINK(Table544[[#This Row],[Column1]])</f>
        <v/>
      </c>
    </row>
    <row r="126" ht="45" customHeight="1" s="290">
      <c r="A126" s="30" t="n"/>
      <c r="B126" s="30" t="n"/>
      <c r="C126" s="30" t="n"/>
      <c r="D126" s="324" t="n"/>
      <c r="E126" s="53" t="n"/>
      <c r="F126" s="54" t="n"/>
      <c r="G126" s="55" t="n"/>
      <c r="H126" s="55" t="n"/>
      <c r="I126" s="55" t="n"/>
      <c r="J126" s="56" t="n"/>
      <c r="K126" s="56" t="n"/>
      <c r="L126" s="34">
        <f>HYPERLINK(Table544[[#This Row],[Column1]])</f>
        <v/>
      </c>
    </row>
    <row r="127" ht="45" customHeight="1" s="290">
      <c r="A127" s="30" t="n"/>
      <c r="B127" s="30" t="n"/>
      <c r="C127" s="30" t="n"/>
      <c r="D127" s="324" t="n"/>
      <c r="E127" s="53" t="n"/>
      <c r="F127" s="54" t="n"/>
      <c r="G127" s="55" t="n"/>
      <c r="H127" s="55" t="n"/>
      <c r="I127" s="55" t="n"/>
      <c r="J127" s="56" t="n"/>
      <c r="K127" s="56" t="n"/>
      <c r="L127" s="34">
        <f>HYPERLINK(Table544[[#This Row],[Column1]])</f>
        <v/>
      </c>
    </row>
    <row r="128" ht="17" customHeight="1" s="290">
      <c r="A128" s="33" t="inlineStr">
        <is>
          <t>Total</t>
        </is>
      </c>
      <c r="B128" s="32" t="n"/>
      <c r="C128" s="325" t="n"/>
      <c r="D128" s="325" t="n"/>
      <c r="E128" s="59">
        <f>SUM(Table544[Estimated 12mo Revenue])</f>
        <v/>
      </c>
      <c r="F128" s="59">
        <f>SUM(Table544[Monthly Rev])</f>
        <v/>
      </c>
      <c r="I128" s="286" t="n"/>
      <c r="J128" s="287" t="n"/>
    </row>
    <row r="131">
      <c r="A131" s="283" t="inlineStr">
        <is>
          <t>Rank by Units</t>
        </is>
      </c>
    </row>
    <row r="132" ht="17" customHeight="1" s="290">
      <c r="A132" s="38" t="inlineStr">
        <is>
          <t>Product Name</t>
        </is>
      </c>
      <c r="B132" s="39" t="inlineStr">
        <is>
          <t>ASIN</t>
        </is>
      </c>
      <c r="C132" s="39" t="inlineStr">
        <is>
          <t>Type</t>
        </is>
      </c>
      <c r="D132" s="322" t="inlineStr">
        <is>
          <t>Avg Price</t>
        </is>
      </c>
      <c r="E132" s="41" t="inlineStr">
        <is>
          <t>Estimated 12mo Revenue</t>
        </is>
      </c>
      <c r="F132" s="39" t="inlineStr">
        <is>
          <t>Monthly Rev</t>
        </is>
      </c>
      <c r="G132" s="42" t="inlineStr">
        <is>
          <t>Estimated 12mo Units</t>
        </is>
      </c>
      <c r="H132" s="45" t="inlineStr">
        <is>
          <t>Monthly Units</t>
        </is>
      </c>
      <c r="I132" s="42" t="inlineStr">
        <is>
          <t># of Reviews</t>
        </is>
      </c>
      <c r="J132" s="43" t="inlineStr">
        <is>
          <t xml:space="preserve">Tool Rating </t>
        </is>
      </c>
      <c r="K132" s="43" t="inlineStr">
        <is>
          <t>Column1</t>
        </is>
      </c>
      <c r="L132" s="323" t="inlineStr">
        <is>
          <t>Link</t>
        </is>
      </c>
    </row>
    <row r="133" ht="45" customHeight="1" s="290">
      <c r="A133" s="30" t="inlineStr">
        <is>
          <t>Z Automotive Tazer Mini Programmer | Fits 2018-2026 Jeep Wrangler JL and Gladiator JT | Customize Over 70 Settings | Activates Anti-Theft Pin Lock, Rock Crawl, Winch Mode and More!</t>
        </is>
      </c>
      <c r="B133" s="30" t="inlineStr">
        <is>
          <t>B09N9RMVFP</t>
        </is>
      </c>
      <c r="C133" s="30" t="inlineStr">
        <is>
          <t>Dongle</t>
        </is>
      </c>
      <c r="D133" s="324" t="n">
        <v>328.8725357873211</v>
      </c>
      <c r="E133" s="53" t="n">
        <v>2225753.26</v>
      </c>
      <c r="F133" s="53" t="n">
        <v>160818.67</v>
      </c>
      <c r="G133" s="55" t="n">
        <v>6930</v>
      </c>
      <c r="H133" s="57" t="n">
        <v>489</v>
      </c>
      <c r="I133" s="55" t="n">
        <v>985</v>
      </c>
      <c r="J133" s="56" t="n">
        <v>4.6</v>
      </c>
      <c r="K133" s="56" t="inlineStr">
        <is>
          <t>https://amazon.com/dp/B09N9RMVFP</t>
        </is>
      </c>
      <c r="L133" s="34">
        <f>HYPERLINK(ZAutomotive_1[[#This Row],[Column1]])</f>
        <v/>
      </c>
    </row>
    <row r="134" ht="45" customHeight="1" s="290">
      <c r="A134" s="30" t="inlineStr">
        <is>
          <t>Z Automotive Tazer JL JT Lite Programmer | Fits 2020-2026 Jeep Wrangler JL and 2018-2026 Gladiator JT | Change Tire Size, Gear Ratio, TPMS and More!</t>
        </is>
      </c>
      <c r="B134" s="30" t="inlineStr">
        <is>
          <t>B07YYLRQP3</t>
        </is>
      </c>
      <c r="C134" s="30" t="inlineStr">
        <is>
          <t>Other</t>
        </is>
      </c>
      <c r="D134" s="324" t="n">
        <v>219.2720979020979</v>
      </c>
      <c r="E134" s="53" t="n">
        <v>356949.92</v>
      </c>
      <c r="F134" s="53" t="n">
        <v>31355.91</v>
      </c>
      <c r="G134" s="55" t="n">
        <v>1658</v>
      </c>
      <c r="H134" s="57" t="n">
        <v>143</v>
      </c>
      <c r="I134" s="55" t="n">
        <v>452</v>
      </c>
      <c r="J134" s="56" t="n">
        <v>4.4</v>
      </c>
      <c r="K134" s="56" t="inlineStr">
        <is>
          <t>https://amazon.com/dp/B07YYLRQP3</t>
        </is>
      </c>
      <c r="L134" s="34">
        <f>HYPERLINK(ZAutomotive_1[[#This Row],[Column1]])</f>
        <v/>
      </c>
    </row>
    <row r="135" ht="45" customHeight="1" s="290">
      <c r="A135" s="30" t="inlineStr">
        <is>
          <t>Z Automotive Double Bypass fits 2018-2023 Dodge Charger, Challenger &amp; Chrysler 300 | OBD2 Plug-In Device | Trunk Mount Security Gateway Bypass | Easy Installation</t>
        </is>
      </c>
      <c r="B135" s="30" t="inlineStr">
        <is>
          <t>B097NF3D6Q</t>
        </is>
      </c>
      <c r="C135" s="30" t="inlineStr">
        <is>
          <t>Cable/Adapter</t>
        </is>
      </c>
      <c r="D135" s="324" t="n">
        <v>55.01028301886792</v>
      </c>
      <c r="E135" s="53" t="n">
        <v>68358.51000000001</v>
      </c>
      <c r="F135" s="53" t="n">
        <v>5831.09</v>
      </c>
      <c r="G135" s="55" t="n">
        <v>1253</v>
      </c>
      <c r="H135" s="57" t="n">
        <v>106</v>
      </c>
      <c r="I135" s="55" t="n">
        <v>179</v>
      </c>
      <c r="J135" s="56" t="n">
        <v>4.7</v>
      </c>
      <c r="K135" s="56" t="inlineStr">
        <is>
          <t>https://amazon.com/dp/B097NF3D6Q</t>
        </is>
      </c>
      <c r="L135" s="34">
        <f>HYPERLINK(ZAutomotive_1[[#This Row],[Column1]])</f>
        <v/>
      </c>
    </row>
    <row r="136" ht="45" customHeight="1" s="290">
      <c r="A136" s="30" t="inlineStr">
        <is>
          <t>Z Automotive Tazer Programmer fits 2018-2024 Ram 1500 DT &amp; 2021-2024 Ram TRX | Customize Over 65 Vehicle Settings | Advanced Lighting Options</t>
        </is>
      </c>
      <c r="B136" s="30" t="inlineStr">
        <is>
          <t>B097NFJY7C</t>
        </is>
      </c>
      <c r="C136" s="30" t="inlineStr">
        <is>
          <t>Other</t>
        </is>
      </c>
      <c r="D136" s="324" t="n">
        <v>329.2931707317073</v>
      </c>
      <c r="E136" s="53" t="n">
        <v>308339.71</v>
      </c>
      <c r="F136" s="53" t="n">
        <v>27002.04</v>
      </c>
      <c r="G136" s="55" t="n">
        <v>958</v>
      </c>
      <c r="H136" s="57" t="n">
        <v>82</v>
      </c>
      <c r="I136" s="55" t="n">
        <v>112</v>
      </c>
      <c r="J136" s="56" t="n">
        <v>4.4</v>
      </c>
      <c r="K136" s="56" t="inlineStr">
        <is>
          <t>https://amazon.com/dp/B097NFJY7C</t>
        </is>
      </c>
      <c r="L136" s="34">
        <f>HYPERLINK(ZAutomotive_1[[#This Row],[Column1]])</f>
        <v/>
      </c>
    </row>
    <row r="137" ht="45" customHeight="1" s="290">
      <c r="A137" s="30" t="inlineStr">
        <is>
          <t>Z Automotive Security Gateway Bypass Module fits 2018-2023 Durango and 2018-2022 Grand Cherokee | OBD2 Plug-in Device | Access Your Vehicles Computer System</t>
        </is>
      </c>
      <c r="B137" s="30" t="inlineStr">
        <is>
          <t>B0B7W42YR1</t>
        </is>
      </c>
      <c r="C137" s="30" t="inlineStr">
        <is>
          <t>Other</t>
        </is>
      </c>
      <c r="D137" s="324" t="n">
        <v>69.19767441860465</v>
      </c>
      <c r="E137" s="53" t="n">
        <v>30997.29</v>
      </c>
      <c r="F137" s="53" t="n">
        <v>2975.5</v>
      </c>
      <c r="G137" s="55" t="n">
        <v>452</v>
      </c>
      <c r="H137" s="57" t="n">
        <v>43</v>
      </c>
      <c r="I137" s="55" t="n">
        <v>69</v>
      </c>
      <c r="J137" s="56" t="n">
        <v>4.5</v>
      </c>
      <c r="K137" s="56" t="inlineStr">
        <is>
          <t>https://amazon.com/dp/B0B7W42YR1</t>
        </is>
      </c>
      <c r="L137" s="34">
        <f>HYPERLINK(ZAutomotive_1[[#This Row],[Column1]])</f>
        <v/>
      </c>
    </row>
    <row r="138" ht="45" customHeight="1" s="290">
      <c r="A138" s="30" t="inlineStr">
        <is>
          <t>Z Automotive Tazer JL Mini and SGW Extension Cable Kit fits 2018-2026 Wrangler JL, Gladiator JT, and 4xe | Improves Customization and Control | Easy Installation</t>
        </is>
      </c>
      <c r="B138" s="30" t="inlineStr">
        <is>
          <t>B0G98MF9NS</t>
        </is>
      </c>
      <c r="C138" s="30" t="inlineStr">
        <is>
          <t>Other</t>
        </is>
      </c>
      <c r="D138" s="324" t="n">
        <v>360.5081818181818</v>
      </c>
      <c r="E138" s="53" t="n">
        <v>93660.36307692308</v>
      </c>
      <c r="F138" s="53" t="n">
        <v>7931.18</v>
      </c>
      <c r="G138" s="55" t="n">
        <v>80</v>
      </c>
      <c r="H138" s="57" t="n">
        <v>22</v>
      </c>
      <c r="I138" s="55" t="n">
        <v>2</v>
      </c>
      <c r="J138" s="56" t="n">
        <v>5</v>
      </c>
      <c r="K138" s="56" t="inlineStr">
        <is>
          <t>https://amazon.com/dp/B0G98MF9NS</t>
        </is>
      </c>
      <c r="L138" s="34">
        <f>HYPERLINK(ZAutomotive_1[[#This Row],[Column1]])</f>
        <v/>
      </c>
    </row>
    <row r="139" ht="45" customHeight="1" s="290">
      <c r="A139" s="30" t="inlineStr">
        <is>
          <t>Z Automotive JK Blaster fits 2007-2017 Wrangler JK | Device &amp; Mobile App | OBD2 Plug-in Device | Calibrations, Live Features, View and Clear Diagnostic Trouble Codes</t>
        </is>
      </c>
      <c r="B139" s="30" t="inlineStr">
        <is>
          <t>B09FGDJTR2</t>
        </is>
      </c>
      <c r="C139" s="30" t="inlineStr">
        <is>
          <t>Dongle</t>
        </is>
      </c>
      <c r="D139" s="324" t="n">
        <v>188.9242857142857</v>
      </c>
      <c r="E139" s="53" t="n">
        <v>61291.59</v>
      </c>
      <c r="F139" s="53" t="n">
        <v>3967.41</v>
      </c>
      <c r="G139" s="55" t="n">
        <v>327</v>
      </c>
      <c r="H139" s="57" t="n">
        <v>21</v>
      </c>
      <c r="I139" s="55" t="n">
        <v>68</v>
      </c>
      <c r="J139" s="56" t="n">
        <v>3.6</v>
      </c>
      <c r="K139" s="56" t="inlineStr">
        <is>
          <t>https://amazon.com/dp/B09FGDJTR2</t>
        </is>
      </c>
      <c r="L139" s="34">
        <f>HYPERLINK(ZAutomotive_1[[#This Row],[Column1]])</f>
        <v/>
      </c>
    </row>
    <row r="140" ht="45" customHeight="1" s="290">
      <c r="A140" s="30" t="inlineStr">
        <is>
          <t>Z Automotive Tazer RAM fits 2013-2021 Ram 1500 Classic 2500 3500 | OBD2 Plug-in Device | Vehicle Settings, Live Functions and “Non-Menu” Live Functions | Activates Light Show</t>
        </is>
      </c>
      <c r="B140" s="30" t="inlineStr">
        <is>
          <t>B097NDT52H</t>
        </is>
      </c>
      <c r="C140" s="30" t="inlineStr">
        <is>
          <t>Dongle</t>
        </is>
      </c>
      <c r="D140" s="324" t="n">
        <v>245.1018181818182</v>
      </c>
      <c r="E140" s="53" t="n">
        <v>27974.02</v>
      </c>
      <c r="F140" s="53" t="n">
        <v>2696.12</v>
      </c>
      <c r="G140" s="55" t="n">
        <v>115</v>
      </c>
      <c r="H140" s="57" t="n">
        <v>11</v>
      </c>
      <c r="I140" s="55" t="n">
        <v>29</v>
      </c>
      <c r="J140" s="56" t="n">
        <v>3.8</v>
      </c>
      <c r="K140" s="56" t="inlineStr">
        <is>
          <t>https://amazon.com/dp/B097NDT52H</t>
        </is>
      </c>
      <c r="L140" s="34">
        <f>HYPERLINK(ZAutomotive_1[[#This Row],[Column1]])</f>
        <v/>
      </c>
    </row>
    <row r="141" ht="30" customHeight="1" s="290">
      <c r="A141" s="30" t="inlineStr">
        <is>
          <t>Z Automotive Tazer DT and SGW Extension Cable Kit fits 2019-2024 RAM 1500 DT &amp; 2021-2024 RAM 1500 TRX | Improves Customization and Control | Easy Installation</t>
        </is>
      </c>
      <c r="B141" s="30" t="inlineStr">
        <is>
          <t>B0G9B97Q32</t>
        </is>
      </c>
      <c r="C141" s="30" t="inlineStr">
        <is>
          <t>Other</t>
        </is>
      </c>
      <c r="D141" s="324" t="n">
        <v>344.09</v>
      </c>
      <c r="E141" s="53" t="n">
        <v>24933.29076923077</v>
      </c>
      <c r="F141" s="53" t="n">
        <v>2064.54</v>
      </c>
      <c r="G141" s="55" t="n">
        <v>6</v>
      </c>
      <c r="H141" s="57" t="n">
        <v>6</v>
      </c>
      <c r="I141" s="55" t="n"/>
      <c r="J141" s="56" t="n"/>
      <c r="K141" s="56" t="inlineStr">
        <is>
          <t>https://amazon.com/dp/B0G9B97Q32</t>
        </is>
      </c>
      <c r="L141" s="34">
        <f>HYPERLINK(ZAutomotive_1[[#This Row],[Column1]])</f>
        <v/>
      </c>
    </row>
    <row r="142" ht="45" customHeight="1" s="290">
      <c r="A142" s="30" t="inlineStr">
        <is>
          <t>Z Automotive 160mm OEM Locker Extension Kit fits Wrangler JL Rubicon and Gladiator JT Mojave Factory OEM Locker Harnesses | Easy Installation | Built to Last</t>
        </is>
      </c>
      <c r="B142" s="30" t="inlineStr">
        <is>
          <t>B0G9B45BPB</t>
        </is>
      </c>
      <c r="C142" s="30" t="inlineStr">
        <is>
          <t>Other</t>
        </is>
      </c>
      <c r="D142" s="324" t="n">
        <v>36.746</v>
      </c>
      <c r="E142" s="53" t="n">
        <v>2202.412307692307</v>
      </c>
      <c r="F142" s="53" t="n">
        <v>183.73</v>
      </c>
      <c r="G142" s="55" t="n">
        <v>19</v>
      </c>
      <c r="H142" s="57" t="n">
        <v>5</v>
      </c>
      <c r="I142" s="55" t="n">
        <v>1</v>
      </c>
      <c r="J142" s="56" t="n">
        <v>4</v>
      </c>
      <c r="K142" s="56" t="inlineStr">
        <is>
          <t>https://amazon.com/dp/B0G9B45BPB</t>
        </is>
      </c>
      <c r="L142" s="34">
        <f>HYPERLINK(ZAutomotive_1[[#This Row],[Column1]])</f>
        <v/>
      </c>
    </row>
    <row r="143" ht="45" customHeight="1" s="290">
      <c r="A143" s="30" t="inlineStr">
        <is>
          <t>Z Automotive DASM Whisperer fits 2025-2026 Wrangler JL, Wrangler 4xe &amp; Gladiator JT | Quick Fix | Custom Fit | Improves Handling and Performance | OEM Quality | Easy Installation</t>
        </is>
      </c>
      <c r="B143" s="30" t="inlineStr">
        <is>
          <t>B0G97CHRZG</t>
        </is>
      </c>
      <c r="C143" s="30" t="inlineStr">
        <is>
          <t>Dongle</t>
        </is>
      </c>
      <c r="D143" s="324" t="n">
        <v>279.65</v>
      </c>
      <c r="E143" s="53" t="n">
        <v>12448.94461538461</v>
      </c>
      <c r="F143" s="53" t="n">
        <v>1118.6</v>
      </c>
      <c r="G143" s="55" t="n">
        <v>11</v>
      </c>
      <c r="H143" s="57" t="n">
        <v>4</v>
      </c>
      <c r="I143" s="55" t="n">
        <v>5</v>
      </c>
      <c r="J143" s="56" t="n">
        <v>5</v>
      </c>
      <c r="K143" s="56" t="inlineStr">
        <is>
          <t>https://amazon.com/dp/B0G97CHRZG</t>
        </is>
      </c>
      <c r="L143" s="34">
        <f>HYPERLINK(ZAutomotive_1[[#This Row],[Column1]])</f>
        <v/>
      </c>
    </row>
    <row r="144" ht="45" customHeight="1" s="290">
      <c r="A144" s="30" t="inlineStr">
        <is>
          <t>Z Automotive Aux USB Power Kit fits Cigarette Adapter Ports | Easy Installation | Reliable Power Source | Plug-and-Play | Clean Look | Multi-Purpose Charger</t>
        </is>
      </c>
      <c r="B144" s="30" t="inlineStr">
        <is>
          <t>B0G9BFKVKG</t>
        </is>
      </c>
      <c r="C144" s="30" t="inlineStr">
        <is>
          <t>Other</t>
        </is>
      </c>
      <c r="D144" s="324" t="n">
        <v>38.75333333333334</v>
      </c>
      <c r="E144" s="53" t="n">
        <v>1280.132307692308</v>
      </c>
      <c r="F144" s="53" t="n">
        <v>116.26</v>
      </c>
      <c r="G144" s="55" t="n">
        <v>8</v>
      </c>
      <c r="H144" s="57" t="n">
        <v>3</v>
      </c>
      <c r="I144" s="55" t="n"/>
      <c r="J144" s="56" t="n"/>
      <c r="K144" s="56" t="inlineStr">
        <is>
          <t>https://amazon.com/dp/B0G9BFKVKG</t>
        </is>
      </c>
      <c r="L144" s="34">
        <f>HYPERLINK(ZAutomotive_1[[#This Row],[Column1]])</f>
        <v/>
      </c>
    </row>
    <row r="145" ht="45" customHeight="1" s="290">
      <c r="A145" s="30" t="inlineStr">
        <is>
          <t>Z Automotive Tazer JL Lite and SGW Extension Cable Kit fits 2018-2026 Wrangler JL &amp; Gladiator JT &amp; 4xe | Improves Customization and Control | Easy Installation</t>
        </is>
      </c>
      <c r="B145" s="30" t="inlineStr">
        <is>
          <t>B0G98ZFLYL</t>
        </is>
      </c>
      <c r="C145" s="30" t="inlineStr">
        <is>
          <t>Other</t>
        </is>
      </c>
      <c r="D145" s="324" t="n">
        <v>247.975</v>
      </c>
      <c r="E145" s="53" t="n">
        <v>5865.050000000001</v>
      </c>
      <c r="F145" s="53" t="n">
        <v>495.95</v>
      </c>
      <c r="G145" s="55" t="n">
        <v>7</v>
      </c>
      <c r="H145" s="57" t="n">
        <v>2</v>
      </c>
      <c r="I145" s="55" t="n"/>
      <c r="J145" s="56" t="n"/>
      <c r="K145" s="56" t="inlineStr">
        <is>
          <t>https://amazon.com/dp/B0G98ZFLYL</t>
        </is>
      </c>
      <c r="L145" s="34">
        <f>HYPERLINK(ZAutomotive_1[[#This Row],[Column1]])</f>
        <v/>
      </c>
    </row>
    <row r="146" ht="60" customHeight="1" s="290">
      <c r="A146" s="30" t="inlineStr">
        <is>
          <t>Z Automotive Tazer JL Mini</t>
        </is>
      </c>
      <c r="B146" s="30" t="inlineStr">
        <is>
          <t>B09NS4TZ9L</t>
        </is>
      </c>
      <c r="C146" s="30" t="inlineStr">
        <is>
          <t>Dongle</t>
        </is>
      </c>
      <c r="D146" s="324" t="n">
        <v>329</v>
      </c>
      <c r="E146" s="53" t="n">
        <v>4010.74</v>
      </c>
      <c r="F146" s="53" t="n">
        <v>0</v>
      </c>
      <c r="G146" s="55" t="n">
        <v>12</v>
      </c>
      <c r="H146" s="57" t="n">
        <v>0</v>
      </c>
      <c r="I146" s="55" t="n">
        <v>1</v>
      </c>
      <c r="J146" s="56" t="n">
        <v>4</v>
      </c>
      <c r="K146" s="56" t="inlineStr">
        <is>
          <t>https://amazon.com/dp/B09NS4TZ9L</t>
        </is>
      </c>
      <c r="L146" s="34">
        <f>HYPERLINK(ZAutomotive_1[[#This Row],[Column1]])</f>
        <v/>
      </c>
    </row>
    <row r="147" ht="45" customHeight="1" s="290">
      <c r="A147" s="30" t="inlineStr">
        <is>
          <t>Z Automotive Tazer and NoLimitz Kit fits 2015-2023 Challenger &amp; Chrysler 300 &amp; 2011-2023 Charger &amp; 2014-2023 Durango &amp; 2014-2021 Grand Cherokee (WKII) | Max Security and Performance | Easy to Install</t>
        </is>
      </c>
      <c r="B147" s="30" t="inlineStr">
        <is>
          <t>B0G98M85QG</t>
        </is>
      </c>
      <c r="C147" s="30" t="inlineStr">
        <is>
          <t>Key</t>
        </is>
      </c>
      <c r="D147" s="324" t="n">
        <v>711.62</v>
      </c>
      <c r="E147" s="53" t="n">
        <v>3629.27</v>
      </c>
      <c r="F147" s="53" t="n">
        <v>0</v>
      </c>
      <c r="G147" s="55" t="n">
        <v>7</v>
      </c>
      <c r="H147" s="57" t="n">
        <v>0</v>
      </c>
      <c r="I147" s="55" t="n"/>
      <c r="J147" s="56" t="n"/>
      <c r="K147" s="56" t="inlineStr">
        <is>
          <t>https://amazon.com/dp/B0G98M85QG</t>
        </is>
      </c>
      <c r="L147" s="34">
        <f>HYPERLINK(ZAutomotive_1[[#This Row],[Column1]])</f>
        <v/>
      </c>
    </row>
    <row r="148" ht="45" customHeight="1" s="290">
      <c r="A148" s="30" t="n"/>
      <c r="B148" s="30" t="n"/>
      <c r="C148" s="30" t="n"/>
      <c r="D148" s="324" t="n"/>
      <c r="E148" s="53" t="n"/>
      <c r="F148" s="53" t="n"/>
      <c r="G148" s="55" t="n"/>
      <c r="H148" s="57" t="n"/>
      <c r="I148" s="55" t="n"/>
      <c r="J148" s="56" t="n"/>
      <c r="K148" s="56" t="n"/>
      <c r="L148" s="34">
        <f>HYPERLINK(Table65[[#This Row],[Column1]])</f>
        <v/>
      </c>
    </row>
    <row r="149" ht="45" customHeight="1" s="290">
      <c r="A149" s="30" t="n"/>
      <c r="B149" s="30" t="n"/>
      <c r="C149" s="30" t="n"/>
      <c r="D149" s="324" t="n"/>
      <c r="E149" s="53" t="n"/>
      <c r="F149" s="53" t="n"/>
      <c r="G149" s="55" t="n"/>
      <c r="H149" s="57" t="n"/>
      <c r="I149" s="55" t="n"/>
      <c r="J149" s="56" t="n"/>
      <c r="K149" s="56" t="n"/>
      <c r="L149" s="34">
        <f>HYPERLINK(Table65[[#This Row],[Column1]])</f>
        <v/>
      </c>
    </row>
    <row r="150" ht="45" customHeight="1" s="290">
      <c r="A150" s="30" t="n"/>
      <c r="B150" s="30" t="n"/>
      <c r="C150" s="30" t="n"/>
      <c r="D150" s="324" t="n"/>
      <c r="E150" s="53" t="n"/>
      <c r="F150" s="53" t="n"/>
      <c r="G150" s="55" t="n"/>
      <c r="H150" s="57" t="n"/>
      <c r="I150" s="55" t="n"/>
      <c r="J150" s="56" t="n"/>
      <c r="K150" s="56" t="n"/>
      <c r="L150" s="34">
        <f>HYPERLINK(Table65[[#This Row],[Column1]])</f>
        <v/>
      </c>
    </row>
    <row r="151" ht="45" customHeight="1" s="290">
      <c r="A151" s="30" t="n"/>
      <c r="B151" s="30" t="n"/>
      <c r="C151" s="30" t="n"/>
      <c r="D151" s="324" t="n"/>
      <c r="E151" s="53" t="n"/>
      <c r="F151" s="53" t="n"/>
      <c r="G151" s="55" t="n"/>
      <c r="H151" s="57" t="n"/>
      <c r="I151" s="55" t="n"/>
      <c r="J151" s="56" t="n"/>
      <c r="K151" s="56" t="n"/>
      <c r="L151" s="34">
        <f>HYPERLINK(Table65[[#This Row],[Column1]])</f>
        <v/>
      </c>
    </row>
    <row r="152" ht="45" customHeight="1" s="290">
      <c r="A152" s="30" t="n"/>
      <c r="B152" s="30" t="n"/>
      <c r="C152" s="30" t="n"/>
      <c r="D152" s="324" t="n"/>
      <c r="E152" s="53" t="n"/>
      <c r="F152" s="53" t="n"/>
      <c r="G152" s="55" t="n"/>
      <c r="H152" s="57" t="n"/>
      <c r="I152" s="55" t="n"/>
      <c r="J152" s="56" t="n"/>
      <c r="K152" s="56" t="n"/>
      <c r="L152" s="34">
        <f>HYPERLINK(Table65[[#This Row],[Column1]])</f>
        <v/>
      </c>
    </row>
    <row r="153" ht="60" customHeight="1" s="290">
      <c r="A153" s="30" t="n"/>
      <c r="B153" s="30" t="n"/>
      <c r="C153" s="30" t="n"/>
      <c r="D153" s="324" t="n"/>
      <c r="E153" s="53" t="n"/>
      <c r="F153" s="53" t="n"/>
      <c r="G153" s="55" t="n"/>
      <c r="H153" s="57" t="n"/>
      <c r="I153" s="55" t="n"/>
      <c r="J153" s="56" t="n"/>
      <c r="K153" s="56" t="n"/>
      <c r="L153" s="34">
        <f>HYPERLINK(Table65[[#This Row],[Column1]])</f>
        <v/>
      </c>
    </row>
    <row r="154" ht="45" customHeight="1" s="290">
      <c r="A154" s="30" t="n"/>
      <c r="B154" s="30" t="n"/>
      <c r="C154" s="30" t="n"/>
      <c r="D154" s="324" t="n"/>
      <c r="E154" s="53" t="n"/>
      <c r="F154" s="53" t="n"/>
      <c r="G154" s="55" t="n"/>
      <c r="H154" s="57" t="n"/>
      <c r="I154" s="55" t="n"/>
      <c r="J154" s="56" t="n"/>
      <c r="K154" s="56" t="n"/>
      <c r="L154" s="34">
        <f>HYPERLINK(Table65[[#This Row],[Column1]])</f>
        <v/>
      </c>
    </row>
    <row r="155" ht="45" customHeight="1" s="290">
      <c r="A155" s="30" t="n"/>
      <c r="B155" s="30" t="n"/>
      <c r="C155" s="30" t="n"/>
      <c r="D155" s="324" t="n"/>
      <c r="E155" s="53" t="n"/>
      <c r="F155" s="53" t="n"/>
      <c r="G155" s="55" t="n"/>
      <c r="H155" s="57" t="n"/>
      <c r="I155" s="55" t="n"/>
      <c r="J155" s="56" t="n"/>
      <c r="K155" s="56" t="n"/>
      <c r="L155" s="34">
        <f>HYPERLINK(Table65[[#This Row],[Column1]])</f>
        <v/>
      </c>
    </row>
    <row r="156" ht="45" customHeight="1" s="290">
      <c r="A156" s="30" t="n"/>
      <c r="B156" s="30" t="n"/>
      <c r="C156" s="30" t="n"/>
      <c r="D156" s="324" t="n"/>
      <c r="E156" s="53" t="n"/>
      <c r="F156" s="53" t="n"/>
      <c r="G156" s="55" t="n"/>
      <c r="H156" s="57" t="n"/>
      <c r="I156" s="55" t="n"/>
      <c r="J156" s="56" t="n"/>
      <c r="K156" s="56" t="n"/>
      <c r="L156" s="34">
        <f>HYPERLINK(Table65[[#This Row],[Column1]])</f>
        <v/>
      </c>
    </row>
    <row r="157" ht="45" customHeight="1" s="290">
      <c r="A157" s="30" t="n"/>
      <c r="B157" s="30" t="n"/>
      <c r="C157" s="30" t="n"/>
      <c r="D157" s="324" t="n"/>
      <c r="E157" s="53" t="n"/>
      <c r="F157" s="53" t="n"/>
      <c r="G157" s="55" t="n"/>
      <c r="H157" s="57" t="n"/>
      <c r="I157" s="55" t="n"/>
      <c r="J157" s="56" t="n"/>
      <c r="K157" s="56" t="n"/>
      <c r="L157" s="34">
        <f>HYPERLINK(Table65[[#This Row],[Column1]])</f>
        <v/>
      </c>
    </row>
    <row r="158" ht="45" customHeight="1" s="290">
      <c r="A158" s="30" t="n"/>
      <c r="B158" s="30" t="n"/>
      <c r="C158" s="30" t="n"/>
      <c r="D158" s="324" t="n"/>
      <c r="E158" s="53" t="n"/>
      <c r="F158" s="53" t="n"/>
      <c r="G158" s="55" t="n"/>
      <c r="H158" s="57" t="n"/>
      <c r="I158" s="55" t="n"/>
      <c r="J158" s="56" t="n"/>
      <c r="K158" s="56" t="n"/>
      <c r="L158" s="34">
        <f>HYPERLINK(Table65[[#This Row],[Column1]])</f>
        <v/>
      </c>
    </row>
    <row r="159" ht="45" customHeight="1" s="290">
      <c r="A159" s="30" t="n"/>
      <c r="B159" s="30" t="n"/>
      <c r="C159" s="30" t="n"/>
      <c r="D159" s="324" t="n"/>
      <c r="E159" s="53" t="n"/>
      <c r="F159" s="53" t="n"/>
      <c r="G159" s="55" t="n"/>
      <c r="H159" s="57" t="n"/>
      <c r="I159" s="55" t="n"/>
      <c r="J159" s="56" t="n"/>
      <c r="K159" s="56" t="n"/>
      <c r="L159" s="34">
        <f>HYPERLINK(Table65[[#This Row],[Column1]])</f>
        <v/>
      </c>
    </row>
    <row r="160" ht="45" customHeight="1" s="290">
      <c r="A160" s="30" t="n"/>
      <c r="B160" s="30" t="n"/>
      <c r="C160" s="30" t="n"/>
      <c r="D160" s="324" t="n"/>
      <c r="E160" s="53" t="n"/>
      <c r="F160" s="53" t="n"/>
      <c r="G160" s="55" t="n"/>
      <c r="H160" s="57" t="n"/>
      <c r="I160" s="55" t="n"/>
      <c r="J160" s="56" t="n"/>
      <c r="K160" s="56" t="n"/>
      <c r="L160" s="34">
        <f>HYPERLINK(Table65[[#This Row],[Column1]])</f>
        <v/>
      </c>
    </row>
    <row r="161" ht="60" customHeight="1" s="290">
      <c r="A161" s="30" t="n"/>
      <c r="B161" s="30" t="n"/>
      <c r="C161" s="30" t="n"/>
      <c r="D161" s="324" t="n"/>
      <c r="E161" s="53" t="n"/>
      <c r="F161" s="53" t="n"/>
      <c r="G161" s="55" t="n"/>
      <c r="H161" s="57" t="n"/>
      <c r="I161" s="55" t="n"/>
      <c r="J161" s="56" t="n"/>
      <c r="K161" s="56" t="n"/>
      <c r="L161" s="34">
        <f>HYPERLINK(Table65[[#This Row],[Column1]])</f>
        <v/>
      </c>
    </row>
    <row r="162" ht="45" customHeight="1" s="290">
      <c r="A162" s="30" t="n"/>
      <c r="B162" s="30" t="n"/>
      <c r="C162" s="30" t="n"/>
      <c r="D162" s="324" t="n"/>
      <c r="E162" s="53" t="n"/>
      <c r="F162" s="53" t="n"/>
      <c r="G162" s="55" t="n"/>
      <c r="H162" s="57" t="n"/>
      <c r="I162" s="55" t="n"/>
      <c r="J162" s="56" t="n"/>
      <c r="K162" s="56" t="n"/>
      <c r="L162" s="34">
        <f>HYPERLINK(Table65[[#This Row],[Column1]])</f>
        <v/>
      </c>
    </row>
    <row r="163" ht="45" customHeight="1" s="290">
      <c r="A163" s="30" t="n"/>
      <c r="B163" s="30" t="n"/>
      <c r="C163" s="30" t="n"/>
      <c r="D163" s="324" t="n"/>
      <c r="E163" s="53" t="n"/>
      <c r="F163" s="53" t="n"/>
      <c r="G163" s="55" t="n"/>
      <c r="H163" s="57" t="n"/>
      <c r="I163" s="55" t="n"/>
      <c r="J163" s="56" t="n"/>
      <c r="K163" s="56" t="n"/>
      <c r="L163" s="34">
        <f>HYPERLINK(Table65[[#This Row],[Column1]])</f>
        <v/>
      </c>
    </row>
    <row r="164" ht="45" customHeight="1" s="290">
      <c r="A164" s="30" t="n"/>
      <c r="B164" s="30" t="n"/>
      <c r="C164" s="30" t="n"/>
      <c r="D164" s="324" t="n"/>
      <c r="E164" s="53" t="n"/>
      <c r="F164" s="53" t="n"/>
      <c r="G164" s="55" t="n"/>
      <c r="H164" s="57" t="n"/>
      <c r="I164" s="55" t="n"/>
      <c r="J164" s="56" t="n"/>
      <c r="K164" s="56" t="n"/>
      <c r="L164" s="34">
        <f>HYPERLINK(Table65[[#This Row],[Column1]])</f>
        <v/>
      </c>
    </row>
    <row r="165" ht="45" customHeight="1" s="290">
      <c r="A165" s="30" t="n"/>
      <c r="B165" s="30" t="n"/>
      <c r="C165" s="30" t="n"/>
      <c r="D165" s="324" t="n"/>
      <c r="E165" s="53" t="n"/>
      <c r="F165" s="53" t="n"/>
      <c r="G165" s="55" t="n"/>
      <c r="H165" s="57" t="n"/>
      <c r="I165" s="55" t="n"/>
      <c r="J165" s="56" t="n"/>
      <c r="K165" s="56" t="n"/>
      <c r="L165" s="34">
        <f>HYPERLINK(Table65[[#This Row],[Column1]])</f>
        <v/>
      </c>
    </row>
    <row r="166" ht="45" customHeight="1" s="290">
      <c r="A166" s="30" t="n"/>
      <c r="B166" s="30" t="n"/>
      <c r="C166" s="30" t="n"/>
      <c r="D166" s="324" t="n"/>
      <c r="E166" s="53" t="n"/>
      <c r="F166" s="53" t="n"/>
      <c r="G166" s="55" t="n"/>
      <c r="H166" s="57" t="n"/>
      <c r="I166" s="55" t="n"/>
      <c r="J166" s="56" t="n"/>
      <c r="K166" s="56" t="n"/>
      <c r="L166" s="34">
        <f>HYPERLINK(Table65[[#This Row],[Column1]])</f>
        <v/>
      </c>
    </row>
    <row r="167" ht="45" customHeight="1" s="290">
      <c r="A167" s="30" t="n"/>
      <c r="B167" s="30" t="n"/>
      <c r="C167" s="30" t="n"/>
      <c r="D167" s="324" t="n"/>
      <c r="E167" s="53" t="n"/>
      <c r="F167" s="53" t="n"/>
      <c r="G167" s="55" t="n"/>
      <c r="H167" s="57" t="n"/>
      <c r="I167" s="55" t="n"/>
      <c r="J167" s="56" t="n"/>
      <c r="K167" s="56" t="n"/>
      <c r="L167" s="34">
        <f>HYPERLINK(Table65[[#This Row],[Column1]])</f>
        <v/>
      </c>
    </row>
    <row r="168" ht="45" customHeight="1" s="290">
      <c r="A168" s="30" t="n"/>
      <c r="B168" s="30" t="n"/>
      <c r="C168" s="30" t="n"/>
      <c r="D168" s="324" t="n"/>
      <c r="E168" s="53" t="n"/>
      <c r="F168" s="53" t="n"/>
      <c r="G168" s="55" t="n"/>
      <c r="H168" s="57" t="n"/>
      <c r="I168" s="55" t="n"/>
      <c r="J168" s="56" t="n"/>
      <c r="K168" s="56" t="n"/>
      <c r="L168" s="34">
        <f>HYPERLINK(Table65[[#This Row],[Column1]])</f>
        <v/>
      </c>
    </row>
    <row r="169" ht="45" customHeight="1" s="290">
      <c r="A169" s="30" t="n"/>
      <c r="B169" s="30" t="n"/>
      <c r="C169" s="30" t="n"/>
      <c r="D169" s="324" t="n"/>
      <c r="E169" s="53" t="n"/>
      <c r="F169" s="53" t="n"/>
      <c r="G169" s="55" t="n"/>
      <c r="H169" s="57" t="n"/>
      <c r="I169" s="55" t="n"/>
      <c r="J169" s="56" t="n"/>
      <c r="K169" s="56" t="n"/>
      <c r="L169" s="34">
        <f>HYPERLINK(Table65[[#This Row],[Column1]])</f>
        <v/>
      </c>
    </row>
    <row r="170" ht="30" customHeight="1" s="290">
      <c r="A170" s="30" t="n"/>
      <c r="B170" s="30" t="n"/>
      <c r="C170" s="30" t="n"/>
      <c r="D170" s="324" t="n"/>
      <c r="E170" s="53" t="n"/>
      <c r="F170" s="53" t="n"/>
      <c r="G170" s="55" t="n"/>
      <c r="H170" s="57" t="n"/>
      <c r="I170" s="55" t="n"/>
      <c r="J170" s="56" t="n"/>
      <c r="K170" s="56" t="n"/>
      <c r="L170" s="34">
        <f>HYPERLINK(Table65[[#This Row],[Column1]])</f>
        <v/>
      </c>
    </row>
    <row r="171" ht="45" customHeight="1" s="290">
      <c r="A171" s="30" t="n"/>
      <c r="B171" s="30" t="n"/>
      <c r="C171" s="30" t="n"/>
      <c r="D171" s="324" t="n"/>
      <c r="E171" s="53" t="n"/>
      <c r="F171" s="53" t="n"/>
      <c r="G171" s="55" t="n"/>
      <c r="H171" s="57" t="n"/>
      <c r="I171" s="55" t="n"/>
      <c r="J171" s="56" t="n"/>
      <c r="K171" s="56" t="n"/>
      <c r="L171" s="34">
        <f>HYPERLINK(Table65[[#This Row],[Column1]])</f>
        <v/>
      </c>
    </row>
    <row r="172" ht="45" customHeight="1" s="290">
      <c r="A172" s="30" t="n"/>
      <c r="B172" s="30" t="n"/>
      <c r="C172" s="30" t="n"/>
      <c r="D172" s="324" t="n"/>
      <c r="E172" s="53" t="n"/>
      <c r="F172" s="53" t="n"/>
      <c r="G172" s="55" t="n"/>
      <c r="H172" s="57" t="n"/>
      <c r="I172" s="55" t="n"/>
      <c r="J172" s="56" t="n"/>
      <c r="K172" s="56" t="n"/>
      <c r="L172" s="34">
        <f>HYPERLINK(Table65[[#This Row],[Column1]])</f>
        <v/>
      </c>
    </row>
    <row r="173" ht="45" customHeight="1" s="290">
      <c r="A173" s="30" t="n"/>
      <c r="B173" s="30" t="n"/>
      <c r="C173" s="30" t="n"/>
      <c r="D173" s="324" t="n"/>
      <c r="E173" s="53" t="n"/>
      <c r="F173" s="53" t="n"/>
      <c r="G173" s="55" t="n"/>
      <c r="H173" s="57" t="n"/>
      <c r="I173" s="55" t="n"/>
      <c r="J173" s="56" t="n"/>
      <c r="K173" s="56" t="n"/>
      <c r="L173" s="34">
        <f>HYPERLINK(Table65[[#This Row],[Column1]])</f>
        <v/>
      </c>
    </row>
    <row r="174" ht="45" customHeight="1" s="290">
      <c r="A174" s="30" t="n"/>
      <c r="B174" s="30" t="n"/>
      <c r="C174" s="30" t="n"/>
      <c r="D174" s="324" t="n"/>
      <c r="E174" s="53" t="n"/>
      <c r="F174" s="53" t="n"/>
      <c r="G174" s="55" t="n"/>
      <c r="H174" s="57" t="n"/>
      <c r="I174" s="55" t="n"/>
      <c r="J174" s="56" t="n"/>
      <c r="K174" s="56" t="n"/>
      <c r="L174" s="34">
        <f>HYPERLINK(Table65[[#This Row],[Column1]])</f>
        <v/>
      </c>
    </row>
    <row r="175" ht="45" customHeight="1" s="290">
      <c r="A175" s="30" t="n"/>
      <c r="B175" s="30" t="n"/>
      <c r="C175" s="30" t="n"/>
      <c r="D175" s="324" t="n"/>
      <c r="E175" s="53" t="n"/>
      <c r="F175" s="53" t="n"/>
      <c r="G175" s="55" t="n"/>
      <c r="H175" s="57" t="n"/>
      <c r="I175" s="55" t="n"/>
      <c r="J175" s="56" t="n"/>
      <c r="K175" s="56" t="n"/>
      <c r="L175" s="34">
        <f>HYPERLINK(Table65[[#This Row],[Column1]])</f>
        <v/>
      </c>
    </row>
    <row r="176" ht="60" customHeight="1" s="290">
      <c r="A176" s="30" t="n"/>
      <c r="B176" s="30" t="n"/>
      <c r="C176" s="30" t="n"/>
      <c r="D176" s="324" t="n"/>
      <c r="E176" s="53" t="n"/>
      <c r="F176" s="53" t="n"/>
      <c r="G176" s="55" t="n"/>
      <c r="H176" s="57" t="n"/>
      <c r="I176" s="55" t="n"/>
      <c r="J176" s="56" t="n"/>
      <c r="K176" s="56" t="n"/>
      <c r="L176" s="34">
        <f>HYPERLINK(Table65[[#This Row],[Column1]])</f>
        <v/>
      </c>
    </row>
    <row r="177" ht="45" customHeight="1" s="290">
      <c r="A177" s="30" t="n"/>
      <c r="B177" s="30" t="n"/>
      <c r="C177" s="30" t="n"/>
      <c r="D177" s="324" t="n"/>
      <c r="E177" s="53" t="n"/>
      <c r="F177" s="53" t="n"/>
      <c r="G177" s="55" t="n"/>
      <c r="H177" s="57" t="n"/>
      <c r="I177" s="55" t="n"/>
      <c r="J177" s="56" t="n"/>
      <c r="K177" s="56" t="n"/>
      <c r="L177" s="34">
        <f>HYPERLINK(Table65[[#This Row],[Column1]])</f>
        <v/>
      </c>
    </row>
    <row r="178" ht="45" customHeight="1" s="290">
      <c r="A178" s="30" t="n"/>
      <c r="B178" s="30" t="n"/>
      <c r="C178" s="30" t="n"/>
      <c r="D178" s="324" t="n"/>
      <c r="E178" s="53" t="n"/>
      <c r="F178" s="53" t="n"/>
      <c r="G178" s="55" t="n"/>
      <c r="H178" s="57" t="n"/>
      <c r="I178" s="55" t="n"/>
      <c r="J178" s="56" t="n"/>
      <c r="K178" s="56" t="n"/>
      <c r="L178" s="34">
        <f>HYPERLINK(Table65[[#This Row],[Column1]])</f>
        <v/>
      </c>
    </row>
    <row r="179" ht="30" customHeight="1" s="290">
      <c r="A179" s="30" t="n"/>
      <c r="B179" s="30" t="n"/>
      <c r="C179" s="30" t="n"/>
      <c r="D179" s="324" t="n"/>
      <c r="E179" s="53" t="n"/>
      <c r="F179" s="53" t="n"/>
      <c r="G179" s="55" t="n"/>
      <c r="H179" s="57" t="n"/>
      <c r="I179" s="55" t="n"/>
      <c r="J179" s="56" t="n"/>
      <c r="K179" s="56" t="n"/>
      <c r="L179" s="34">
        <f>HYPERLINK(Table65[[#This Row],[Column1]])</f>
        <v/>
      </c>
    </row>
    <row r="180" ht="45" customHeight="1" s="290">
      <c r="A180" s="30" t="n"/>
      <c r="B180" s="30" t="n"/>
      <c r="C180" s="30" t="n"/>
      <c r="D180" s="324" t="n"/>
      <c r="E180" s="53" t="n"/>
      <c r="F180" s="53" t="n"/>
      <c r="G180" s="55" t="n"/>
      <c r="H180" s="57" t="n"/>
      <c r="I180" s="55" t="n"/>
      <c r="J180" s="56" t="n"/>
      <c r="K180" s="56" t="n"/>
      <c r="L180" s="34">
        <f>HYPERLINK(Table65[[#This Row],[Column1]])</f>
        <v/>
      </c>
    </row>
    <row r="181" ht="45" customHeight="1" s="290">
      <c r="A181" s="30" t="n"/>
      <c r="B181" s="30" t="n"/>
      <c r="C181" s="30" t="n"/>
      <c r="D181" s="324" t="n"/>
      <c r="E181" s="53" t="n"/>
      <c r="F181" s="53" t="n"/>
      <c r="G181" s="55" t="n"/>
      <c r="H181" s="57" t="n"/>
      <c r="I181" s="55" t="n"/>
      <c r="J181" s="56" t="n"/>
      <c r="K181" s="56" t="n"/>
      <c r="L181" s="34">
        <f>HYPERLINK(Table65[[#This Row],[Column1]])</f>
        <v/>
      </c>
    </row>
    <row r="182" ht="45" customHeight="1" s="290">
      <c r="A182" s="30" t="n"/>
      <c r="B182" s="30" t="n"/>
      <c r="C182" s="30" t="n"/>
      <c r="D182" s="324" t="n"/>
      <c r="E182" s="53" t="n"/>
      <c r="F182" s="53" t="n"/>
      <c r="G182" s="55" t="n"/>
      <c r="H182" s="57" t="n"/>
      <c r="I182" s="55" t="n"/>
      <c r="J182" s="56" t="n"/>
      <c r="K182" s="56" t="n"/>
      <c r="L182" s="34">
        <f>HYPERLINK(Table65[[#This Row],[Column1]])</f>
        <v/>
      </c>
    </row>
    <row r="183" ht="45" customHeight="1" s="290">
      <c r="A183" s="30" t="n"/>
      <c r="B183" s="30" t="n"/>
      <c r="C183" s="30" t="n"/>
      <c r="D183" s="324" t="n"/>
      <c r="E183" s="53" t="n"/>
      <c r="F183" s="53" t="n"/>
      <c r="G183" s="55" t="n"/>
      <c r="H183" s="57" t="n"/>
      <c r="I183" s="55" t="n"/>
      <c r="J183" s="56" t="n"/>
      <c r="K183" s="56" t="n"/>
      <c r="L183" s="34">
        <f>HYPERLINK(Table65[[#This Row],[Column1]])</f>
        <v/>
      </c>
    </row>
    <row r="184" ht="45" customHeight="1" s="290">
      <c r="A184" s="30" t="n"/>
      <c r="B184" s="30" t="n"/>
      <c r="C184" s="30" t="n"/>
      <c r="D184" s="324" t="n"/>
      <c r="E184" s="53" t="n"/>
      <c r="F184" s="53" t="n"/>
      <c r="G184" s="55" t="n"/>
      <c r="H184" s="57" t="n"/>
      <c r="I184" s="55" t="n"/>
      <c r="J184" s="56" t="n"/>
      <c r="K184" s="56" t="n"/>
      <c r="L184" s="34">
        <f>HYPERLINK(Table65[[#This Row],[Column1]])</f>
        <v/>
      </c>
    </row>
    <row r="185" ht="45" customHeight="1" s="290">
      <c r="A185" s="30" t="n"/>
      <c r="B185" s="30" t="n"/>
      <c r="C185" s="30" t="n"/>
      <c r="D185" s="324" t="n"/>
      <c r="E185" s="53" t="n"/>
      <c r="F185" s="53" t="n"/>
      <c r="G185" s="55" t="n"/>
      <c r="H185" s="57" t="n"/>
      <c r="I185" s="55" t="n"/>
      <c r="J185" s="56" t="n"/>
      <c r="K185" s="56" t="n"/>
      <c r="L185" s="34">
        <f>HYPERLINK(Table65[[#This Row],[Column1]])</f>
        <v/>
      </c>
    </row>
    <row r="186" ht="60" customHeight="1" s="290">
      <c r="A186" s="30" t="n"/>
      <c r="B186" s="30" t="n"/>
      <c r="C186" s="30" t="n"/>
      <c r="D186" s="324" t="n"/>
      <c r="E186" s="53" t="n"/>
      <c r="F186" s="53" t="n"/>
      <c r="G186" s="55" t="n"/>
      <c r="H186" s="57" t="n"/>
      <c r="I186" s="55" t="n"/>
      <c r="J186" s="56" t="n"/>
      <c r="K186" s="56" t="n"/>
      <c r="L186" s="34">
        <f>HYPERLINK(Table65[[#This Row],[Column1]])</f>
        <v/>
      </c>
    </row>
    <row r="187" ht="45" customHeight="1" s="290">
      <c r="A187" s="30" t="n"/>
      <c r="B187" s="30" t="n"/>
      <c r="C187" s="30" t="n"/>
      <c r="D187" s="324" t="n"/>
      <c r="E187" s="53" t="n"/>
      <c r="F187" s="53" t="n"/>
      <c r="G187" s="55" t="n"/>
      <c r="H187" s="57" t="n"/>
      <c r="I187" s="55" t="n"/>
      <c r="J187" s="56" t="n"/>
      <c r="K187" s="56" t="n"/>
      <c r="L187" s="34">
        <f>HYPERLINK(Table65[[#This Row],[Column1]])</f>
        <v/>
      </c>
    </row>
    <row r="188" ht="45" customHeight="1" s="290">
      <c r="A188" s="30" t="n"/>
      <c r="B188" s="30" t="n"/>
      <c r="C188" s="30" t="n"/>
      <c r="D188" s="324" t="n"/>
      <c r="E188" s="53" t="n"/>
      <c r="F188" s="53" t="n"/>
      <c r="G188" s="55" t="n"/>
      <c r="H188" s="57" t="n"/>
      <c r="I188" s="55" t="n"/>
      <c r="J188" s="56" t="n"/>
      <c r="K188" s="56" t="n"/>
      <c r="L188" s="34">
        <f>HYPERLINK(Table65[[#This Row],[Column1]])</f>
        <v/>
      </c>
    </row>
    <row r="189" ht="45" customHeight="1" s="290">
      <c r="A189" s="30" t="n"/>
      <c r="B189" s="30" t="n"/>
      <c r="C189" s="30" t="n"/>
      <c r="D189" s="324" t="n"/>
      <c r="E189" s="53" t="n"/>
      <c r="F189" s="53" t="n"/>
      <c r="G189" s="55" t="n"/>
      <c r="H189" s="57" t="n"/>
      <c r="I189" s="55" t="n"/>
      <c r="J189" s="56" t="n"/>
      <c r="K189" s="56" t="n"/>
      <c r="L189" s="34">
        <f>HYPERLINK(Table65[[#This Row],[Column1]])</f>
        <v/>
      </c>
    </row>
    <row r="190" ht="60" customHeight="1" s="290">
      <c r="A190" s="30" t="n"/>
      <c r="B190" s="30" t="n"/>
      <c r="C190" s="30" t="n"/>
      <c r="D190" s="324" t="n"/>
      <c r="E190" s="53" t="n"/>
      <c r="F190" s="53" t="n"/>
      <c r="G190" s="55" t="n"/>
      <c r="H190" s="57" t="n"/>
      <c r="I190" s="55" t="n"/>
      <c r="J190" s="56" t="n"/>
      <c r="K190" s="56" t="n"/>
      <c r="L190" s="34">
        <f>HYPERLINK(Table65[[#This Row],[Column1]])</f>
        <v/>
      </c>
    </row>
    <row r="191" ht="45" customHeight="1" s="290">
      <c r="A191" s="30" t="n"/>
      <c r="B191" s="30" t="n"/>
      <c r="C191" s="30" t="n"/>
      <c r="D191" s="324" t="n"/>
      <c r="E191" s="53" t="n"/>
      <c r="F191" s="53" t="n"/>
      <c r="G191" s="55" t="n"/>
      <c r="H191" s="57" t="n"/>
      <c r="I191" s="55" t="n"/>
      <c r="J191" s="56" t="n"/>
      <c r="K191" s="56" t="n"/>
      <c r="L191" s="34">
        <f>HYPERLINK(Table65[[#This Row],[Column1]])</f>
        <v/>
      </c>
    </row>
    <row r="192" ht="45" customHeight="1" s="290">
      <c r="A192" s="30" t="n"/>
      <c r="B192" s="30" t="n"/>
      <c r="C192" s="30" t="n"/>
      <c r="D192" s="324" t="n"/>
      <c r="E192" s="53" t="n"/>
      <c r="F192" s="53" t="n"/>
      <c r="G192" s="55" t="n"/>
      <c r="H192" s="57" t="n"/>
      <c r="I192" s="55" t="n"/>
      <c r="J192" s="56" t="n"/>
      <c r="K192" s="56" t="n"/>
      <c r="L192" s="34">
        <f>HYPERLINK(Table65[[#This Row],[Column1]])</f>
        <v/>
      </c>
    </row>
    <row r="193" ht="60" customHeight="1" s="290">
      <c r="A193" s="30" t="n"/>
      <c r="B193" s="30" t="n"/>
      <c r="C193" s="30" t="n"/>
      <c r="D193" s="324" t="n"/>
      <c r="E193" s="53" t="n"/>
      <c r="F193" s="53" t="n"/>
      <c r="G193" s="55" t="n"/>
      <c r="H193" s="57" t="n"/>
      <c r="I193" s="55" t="n"/>
      <c r="J193" s="56" t="n"/>
      <c r="K193" s="56" t="n"/>
      <c r="L193" s="34">
        <f>HYPERLINK(Table65[[#This Row],[Column1]])</f>
        <v/>
      </c>
    </row>
    <row r="194" ht="45" customHeight="1" s="290">
      <c r="A194" s="30" t="n"/>
      <c r="B194" s="30" t="n"/>
      <c r="C194" s="30" t="n"/>
      <c r="D194" s="324" t="n"/>
      <c r="E194" s="53" t="n"/>
      <c r="F194" s="53" t="n"/>
      <c r="G194" s="55" t="n"/>
      <c r="H194" s="57" t="n"/>
      <c r="I194" s="55" t="n"/>
      <c r="J194" s="56" t="n"/>
      <c r="K194" s="56" t="n"/>
      <c r="L194" s="34">
        <f>HYPERLINK(Table65[[#This Row],[Column1]])</f>
        <v/>
      </c>
    </row>
    <row r="195" ht="45" customHeight="1" s="290">
      <c r="A195" s="30" t="n"/>
      <c r="B195" s="30" t="n"/>
      <c r="C195" s="30" t="n"/>
      <c r="D195" s="324" t="n"/>
      <c r="E195" s="53" t="n"/>
      <c r="F195" s="53" t="n"/>
      <c r="G195" s="55" t="n"/>
      <c r="H195" s="57" t="n"/>
      <c r="I195" s="55" t="n"/>
      <c r="J195" s="56" t="n"/>
      <c r="K195" s="56" t="n"/>
      <c r="L195" s="34">
        <f>HYPERLINK(Table65[[#This Row],[Column1]])</f>
        <v/>
      </c>
    </row>
    <row r="196" ht="45" customHeight="1" s="290">
      <c r="A196" s="30" t="n"/>
      <c r="B196" s="30" t="n"/>
      <c r="C196" s="30" t="n"/>
      <c r="D196" s="324" t="n"/>
      <c r="E196" s="53" t="n"/>
      <c r="F196" s="53" t="n"/>
      <c r="G196" s="55" t="n"/>
      <c r="H196" s="57" t="n"/>
      <c r="I196" s="55" t="n"/>
      <c r="J196" s="56" t="n"/>
      <c r="K196" s="56" t="n"/>
      <c r="L196" s="34">
        <f>HYPERLINK(Table65[[#This Row],[Column1]])</f>
        <v/>
      </c>
    </row>
    <row r="197" ht="45" customHeight="1" s="290">
      <c r="A197" s="30" t="n"/>
      <c r="B197" s="30" t="n"/>
      <c r="C197" s="30" t="n"/>
      <c r="D197" s="324" t="n"/>
      <c r="E197" s="53" t="n"/>
      <c r="F197" s="53" t="n"/>
      <c r="G197" s="55" t="n"/>
      <c r="H197" s="57" t="n"/>
      <c r="I197" s="55" t="n"/>
      <c r="J197" s="56" t="n"/>
      <c r="K197" s="56" t="n"/>
      <c r="L197" s="34">
        <f>HYPERLINK(Table65[[#This Row],[Column1]])</f>
        <v/>
      </c>
    </row>
    <row r="198" ht="45" customHeight="1" s="290">
      <c r="A198" s="30" t="n"/>
      <c r="B198" s="30" t="n"/>
      <c r="C198" s="30" t="n"/>
      <c r="D198" s="324" t="n"/>
      <c r="E198" s="53" t="n"/>
      <c r="F198" s="53" t="n"/>
      <c r="G198" s="55" t="n"/>
      <c r="H198" s="57" t="n"/>
      <c r="I198" s="55" t="n"/>
      <c r="J198" s="56" t="n"/>
      <c r="K198" s="56" t="n"/>
      <c r="L198" s="34">
        <f>HYPERLINK(Table65[[#This Row],[Column1]])</f>
        <v/>
      </c>
    </row>
    <row r="199" ht="45" customHeight="1" s="290">
      <c r="A199" s="30" t="n"/>
      <c r="B199" s="30" t="n"/>
      <c r="C199" s="30" t="n"/>
      <c r="D199" s="324" t="n"/>
      <c r="E199" s="53" t="n"/>
      <c r="F199" s="53" t="n"/>
      <c r="G199" s="55" t="n"/>
      <c r="H199" s="57" t="n"/>
      <c r="I199" s="55" t="n"/>
      <c r="J199" s="56" t="n"/>
      <c r="K199" s="56" t="n"/>
      <c r="L199" s="34">
        <f>HYPERLINK(Table65[[#This Row],[Column1]])</f>
        <v/>
      </c>
    </row>
    <row r="200" ht="45" customHeight="1" s="290">
      <c r="A200" s="30" t="n"/>
      <c r="B200" s="30" t="n"/>
      <c r="C200" s="30" t="n"/>
      <c r="D200" s="324" t="n"/>
      <c r="E200" s="53" t="n"/>
      <c r="F200" s="53" t="n"/>
      <c r="G200" s="55" t="n"/>
      <c r="H200" s="57" t="n"/>
      <c r="I200" s="55" t="n"/>
      <c r="J200" s="56" t="n"/>
      <c r="K200" s="56" t="n"/>
      <c r="L200" s="34">
        <f>HYPERLINK(Table65[[#This Row],[Column1]])</f>
        <v/>
      </c>
    </row>
    <row r="201" ht="45" customHeight="1" s="290">
      <c r="A201" s="30" t="n"/>
      <c r="B201" s="30" t="n"/>
      <c r="C201" s="30" t="n"/>
      <c r="D201" s="324" t="n"/>
      <c r="E201" s="53" t="n"/>
      <c r="F201" s="53" t="n"/>
      <c r="G201" s="55" t="n"/>
      <c r="H201" s="57" t="n"/>
      <c r="I201" s="55" t="n"/>
      <c r="J201" s="56" t="n"/>
      <c r="K201" s="56" t="n"/>
      <c r="L201" s="34">
        <f>HYPERLINK(Table65[[#This Row],[Column1]])</f>
        <v/>
      </c>
    </row>
    <row r="202" ht="45" customHeight="1" s="290">
      <c r="A202" s="30" t="n"/>
      <c r="B202" s="30" t="n"/>
      <c r="C202" s="30" t="n"/>
      <c r="D202" s="324" t="n"/>
      <c r="E202" s="53" t="n"/>
      <c r="F202" s="53" t="n"/>
      <c r="G202" s="55" t="n"/>
      <c r="H202" s="57" t="n"/>
      <c r="I202" s="55" t="n"/>
      <c r="J202" s="56" t="n"/>
      <c r="K202" s="56" t="n"/>
      <c r="L202" s="34">
        <f>HYPERLINK(Table65[[#This Row],[Column1]])</f>
        <v/>
      </c>
    </row>
    <row r="203" ht="45" customHeight="1" s="290">
      <c r="A203" s="30" t="n"/>
      <c r="B203" s="30" t="n"/>
      <c r="C203" s="30" t="n"/>
      <c r="D203" s="324" t="n"/>
      <c r="E203" s="53" t="n"/>
      <c r="F203" s="53" t="n"/>
      <c r="G203" s="55" t="n"/>
      <c r="H203" s="57" t="n"/>
      <c r="I203" s="55" t="n"/>
      <c r="J203" s="56" t="n"/>
      <c r="K203" s="56" t="n"/>
      <c r="L203" s="34">
        <f>HYPERLINK(Table65[[#This Row],[Column1]])</f>
        <v/>
      </c>
    </row>
    <row r="204" ht="17" customHeight="1" s="290">
      <c r="A204" s="30" t="n"/>
      <c r="B204" s="30" t="n"/>
      <c r="C204" s="30" t="n"/>
      <c r="D204" s="324" t="n"/>
      <c r="E204" s="53" t="n"/>
      <c r="F204" s="53" t="n"/>
      <c r="G204" s="55" t="n"/>
      <c r="H204" s="57" t="n"/>
      <c r="I204" s="55" t="n"/>
      <c r="J204" s="56" t="n"/>
      <c r="K204" s="56" t="n"/>
      <c r="L204" s="34">
        <f>HYPERLINK(Table65[[#This Row],[Column1]])</f>
        <v/>
      </c>
    </row>
    <row r="205" ht="30" customHeight="1" s="290">
      <c r="A205" s="30" t="n"/>
      <c r="B205" s="30" t="n"/>
      <c r="C205" s="30" t="n"/>
      <c r="D205" s="324" t="n"/>
      <c r="E205" s="53" t="n"/>
      <c r="F205" s="53" t="n"/>
      <c r="G205" s="55" t="n"/>
      <c r="H205" s="57" t="n"/>
      <c r="I205" s="55" t="n"/>
      <c r="J205" s="56" t="n"/>
      <c r="K205" s="56" t="n"/>
      <c r="L205" s="34">
        <f>HYPERLINK(Table65[[#This Row],[Column1]])</f>
        <v/>
      </c>
    </row>
    <row r="206" ht="45" customHeight="1" s="290">
      <c r="A206" s="30" t="n"/>
      <c r="B206" s="30" t="n"/>
      <c r="C206" s="30" t="n"/>
      <c r="D206" s="324" t="n"/>
      <c r="E206" s="53" t="n"/>
      <c r="F206" s="53" t="n"/>
      <c r="G206" s="55" t="n"/>
      <c r="H206" s="57" t="n"/>
      <c r="I206" s="55" t="n"/>
      <c r="J206" s="56" t="n"/>
      <c r="K206" s="56" t="n"/>
      <c r="L206" s="34">
        <f>HYPERLINK(Table65[[#This Row],[Column1]])</f>
        <v/>
      </c>
    </row>
    <row r="207" ht="45" customHeight="1" s="290">
      <c r="A207" s="30" t="n"/>
      <c r="B207" s="30" t="n"/>
      <c r="C207" s="30" t="n"/>
      <c r="D207" s="324" t="n"/>
      <c r="E207" s="53" t="n"/>
      <c r="F207" s="53" t="n"/>
      <c r="G207" s="55" t="n"/>
      <c r="H207" s="57" t="n"/>
      <c r="I207" s="55" t="n"/>
      <c r="J207" s="56" t="n"/>
      <c r="K207" s="56" t="n"/>
      <c r="L207" s="34">
        <f>HYPERLINK(Table65[[#This Row],[Column1]])</f>
        <v/>
      </c>
    </row>
    <row r="208" ht="17" customHeight="1" s="290">
      <c r="A208" s="33" t="inlineStr">
        <is>
          <t>Total</t>
        </is>
      </c>
      <c r="B208" s="32" t="n"/>
      <c r="C208" s="325" t="n"/>
      <c r="D208" s="59" t="n"/>
      <c r="E208" s="32" t="n"/>
      <c r="F208" s="32" t="n"/>
      <c r="G208" s="36">
        <f>SUM(G133:G207)</f>
        <v/>
      </c>
      <c r="H208" s="36">
        <f>SUM(H133:H207)</f>
        <v/>
      </c>
      <c r="I208" s="36" t="n"/>
      <c r="J208" s="167" t="n"/>
      <c r="K208" s="168" t="n"/>
      <c r="L208" s="32" t="n"/>
    </row>
  </sheetData>
  <mergeCells count="3">
    <mergeCell ref="A1:M5"/>
    <mergeCell ref="A131:L131"/>
    <mergeCell ref="A51:L51"/>
  </mergeCells>
  <pageMargins left="0.7" right="0.7" top="0.75" bottom="0.75" header="0.3" footer="0.3"/>
  <drawing xmlns:r="http://schemas.openxmlformats.org/officeDocument/2006/relationships" r:id="rId1"/>
  <tableParts count="2">
    <tablePart xmlns:r="http://schemas.openxmlformats.org/officeDocument/2006/relationships" r:id="rId2"/>
    <tablePart xmlns:r="http://schemas.openxmlformats.org/officeDocument/2006/relationships" r:id="rId3"/>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Katrina Bruce</dc:creator>
  <dcterms:created xsi:type="dcterms:W3CDTF">2023-02-23T16:09:11Z</dcterms:created>
  <dcterms:modified xsi:type="dcterms:W3CDTF">2026-05-04T21:31:48Z</dcterms:modified>
  <cp:lastModifiedBy>Ginny Chen</cp:lastModifiedBy>
  <cp:lastPrinted>2024-10-11T23:04:57Z</cp:lastPrinted>
</cp:coreProperties>
</file>